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lachlanforgan/Documents/projects/DadProj1/db 2/model/"/>
    </mc:Choice>
  </mc:AlternateContent>
  <xr:revisionPtr revIDLastSave="0" documentId="13_ncr:1_{6912D4C4-EEDC-704D-A8D2-5415DD2509CD}" xr6:coauthVersionLast="47" xr6:coauthVersionMax="47" xr10:uidLastSave="{00000000-0000-0000-0000-000000000000}"/>
  <bookViews>
    <workbookView xWindow="0" yWindow="500" windowWidth="28800" windowHeight="15720" tabRatio="748" xr2:uid="{FDBC9B6B-5BCD-4D2D-BD24-799A685770B2}"/>
  </bookViews>
  <sheets>
    <sheet name="Cobra Web" sheetId="49" r:id="rId1"/>
    <sheet name="Data Type Lookup" sheetId="32" r:id="rId2"/>
    <sheet name="Table Flags" sheetId="46" r:id="rId3"/>
    <sheet name="Column Flags" sheetId="47" r:id="rId4"/>
    <sheet name="Cobra 8.5" sheetId="2" r:id="rId5"/>
    <sheet name="Cobra 8.6" sheetId="52" r:id="rId6"/>
    <sheet name="8.5 -&gt; Web Table Mapping" sheetId="18" r:id="rId7"/>
    <sheet name="8.5 -&gt; Web  Column Mapping" sheetId="51" r:id="rId8"/>
  </sheets>
  <definedNames>
    <definedName name="_xlnm._FilterDatabase" localSheetId="7" hidden="1">'8.5 -&gt; Web  Column Mapping'!$C$1:$C$1121</definedName>
    <definedName name="_xlnm._FilterDatabase" localSheetId="4" hidden="1">'Cobra 8.5'!$Q$1:$Q$1078</definedName>
    <definedName name="_xlnm._FilterDatabase" localSheetId="5" hidden="1">'Cobra 8.6'!$Q$1:$Q$1078</definedName>
    <definedName name="_xlnm._FilterDatabase" localSheetId="0" hidden="1">'Cobra Web'!$W$1:$X$1439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75" i="49" l="1"/>
  <c r="Z1475" i="49"/>
  <c r="Y1475" i="49"/>
  <c r="W1475" i="49"/>
  <c r="X1475" i="49" s="1"/>
  <c r="R1475" i="49"/>
  <c r="F1475" i="49"/>
  <c r="AA1474" i="49"/>
  <c r="Z1474" i="49"/>
  <c r="Y1474" i="49"/>
  <c r="W1474" i="49"/>
  <c r="X1474" i="49" s="1"/>
  <c r="R1474" i="49"/>
  <c r="F1474" i="49"/>
  <c r="AA1473" i="49"/>
  <c r="Z1473" i="49"/>
  <c r="Y1473" i="49"/>
  <c r="W1473" i="49"/>
  <c r="X1473" i="49" s="1"/>
  <c r="R1473" i="49"/>
  <c r="F1473" i="49"/>
  <c r="AA1472" i="49"/>
  <c r="Z1472" i="49"/>
  <c r="Y1472" i="49"/>
  <c r="W1472" i="49"/>
  <c r="X1472" i="49" s="1"/>
  <c r="R1472" i="49"/>
  <c r="F1472" i="49"/>
  <c r="AA1471" i="49"/>
  <c r="Z1471" i="49"/>
  <c r="Y1471" i="49"/>
  <c r="W1471" i="49"/>
  <c r="X1471" i="49" s="1"/>
  <c r="R1471" i="49"/>
  <c r="F1471" i="49"/>
  <c r="AA1470" i="49"/>
  <c r="Z1470" i="49"/>
  <c r="Y1470" i="49"/>
  <c r="W1470" i="49"/>
  <c r="X1470" i="49" s="1"/>
  <c r="R1470" i="49"/>
  <c r="F1470" i="49"/>
  <c r="AA1469" i="49"/>
  <c r="Z1469" i="49"/>
  <c r="Y1469" i="49"/>
  <c r="W1469" i="49"/>
  <c r="X1469" i="49" s="1"/>
  <c r="R1469" i="49"/>
  <c r="F1469" i="49"/>
  <c r="AA1468" i="49"/>
  <c r="Z1468" i="49"/>
  <c r="Y1468" i="49"/>
  <c r="W1468" i="49"/>
  <c r="X1468" i="49" s="1"/>
  <c r="R1468" i="49"/>
  <c r="F1468" i="49"/>
  <c r="AA1467" i="49"/>
  <c r="Z1467" i="49"/>
  <c r="Y1467" i="49"/>
  <c r="W1467" i="49"/>
  <c r="X1467" i="49" s="1"/>
  <c r="R1467" i="49"/>
  <c r="F1467" i="49"/>
  <c r="AA1466" i="49"/>
  <c r="Z1466" i="49"/>
  <c r="Y1466" i="49"/>
  <c r="W1466" i="49"/>
  <c r="X1466" i="49" s="1"/>
  <c r="R1466" i="49"/>
  <c r="F1466" i="49"/>
  <c r="AA1465" i="49"/>
  <c r="Z1465" i="49"/>
  <c r="Y1465" i="49"/>
  <c r="W1465" i="49"/>
  <c r="X1465" i="49" s="1"/>
  <c r="R1465" i="49"/>
  <c r="F1465" i="49"/>
  <c r="AA1464" i="49"/>
  <c r="Z1464" i="49"/>
  <c r="Y1464" i="49"/>
  <c r="W1464" i="49"/>
  <c r="X1464" i="49" s="1"/>
  <c r="R1464" i="49"/>
  <c r="F1464" i="49"/>
  <c r="AA1463" i="49"/>
  <c r="Z1463" i="49"/>
  <c r="Y1463" i="49"/>
  <c r="W1463" i="49"/>
  <c r="X1463" i="49" s="1"/>
  <c r="R1463" i="49"/>
  <c r="F1463" i="49"/>
  <c r="AA1462" i="49"/>
  <c r="Z1462" i="49"/>
  <c r="Y1462" i="49"/>
  <c r="W1462" i="49"/>
  <c r="X1462" i="49" s="1"/>
  <c r="R1462" i="49"/>
  <c r="F1462" i="49"/>
  <c r="AA1461" i="49"/>
  <c r="Z1461" i="49"/>
  <c r="Y1461" i="49"/>
  <c r="W1461" i="49"/>
  <c r="X1461" i="49" s="1"/>
  <c r="R1461" i="49"/>
  <c r="F1461" i="49"/>
  <c r="AA1460" i="49"/>
  <c r="Z1460" i="49"/>
  <c r="Y1460" i="49"/>
  <c r="X1460" i="49"/>
  <c r="W1460" i="49"/>
  <c r="R1460" i="49"/>
  <c r="F1460" i="49"/>
  <c r="AA1459" i="49"/>
  <c r="Z1459" i="49"/>
  <c r="Y1459" i="49"/>
  <c r="W1459" i="49"/>
  <c r="X1459" i="49" s="1"/>
  <c r="R1459" i="49"/>
  <c r="F1459" i="49"/>
  <c r="AA1458" i="49"/>
  <c r="Z1458" i="49"/>
  <c r="Y1458" i="49"/>
  <c r="W1458" i="49"/>
  <c r="X1458" i="49" s="1"/>
  <c r="R1458" i="49"/>
  <c r="F1458" i="49"/>
  <c r="AA1457" i="49"/>
  <c r="Z1457" i="49"/>
  <c r="Y1457" i="49"/>
  <c r="W1457" i="49"/>
  <c r="X1457" i="49" s="1"/>
  <c r="R1457" i="49"/>
  <c r="F1457" i="49"/>
  <c r="AA1456" i="49"/>
  <c r="Z1456" i="49"/>
  <c r="Y1456" i="49"/>
  <c r="W1456" i="49"/>
  <c r="X1456" i="49" s="1"/>
  <c r="R1456" i="49"/>
  <c r="F1456" i="49"/>
  <c r="AA1455" i="49"/>
  <c r="Z1455" i="49"/>
  <c r="Y1455" i="49"/>
  <c r="W1455" i="49"/>
  <c r="X1455" i="49" s="1"/>
  <c r="R1455" i="49"/>
  <c r="F1455" i="49"/>
  <c r="AA1454" i="49"/>
  <c r="Z1454" i="49"/>
  <c r="Y1454" i="49"/>
  <c r="W1454" i="49"/>
  <c r="X1454" i="49" s="1"/>
  <c r="R1454" i="49"/>
  <c r="F1454" i="49"/>
  <c r="AA1453" i="49"/>
  <c r="Z1453" i="49"/>
  <c r="Y1453" i="49"/>
  <c r="W1453" i="49"/>
  <c r="X1453" i="49" s="1"/>
  <c r="R1453" i="49"/>
  <c r="F1453" i="49"/>
  <c r="AA1452" i="49"/>
  <c r="Z1452" i="49"/>
  <c r="Y1452" i="49"/>
  <c r="W1452" i="49"/>
  <c r="X1452" i="49" s="1"/>
  <c r="R1452" i="49"/>
  <c r="F1452" i="49"/>
  <c r="AA1451" i="49"/>
  <c r="Z1451" i="49"/>
  <c r="Y1451" i="49"/>
  <c r="W1451" i="49"/>
  <c r="X1451" i="49" s="1"/>
  <c r="R1451" i="49"/>
  <c r="F1451" i="49"/>
  <c r="AA1450" i="49"/>
  <c r="Z1450" i="49"/>
  <c r="Y1450" i="49"/>
  <c r="W1450" i="49"/>
  <c r="X1450" i="49" s="1"/>
  <c r="R1450" i="49"/>
  <c r="F1450" i="49"/>
  <c r="AA1449" i="49"/>
  <c r="Z1449" i="49"/>
  <c r="Y1449" i="49"/>
  <c r="X1449" i="49"/>
  <c r="W1449" i="49"/>
  <c r="R1449" i="49"/>
  <c r="F1449" i="49"/>
  <c r="AA1448" i="49"/>
  <c r="Z1448" i="49"/>
  <c r="Y1448" i="49"/>
  <c r="W1448" i="49"/>
  <c r="X1448" i="49" s="1"/>
  <c r="R1448" i="49"/>
  <c r="F1448" i="49"/>
  <c r="AA1447" i="49"/>
  <c r="Z1447" i="49"/>
  <c r="Y1447" i="49"/>
  <c r="W1447" i="49"/>
  <c r="X1447" i="49" s="1"/>
  <c r="R1447" i="49"/>
  <c r="F1447" i="49"/>
  <c r="AA1446" i="49"/>
  <c r="Z1446" i="49"/>
  <c r="Y1446" i="49"/>
  <c r="W1446" i="49"/>
  <c r="X1446" i="49" s="1"/>
  <c r="R1446" i="49"/>
  <c r="F1446" i="49"/>
  <c r="AA1445" i="49"/>
  <c r="Z1445" i="49"/>
  <c r="Y1445" i="49"/>
  <c r="W1445" i="49"/>
  <c r="X1445" i="49" s="1"/>
  <c r="R1445" i="49"/>
  <c r="F1445" i="49"/>
  <c r="AA1444" i="49"/>
  <c r="Z1444" i="49"/>
  <c r="Y1444" i="49"/>
  <c r="W1444" i="49"/>
  <c r="X1444" i="49" s="1"/>
  <c r="R1444" i="49"/>
  <c r="F1444" i="49"/>
  <c r="AA1443" i="49"/>
  <c r="Z1443" i="49"/>
  <c r="Y1443" i="49"/>
  <c r="W1443" i="49"/>
  <c r="X1443" i="49" s="1"/>
  <c r="R1443" i="49"/>
  <c r="F1443" i="49"/>
  <c r="AA1442" i="49"/>
  <c r="Z1442" i="49"/>
  <c r="Y1442" i="49"/>
  <c r="W1442" i="49"/>
  <c r="X1442" i="49" s="1"/>
  <c r="R1442" i="49"/>
  <c r="F1442" i="49"/>
  <c r="AA1441" i="49"/>
  <c r="Z1441" i="49"/>
  <c r="Y1441" i="49"/>
  <c r="W1441" i="49"/>
  <c r="X1441" i="49" s="1"/>
  <c r="R1441" i="49"/>
  <c r="F1441" i="49"/>
  <c r="AA1440" i="49"/>
  <c r="Z1440" i="49"/>
  <c r="Y1440" i="49"/>
  <c r="W1440" i="49"/>
  <c r="X1440" i="49" s="1"/>
  <c r="R1440" i="49"/>
  <c r="F1440" i="49"/>
  <c r="R871" i="49"/>
  <c r="W871" i="49"/>
  <c r="X871" i="49" s="1"/>
  <c r="R1138" i="49"/>
  <c r="F1138" i="49"/>
  <c r="R1137" i="49"/>
  <c r="F1137" i="49"/>
  <c r="R1136" i="49"/>
  <c r="F1136" i="49"/>
  <c r="R1135" i="49"/>
  <c r="F1135" i="49"/>
  <c r="R1134" i="49"/>
  <c r="F1134" i="49"/>
  <c r="W1134" i="49"/>
  <c r="X1134" i="49" s="1"/>
  <c r="W1135" i="49"/>
  <c r="X1135" i="49" s="1"/>
  <c r="W1136" i="49"/>
  <c r="X1136" i="49" s="1"/>
  <c r="W1137" i="49"/>
  <c r="X1137" i="49" s="1"/>
  <c r="W1138" i="49"/>
  <c r="X1138" i="49" s="1"/>
  <c r="W1069" i="49"/>
  <c r="X1069" i="49" s="1"/>
  <c r="Q1411" i="49"/>
  <c r="Q1412" i="49"/>
  <c r="Q1413" i="49"/>
  <c r="Q1410" i="49"/>
  <c r="R1435" i="49"/>
  <c r="R1433" i="49"/>
  <c r="R1429" i="49"/>
  <c r="R1430" i="49"/>
  <c r="R1425" i="49"/>
  <c r="R1426" i="49"/>
  <c r="R1427" i="49"/>
  <c r="R1420" i="49"/>
  <c r="R1419" i="49"/>
  <c r="R1417" i="49"/>
  <c r="R1415" i="49"/>
  <c r="R1413" i="49"/>
  <c r="R1410" i="49"/>
  <c r="R1411" i="49"/>
  <c r="R1412" i="49"/>
  <c r="Q1432" i="49"/>
  <c r="R1432" i="49"/>
  <c r="R1428" i="49"/>
  <c r="F1428" i="49"/>
  <c r="R1434" i="49"/>
  <c r="F1434" i="49"/>
  <c r="F1436" i="49"/>
  <c r="R1436" i="49"/>
  <c r="F1437" i="49"/>
  <c r="R1437" i="49"/>
  <c r="F1438" i="49"/>
  <c r="R1438" i="49"/>
  <c r="F1439" i="49"/>
  <c r="R1439" i="49"/>
  <c r="R1431" i="49"/>
  <c r="R1416" i="49"/>
  <c r="R1414" i="49"/>
  <c r="F1414" i="49"/>
  <c r="R1418" i="49"/>
  <c r="F1418" i="49"/>
  <c r="R1422" i="49"/>
  <c r="F1422" i="49"/>
  <c r="F1423" i="49"/>
  <c r="R1423" i="49"/>
  <c r="F1424" i="49"/>
  <c r="R1424" i="49"/>
  <c r="R1421" i="49"/>
  <c r="F1421" i="49"/>
  <c r="W1437" i="49"/>
  <c r="X1437" i="49" s="1"/>
  <c r="W1438" i="49"/>
  <c r="X1438" i="49" s="1"/>
  <c r="W1439" i="49"/>
  <c r="X1439" i="49" s="1"/>
  <c r="W1425" i="49"/>
  <c r="X1425" i="49" s="1"/>
  <c r="W1426" i="49"/>
  <c r="X1426" i="49" s="1"/>
  <c r="W1427" i="49"/>
  <c r="X1427" i="49" s="1"/>
  <c r="W1428" i="49"/>
  <c r="X1428" i="49" s="1"/>
  <c r="W1429" i="49"/>
  <c r="X1429" i="49" s="1"/>
  <c r="W1430" i="49"/>
  <c r="X1430" i="49" s="1"/>
  <c r="W1431" i="49"/>
  <c r="X1431" i="49" s="1"/>
  <c r="W1432" i="49"/>
  <c r="X1432" i="49" s="1"/>
  <c r="W1433" i="49"/>
  <c r="X1433" i="49" s="1"/>
  <c r="W1434" i="49"/>
  <c r="X1434" i="49" s="1"/>
  <c r="W1435" i="49"/>
  <c r="X1435" i="49" s="1"/>
  <c r="W1436" i="49"/>
  <c r="X1436" i="49" s="1"/>
  <c r="W1422" i="49"/>
  <c r="X1422" i="49" s="1"/>
  <c r="W1423" i="49"/>
  <c r="X1423" i="49" s="1"/>
  <c r="W1424" i="49"/>
  <c r="X1424" i="49" s="1"/>
  <c r="W1410" i="49"/>
  <c r="X1410" i="49" s="1"/>
  <c r="W1411" i="49"/>
  <c r="X1411" i="49" s="1"/>
  <c r="W1412" i="49"/>
  <c r="X1412" i="49" s="1"/>
  <c r="W1413" i="49"/>
  <c r="X1413" i="49" s="1"/>
  <c r="W1414" i="49"/>
  <c r="X1414" i="49" s="1"/>
  <c r="W1415" i="49"/>
  <c r="X1415" i="49" s="1"/>
  <c r="W1416" i="49"/>
  <c r="X1416" i="49" s="1"/>
  <c r="W1417" i="49"/>
  <c r="X1417" i="49" s="1"/>
  <c r="W1418" i="49"/>
  <c r="X1418" i="49" s="1"/>
  <c r="W1419" i="49"/>
  <c r="X1419" i="49" s="1"/>
  <c r="W1420" i="49"/>
  <c r="X1420" i="49" s="1"/>
  <c r="W1421" i="49"/>
  <c r="X1421" i="49" s="1"/>
  <c r="W581" i="49"/>
  <c r="X581" i="49" s="1"/>
  <c r="W579" i="49"/>
  <c r="X579" i="49" s="1"/>
  <c r="W580" i="49"/>
  <c r="X580" i="49" s="1"/>
  <c r="W582" i="49"/>
  <c r="X582" i="49" s="1"/>
  <c r="G681" i="51"/>
  <c r="H681" i="51"/>
  <c r="G678" i="51"/>
  <c r="H678" i="51"/>
  <c r="G679" i="51"/>
  <c r="H679" i="51"/>
  <c r="G680" i="51"/>
  <c r="H680" i="51"/>
  <c r="R118" i="49"/>
  <c r="F118" i="49"/>
  <c r="R117" i="49"/>
  <c r="F117" i="49"/>
  <c r="W117" i="49"/>
  <c r="W118" i="49"/>
  <c r="W393" i="49"/>
  <c r="G322" i="51"/>
  <c r="H322" i="51"/>
  <c r="W413" i="49"/>
  <c r="G308" i="51"/>
  <c r="H308" i="51"/>
  <c r="G292" i="51"/>
  <c r="H292" i="51"/>
  <c r="G291" i="51"/>
  <c r="H291" i="51"/>
  <c r="G285" i="51"/>
  <c r="H285" i="51"/>
  <c r="W433" i="49"/>
  <c r="W434" i="49"/>
  <c r="W443" i="49"/>
  <c r="G1044" i="51"/>
  <c r="H1044" i="51"/>
  <c r="W1028" i="49"/>
  <c r="R1028" i="49"/>
  <c r="Q1028" i="49"/>
  <c r="W1029" i="49"/>
  <c r="G1081" i="51"/>
  <c r="H1081" i="51"/>
  <c r="Q1391" i="49"/>
  <c r="Q1392" i="49"/>
  <c r="Q1393" i="49"/>
  <c r="Q1394" i="49"/>
  <c r="Q1395" i="49"/>
  <c r="Q1396" i="49"/>
  <c r="Q1397" i="49"/>
  <c r="Q1398" i="49"/>
  <c r="Q1399" i="49"/>
  <c r="Q1400" i="49"/>
  <c r="Q1401" i="49"/>
  <c r="Q1402" i="49"/>
  <c r="Q1403" i="49"/>
  <c r="Q1390" i="49"/>
  <c r="Q1381" i="49"/>
  <c r="Q1382" i="49"/>
  <c r="Q1383" i="49"/>
  <c r="Q1384" i="49"/>
  <c r="Q1380" i="49"/>
  <c r="Q1321" i="49"/>
  <c r="Q1322" i="49"/>
  <c r="Q1320" i="49"/>
  <c r="Q1315" i="49"/>
  <c r="Q1316" i="49"/>
  <c r="Q1317" i="49"/>
  <c r="Q1318" i="49"/>
  <c r="Q1314" i="49"/>
  <c r="Q1294" i="49"/>
  <c r="Q1295" i="49"/>
  <c r="Q1296" i="49"/>
  <c r="Q1297" i="49"/>
  <c r="Q1298" i="49"/>
  <c r="Q1299" i="49"/>
  <c r="Q1300" i="49"/>
  <c r="Q1301" i="49"/>
  <c r="Q1302" i="49"/>
  <c r="Q1303" i="49"/>
  <c r="Q1304" i="49"/>
  <c r="Q1305" i="49"/>
  <c r="Q1306" i="49"/>
  <c r="Q1307" i="49"/>
  <c r="Q1308" i="49"/>
  <c r="Q1293" i="49"/>
  <c r="Q1280" i="49"/>
  <c r="Q1281" i="49"/>
  <c r="Q1282" i="49"/>
  <c r="Q1283" i="49"/>
  <c r="Q1284" i="49"/>
  <c r="Q1285" i="49"/>
  <c r="Q1286" i="49"/>
  <c r="Q1287" i="49"/>
  <c r="Q1288" i="49"/>
  <c r="Q1289" i="49"/>
  <c r="Q1290" i="49"/>
  <c r="Q1291" i="49"/>
  <c r="Q1279" i="49"/>
  <c r="Q1270" i="49"/>
  <c r="Q1271" i="49"/>
  <c r="Q1272" i="49"/>
  <c r="Q1269" i="49"/>
  <c r="Q1256" i="49"/>
  <c r="Q1257" i="49"/>
  <c r="Q1258" i="49"/>
  <c r="Q1259" i="49"/>
  <c r="Q1255" i="49"/>
  <c r="Q1244" i="49"/>
  <c r="Q1245" i="49"/>
  <c r="Q1246" i="49"/>
  <c r="Q1247" i="49"/>
  <c r="Q1248" i="49"/>
  <c r="Q1243" i="49"/>
  <c r="Q1236" i="49"/>
  <c r="Q1237" i="49"/>
  <c r="Q1235" i="49"/>
  <c r="R1390" i="49"/>
  <c r="R1391" i="49"/>
  <c r="R1392" i="49"/>
  <c r="R1393" i="49"/>
  <c r="R1394" i="49"/>
  <c r="R1395" i="49"/>
  <c r="R1396" i="49"/>
  <c r="R1397" i="49"/>
  <c r="R1398" i="49"/>
  <c r="R1399" i="49"/>
  <c r="R1400" i="49"/>
  <c r="R1401" i="49"/>
  <c r="R1402" i="49"/>
  <c r="R1403" i="49"/>
  <c r="R1380" i="49"/>
  <c r="R1381" i="49"/>
  <c r="R1382" i="49"/>
  <c r="R1383" i="49"/>
  <c r="R1384" i="49"/>
  <c r="R1376" i="49"/>
  <c r="R1377" i="49"/>
  <c r="R1378" i="49"/>
  <c r="R1368" i="49"/>
  <c r="R1369" i="49"/>
  <c r="R1360" i="49"/>
  <c r="R1361" i="49"/>
  <c r="R1349" i="49"/>
  <c r="R1350" i="49"/>
  <c r="R1351" i="49"/>
  <c r="R1352" i="49"/>
  <c r="R1353" i="49"/>
  <c r="R1339" i="49"/>
  <c r="R1340" i="49"/>
  <c r="R1341" i="49"/>
  <c r="R1342" i="49"/>
  <c r="R1331" i="49"/>
  <c r="R1332" i="49"/>
  <c r="R1327" i="49"/>
  <c r="R1324" i="49"/>
  <c r="R1325" i="49"/>
  <c r="R1320" i="49"/>
  <c r="R1321" i="49"/>
  <c r="R1322" i="49"/>
  <c r="R1314" i="49"/>
  <c r="R1316" i="49"/>
  <c r="R1317" i="49"/>
  <c r="R1318" i="49"/>
  <c r="R1293" i="49"/>
  <c r="R1294" i="49"/>
  <c r="R1295" i="49"/>
  <c r="R1296" i="49"/>
  <c r="R1297" i="49"/>
  <c r="R1298" i="49"/>
  <c r="R1299" i="49"/>
  <c r="R1300" i="49"/>
  <c r="R1301" i="49"/>
  <c r="R1302" i="49"/>
  <c r="R1303" i="49"/>
  <c r="R1304" i="49"/>
  <c r="R1305" i="49"/>
  <c r="R1306" i="49"/>
  <c r="R1307" i="49"/>
  <c r="R1308" i="49"/>
  <c r="R1279" i="49"/>
  <c r="R1280" i="49"/>
  <c r="R1281" i="49"/>
  <c r="R1282" i="49"/>
  <c r="R1283" i="49"/>
  <c r="R1284" i="49"/>
  <c r="R1285" i="49"/>
  <c r="R1286" i="49"/>
  <c r="R1287" i="49"/>
  <c r="R1288" i="49"/>
  <c r="R1289" i="49"/>
  <c r="R1290" i="49"/>
  <c r="R1291" i="49"/>
  <c r="R1269" i="49"/>
  <c r="R1270" i="49"/>
  <c r="R1271" i="49"/>
  <c r="R1272" i="49"/>
  <c r="R1261" i="49"/>
  <c r="R1262" i="49"/>
  <c r="R1263" i="49"/>
  <c r="R1264" i="49"/>
  <c r="R1255" i="49"/>
  <c r="R1256" i="49"/>
  <c r="R1258" i="49"/>
  <c r="R1259" i="49"/>
  <c r="R1243" i="49"/>
  <c r="R1244" i="49"/>
  <c r="R1245" i="49"/>
  <c r="R1246" i="49"/>
  <c r="R1247" i="49"/>
  <c r="R1248" i="49"/>
  <c r="R1235" i="49"/>
  <c r="R1236" i="49"/>
  <c r="R1237" i="49"/>
  <c r="R1233" i="49"/>
  <c r="R1222" i="49"/>
  <c r="R1223" i="49"/>
  <c r="R1224" i="49"/>
  <c r="R1225" i="49"/>
  <c r="R1226" i="49"/>
  <c r="R1227" i="49"/>
  <c r="R1218" i="49"/>
  <c r="R1219" i="49"/>
  <c r="R1220" i="49"/>
  <c r="Q1223" i="49"/>
  <c r="Q1224" i="49"/>
  <c r="Q1225" i="49"/>
  <c r="Q1226" i="49"/>
  <c r="Q1227" i="49"/>
  <c r="Q1222" i="49"/>
  <c r="Q1219" i="49"/>
  <c r="Q1220" i="49"/>
  <c r="Q1218" i="49"/>
  <c r="Q1208" i="49"/>
  <c r="Q1209" i="49"/>
  <c r="Q1210" i="49"/>
  <c r="Q1211" i="49"/>
  <c r="Q1207" i="49"/>
  <c r="R1207" i="49"/>
  <c r="R1208" i="49"/>
  <c r="R1209" i="49"/>
  <c r="R1210" i="49"/>
  <c r="R1211" i="49"/>
  <c r="R1409" i="49"/>
  <c r="F1409" i="49"/>
  <c r="R1408" i="49"/>
  <c r="F1408" i="49"/>
  <c r="R1407" i="49"/>
  <c r="F1407" i="49"/>
  <c r="R1406" i="49"/>
  <c r="F1406" i="49"/>
  <c r="R1405" i="49"/>
  <c r="F1405" i="49"/>
  <c r="R1404" i="49"/>
  <c r="F1404" i="49"/>
  <c r="W1391" i="49"/>
  <c r="W1392" i="49"/>
  <c r="W1393" i="49"/>
  <c r="W1394" i="49"/>
  <c r="W1395" i="49"/>
  <c r="W1396" i="49"/>
  <c r="W1397" i="49"/>
  <c r="W1398" i="49"/>
  <c r="W1399" i="49"/>
  <c r="W1400" i="49"/>
  <c r="W1401" i="49"/>
  <c r="W1402" i="49"/>
  <c r="W1403" i="49"/>
  <c r="W1404" i="49"/>
  <c r="W1405" i="49"/>
  <c r="W1406" i="49"/>
  <c r="W1407" i="49"/>
  <c r="W1408" i="49"/>
  <c r="W1409" i="49"/>
  <c r="W1390" i="49"/>
  <c r="R1379" i="49"/>
  <c r="F1379" i="49"/>
  <c r="R1385" i="49"/>
  <c r="F1385" i="49"/>
  <c r="R1389" i="49"/>
  <c r="F1389" i="49"/>
  <c r="R1388" i="49"/>
  <c r="F1388" i="49"/>
  <c r="R1387" i="49"/>
  <c r="F1387" i="49"/>
  <c r="R1386" i="49"/>
  <c r="F1386" i="49"/>
  <c r="W1377" i="49"/>
  <c r="W1378" i="49"/>
  <c r="W1379" i="49"/>
  <c r="W1380" i="49"/>
  <c r="W1381" i="49"/>
  <c r="W1382" i="49"/>
  <c r="W1383" i="49"/>
  <c r="W1384" i="49"/>
  <c r="W1385" i="49"/>
  <c r="W1386" i="49"/>
  <c r="W1387" i="49"/>
  <c r="W1388" i="49"/>
  <c r="W1389" i="49"/>
  <c r="W1376" i="49"/>
  <c r="R1370" i="49"/>
  <c r="F1370" i="49"/>
  <c r="R1375" i="49"/>
  <c r="F1375" i="49"/>
  <c r="R1374" i="49"/>
  <c r="F1374" i="49"/>
  <c r="R1373" i="49"/>
  <c r="F1373" i="49"/>
  <c r="R1372" i="49"/>
  <c r="F1372" i="49"/>
  <c r="R1371" i="49"/>
  <c r="F1371" i="49"/>
  <c r="W1368" i="49"/>
  <c r="W1369" i="49"/>
  <c r="W1370" i="49"/>
  <c r="W1371" i="49"/>
  <c r="W1372" i="49"/>
  <c r="W1373" i="49"/>
  <c r="W1374" i="49"/>
  <c r="W1375" i="49"/>
  <c r="R1362" i="49"/>
  <c r="F1362" i="49"/>
  <c r="R1367" i="49"/>
  <c r="F1367" i="49"/>
  <c r="R1366" i="49"/>
  <c r="F1366" i="49"/>
  <c r="R1365" i="49"/>
  <c r="F1365" i="49"/>
  <c r="R1364" i="49"/>
  <c r="F1364" i="49"/>
  <c r="R1363" i="49"/>
  <c r="F1363" i="49"/>
  <c r="G1413" i="51"/>
  <c r="H1413" i="51"/>
  <c r="G1424" i="51"/>
  <c r="H1424" i="51"/>
  <c r="W1360" i="49"/>
  <c r="W1361" i="49"/>
  <c r="W1362" i="49"/>
  <c r="W1363" i="49"/>
  <c r="W1364" i="49"/>
  <c r="W1365" i="49"/>
  <c r="W1366" i="49"/>
  <c r="W1367" i="49"/>
  <c r="R1359" i="49"/>
  <c r="F1359" i="49"/>
  <c r="R1358" i="49"/>
  <c r="F1358" i="49"/>
  <c r="R1357" i="49"/>
  <c r="F1357" i="49"/>
  <c r="R1356" i="49"/>
  <c r="F1356" i="49"/>
  <c r="R1355" i="49"/>
  <c r="F1355" i="49"/>
  <c r="R1354" i="49"/>
  <c r="F1354" i="49"/>
  <c r="W1350" i="49"/>
  <c r="W1351" i="49"/>
  <c r="W1352" i="49"/>
  <c r="W1353" i="49"/>
  <c r="W1354" i="49"/>
  <c r="W1355" i="49"/>
  <c r="W1356" i="49"/>
  <c r="W1357" i="49"/>
  <c r="W1358" i="49"/>
  <c r="W1359" i="49"/>
  <c r="W1349" i="49"/>
  <c r="R1348" i="49"/>
  <c r="F1348" i="49"/>
  <c r="R1347" i="49"/>
  <c r="F1347" i="49"/>
  <c r="R1346" i="49"/>
  <c r="F1346" i="49"/>
  <c r="R1345" i="49"/>
  <c r="F1345" i="49"/>
  <c r="R1344" i="49"/>
  <c r="F1344" i="49"/>
  <c r="R1343" i="49"/>
  <c r="F1343" i="49"/>
  <c r="W1340" i="49"/>
  <c r="W1341" i="49"/>
  <c r="W1342" i="49"/>
  <c r="W1343" i="49"/>
  <c r="W1344" i="49"/>
  <c r="W1345" i="49"/>
  <c r="W1346" i="49"/>
  <c r="W1347" i="49"/>
  <c r="W1348" i="49"/>
  <c r="W1339" i="49"/>
  <c r="R1338" i="49"/>
  <c r="F1338" i="49"/>
  <c r="R1337" i="49"/>
  <c r="F1337" i="49"/>
  <c r="R1336" i="49"/>
  <c r="F1336" i="49"/>
  <c r="R1335" i="49"/>
  <c r="F1335" i="49"/>
  <c r="R1334" i="49"/>
  <c r="F1334" i="49"/>
  <c r="R1333" i="49"/>
  <c r="F1333" i="49"/>
  <c r="W1332" i="49"/>
  <c r="W1333" i="49"/>
  <c r="W1334" i="49"/>
  <c r="W1335" i="49"/>
  <c r="W1336" i="49"/>
  <c r="W1337" i="49"/>
  <c r="W1338" i="49"/>
  <c r="W1331" i="49"/>
  <c r="R1319" i="49"/>
  <c r="F1319" i="49"/>
  <c r="R1323" i="49"/>
  <c r="F1323" i="49"/>
  <c r="R1326" i="49"/>
  <c r="F1326" i="49"/>
  <c r="R1328" i="49"/>
  <c r="F1328" i="49"/>
  <c r="R1330" i="49"/>
  <c r="F1330" i="49"/>
  <c r="R1329" i="49"/>
  <c r="F1329" i="49"/>
  <c r="W1315" i="49"/>
  <c r="W1316" i="49"/>
  <c r="W1317" i="49"/>
  <c r="W1318" i="49"/>
  <c r="W1319" i="49"/>
  <c r="W1320" i="49"/>
  <c r="W1321" i="49"/>
  <c r="W1322" i="49"/>
  <c r="W1323" i="49"/>
  <c r="W1324" i="49"/>
  <c r="W1325" i="49"/>
  <c r="W1326" i="49"/>
  <c r="W1327" i="49"/>
  <c r="W1328" i="49"/>
  <c r="W1329" i="49"/>
  <c r="W1330" i="49"/>
  <c r="W1314" i="49"/>
  <c r="R1313" i="49"/>
  <c r="F1313" i="49"/>
  <c r="R1312" i="49"/>
  <c r="F1312" i="49"/>
  <c r="R1311" i="49"/>
  <c r="F1311" i="49"/>
  <c r="R1310" i="49"/>
  <c r="F1310" i="49"/>
  <c r="R1309" i="49"/>
  <c r="F1309" i="49"/>
  <c r="R1292" i="49"/>
  <c r="F1292" i="49"/>
  <c r="W1280" i="49"/>
  <c r="W1281" i="49"/>
  <c r="W1282" i="49"/>
  <c r="W1283" i="49"/>
  <c r="W1284" i="49"/>
  <c r="W1285" i="49"/>
  <c r="W1286" i="49"/>
  <c r="W1287" i="49"/>
  <c r="W1288" i="49"/>
  <c r="W1289" i="49"/>
  <c r="W1290" i="49"/>
  <c r="W1291" i="49"/>
  <c r="W1292" i="49"/>
  <c r="W1293" i="49"/>
  <c r="W1294" i="49"/>
  <c r="W1295" i="49"/>
  <c r="W1296" i="49"/>
  <c r="W1297" i="49"/>
  <c r="W1298" i="49"/>
  <c r="W1299" i="49"/>
  <c r="W1300" i="49"/>
  <c r="W1301" i="49"/>
  <c r="W1302" i="49"/>
  <c r="W1303" i="49"/>
  <c r="W1304" i="49"/>
  <c r="W1305" i="49"/>
  <c r="W1306" i="49"/>
  <c r="W1307" i="49"/>
  <c r="W1308" i="49"/>
  <c r="W1309" i="49"/>
  <c r="W1310" i="49"/>
  <c r="W1311" i="49"/>
  <c r="W1312" i="49"/>
  <c r="W1313" i="49"/>
  <c r="W1279" i="49"/>
  <c r="R1275" i="49"/>
  <c r="F1275" i="49"/>
  <c r="R1276" i="49"/>
  <c r="F1276" i="49"/>
  <c r="R1278" i="49"/>
  <c r="F1278" i="49"/>
  <c r="R1277" i="49"/>
  <c r="F1277" i="49"/>
  <c r="R1274" i="49"/>
  <c r="F1274" i="49"/>
  <c r="R1273" i="49"/>
  <c r="F1273" i="49"/>
  <c r="W1270" i="49"/>
  <c r="W1271" i="49"/>
  <c r="W1272" i="49"/>
  <c r="W1273" i="49"/>
  <c r="W1274" i="49"/>
  <c r="W1275" i="49"/>
  <c r="W1276" i="49"/>
  <c r="W1277" i="49"/>
  <c r="W1278" i="49"/>
  <c r="W1269" i="49"/>
  <c r="F1264" i="49"/>
  <c r="F1262" i="49"/>
  <c r="F1263" i="49"/>
  <c r="R1268" i="49"/>
  <c r="F1268" i="49"/>
  <c r="R1267" i="49"/>
  <c r="F1267" i="49"/>
  <c r="R1266" i="49"/>
  <c r="F1266" i="49"/>
  <c r="R1265" i="49"/>
  <c r="F1265" i="49"/>
  <c r="R1260" i="49"/>
  <c r="F1260" i="49"/>
  <c r="W1256" i="49"/>
  <c r="W1257" i="49"/>
  <c r="W1258" i="49"/>
  <c r="W1259" i="49"/>
  <c r="W1260" i="49"/>
  <c r="W1261" i="49"/>
  <c r="W1262" i="49"/>
  <c r="W1263" i="49"/>
  <c r="W1264" i="49"/>
  <c r="W1265" i="49"/>
  <c r="W1266" i="49"/>
  <c r="W1267" i="49"/>
  <c r="W1268" i="49"/>
  <c r="W1255" i="49"/>
  <c r="R1228" i="49"/>
  <c r="F1228" i="49"/>
  <c r="R1229" i="49"/>
  <c r="F1229" i="49"/>
  <c r="R1221" i="49"/>
  <c r="F1221" i="49"/>
  <c r="R1234" i="49"/>
  <c r="F1234" i="49"/>
  <c r="R1238" i="49"/>
  <c r="F1238" i="49"/>
  <c r="R1249" i="49"/>
  <c r="F1249" i="49"/>
  <c r="R1240" i="49"/>
  <c r="F1240" i="49"/>
  <c r="R1230" i="49"/>
  <c r="F1230" i="49"/>
  <c r="R1232" i="49"/>
  <c r="F1232" i="49"/>
  <c r="R1231" i="49"/>
  <c r="F1231" i="49"/>
  <c r="R1242" i="49"/>
  <c r="F1242" i="49"/>
  <c r="R1241" i="49"/>
  <c r="F1241" i="49"/>
  <c r="R1239" i="49"/>
  <c r="F1239" i="49"/>
  <c r="R1250" i="49"/>
  <c r="F1250" i="49"/>
  <c r="R1254" i="49"/>
  <c r="F1254" i="49"/>
  <c r="R1253" i="49"/>
  <c r="F1253" i="49"/>
  <c r="R1252" i="49"/>
  <c r="F1252" i="49"/>
  <c r="R1251" i="49"/>
  <c r="F1251" i="49"/>
  <c r="W1245" i="49"/>
  <c r="W1246" i="49"/>
  <c r="W1247" i="49"/>
  <c r="W1248" i="49"/>
  <c r="W1249" i="49"/>
  <c r="W1250" i="49"/>
  <c r="W1251" i="49"/>
  <c r="W1252" i="49"/>
  <c r="W1253" i="49"/>
  <c r="W1254" i="49"/>
  <c r="W1234" i="49"/>
  <c r="W1235" i="49"/>
  <c r="W1236" i="49"/>
  <c r="W1237" i="49"/>
  <c r="W1238" i="49"/>
  <c r="W1239" i="49"/>
  <c r="W1240" i="49"/>
  <c r="W1241" i="49"/>
  <c r="W1242" i="49"/>
  <c r="W1243" i="49"/>
  <c r="W1244" i="49"/>
  <c r="W1233" i="49"/>
  <c r="W1229" i="49"/>
  <c r="W1230" i="49"/>
  <c r="W1231" i="49"/>
  <c r="W1232" i="49"/>
  <c r="W1219" i="49"/>
  <c r="W1220" i="49"/>
  <c r="W1221" i="49"/>
  <c r="W1222" i="49"/>
  <c r="W1223" i="49"/>
  <c r="W1224" i="49"/>
  <c r="W1225" i="49"/>
  <c r="W1226" i="49"/>
  <c r="W1227" i="49"/>
  <c r="W1228" i="49"/>
  <c r="W1218" i="49"/>
  <c r="R1213" i="49"/>
  <c r="F1213" i="49"/>
  <c r="R1212" i="49"/>
  <c r="F1212" i="49"/>
  <c r="R1217" i="49"/>
  <c r="F1217" i="49"/>
  <c r="R1216" i="49"/>
  <c r="F1216" i="49"/>
  <c r="R1215" i="49"/>
  <c r="F1215" i="49"/>
  <c r="R1214" i="49"/>
  <c r="F1214" i="49"/>
  <c r="W1208" i="49"/>
  <c r="W1209" i="49"/>
  <c r="W1210" i="49"/>
  <c r="W1211" i="49"/>
  <c r="W1212" i="49"/>
  <c r="W1213" i="49"/>
  <c r="W1214" i="49"/>
  <c r="W1215" i="49"/>
  <c r="W1216" i="49"/>
  <c r="W1217" i="49"/>
  <c r="W1207" i="49"/>
  <c r="W824" i="49"/>
  <c r="W825" i="49"/>
  <c r="G707" i="51"/>
  <c r="H707" i="51"/>
  <c r="G708" i="51"/>
  <c r="H708" i="51"/>
  <c r="G1474" i="51"/>
  <c r="G1475" i="51"/>
  <c r="G1476" i="51"/>
  <c r="G1477" i="51"/>
  <c r="G1478" i="51"/>
  <c r="G1479" i="51"/>
  <c r="H1474" i="51"/>
  <c r="H1475" i="51"/>
  <c r="H1476" i="51"/>
  <c r="H1477" i="51"/>
  <c r="H1478" i="51"/>
  <c r="H1479" i="51"/>
  <c r="H1473" i="51"/>
  <c r="H1472" i="51"/>
  <c r="H1471" i="51"/>
  <c r="H1470" i="51"/>
  <c r="H1469" i="51"/>
  <c r="H1468" i="51"/>
  <c r="H1467" i="51"/>
  <c r="H1466" i="51"/>
  <c r="H1465" i="51"/>
  <c r="H1464" i="51"/>
  <c r="H1463" i="51"/>
  <c r="H1462" i="51"/>
  <c r="H1461" i="51"/>
  <c r="H1460" i="51"/>
  <c r="G1473" i="51"/>
  <c r="G1472" i="51"/>
  <c r="G1471" i="51"/>
  <c r="G1470" i="51"/>
  <c r="G1469" i="51"/>
  <c r="G1468" i="51"/>
  <c r="G1467" i="51"/>
  <c r="G1466" i="51"/>
  <c r="G1465" i="51"/>
  <c r="G1464" i="51"/>
  <c r="G1463" i="51"/>
  <c r="G1462" i="51"/>
  <c r="G1461" i="51"/>
  <c r="G1460" i="51"/>
  <c r="G246" i="51"/>
  <c r="H246" i="51"/>
  <c r="G247" i="51"/>
  <c r="H247" i="51"/>
  <c r="G248" i="51"/>
  <c r="H248" i="51"/>
  <c r="G249" i="51"/>
  <c r="H249" i="51"/>
  <c r="G250" i="51"/>
  <c r="H250" i="51"/>
  <c r="G1456" i="51"/>
  <c r="G1457" i="51"/>
  <c r="G1458" i="51"/>
  <c r="G1459" i="51"/>
  <c r="H1456" i="51"/>
  <c r="H1457" i="51"/>
  <c r="H1458" i="51"/>
  <c r="H1459" i="51"/>
  <c r="G1447" i="51"/>
  <c r="G1448" i="51"/>
  <c r="G1449" i="51"/>
  <c r="G1450" i="51"/>
  <c r="G1451" i="51"/>
  <c r="G1452" i="51"/>
  <c r="G1453" i="51"/>
  <c r="G1454" i="51"/>
  <c r="G1455" i="51"/>
  <c r="H1447" i="51"/>
  <c r="H1448" i="51"/>
  <c r="H1449" i="51"/>
  <c r="H1450" i="51"/>
  <c r="H1451" i="51"/>
  <c r="H1452" i="51"/>
  <c r="H1453" i="51"/>
  <c r="H1454" i="51"/>
  <c r="H1455" i="51"/>
  <c r="G1446" i="51"/>
  <c r="H1446" i="51"/>
  <c r="G1441" i="51"/>
  <c r="G1442" i="51"/>
  <c r="G1443" i="51"/>
  <c r="G1444" i="51"/>
  <c r="G1445" i="51"/>
  <c r="H1441" i="51"/>
  <c r="H1442" i="51"/>
  <c r="H1443" i="51"/>
  <c r="H1444" i="51"/>
  <c r="H1445" i="51"/>
  <c r="G1439" i="51"/>
  <c r="G1440" i="51"/>
  <c r="H1439" i="51"/>
  <c r="H1440" i="51"/>
  <c r="G1438" i="51"/>
  <c r="H1438" i="51"/>
  <c r="G1433" i="51"/>
  <c r="G1434" i="51"/>
  <c r="G1435" i="51"/>
  <c r="G1436" i="51"/>
  <c r="G1437" i="51"/>
  <c r="H1433" i="51"/>
  <c r="H1434" i="51"/>
  <c r="H1435" i="51"/>
  <c r="H1436" i="51"/>
  <c r="H1437" i="51"/>
  <c r="G1431" i="51"/>
  <c r="G1432" i="51"/>
  <c r="H1431" i="51"/>
  <c r="H1432" i="51"/>
  <c r="G1430" i="51"/>
  <c r="H1430" i="51"/>
  <c r="G1425" i="51"/>
  <c r="G1426" i="51"/>
  <c r="G1427" i="51"/>
  <c r="G1428" i="51"/>
  <c r="G1429" i="51"/>
  <c r="H1425" i="51"/>
  <c r="H1426" i="51"/>
  <c r="H1427" i="51"/>
  <c r="H1428" i="51"/>
  <c r="H1429" i="51"/>
  <c r="G1423" i="51"/>
  <c r="H1423" i="51"/>
  <c r="G1420" i="51"/>
  <c r="H1420" i="51"/>
  <c r="G1421" i="51"/>
  <c r="G1422" i="51"/>
  <c r="H1421" i="51"/>
  <c r="H1422" i="51"/>
  <c r="G1419" i="51"/>
  <c r="H1419" i="51"/>
  <c r="G1414" i="51"/>
  <c r="G1415" i="51"/>
  <c r="G1416" i="51"/>
  <c r="G1417" i="51"/>
  <c r="G1418" i="51"/>
  <c r="H1414" i="51"/>
  <c r="H1415" i="51"/>
  <c r="H1416" i="51"/>
  <c r="H1417" i="51"/>
  <c r="H1418" i="51"/>
  <c r="G1410" i="51"/>
  <c r="G1411" i="51"/>
  <c r="G1412" i="51"/>
  <c r="H1410" i="51"/>
  <c r="H1411" i="51"/>
  <c r="H1412" i="51"/>
  <c r="G1409" i="51"/>
  <c r="H1409" i="51"/>
  <c r="G1403" i="51"/>
  <c r="G1404" i="51"/>
  <c r="G1405" i="51"/>
  <c r="G1406" i="51"/>
  <c r="G1407" i="51"/>
  <c r="G1408" i="51"/>
  <c r="H1403" i="51"/>
  <c r="H1404" i="51"/>
  <c r="H1405" i="51"/>
  <c r="H1406" i="51"/>
  <c r="H1407" i="51"/>
  <c r="H1408" i="51"/>
  <c r="G1402" i="51"/>
  <c r="H1402" i="51"/>
  <c r="G1401" i="51"/>
  <c r="H1401" i="51"/>
  <c r="G1383" i="51"/>
  <c r="H1383" i="51"/>
  <c r="G1379" i="51"/>
  <c r="H1379" i="51"/>
  <c r="G1380" i="51"/>
  <c r="H1380" i="51"/>
  <c r="G1381" i="51"/>
  <c r="H1381" i="51"/>
  <c r="G1382" i="51"/>
  <c r="H1382" i="51"/>
  <c r="G1399" i="51"/>
  <c r="G1400" i="51"/>
  <c r="H1399" i="51"/>
  <c r="H1400" i="51"/>
  <c r="G1398" i="51"/>
  <c r="H1398" i="51"/>
  <c r="G1385" i="51"/>
  <c r="G1386" i="51"/>
  <c r="G1387" i="51"/>
  <c r="G1388" i="51"/>
  <c r="G1389" i="51"/>
  <c r="G1390" i="51"/>
  <c r="G1391" i="51"/>
  <c r="G1392" i="51"/>
  <c r="G1393" i="51"/>
  <c r="G1394" i="51"/>
  <c r="G1395" i="51"/>
  <c r="G1396" i="51"/>
  <c r="G1397" i="51"/>
  <c r="H1385" i="51"/>
  <c r="H1386" i="51"/>
  <c r="H1387" i="51"/>
  <c r="H1388" i="51"/>
  <c r="H1389" i="51"/>
  <c r="H1390" i="51"/>
  <c r="H1391" i="51"/>
  <c r="H1392" i="51"/>
  <c r="H1393" i="51"/>
  <c r="H1394" i="51"/>
  <c r="H1395" i="51"/>
  <c r="H1396" i="51"/>
  <c r="H1397" i="51"/>
  <c r="G1384" i="51"/>
  <c r="H1384" i="51"/>
  <c r="G1355" i="51"/>
  <c r="H1355" i="51"/>
  <c r="G1371" i="51"/>
  <c r="H1371" i="51"/>
  <c r="G1350" i="51"/>
  <c r="G1351" i="51"/>
  <c r="G1352" i="51"/>
  <c r="G1353" i="51"/>
  <c r="G1354" i="51"/>
  <c r="G1356" i="51"/>
  <c r="G1357" i="51"/>
  <c r="G1358" i="51"/>
  <c r="G1359" i="51"/>
  <c r="G1360" i="51"/>
  <c r="G1361" i="51"/>
  <c r="G1362" i="51"/>
  <c r="G1363" i="51"/>
  <c r="G1364" i="51"/>
  <c r="G1365" i="51"/>
  <c r="G1366" i="51"/>
  <c r="G1367" i="51"/>
  <c r="G1368" i="51"/>
  <c r="G1369" i="51"/>
  <c r="G1370" i="51"/>
  <c r="G1372" i="51"/>
  <c r="G1373" i="51"/>
  <c r="G1374" i="51"/>
  <c r="G1375" i="51"/>
  <c r="G1376" i="51"/>
  <c r="G1377" i="51"/>
  <c r="G1378" i="51"/>
  <c r="H1350" i="51"/>
  <c r="H1351" i="51"/>
  <c r="H1352" i="51"/>
  <c r="H1353" i="51"/>
  <c r="H1354" i="51"/>
  <c r="H1356" i="51"/>
  <c r="H1357" i="51"/>
  <c r="H1358" i="51"/>
  <c r="H1359" i="51"/>
  <c r="H1360" i="51"/>
  <c r="H1361" i="51"/>
  <c r="H1362" i="51"/>
  <c r="H1363" i="51"/>
  <c r="H1364" i="51"/>
  <c r="H1365" i="51"/>
  <c r="H1366" i="51"/>
  <c r="H1367" i="51"/>
  <c r="H1368" i="51"/>
  <c r="H1369" i="51"/>
  <c r="H1370" i="51"/>
  <c r="H1372" i="51"/>
  <c r="H1373" i="51"/>
  <c r="H1374" i="51"/>
  <c r="H1375" i="51"/>
  <c r="H1376" i="51"/>
  <c r="H1377" i="51"/>
  <c r="H1378" i="51"/>
  <c r="G1349" i="51"/>
  <c r="H1349" i="51"/>
  <c r="G1348" i="51"/>
  <c r="H1348" i="51"/>
  <c r="G1347" i="51"/>
  <c r="H1347" i="51"/>
  <c r="G1346" i="51"/>
  <c r="H1346" i="51"/>
  <c r="G1345" i="51"/>
  <c r="H1345" i="51"/>
  <c r="G1344" i="51"/>
  <c r="H1344" i="51"/>
  <c r="G1340" i="51"/>
  <c r="G1341" i="51"/>
  <c r="G1342" i="51"/>
  <c r="G1343" i="51"/>
  <c r="H1340" i="51"/>
  <c r="H1341" i="51"/>
  <c r="H1342" i="51"/>
  <c r="H1343" i="51"/>
  <c r="G1339" i="51"/>
  <c r="H1339" i="51"/>
  <c r="G123" i="51"/>
  <c r="H123" i="51"/>
  <c r="J123" i="51"/>
  <c r="G124" i="51"/>
  <c r="H124" i="51"/>
  <c r="J124" i="51"/>
  <c r="G125" i="51"/>
  <c r="H125" i="51"/>
  <c r="J125" i="51"/>
  <c r="G126" i="51"/>
  <c r="H126" i="51"/>
  <c r="J126" i="51"/>
  <c r="G127" i="51"/>
  <c r="H127" i="51"/>
  <c r="J127" i="51"/>
  <c r="G128" i="51"/>
  <c r="H128" i="51"/>
  <c r="J128" i="51"/>
  <c r="G129" i="51"/>
  <c r="H129" i="51"/>
  <c r="J129" i="51"/>
  <c r="G130" i="51"/>
  <c r="H130" i="51"/>
  <c r="J130" i="51"/>
  <c r="G131" i="51"/>
  <c r="H131" i="51"/>
  <c r="J131" i="51"/>
  <c r="G132" i="51"/>
  <c r="H132" i="51"/>
  <c r="J132" i="51"/>
  <c r="G133" i="51"/>
  <c r="H133" i="51"/>
  <c r="J133" i="51"/>
  <c r="G134" i="51"/>
  <c r="H134" i="51"/>
  <c r="J134" i="51"/>
  <c r="G135" i="51"/>
  <c r="H135" i="51"/>
  <c r="J135" i="51"/>
  <c r="G136" i="51"/>
  <c r="H136" i="51"/>
  <c r="J136" i="51"/>
  <c r="G137" i="51"/>
  <c r="H137" i="51"/>
  <c r="J137" i="51"/>
  <c r="G138" i="51"/>
  <c r="H138" i="51"/>
  <c r="J138" i="51"/>
  <c r="G139" i="51"/>
  <c r="H139" i="51"/>
  <c r="J139" i="51"/>
  <c r="G140" i="51"/>
  <c r="H140" i="51"/>
  <c r="J140" i="51"/>
  <c r="G141" i="51"/>
  <c r="H141" i="51"/>
  <c r="J141" i="51"/>
  <c r="G142" i="51"/>
  <c r="H142" i="51"/>
  <c r="J142" i="51"/>
  <c r="G143" i="51"/>
  <c r="H143" i="51"/>
  <c r="J143" i="51"/>
  <c r="G144" i="51"/>
  <c r="H144" i="51"/>
  <c r="J144" i="51"/>
  <c r="G145" i="51"/>
  <c r="H145" i="51"/>
  <c r="J145" i="51"/>
  <c r="G146" i="51"/>
  <c r="H146" i="51"/>
  <c r="J146" i="51"/>
  <c r="G147" i="51"/>
  <c r="H147" i="51"/>
  <c r="J147" i="51"/>
  <c r="G148" i="51"/>
  <c r="H148" i="51"/>
  <c r="J148" i="51"/>
  <c r="G149" i="51"/>
  <c r="H149" i="51"/>
  <c r="J149" i="51"/>
  <c r="G150" i="51"/>
  <c r="H150" i="51"/>
  <c r="J150" i="51"/>
  <c r="G151" i="51"/>
  <c r="H151" i="51"/>
  <c r="J151" i="51"/>
  <c r="G152" i="51"/>
  <c r="H152" i="51"/>
  <c r="J152" i="51"/>
  <c r="G153" i="51"/>
  <c r="H153" i="51"/>
  <c r="J153" i="51"/>
  <c r="G154" i="51"/>
  <c r="H154" i="51"/>
  <c r="J154" i="51"/>
  <c r="G155" i="51"/>
  <c r="H155" i="51"/>
  <c r="J155" i="51"/>
  <c r="G156" i="51"/>
  <c r="H156" i="51"/>
  <c r="J156" i="51"/>
  <c r="G157" i="51"/>
  <c r="H157" i="51"/>
  <c r="J157" i="51"/>
  <c r="G158" i="51"/>
  <c r="H158" i="51"/>
  <c r="J158" i="51"/>
  <c r="G159" i="51"/>
  <c r="H159" i="51"/>
  <c r="J159" i="51"/>
  <c r="G160" i="51"/>
  <c r="H160" i="51"/>
  <c r="J160" i="51"/>
  <c r="G161" i="51"/>
  <c r="H161" i="51"/>
  <c r="J161" i="51"/>
  <c r="G96" i="51"/>
  <c r="H96" i="51"/>
  <c r="J96" i="51"/>
  <c r="H1294" i="51"/>
  <c r="G1294" i="51"/>
  <c r="H1337" i="51"/>
  <c r="H1338" i="51"/>
  <c r="G1337" i="51"/>
  <c r="G1338" i="51"/>
  <c r="H1336" i="51"/>
  <c r="G1336" i="51"/>
  <c r="H1326" i="51"/>
  <c r="H1327" i="51"/>
  <c r="H1328" i="51"/>
  <c r="H1329" i="51"/>
  <c r="H1330" i="51"/>
  <c r="H1331" i="51"/>
  <c r="H1332" i="51"/>
  <c r="H1333" i="51"/>
  <c r="H1334" i="51"/>
  <c r="H1335" i="51"/>
  <c r="G1326" i="51"/>
  <c r="G1327" i="51"/>
  <c r="G1328" i="51"/>
  <c r="G1329" i="51"/>
  <c r="G1330" i="51"/>
  <c r="G1331" i="51"/>
  <c r="G1332" i="51"/>
  <c r="G1333" i="51"/>
  <c r="G1334" i="51"/>
  <c r="G1335" i="51"/>
  <c r="H1325" i="51"/>
  <c r="G1325" i="51"/>
  <c r="H1324" i="51"/>
  <c r="G1324" i="51"/>
  <c r="H1323" i="51"/>
  <c r="G1323" i="51"/>
  <c r="H1322" i="51"/>
  <c r="G1322" i="51"/>
  <c r="H1321" i="51"/>
  <c r="G1321" i="51"/>
  <c r="H1320" i="51"/>
  <c r="G1320" i="51"/>
  <c r="H1319" i="51"/>
  <c r="G1319" i="51"/>
  <c r="H1316" i="51"/>
  <c r="G1316" i="51"/>
  <c r="H1314" i="51"/>
  <c r="H1315" i="51"/>
  <c r="H1317" i="51"/>
  <c r="H1318" i="51"/>
  <c r="G1314" i="51"/>
  <c r="G1315" i="51"/>
  <c r="G1317" i="51"/>
  <c r="G1318" i="51"/>
  <c r="H1313" i="51"/>
  <c r="G1313" i="51"/>
  <c r="H1307" i="51"/>
  <c r="G1307" i="51"/>
  <c r="H1309" i="51"/>
  <c r="H1310" i="51"/>
  <c r="H1311" i="51"/>
  <c r="H1312" i="51"/>
  <c r="G1309" i="51"/>
  <c r="G1310" i="51"/>
  <c r="G1311" i="51"/>
  <c r="G1312" i="51"/>
  <c r="H1304" i="51"/>
  <c r="H1305" i="51"/>
  <c r="H1306" i="51"/>
  <c r="H1308" i="51"/>
  <c r="G1304" i="51"/>
  <c r="G1305" i="51"/>
  <c r="G1306" i="51"/>
  <c r="G1308" i="51"/>
  <c r="H1303" i="51"/>
  <c r="G1303" i="51"/>
  <c r="H1300" i="51"/>
  <c r="H1301" i="51"/>
  <c r="H1302" i="51"/>
  <c r="G1300" i="51"/>
  <c r="G1301" i="51"/>
  <c r="G1302" i="51"/>
  <c r="H1299" i="51"/>
  <c r="G1299" i="51"/>
  <c r="H1289" i="51"/>
  <c r="H1290" i="51"/>
  <c r="H1291" i="51"/>
  <c r="H1292" i="51"/>
  <c r="H1293" i="51"/>
  <c r="H1295" i="51"/>
  <c r="H1296" i="51"/>
  <c r="H1297" i="51"/>
  <c r="H1298" i="51"/>
  <c r="G1289" i="51"/>
  <c r="G1290" i="51"/>
  <c r="G1291" i="51"/>
  <c r="G1292" i="51"/>
  <c r="G1293" i="51"/>
  <c r="G1295" i="51"/>
  <c r="G1296" i="51"/>
  <c r="G1297" i="51"/>
  <c r="G1298" i="51"/>
  <c r="H1288" i="51"/>
  <c r="G1288" i="51"/>
  <c r="H1285" i="51"/>
  <c r="H1286" i="51"/>
  <c r="H1287" i="51"/>
  <c r="G1285" i="51"/>
  <c r="G1286" i="51"/>
  <c r="G1287" i="51"/>
  <c r="H1275" i="51"/>
  <c r="H1276" i="51"/>
  <c r="H1277" i="51"/>
  <c r="H1278" i="51"/>
  <c r="H1279" i="51"/>
  <c r="H1280" i="51"/>
  <c r="H1281" i="51"/>
  <c r="H1282" i="51"/>
  <c r="H1283" i="51"/>
  <c r="H1284" i="51"/>
  <c r="G1275" i="51"/>
  <c r="G1276" i="51"/>
  <c r="G1277" i="51"/>
  <c r="G1278" i="51"/>
  <c r="G1279" i="51"/>
  <c r="G1280" i="51"/>
  <c r="G1281" i="51"/>
  <c r="G1282" i="51"/>
  <c r="G1283" i="51"/>
  <c r="G1284" i="51"/>
  <c r="H1272" i="51"/>
  <c r="H1273" i="51"/>
  <c r="H1274" i="51"/>
  <c r="G1272" i="51"/>
  <c r="G1273" i="51"/>
  <c r="G1274" i="51"/>
  <c r="H1268" i="51"/>
  <c r="G1268" i="51"/>
  <c r="H1260" i="51"/>
  <c r="H1261" i="51"/>
  <c r="H1262" i="51"/>
  <c r="H1263" i="51"/>
  <c r="H1264" i="51"/>
  <c r="H1265" i="51"/>
  <c r="H1266" i="51"/>
  <c r="H1267" i="51"/>
  <c r="H1269" i="51"/>
  <c r="H1270" i="51"/>
  <c r="H1271" i="51"/>
  <c r="G1260" i="51"/>
  <c r="G1261" i="51"/>
  <c r="G1262" i="51"/>
  <c r="G1263" i="51"/>
  <c r="G1264" i="51"/>
  <c r="G1265" i="51"/>
  <c r="G1266" i="51"/>
  <c r="G1267" i="51"/>
  <c r="G1269" i="51"/>
  <c r="G1270" i="51"/>
  <c r="G1271" i="51"/>
  <c r="H1257" i="51"/>
  <c r="H1258" i="51"/>
  <c r="H1259" i="51"/>
  <c r="G1257" i="51"/>
  <c r="G1258" i="51"/>
  <c r="G1259" i="51"/>
  <c r="H1245" i="51"/>
  <c r="H1246" i="51"/>
  <c r="H1247" i="51"/>
  <c r="H1248" i="51"/>
  <c r="H1249" i="51"/>
  <c r="H1250" i="51"/>
  <c r="H1251" i="51"/>
  <c r="H1252" i="51"/>
  <c r="H1253" i="51"/>
  <c r="H1254" i="51"/>
  <c r="H1255" i="51"/>
  <c r="H1256" i="51"/>
  <c r="G1245" i="51"/>
  <c r="G1246" i="51"/>
  <c r="G1247" i="51"/>
  <c r="G1248" i="51"/>
  <c r="G1249" i="51"/>
  <c r="G1250" i="51"/>
  <c r="G1251" i="51"/>
  <c r="G1252" i="51"/>
  <c r="G1253" i="51"/>
  <c r="G1254" i="51"/>
  <c r="G1255" i="51"/>
  <c r="G1256" i="51"/>
  <c r="H1235" i="51"/>
  <c r="G1235" i="51"/>
  <c r="H1242" i="51"/>
  <c r="H1243" i="51"/>
  <c r="H1244" i="51"/>
  <c r="G1242" i="51"/>
  <c r="G1243" i="51"/>
  <c r="G1244" i="51"/>
  <c r="H1233" i="51"/>
  <c r="H1234" i="51"/>
  <c r="H1236" i="51"/>
  <c r="H1237" i="51"/>
  <c r="H1238" i="51"/>
  <c r="H1239" i="51"/>
  <c r="H1240" i="51"/>
  <c r="H1241" i="51"/>
  <c r="G1233" i="51"/>
  <c r="G1234" i="51"/>
  <c r="G1236" i="51"/>
  <c r="G1237" i="51"/>
  <c r="G1238" i="51"/>
  <c r="G1239" i="51"/>
  <c r="G1240" i="51"/>
  <c r="G1241" i="51"/>
  <c r="H1221" i="51"/>
  <c r="G1221" i="51"/>
  <c r="H1229" i="51"/>
  <c r="G1229" i="51"/>
  <c r="H1230" i="51"/>
  <c r="G1230" i="51"/>
  <c r="H1231" i="51"/>
  <c r="G1231" i="51"/>
  <c r="H1224" i="51"/>
  <c r="G1224" i="51"/>
  <c r="H1225" i="51"/>
  <c r="G1225" i="51"/>
  <c r="H1226" i="51"/>
  <c r="G1226" i="51"/>
  <c r="H1227" i="51"/>
  <c r="G1227" i="51"/>
  <c r="H1228" i="51"/>
  <c r="G1228" i="51"/>
  <c r="H1219" i="51"/>
  <c r="G1219" i="51"/>
  <c r="H1220" i="51"/>
  <c r="G1220" i="51"/>
  <c r="H1222" i="51"/>
  <c r="G1222" i="51"/>
  <c r="H1223" i="51"/>
  <c r="G1223" i="51"/>
  <c r="H1216" i="51"/>
  <c r="G1216" i="51"/>
  <c r="H1217" i="51"/>
  <c r="G1217" i="51"/>
  <c r="H1210" i="51"/>
  <c r="G1210" i="51"/>
  <c r="H1211" i="51"/>
  <c r="G1211" i="51"/>
  <c r="H1212" i="51"/>
  <c r="G1212" i="51"/>
  <c r="H1213" i="51"/>
  <c r="G1213" i="51"/>
  <c r="H1214" i="51"/>
  <c r="G1214" i="51"/>
  <c r="H1215" i="51"/>
  <c r="G1215" i="51"/>
  <c r="H1206" i="51"/>
  <c r="G1206" i="51"/>
  <c r="H1207" i="51"/>
  <c r="G1207" i="51"/>
  <c r="H1200" i="51"/>
  <c r="G1200" i="51"/>
  <c r="H1201" i="51"/>
  <c r="G1201" i="51"/>
  <c r="H1202" i="51"/>
  <c r="G1202" i="51"/>
  <c r="H1203" i="51"/>
  <c r="G1203" i="51"/>
  <c r="H1204" i="51"/>
  <c r="G1204" i="51"/>
  <c r="H1205" i="51"/>
  <c r="G1205" i="51"/>
  <c r="H1208" i="51"/>
  <c r="G1208" i="51"/>
  <c r="H1192" i="51"/>
  <c r="G1192" i="51"/>
  <c r="H1196" i="51"/>
  <c r="G1196" i="51"/>
  <c r="H1197" i="51"/>
  <c r="G1197" i="51"/>
  <c r="H1198" i="51"/>
  <c r="G1198" i="51"/>
  <c r="H1195" i="51"/>
  <c r="G1195" i="51"/>
  <c r="H1189" i="51"/>
  <c r="G1189" i="51"/>
  <c r="H1190" i="51"/>
  <c r="G1190" i="51"/>
  <c r="H1191" i="51"/>
  <c r="G1191" i="51"/>
  <c r="H1193" i="51"/>
  <c r="G1193" i="51"/>
  <c r="H1194" i="51"/>
  <c r="G1194" i="51"/>
  <c r="H1188" i="51"/>
  <c r="H1199" i="51"/>
  <c r="H1209" i="51"/>
  <c r="H1218" i="51"/>
  <c r="H1232" i="51"/>
  <c r="G1188" i="51"/>
  <c r="G1199" i="51"/>
  <c r="G1209" i="51"/>
  <c r="G1218" i="51"/>
  <c r="G1232" i="51"/>
  <c r="W156" i="49"/>
  <c r="R901" i="49"/>
  <c r="R902" i="49"/>
  <c r="R903" i="49"/>
  <c r="W903" i="49"/>
  <c r="R882" i="49"/>
  <c r="R881" i="49"/>
  <c r="W882" i="49"/>
  <c r="R611" i="49"/>
  <c r="R612" i="49"/>
  <c r="R613" i="49"/>
  <c r="R614" i="49"/>
  <c r="R615" i="49"/>
  <c r="R616" i="49"/>
  <c r="R617" i="49"/>
  <c r="R618" i="49"/>
  <c r="R619" i="49"/>
  <c r="R620" i="49"/>
  <c r="R621" i="49"/>
  <c r="R622" i="49"/>
  <c r="R623" i="49"/>
  <c r="Q612" i="49"/>
  <c r="Q613" i="49"/>
  <c r="Q614" i="49"/>
  <c r="Q615" i="49"/>
  <c r="Q616" i="49"/>
  <c r="Q617" i="49"/>
  <c r="Q618" i="49"/>
  <c r="Q619" i="49"/>
  <c r="Q620" i="49"/>
  <c r="Q621" i="49"/>
  <c r="Q622" i="49"/>
  <c r="Q623" i="49"/>
  <c r="Q611" i="49"/>
  <c r="W616" i="49"/>
  <c r="W617" i="49"/>
  <c r="W618" i="49"/>
  <c r="W619" i="49"/>
  <c r="W620" i="49"/>
  <c r="W621" i="49"/>
  <c r="W622" i="49"/>
  <c r="W623" i="49"/>
  <c r="W615" i="49"/>
  <c r="Q1204" i="49"/>
  <c r="Q1205" i="49"/>
  <c r="Q1206" i="49"/>
  <c r="Q1195" i="49"/>
  <c r="Q1196" i="49"/>
  <c r="Q1197" i="49"/>
  <c r="Q1198" i="49"/>
  <c r="Q1199" i="49"/>
  <c r="Q1200" i="49"/>
  <c r="Q1201" i="49"/>
  <c r="Q1202" i="49"/>
  <c r="Q1203" i="49"/>
  <c r="Q1181" i="49"/>
  <c r="Q1182" i="49"/>
  <c r="Q1183" i="49"/>
  <c r="Q1184" i="49"/>
  <c r="Q1185" i="49"/>
  <c r="Q1186" i="49"/>
  <c r="Q1187" i="49"/>
  <c r="Q1188" i="49"/>
  <c r="Q1189" i="49"/>
  <c r="Q1190" i="49"/>
  <c r="Q1191" i="49"/>
  <c r="Q1192" i="49"/>
  <c r="Q1193" i="49"/>
  <c r="Q1194" i="49"/>
  <c r="Q1166" i="49"/>
  <c r="Q1167" i="49"/>
  <c r="Q1168" i="49"/>
  <c r="Q1169" i="49"/>
  <c r="Q1170" i="49"/>
  <c r="Q1171" i="49"/>
  <c r="Q1172" i="49"/>
  <c r="Q1173" i="49"/>
  <c r="Q1174" i="49"/>
  <c r="Q1175" i="49"/>
  <c r="Q1176" i="49"/>
  <c r="Q1177" i="49"/>
  <c r="Q1178" i="49"/>
  <c r="Q1179" i="49"/>
  <c r="Q1180" i="49"/>
  <c r="Q1155" i="49"/>
  <c r="Q1156" i="49"/>
  <c r="Q1157" i="49"/>
  <c r="Q1158" i="49"/>
  <c r="Q1159" i="49"/>
  <c r="Q1160" i="49"/>
  <c r="Q1161" i="49"/>
  <c r="Q1162" i="49"/>
  <c r="Q1163" i="49"/>
  <c r="Q1164" i="49"/>
  <c r="Q1165" i="49"/>
  <c r="Q1154" i="49"/>
  <c r="R1155" i="49"/>
  <c r="R1156" i="49"/>
  <c r="R1157" i="49"/>
  <c r="R1158" i="49"/>
  <c r="R1159" i="49"/>
  <c r="R1160" i="49"/>
  <c r="R1161" i="49"/>
  <c r="R1162" i="49"/>
  <c r="R1163" i="49"/>
  <c r="R1164" i="49"/>
  <c r="R1165" i="49"/>
  <c r="R1166" i="49"/>
  <c r="R1167" i="49"/>
  <c r="R1168" i="49"/>
  <c r="R1169" i="49"/>
  <c r="R1170" i="49"/>
  <c r="R1171" i="49"/>
  <c r="R1172" i="49"/>
  <c r="R1173" i="49"/>
  <c r="R1174" i="49"/>
  <c r="R1175" i="49"/>
  <c r="R1176" i="49"/>
  <c r="R1177" i="49"/>
  <c r="R1178" i="49"/>
  <c r="R1179" i="49"/>
  <c r="R1180" i="49"/>
  <c r="R1181" i="49"/>
  <c r="R1182" i="49"/>
  <c r="R1183" i="49"/>
  <c r="R1184" i="49"/>
  <c r="R1185" i="49"/>
  <c r="R1186" i="49"/>
  <c r="R1187" i="49"/>
  <c r="R1188" i="49"/>
  <c r="R1189" i="49"/>
  <c r="R1190" i="49"/>
  <c r="R1191" i="49"/>
  <c r="R1192" i="49"/>
  <c r="R1193" i="49"/>
  <c r="R1194" i="49"/>
  <c r="R1195" i="49"/>
  <c r="R1196" i="49"/>
  <c r="R1197" i="49"/>
  <c r="R1198" i="49"/>
  <c r="R1199" i="49"/>
  <c r="R1200" i="49"/>
  <c r="R1201" i="49"/>
  <c r="R1202" i="49"/>
  <c r="R1203" i="49"/>
  <c r="R1204" i="49"/>
  <c r="R1205" i="49"/>
  <c r="R1206" i="49"/>
  <c r="R1154" i="49"/>
  <c r="R116" i="49"/>
  <c r="F116" i="49"/>
  <c r="R115" i="49"/>
  <c r="F115" i="49"/>
  <c r="R114" i="49"/>
  <c r="F114" i="49"/>
  <c r="W114" i="49"/>
  <c r="W115" i="49"/>
  <c r="W116" i="49"/>
  <c r="R870" i="49"/>
  <c r="R868" i="49"/>
  <c r="R869" i="49"/>
  <c r="F870" i="49"/>
  <c r="R808" i="49"/>
  <c r="R809" i="49"/>
  <c r="R810" i="49"/>
  <c r="W809" i="49"/>
  <c r="W810" i="49"/>
  <c r="W799" i="49"/>
  <c r="R786" i="49"/>
  <c r="R787" i="49"/>
  <c r="R788" i="49"/>
  <c r="W787" i="49"/>
  <c r="W788" i="49"/>
  <c r="W777" i="49"/>
  <c r="R767" i="49"/>
  <c r="R768" i="49"/>
  <c r="R769" i="49"/>
  <c r="R770" i="49"/>
  <c r="R771" i="49"/>
  <c r="R772" i="49"/>
  <c r="R773" i="49"/>
  <c r="R774" i="49"/>
  <c r="R775" i="49"/>
  <c r="R776" i="49"/>
  <c r="Q768" i="49"/>
  <c r="Q769" i="49"/>
  <c r="Q770" i="49"/>
  <c r="Q771" i="49"/>
  <c r="Q772" i="49"/>
  <c r="Q773" i="49"/>
  <c r="Q774" i="49"/>
  <c r="Q775" i="49"/>
  <c r="Q776" i="49"/>
  <c r="Q767" i="49"/>
  <c r="W775" i="49"/>
  <c r="W776" i="49"/>
  <c r="R984" i="49"/>
  <c r="W984" i="49"/>
  <c r="R983" i="49"/>
  <c r="W983" i="49"/>
  <c r="R455" i="49"/>
  <c r="W455" i="49"/>
  <c r="R928" i="49"/>
  <c r="R929" i="49"/>
  <c r="R930" i="49"/>
  <c r="W929" i="49"/>
  <c r="W930" i="49"/>
  <c r="R1016" i="49"/>
  <c r="R1017" i="49"/>
  <c r="R1018" i="49"/>
  <c r="R1019" i="49"/>
  <c r="R1020" i="49"/>
  <c r="R1021" i="49"/>
  <c r="R1022" i="49"/>
  <c r="R1023" i="49"/>
  <c r="R1024" i="49"/>
  <c r="R1025" i="49"/>
  <c r="R1026" i="49"/>
  <c r="R1027" i="49"/>
  <c r="R998" i="49"/>
  <c r="R999" i="49"/>
  <c r="R1000" i="49"/>
  <c r="R1001" i="49"/>
  <c r="R1002" i="49"/>
  <c r="R1003" i="49"/>
  <c r="R1004" i="49"/>
  <c r="R1005" i="49"/>
  <c r="R1006" i="49"/>
  <c r="R1007" i="49"/>
  <c r="R1008" i="49"/>
  <c r="R1009" i="49"/>
  <c r="R1010" i="49"/>
  <c r="R1011" i="49"/>
  <c r="R1012" i="49"/>
  <c r="R1013" i="49"/>
  <c r="R1014" i="49"/>
  <c r="R1015" i="49"/>
  <c r="Q1009" i="49"/>
  <c r="Q1010" i="49"/>
  <c r="Q1011" i="49"/>
  <c r="Q1008" i="49"/>
  <c r="Q999" i="49"/>
  <c r="Q1000" i="49"/>
  <c r="Q1001" i="49"/>
  <c r="Q1002" i="49"/>
  <c r="Q1003" i="49"/>
  <c r="Q1004" i="49"/>
  <c r="Q1005" i="49"/>
  <c r="Q1006" i="49"/>
  <c r="Q1007" i="49"/>
  <c r="Q1012" i="49"/>
  <c r="Q1013" i="49"/>
  <c r="Q1014" i="49"/>
  <c r="Q1015" i="49"/>
  <c r="Q1016" i="49"/>
  <c r="Q1017" i="49"/>
  <c r="Q1018" i="49"/>
  <c r="Q1019" i="49"/>
  <c r="Q1020" i="49"/>
  <c r="Q1021" i="49"/>
  <c r="Q1022" i="49"/>
  <c r="Q1023" i="49"/>
  <c r="Q1024" i="49"/>
  <c r="Q1025" i="49"/>
  <c r="Q1026" i="49"/>
  <c r="Q1027" i="49"/>
  <c r="Q998" i="49"/>
  <c r="F990" i="49"/>
  <c r="F1026" i="49"/>
  <c r="Q945" i="49"/>
  <c r="Q946" i="49"/>
  <c r="Q947" i="49"/>
  <c r="Q948" i="49"/>
  <c r="Q949" i="49"/>
  <c r="Q950" i="49"/>
  <c r="Q951" i="49"/>
  <c r="Q952" i="49"/>
  <c r="Q953" i="49"/>
  <c r="Q954" i="49"/>
  <c r="Q955" i="49"/>
  <c r="Q956" i="49"/>
  <c r="Q957" i="49"/>
  <c r="Q958" i="49"/>
  <c r="Q959" i="49"/>
  <c r="Q960" i="49"/>
  <c r="Q961" i="49"/>
  <c r="Q962" i="49"/>
  <c r="Q963" i="49"/>
  <c r="Q964" i="49"/>
  <c r="Q965" i="49"/>
  <c r="Q966" i="49"/>
  <c r="Q967" i="49"/>
  <c r="Q968" i="49"/>
  <c r="Q944" i="49"/>
  <c r="R944" i="49"/>
  <c r="R945" i="49"/>
  <c r="R946" i="49"/>
  <c r="R947" i="49"/>
  <c r="R948" i="49"/>
  <c r="R949" i="49"/>
  <c r="R950" i="49"/>
  <c r="R951" i="49"/>
  <c r="R952" i="49"/>
  <c r="R953" i="49"/>
  <c r="R954" i="49"/>
  <c r="R955" i="49"/>
  <c r="R956" i="49"/>
  <c r="R957" i="49"/>
  <c r="R958" i="49"/>
  <c r="R959" i="49"/>
  <c r="R960" i="49"/>
  <c r="R961" i="49"/>
  <c r="R962" i="49"/>
  <c r="R963" i="49"/>
  <c r="R964" i="49"/>
  <c r="R965" i="49"/>
  <c r="R966" i="49"/>
  <c r="R967" i="49"/>
  <c r="R968" i="49"/>
  <c r="J1016" i="51"/>
  <c r="J1017" i="51"/>
  <c r="J1018" i="51"/>
  <c r="J1019" i="51"/>
  <c r="H1017" i="51"/>
  <c r="G1017" i="51"/>
  <c r="W968" i="49"/>
  <c r="R39" i="49"/>
  <c r="R40" i="49"/>
  <c r="R41" i="49"/>
  <c r="R42" i="49"/>
  <c r="R43" i="49"/>
  <c r="R44" i="49"/>
  <c r="R45" i="49"/>
  <c r="R46" i="49"/>
  <c r="R47" i="49"/>
  <c r="R48" i="49"/>
  <c r="R49" i="49"/>
  <c r="R50" i="49"/>
  <c r="R51" i="49"/>
  <c r="R52" i="49"/>
  <c r="R53" i="49"/>
  <c r="R54" i="49"/>
  <c r="R55" i="49"/>
  <c r="R56" i="49"/>
  <c r="R57" i="49"/>
  <c r="R58" i="49"/>
  <c r="R59" i="49"/>
  <c r="R60" i="49"/>
  <c r="R61" i="49"/>
  <c r="Q61" i="49"/>
  <c r="Q40" i="49"/>
  <c r="Q41" i="49"/>
  <c r="Q42" i="49"/>
  <c r="Q43" i="49"/>
  <c r="Q44" i="49"/>
  <c r="Q45" i="49"/>
  <c r="Q46" i="49"/>
  <c r="Q47" i="49"/>
  <c r="Q48" i="49"/>
  <c r="Q49" i="49"/>
  <c r="Q50" i="49"/>
  <c r="Q51" i="49"/>
  <c r="Q52" i="49"/>
  <c r="Q53" i="49"/>
  <c r="Q54" i="49"/>
  <c r="Q55" i="49"/>
  <c r="Q56" i="49"/>
  <c r="Q57" i="49"/>
  <c r="Q58" i="49"/>
  <c r="Q59" i="49"/>
  <c r="Q60" i="49"/>
  <c r="Q39" i="49"/>
  <c r="F41" i="49"/>
  <c r="Y1136" i="49" l="1"/>
  <c r="Z1136" i="49" s="1"/>
  <c r="Y871" i="49"/>
  <c r="Y1134" i="49"/>
  <c r="Y1135" i="49"/>
  <c r="Y1137" i="49"/>
  <c r="Y1138" i="49"/>
  <c r="Y1069" i="49"/>
  <c r="Q289" i="49"/>
  <c r="Q290" i="49"/>
  <c r="Q291" i="49"/>
  <c r="Q292" i="49"/>
  <c r="Q293" i="49"/>
  <c r="Q294" i="49"/>
  <c r="Q295" i="49"/>
  <c r="Q296" i="49"/>
  <c r="Q297" i="49"/>
  <c r="Q298" i="49"/>
  <c r="Q299" i="49"/>
  <c r="Q300" i="49"/>
  <c r="Q301" i="49"/>
  <c r="Q302" i="49"/>
  <c r="Q303" i="49"/>
  <c r="Q304" i="49"/>
  <c r="Q305" i="49"/>
  <c r="Q306" i="49"/>
  <c r="Q307" i="49"/>
  <c r="Q308" i="49"/>
  <c r="Q309" i="49"/>
  <c r="Q310" i="49"/>
  <c r="Q311" i="49"/>
  <c r="Q312" i="49"/>
  <c r="Q313" i="49"/>
  <c r="Q314" i="49"/>
  <c r="Q315" i="49"/>
  <c r="Q316" i="49"/>
  <c r="Q317" i="49"/>
  <c r="Q318" i="49"/>
  <c r="Q319" i="49"/>
  <c r="Q320" i="49"/>
  <c r="Q321" i="49"/>
  <c r="Q322" i="49"/>
  <c r="Q323" i="49"/>
  <c r="Q324" i="49"/>
  <c r="Q325" i="49"/>
  <c r="Q288" i="49"/>
  <c r="Q326" i="49"/>
  <c r="Q327" i="49"/>
  <c r="Q328" i="49"/>
  <c r="Q329" i="49"/>
  <c r="Q330" i="49"/>
  <c r="Q331" i="49"/>
  <c r="Q332" i="49"/>
  <c r="Q333" i="49"/>
  <c r="Q334" i="49"/>
  <c r="Q335" i="49"/>
  <c r="Q336" i="49"/>
  <c r="Q337" i="49"/>
  <c r="Q338" i="49"/>
  <c r="Q339" i="49"/>
  <c r="Q340" i="49"/>
  <c r="Q341" i="49"/>
  <c r="Q342" i="49"/>
  <c r="Q343" i="49"/>
  <c r="Q344" i="49"/>
  <c r="Q345" i="49"/>
  <c r="Q346" i="49"/>
  <c r="Q347" i="49"/>
  <c r="Q348" i="49"/>
  <c r="Q349" i="49"/>
  <c r="Q350" i="49"/>
  <c r="Q351" i="49"/>
  <c r="Q352" i="49"/>
  <c r="Q353" i="49"/>
  <c r="Q354" i="49"/>
  <c r="Q355" i="49"/>
  <c r="Q356" i="49"/>
  <c r="Q357" i="49"/>
  <c r="Q358" i="49"/>
  <c r="Q359" i="49"/>
  <c r="Q360" i="49"/>
  <c r="Q361" i="49"/>
  <c r="Q362" i="49"/>
  <c r="Q363" i="49"/>
  <c r="Q364" i="49"/>
  <c r="Q365" i="49"/>
  <c r="R344" i="49"/>
  <c r="R345" i="49"/>
  <c r="R346" i="49"/>
  <c r="R347" i="49"/>
  <c r="R348" i="49"/>
  <c r="R349" i="49"/>
  <c r="R350" i="49"/>
  <c r="R351" i="49"/>
  <c r="R352" i="49"/>
  <c r="R353" i="49"/>
  <c r="R354" i="49"/>
  <c r="R355" i="49"/>
  <c r="R356" i="49"/>
  <c r="R357" i="49"/>
  <c r="R358" i="49"/>
  <c r="R359" i="49"/>
  <c r="R360" i="49"/>
  <c r="R361" i="49"/>
  <c r="R362" i="49"/>
  <c r="R363" i="49"/>
  <c r="R364" i="49"/>
  <c r="R365" i="49"/>
  <c r="R311" i="49"/>
  <c r="R312" i="49"/>
  <c r="R313" i="49"/>
  <c r="R314" i="49"/>
  <c r="R315" i="49"/>
  <c r="R316" i="49"/>
  <c r="R317" i="49"/>
  <c r="R318" i="49"/>
  <c r="R319" i="49"/>
  <c r="R320" i="49"/>
  <c r="R321" i="49"/>
  <c r="R322" i="49"/>
  <c r="R323" i="49"/>
  <c r="R324" i="49"/>
  <c r="R325" i="49"/>
  <c r="R327" i="49"/>
  <c r="R328" i="49"/>
  <c r="R329" i="49"/>
  <c r="R330" i="49"/>
  <c r="R331" i="49"/>
  <c r="R332" i="49"/>
  <c r="R333" i="49"/>
  <c r="R334" i="49"/>
  <c r="R335" i="49"/>
  <c r="R336" i="49"/>
  <c r="R337" i="49"/>
  <c r="R338" i="49"/>
  <c r="R339" i="49"/>
  <c r="R340" i="49"/>
  <c r="R341" i="49"/>
  <c r="R342" i="49"/>
  <c r="R343" i="49"/>
  <c r="R298" i="49"/>
  <c r="R299" i="49"/>
  <c r="R300" i="49"/>
  <c r="R301" i="49"/>
  <c r="R302" i="49"/>
  <c r="R303" i="49"/>
  <c r="R304" i="49"/>
  <c r="R305" i="49"/>
  <c r="R306" i="49"/>
  <c r="R307" i="49"/>
  <c r="R308" i="49"/>
  <c r="R309" i="49"/>
  <c r="R310" i="49"/>
  <c r="R292" i="49"/>
  <c r="R293" i="49"/>
  <c r="R294" i="49"/>
  <c r="R295" i="49"/>
  <c r="R296" i="49"/>
  <c r="R297" i="49"/>
  <c r="R291" i="49"/>
  <c r="R290" i="49"/>
  <c r="R288" i="49"/>
  <c r="R289" i="49"/>
  <c r="R545" i="49"/>
  <c r="R529" i="49"/>
  <c r="R523" i="49"/>
  <c r="R522" i="49"/>
  <c r="R488" i="49"/>
  <c r="R541" i="49"/>
  <c r="R542" i="49"/>
  <c r="R543" i="49"/>
  <c r="R544" i="49"/>
  <c r="R540" i="49"/>
  <c r="R536" i="49"/>
  <c r="R537" i="49"/>
  <c r="R538" i="49"/>
  <c r="R539" i="49"/>
  <c r="R535" i="49"/>
  <c r="R531" i="49"/>
  <c r="R532" i="49"/>
  <c r="R533" i="49"/>
  <c r="R534" i="49"/>
  <c r="R530" i="49"/>
  <c r="R528" i="49"/>
  <c r="R527" i="49"/>
  <c r="R525" i="49"/>
  <c r="R526" i="49"/>
  <c r="R524" i="49"/>
  <c r="R500" i="49"/>
  <c r="R501" i="49"/>
  <c r="R502" i="49"/>
  <c r="R503" i="49"/>
  <c r="R504" i="49"/>
  <c r="R505" i="49"/>
  <c r="R506" i="49"/>
  <c r="R507" i="49"/>
  <c r="R508" i="49"/>
  <c r="R509" i="49"/>
  <c r="R510" i="49"/>
  <c r="R511" i="49"/>
  <c r="R512" i="49"/>
  <c r="R513" i="49"/>
  <c r="R514" i="49"/>
  <c r="R515" i="49"/>
  <c r="R516" i="49"/>
  <c r="R517" i="49"/>
  <c r="R518" i="49"/>
  <c r="R519" i="49"/>
  <c r="R520" i="49"/>
  <c r="R521" i="49"/>
  <c r="R499" i="49"/>
  <c r="R478" i="49"/>
  <c r="R490" i="49"/>
  <c r="R491" i="49"/>
  <c r="R492" i="49"/>
  <c r="R493" i="49"/>
  <c r="R494" i="49"/>
  <c r="R495" i="49"/>
  <c r="R496" i="49"/>
  <c r="R497" i="49"/>
  <c r="R498" i="49"/>
  <c r="R489" i="49"/>
  <c r="R484" i="49"/>
  <c r="R485" i="49"/>
  <c r="R486" i="49"/>
  <c r="R487" i="49"/>
  <c r="R483" i="49"/>
  <c r="Q537" i="49"/>
  <c r="Q538" i="49"/>
  <c r="Q539" i="49"/>
  <c r="Q540" i="49"/>
  <c r="Q541" i="49"/>
  <c r="Q542" i="49"/>
  <c r="Q543" i="49"/>
  <c r="Q544" i="49"/>
  <c r="Q545" i="49"/>
  <c r="Q522" i="49"/>
  <c r="Q523" i="49"/>
  <c r="Q524" i="49"/>
  <c r="Q525" i="49"/>
  <c r="Q526" i="49"/>
  <c r="Q527" i="49"/>
  <c r="Q528" i="49"/>
  <c r="Q529" i="49"/>
  <c r="Q530" i="49"/>
  <c r="Q531" i="49"/>
  <c r="Q532" i="49"/>
  <c r="Q533" i="49"/>
  <c r="Q534" i="49"/>
  <c r="Q535" i="49"/>
  <c r="Q536" i="49"/>
  <c r="Q511" i="49"/>
  <c r="Q512" i="49"/>
  <c r="Q513" i="49"/>
  <c r="Q514" i="49"/>
  <c r="Q515" i="49"/>
  <c r="Q516" i="49"/>
  <c r="Q517" i="49"/>
  <c r="Q518" i="49"/>
  <c r="Q519" i="49"/>
  <c r="Q520" i="49"/>
  <c r="Q521" i="49"/>
  <c r="Q499" i="49"/>
  <c r="Q500" i="49"/>
  <c r="Q501" i="49"/>
  <c r="Q502" i="49"/>
  <c r="Q503" i="49"/>
  <c r="Q504" i="49"/>
  <c r="Q505" i="49"/>
  <c r="Q506" i="49"/>
  <c r="Q507" i="49"/>
  <c r="Q508" i="49"/>
  <c r="Q509" i="49"/>
  <c r="Q510" i="49"/>
  <c r="Q492" i="49"/>
  <c r="Q493" i="49"/>
  <c r="Q494" i="49"/>
  <c r="Q495" i="49"/>
  <c r="Q496" i="49"/>
  <c r="Q497" i="49"/>
  <c r="Q498" i="49"/>
  <c r="Q485" i="49"/>
  <c r="Q486" i="49"/>
  <c r="Q487" i="49"/>
  <c r="Q488" i="49"/>
  <c r="Q489" i="49"/>
  <c r="Q490" i="49"/>
  <c r="Q491" i="49"/>
  <c r="Q484" i="49"/>
  <c r="R10" i="49"/>
  <c r="F522" i="49"/>
  <c r="F523" i="49"/>
  <c r="F526" i="49"/>
  <c r="F529" i="49"/>
  <c r="F544" i="49"/>
  <c r="F543" i="49"/>
  <c r="F542" i="49"/>
  <c r="F541" i="49"/>
  <c r="F540" i="49"/>
  <c r="F525" i="49"/>
  <c r="F524" i="49"/>
  <c r="F488" i="49"/>
  <c r="F490" i="49"/>
  <c r="F491" i="49"/>
  <c r="F492" i="49"/>
  <c r="F493" i="49"/>
  <c r="F494" i="49"/>
  <c r="F495" i="49"/>
  <c r="F496" i="49"/>
  <c r="F497" i="49"/>
  <c r="F498" i="49"/>
  <c r="F489" i="49"/>
  <c r="F484" i="49"/>
  <c r="F485" i="49"/>
  <c r="F486" i="49"/>
  <c r="F487" i="49"/>
  <c r="W530" i="49"/>
  <c r="W531" i="49"/>
  <c r="W532" i="49"/>
  <c r="W533" i="49"/>
  <c r="W534" i="49"/>
  <c r="W535" i="49"/>
  <c r="W536" i="49"/>
  <c r="W537" i="49"/>
  <c r="W538" i="49"/>
  <c r="W539" i="49"/>
  <c r="W540" i="49"/>
  <c r="W541" i="49"/>
  <c r="W542" i="49"/>
  <c r="W543" i="49"/>
  <c r="W544" i="49"/>
  <c r="W507" i="49"/>
  <c r="W508" i="49"/>
  <c r="W509" i="49"/>
  <c r="W510" i="49"/>
  <c r="W511" i="49"/>
  <c r="W512" i="49"/>
  <c r="W513" i="49"/>
  <c r="W514" i="49"/>
  <c r="W515" i="49"/>
  <c r="W516" i="49"/>
  <c r="W517" i="49"/>
  <c r="W518" i="49"/>
  <c r="W519" i="49"/>
  <c r="W520" i="49"/>
  <c r="W521" i="49"/>
  <c r="W522" i="49"/>
  <c r="W523" i="49"/>
  <c r="W524" i="49"/>
  <c r="W525" i="49"/>
  <c r="W526" i="49"/>
  <c r="W487" i="49"/>
  <c r="W488" i="49"/>
  <c r="W489" i="49"/>
  <c r="W490" i="49"/>
  <c r="W491" i="49"/>
  <c r="W492" i="49"/>
  <c r="W493" i="49"/>
  <c r="W494" i="49"/>
  <c r="W495" i="49"/>
  <c r="W496" i="49"/>
  <c r="W484" i="49"/>
  <c r="W485" i="49"/>
  <c r="W486" i="49"/>
  <c r="W497" i="49"/>
  <c r="W498" i="49"/>
  <c r="W499" i="49"/>
  <c r="W500" i="49"/>
  <c r="W501" i="49"/>
  <c r="W502" i="49"/>
  <c r="W503" i="49"/>
  <c r="W504" i="49"/>
  <c r="W505" i="49"/>
  <c r="W506" i="49"/>
  <c r="W527" i="49"/>
  <c r="W528" i="49"/>
  <c r="W529" i="49"/>
  <c r="W545" i="49"/>
  <c r="W869" i="49"/>
  <c r="W870" i="49"/>
  <c r="H595" i="51"/>
  <c r="G595" i="51"/>
  <c r="H596" i="51"/>
  <c r="G596" i="51"/>
  <c r="H597" i="51"/>
  <c r="G597" i="51"/>
  <c r="H598" i="51"/>
  <c r="G598" i="51"/>
  <c r="H599" i="51"/>
  <c r="G599" i="51"/>
  <c r="H600" i="51"/>
  <c r="G600" i="51"/>
  <c r="H601" i="51"/>
  <c r="G601" i="51"/>
  <c r="H602" i="51"/>
  <c r="G602" i="51"/>
  <c r="H603" i="51"/>
  <c r="G603" i="51"/>
  <c r="H604" i="51"/>
  <c r="G604" i="51"/>
  <c r="H605" i="51"/>
  <c r="G605" i="51"/>
  <c r="H606" i="51"/>
  <c r="G606" i="51"/>
  <c r="H607" i="51"/>
  <c r="G607" i="51"/>
  <c r="H608" i="51"/>
  <c r="G608" i="51"/>
  <c r="H592" i="51"/>
  <c r="G592" i="51"/>
  <c r="H593" i="51"/>
  <c r="G593" i="51"/>
  <c r="H594" i="51"/>
  <c r="G594" i="51"/>
  <c r="H609" i="51"/>
  <c r="G609" i="51"/>
  <c r="H610" i="51"/>
  <c r="G610" i="51"/>
  <c r="H611" i="51"/>
  <c r="G611" i="51"/>
  <c r="H612" i="51"/>
  <c r="G612" i="51"/>
  <c r="H613" i="51"/>
  <c r="G613" i="51"/>
  <c r="H614" i="51"/>
  <c r="G614" i="51"/>
  <c r="H583" i="51"/>
  <c r="G583" i="51"/>
  <c r="H584" i="51"/>
  <c r="G584" i="51"/>
  <c r="H582" i="51"/>
  <c r="G582" i="51"/>
  <c r="H581" i="51"/>
  <c r="G581" i="51"/>
  <c r="H580" i="51"/>
  <c r="G580" i="51"/>
  <c r="H579" i="51"/>
  <c r="G579" i="51"/>
  <c r="H621" i="51"/>
  <c r="G621" i="51"/>
  <c r="H620" i="51"/>
  <c r="G620" i="51"/>
  <c r="H619" i="51"/>
  <c r="G619" i="51"/>
  <c r="H618" i="51"/>
  <c r="G618" i="51"/>
  <c r="H617" i="51"/>
  <c r="G617" i="51"/>
  <c r="H616" i="51"/>
  <c r="G616" i="51"/>
  <c r="H615" i="51"/>
  <c r="G615" i="51"/>
  <c r="H591" i="51"/>
  <c r="G591" i="51"/>
  <c r="H590" i="51"/>
  <c r="G590" i="51"/>
  <c r="H555" i="51"/>
  <c r="G555" i="51"/>
  <c r="H553" i="51"/>
  <c r="G553" i="51"/>
  <c r="H552" i="51"/>
  <c r="G552" i="51"/>
  <c r="H551" i="51"/>
  <c r="G551" i="51"/>
  <c r="H550" i="51"/>
  <c r="G550" i="51"/>
  <c r="H549" i="51"/>
  <c r="G549" i="51"/>
  <c r="H548" i="51"/>
  <c r="G548" i="51"/>
  <c r="H547" i="51"/>
  <c r="G547" i="51"/>
  <c r="H546" i="51"/>
  <c r="G546" i="51"/>
  <c r="H545" i="51"/>
  <c r="G545" i="51"/>
  <c r="H544" i="51"/>
  <c r="G544" i="51"/>
  <c r="H543" i="51"/>
  <c r="G543" i="51"/>
  <c r="H542" i="51"/>
  <c r="G542" i="51"/>
  <c r="H541" i="51"/>
  <c r="G541" i="51"/>
  <c r="H540" i="51"/>
  <c r="G540" i="51"/>
  <c r="H539" i="51"/>
  <c r="G539" i="51"/>
  <c r="H538" i="51"/>
  <c r="G538" i="51"/>
  <c r="H569" i="51"/>
  <c r="G569" i="51"/>
  <c r="H568" i="51"/>
  <c r="G568" i="51"/>
  <c r="H567" i="51"/>
  <c r="G567" i="51"/>
  <c r="H566" i="51"/>
  <c r="G566" i="51"/>
  <c r="H565" i="51"/>
  <c r="G565" i="51"/>
  <c r="H564" i="51"/>
  <c r="G564" i="51"/>
  <c r="H563" i="51"/>
  <c r="G563" i="51"/>
  <c r="H562" i="51"/>
  <c r="G562" i="51"/>
  <c r="H561" i="51"/>
  <c r="G561" i="51"/>
  <c r="H560" i="51"/>
  <c r="G560" i="51"/>
  <c r="H559" i="51"/>
  <c r="G559" i="51"/>
  <c r="H558" i="51"/>
  <c r="G558" i="51"/>
  <c r="H557" i="51"/>
  <c r="G557" i="51"/>
  <c r="H586" i="51"/>
  <c r="G586" i="51"/>
  <c r="H585" i="51"/>
  <c r="G585" i="51"/>
  <c r="H578" i="51"/>
  <c r="G578" i="51"/>
  <c r="H625" i="51"/>
  <c r="G625" i="51"/>
  <c r="H624" i="51"/>
  <c r="G624" i="51"/>
  <c r="H623" i="51"/>
  <c r="G623" i="51"/>
  <c r="H622" i="51"/>
  <c r="G622" i="51"/>
  <c r="H589" i="51"/>
  <c r="G589" i="51"/>
  <c r="H588" i="51"/>
  <c r="G588" i="51"/>
  <c r="H587" i="51"/>
  <c r="G587" i="51"/>
  <c r="H577" i="51"/>
  <c r="G577" i="51"/>
  <c r="H576" i="51"/>
  <c r="G576" i="51"/>
  <c r="H575" i="51"/>
  <c r="G575" i="51"/>
  <c r="H574" i="51"/>
  <c r="G574" i="51"/>
  <c r="H573" i="51"/>
  <c r="G573" i="51"/>
  <c r="H572" i="51"/>
  <c r="G572" i="51"/>
  <c r="H571" i="51"/>
  <c r="G571" i="51"/>
  <c r="H570" i="51"/>
  <c r="G570" i="51"/>
  <c r="H556" i="51"/>
  <c r="G556" i="51"/>
  <c r="H537" i="51"/>
  <c r="G537" i="51"/>
  <c r="H554" i="51"/>
  <c r="G554" i="51"/>
  <c r="G832" i="51"/>
  <c r="H832" i="51"/>
  <c r="G770" i="51"/>
  <c r="H770" i="51"/>
  <c r="J718" i="51"/>
  <c r="H718" i="51"/>
  <c r="G718" i="51"/>
  <c r="J717" i="51"/>
  <c r="H717" i="51"/>
  <c r="G717" i="51"/>
  <c r="J716" i="51"/>
  <c r="H716" i="51"/>
  <c r="G716" i="51"/>
  <c r="F359" i="49"/>
  <c r="F357" i="49"/>
  <c r="F288" i="49"/>
  <c r="F340" i="49"/>
  <c r="F293" i="49"/>
  <c r="F332" i="49"/>
  <c r="F331" i="49"/>
  <c r="F297" i="49"/>
  <c r="F296" i="49"/>
  <c r="F295" i="49"/>
  <c r="F294" i="49"/>
  <c r="F292" i="49"/>
  <c r="F291" i="49"/>
  <c r="F289" i="49"/>
  <c r="F355" i="49"/>
  <c r="F356" i="49"/>
  <c r="F354" i="49"/>
  <c r="W365" i="49"/>
  <c r="W364" i="49"/>
  <c r="W363" i="49"/>
  <c r="W362" i="49"/>
  <c r="W361" i="49"/>
  <c r="W360" i="49"/>
  <c r="W359" i="49"/>
  <c r="W358" i="49"/>
  <c r="W357" i="49"/>
  <c r="W356" i="49"/>
  <c r="W355" i="49"/>
  <c r="W354" i="49"/>
  <c r="W353" i="49"/>
  <c r="W352" i="49"/>
  <c r="W351" i="49"/>
  <c r="W350" i="49"/>
  <c r="W349" i="49"/>
  <c r="W348" i="49"/>
  <c r="W347" i="49"/>
  <c r="W346" i="49"/>
  <c r="W345" i="49"/>
  <c r="W341" i="49"/>
  <c r="W340" i="49"/>
  <c r="W339" i="49"/>
  <c r="W338" i="49"/>
  <c r="W337" i="49"/>
  <c r="W336" i="49"/>
  <c r="W335" i="49"/>
  <c r="W334" i="49"/>
  <c r="W328" i="49"/>
  <c r="W329" i="49"/>
  <c r="W330" i="49"/>
  <c r="W331" i="49"/>
  <c r="W332" i="49"/>
  <c r="W333" i="49"/>
  <c r="W342" i="49"/>
  <c r="W343" i="49"/>
  <c r="W344" i="49"/>
  <c r="F366" i="49"/>
  <c r="R366" i="49"/>
  <c r="W366" i="49"/>
  <c r="F367" i="49"/>
  <c r="R367" i="49"/>
  <c r="W367" i="49"/>
  <c r="F368" i="49"/>
  <c r="R368" i="49"/>
  <c r="W368" i="49"/>
  <c r="F369" i="49"/>
  <c r="R369" i="49"/>
  <c r="W369" i="49"/>
  <c r="F370" i="49"/>
  <c r="R370" i="49"/>
  <c r="W370" i="49"/>
  <c r="W371" i="49"/>
  <c r="W372" i="49"/>
  <c r="W373" i="49"/>
  <c r="W374" i="49"/>
  <c r="W375" i="49"/>
  <c r="W376" i="49"/>
  <c r="W377" i="49"/>
  <c r="W378" i="49"/>
  <c r="W379" i="49"/>
  <c r="W380" i="49"/>
  <c r="W381" i="49"/>
  <c r="W382" i="49"/>
  <c r="W383" i="49"/>
  <c r="W384" i="49"/>
  <c r="W385" i="49"/>
  <c r="W386" i="49"/>
  <c r="W387" i="49"/>
  <c r="W388" i="49"/>
  <c r="W389" i="49"/>
  <c r="W390" i="49"/>
  <c r="W391" i="49"/>
  <c r="W392" i="49"/>
  <c r="W394" i="49"/>
  <c r="W395" i="49"/>
  <c r="W396" i="49"/>
  <c r="W397" i="49"/>
  <c r="W398" i="49"/>
  <c r="W399" i="49"/>
  <c r="W400" i="49"/>
  <c r="W401" i="49"/>
  <c r="W402" i="49"/>
  <c r="W403" i="49"/>
  <c r="W404" i="49"/>
  <c r="W405" i="49"/>
  <c r="W406" i="49"/>
  <c r="W407" i="49"/>
  <c r="W408" i="49"/>
  <c r="W409" i="49"/>
  <c r="W410" i="49"/>
  <c r="W411" i="49"/>
  <c r="W412" i="49"/>
  <c r="W414" i="49"/>
  <c r="W415" i="49"/>
  <c r="W416" i="49"/>
  <c r="W417" i="49"/>
  <c r="W418" i="49"/>
  <c r="W327" i="49"/>
  <c r="W326" i="49"/>
  <c r="W325" i="49"/>
  <c r="W324" i="49"/>
  <c r="W323" i="49"/>
  <c r="W322" i="49"/>
  <c r="W321" i="49"/>
  <c r="W320" i="49"/>
  <c r="W292" i="49"/>
  <c r="W291" i="49"/>
  <c r="W290" i="49"/>
  <c r="W303" i="49"/>
  <c r="W302" i="49"/>
  <c r="W300" i="49"/>
  <c r="W298" i="49"/>
  <c r="W297" i="49"/>
  <c r="W296" i="49"/>
  <c r="W295" i="49"/>
  <c r="W294" i="49"/>
  <c r="W293" i="49"/>
  <c r="W289" i="49"/>
  <c r="W299" i="49"/>
  <c r="W301" i="49"/>
  <c r="W304" i="49"/>
  <c r="W306" i="49"/>
  <c r="W307" i="49"/>
  <c r="W319" i="49"/>
  <c r="W318" i="49"/>
  <c r="W317" i="49"/>
  <c r="W316" i="49"/>
  <c r="W315" i="49"/>
  <c r="W314" i="49"/>
  <c r="W313" i="49"/>
  <c r="W312" i="49"/>
  <c r="W311" i="49"/>
  <c r="W310" i="49"/>
  <c r="W309" i="49"/>
  <c r="W308" i="49"/>
  <c r="W305" i="49"/>
  <c r="W288" i="49"/>
  <c r="E13" i="18"/>
  <c r="F998" i="49"/>
  <c r="F999" i="49"/>
  <c r="F1000" i="49"/>
  <c r="F1001" i="49"/>
  <c r="F1002" i="49"/>
  <c r="F1003" i="49"/>
  <c r="F1004" i="49"/>
  <c r="F1005" i="49"/>
  <c r="F1006" i="49"/>
  <c r="F1007" i="49"/>
  <c r="F944" i="49"/>
  <c r="F966" i="49"/>
  <c r="F967" i="49"/>
  <c r="F928" i="49"/>
  <c r="F902" i="49"/>
  <c r="F901" i="49"/>
  <c r="F881" i="49"/>
  <c r="F808" i="49"/>
  <c r="F786" i="49"/>
  <c r="F771" i="49"/>
  <c r="F774" i="49"/>
  <c r="F773" i="49"/>
  <c r="F772" i="49"/>
  <c r="F768" i="49"/>
  <c r="F666" i="49"/>
  <c r="F667" i="49"/>
  <c r="F668" i="49"/>
  <c r="F669" i="49"/>
  <c r="F670" i="49"/>
  <c r="F671" i="49"/>
  <c r="F672" i="49"/>
  <c r="F673" i="49"/>
  <c r="F674" i="49"/>
  <c r="F675" i="49"/>
  <c r="F676" i="49"/>
  <c r="F677" i="49"/>
  <c r="F678" i="49"/>
  <c r="F679" i="49"/>
  <c r="F680" i="49"/>
  <c r="F681" i="49"/>
  <c r="F682" i="49"/>
  <c r="F683" i="49"/>
  <c r="F684" i="49"/>
  <c r="F685" i="49"/>
  <c r="F686" i="49"/>
  <c r="F687" i="49"/>
  <c r="F688" i="49"/>
  <c r="F704" i="49"/>
  <c r="F706" i="49"/>
  <c r="F732" i="49"/>
  <c r="F733" i="49"/>
  <c r="F736" i="49"/>
  <c r="F836" i="49"/>
  <c r="F837" i="49"/>
  <c r="F838" i="49"/>
  <c r="F839" i="49"/>
  <c r="F840" i="49"/>
  <c r="F841" i="49"/>
  <c r="F842" i="49"/>
  <c r="F843" i="49"/>
  <c r="F844" i="49"/>
  <c r="F845" i="49"/>
  <c r="F853" i="49"/>
  <c r="F613" i="49"/>
  <c r="F612" i="49"/>
  <c r="F611" i="49"/>
  <c r="F570" i="49"/>
  <c r="F571" i="49"/>
  <c r="F572" i="49"/>
  <c r="F573" i="49"/>
  <c r="F574" i="49"/>
  <c r="F575" i="49"/>
  <c r="F576" i="49"/>
  <c r="F577" i="49"/>
  <c r="F578" i="49"/>
  <c r="F569" i="49"/>
  <c r="F176" i="49"/>
  <c r="F177" i="49"/>
  <c r="F178" i="49"/>
  <c r="F179" i="49"/>
  <c r="F180" i="49"/>
  <c r="F181" i="49"/>
  <c r="F182" i="49"/>
  <c r="F183" i="49"/>
  <c r="F184" i="49"/>
  <c r="F185" i="49"/>
  <c r="F186" i="49"/>
  <c r="F187" i="49"/>
  <c r="F188" i="49"/>
  <c r="F189" i="49"/>
  <c r="F190" i="49"/>
  <c r="F191" i="49"/>
  <c r="F192" i="49"/>
  <c r="F193" i="49"/>
  <c r="F194" i="49"/>
  <c r="F195" i="49"/>
  <c r="F175" i="49"/>
  <c r="F196" i="49"/>
  <c r="F197" i="49"/>
  <c r="F198" i="49"/>
  <c r="F199" i="49"/>
  <c r="F200" i="49"/>
  <c r="F201" i="49"/>
  <c r="F202" i="49"/>
  <c r="F203" i="49"/>
  <c r="F204" i="49"/>
  <c r="F205" i="49"/>
  <c r="F206" i="49"/>
  <c r="F207" i="49"/>
  <c r="F208" i="49"/>
  <c r="F209" i="49"/>
  <c r="F210" i="49"/>
  <c r="F211" i="49"/>
  <c r="F212" i="49"/>
  <c r="F213" i="49"/>
  <c r="F214" i="49"/>
  <c r="F137" i="49"/>
  <c r="F138" i="49"/>
  <c r="F139" i="49"/>
  <c r="F140" i="49"/>
  <c r="F141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36" i="49"/>
  <c r="W901" i="49"/>
  <c r="F1154" i="49"/>
  <c r="F1155" i="49"/>
  <c r="F1156" i="49"/>
  <c r="F1157" i="49"/>
  <c r="F1158" i="49"/>
  <c r="F1159" i="49"/>
  <c r="F1160" i="49"/>
  <c r="F1161" i="49"/>
  <c r="F1162" i="49"/>
  <c r="F1163" i="49"/>
  <c r="F1164" i="49"/>
  <c r="F1165" i="49"/>
  <c r="F1166" i="49"/>
  <c r="F1167" i="49"/>
  <c r="F1168" i="49"/>
  <c r="F1169" i="49"/>
  <c r="F1170" i="49"/>
  <c r="F1171" i="49"/>
  <c r="F1172" i="49"/>
  <c r="F1173" i="49"/>
  <c r="F1174" i="49"/>
  <c r="F1175" i="49"/>
  <c r="F1176" i="49"/>
  <c r="F1177" i="49"/>
  <c r="F1178" i="49"/>
  <c r="F1179" i="49"/>
  <c r="F1180" i="49"/>
  <c r="F1181" i="49"/>
  <c r="F1182" i="49"/>
  <c r="F1183" i="49"/>
  <c r="F1184" i="49"/>
  <c r="F1185" i="49"/>
  <c r="F1186" i="49"/>
  <c r="F1187" i="49"/>
  <c r="F1188" i="49"/>
  <c r="F1189" i="49"/>
  <c r="F1190" i="49"/>
  <c r="F1191" i="49"/>
  <c r="F1192" i="49"/>
  <c r="F1193" i="49"/>
  <c r="F1194" i="49"/>
  <c r="F1195" i="49"/>
  <c r="F1196" i="49"/>
  <c r="F1197" i="49"/>
  <c r="F1198" i="49"/>
  <c r="F1199" i="49"/>
  <c r="F1200" i="49"/>
  <c r="F1201" i="49"/>
  <c r="F1202" i="49"/>
  <c r="F1203" i="49"/>
  <c r="F1204" i="49"/>
  <c r="F1205" i="49"/>
  <c r="F1206" i="49"/>
  <c r="F1008" i="49"/>
  <c r="F1009" i="49"/>
  <c r="F1010" i="49"/>
  <c r="F1011" i="49"/>
  <c r="F1012" i="49"/>
  <c r="F1013" i="49"/>
  <c r="F1014" i="49"/>
  <c r="F1015" i="49"/>
  <c r="F1016" i="49"/>
  <c r="F1017" i="49"/>
  <c r="F1018" i="49"/>
  <c r="F1019" i="49"/>
  <c r="F1020" i="49"/>
  <c r="F1021" i="49"/>
  <c r="F1022" i="49"/>
  <c r="F1023" i="49"/>
  <c r="F1024" i="49"/>
  <c r="F1025" i="49"/>
  <c r="F1027" i="49"/>
  <c r="F945" i="49"/>
  <c r="F946" i="49"/>
  <c r="F947" i="49"/>
  <c r="F948" i="49"/>
  <c r="F949" i="49"/>
  <c r="F950" i="49"/>
  <c r="F951" i="49"/>
  <c r="F952" i="49"/>
  <c r="F953" i="49"/>
  <c r="F954" i="49"/>
  <c r="F955" i="49"/>
  <c r="F956" i="49"/>
  <c r="F957" i="49"/>
  <c r="F958" i="49"/>
  <c r="F959" i="49"/>
  <c r="F960" i="49"/>
  <c r="F961" i="49"/>
  <c r="F962" i="49"/>
  <c r="F963" i="49"/>
  <c r="F964" i="49"/>
  <c r="F965" i="49"/>
  <c r="F868" i="49"/>
  <c r="F770" i="49"/>
  <c r="F769" i="49"/>
  <c r="F767" i="49"/>
  <c r="F646" i="49"/>
  <c r="F647" i="49"/>
  <c r="F648" i="49"/>
  <c r="F649" i="49"/>
  <c r="F650" i="49"/>
  <c r="F652" i="49"/>
  <c r="F653" i="49"/>
  <c r="F658" i="49"/>
  <c r="F659" i="49"/>
  <c r="F660" i="49"/>
  <c r="F661" i="49"/>
  <c r="F662" i="49"/>
  <c r="F663" i="49"/>
  <c r="F664" i="49"/>
  <c r="F665" i="49"/>
  <c r="F689" i="49"/>
  <c r="F697" i="49"/>
  <c r="F698" i="49"/>
  <c r="F699" i="49"/>
  <c r="F725" i="49"/>
  <c r="F726" i="49"/>
  <c r="F831" i="49"/>
  <c r="F832" i="49"/>
  <c r="F835" i="49"/>
  <c r="AA1136" i="49" l="1"/>
  <c r="Z871" i="49"/>
  <c r="AA871" i="49"/>
  <c r="Z1134" i="49"/>
  <c r="AA1134" i="49"/>
  <c r="Z1135" i="49"/>
  <c r="AA1135" i="49"/>
  <c r="Z1137" i="49"/>
  <c r="AA1137" i="49"/>
  <c r="Z1138" i="49"/>
  <c r="AA1138" i="49"/>
  <c r="Z1069" i="49"/>
  <c r="AA1069" i="49"/>
  <c r="F846" i="49"/>
  <c r="F847" i="49"/>
  <c r="F848" i="49"/>
  <c r="F849" i="49"/>
  <c r="F850" i="49"/>
  <c r="F1148" i="49"/>
  <c r="F614" i="49"/>
  <c r="F61" i="49"/>
  <c r="F50" i="49"/>
  <c r="F51" i="49"/>
  <c r="F52" i="49"/>
  <c r="F53" i="49"/>
  <c r="F54" i="49"/>
  <c r="F55" i="49"/>
  <c r="F56" i="49"/>
  <c r="F57" i="49"/>
  <c r="F58" i="49"/>
  <c r="F59" i="49"/>
  <c r="F42" i="49"/>
  <c r="F60" i="49"/>
  <c r="F43" i="49"/>
  <c r="F44" i="49"/>
  <c r="F45" i="49"/>
  <c r="F46" i="49"/>
  <c r="F47" i="49"/>
  <c r="F48" i="49"/>
  <c r="F62" i="49"/>
  <c r="F63" i="49"/>
  <c r="F64" i="49"/>
  <c r="F65" i="49"/>
  <c r="F66" i="49"/>
  <c r="F67" i="49"/>
  <c r="F68" i="49"/>
  <c r="F69" i="49"/>
  <c r="F70" i="49"/>
  <c r="F71" i="49"/>
  <c r="F72" i="49"/>
  <c r="F73" i="49"/>
  <c r="F74" i="49"/>
  <c r="F75" i="49"/>
  <c r="F76" i="49"/>
  <c r="F77" i="49"/>
  <c r="F78" i="49"/>
  <c r="F79" i="49"/>
  <c r="F80" i="49"/>
  <c r="F81" i="49"/>
  <c r="F82" i="49"/>
  <c r="F83" i="49"/>
  <c r="F84" i="49"/>
  <c r="F85" i="49"/>
  <c r="F86" i="49"/>
  <c r="F87" i="49"/>
  <c r="F88" i="49"/>
  <c r="F89" i="49"/>
  <c r="F90" i="49"/>
  <c r="F91" i="49"/>
  <c r="F92" i="49"/>
  <c r="F93" i="49"/>
  <c r="F119" i="49"/>
  <c r="F120" i="49"/>
  <c r="F121" i="49"/>
  <c r="F122" i="49"/>
  <c r="F123" i="49"/>
  <c r="F124" i="49"/>
  <c r="F125" i="49"/>
  <c r="F126" i="49"/>
  <c r="F127" i="49"/>
  <c r="F128" i="49"/>
  <c r="F129" i="49"/>
  <c r="F130" i="49"/>
  <c r="F131" i="49"/>
  <c r="F132" i="49"/>
  <c r="F133" i="49"/>
  <c r="F134" i="49"/>
  <c r="F135" i="49"/>
  <c r="F157" i="49"/>
  <c r="F158" i="49"/>
  <c r="F159" i="49"/>
  <c r="F160" i="49"/>
  <c r="F161" i="49"/>
  <c r="F162" i="49"/>
  <c r="F163" i="49"/>
  <c r="F164" i="49"/>
  <c r="F165" i="49"/>
  <c r="F166" i="49"/>
  <c r="F167" i="49"/>
  <c r="F168" i="49"/>
  <c r="F169" i="49"/>
  <c r="F170" i="49"/>
  <c r="F171" i="49"/>
  <c r="F172" i="49"/>
  <c r="F173" i="49"/>
  <c r="F17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94" i="49"/>
  <c r="F95" i="49"/>
  <c r="F96" i="49"/>
  <c r="F97" i="49"/>
  <c r="F98" i="49"/>
  <c r="F99" i="49"/>
  <c r="F100" i="49"/>
  <c r="F101" i="49"/>
  <c r="F102" i="49"/>
  <c r="F103" i="49"/>
  <c r="F104" i="49"/>
  <c r="F105" i="49"/>
  <c r="F106" i="49"/>
  <c r="F107" i="49"/>
  <c r="F108" i="49"/>
  <c r="F109" i="49"/>
  <c r="F110" i="49"/>
  <c r="F111" i="49"/>
  <c r="F112" i="49"/>
  <c r="F113" i="49"/>
  <c r="F236" i="49"/>
  <c r="F237" i="49"/>
  <c r="F238" i="49"/>
  <c r="F239" i="49"/>
  <c r="F240" i="49"/>
  <c r="F241" i="49"/>
  <c r="F242" i="49"/>
  <c r="F243" i="49"/>
  <c r="F244" i="49"/>
  <c r="F245" i="49"/>
  <c r="F246" i="49"/>
  <c r="F247" i="49"/>
  <c r="F248" i="49"/>
  <c r="F249" i="49"/>
  <c r="F250" i="49"/>
  <c r="F251" i="49"/>
  <c r="F252" i="49"/>
  <c r="F253" i="49"/>
  <c r="F254" i="49"/>
  <c r="F255" i="49"/>
  <c r="F256" i="49"/>
  <c r="F257" i="49"/>
  <c r="F258" i="49"/>
  <c r="F259" i="49"/>
  <c r="F260" i="49"/>
  <c r="F261" i="49"/>
  <c r="F262" i="49"/>
  <c r="F263" i="49"/>
  <c r="F264" i="49"/>
  <c r="F265" i="49"/>
  <c r="F266" i="49"/>
  <c r="F267" i="49"/>
  <c r="F268" i="49"/>
  <c r="F269" i="49"/>
  <c r="F270" i="49"/>
  <c r="F271" i="49"/>
  <c r="F272" i="49"/>
  <c r="F273" i="49"/>
  <c r="F274" i="49"/>
  <c r="F275" i="49"/>
  <c r="F276" i="49"/>
  <c r="F277" i="49"/>
  <c r="F278" i="49"/>
  <c r="F279" i="49"/>
  <c r="F280" i="49"/>
  <c r="F281" i="49"/>
  <c r="F282" i="49"/>
  <c r="F283" i="49"/>
  <c r="F284" i="49"/>
  <c r="F285" i="49"/>
  <c r="F286" i="49"/>
  <c r="F287" i="49"/>
  <c r="F444" i="49"/>
  <c r="F445" i="49"/>
  <c r="F446" i="49"/>
  <c r="F447" i="49"/>
  <c r="F448" i="49"/>
  <c r="F449" i="49"/>
  <c r="F450" i="49"/>
  <c r="F451" i="49"/>
  <c r="F452" i="49"/>
  <c r="F453" i="49"/>
  <c r="F454" i="49"/>
  <c r="F456" i="49"/>
  <c r="F457" i="49"/>
  <c r="F458" i="49"/>
  <c r="F459" i="49"/>
  <c r="F460" i="49"/>
  <c r="F461" i="49"/>
  <c r="F462" i="49"/>
  <c r="F463" i="49"/>
  <c r="F464" i="49"/>
  <c r="F465" i="49"/>
  <c r="F466" i="49"/>
  <c r="F467" i="49"/>
  <c r="F468" i="49"/>
  <c r="F469" i="49"/>
  <c r="F470" i="49"/>
  <c r="F471" i="49"/>
  <c r="F472" i="49"/>
  <c r="F473" i="49"/>
  <c r="F474" i="49"/>
  <c r="F475" i="49"/>
  <c r="F476" i="49"/>
  <c r="F477" i="49"/>
  <c r="F478" i="49"/>
  <c r="F479" i="49"/>
  <c r="F480" i="49"/>
  <c r="F481" i="49"/>
  <c r="F482" i="49"/>
  <c r="F483" i="49"/>
  <c r="F546" i="49"/>
  <c r="F547" i="49"/>
  <c r="F548" i="49"/>
  <c r="F549" i="49"/>
  <c r="F550" i="49"/>
  <c r="F551" i="49"/>
  <c r="F552" i="49"/>
  <c r="F553" i="49"/>
  <c r="F554" i="49"/>
  <c r="F555" i="49"/>
  <c r="F556" i="49"/>
  <c r="F557" i="49"/>
  <c r="F558" i="49"/>
  <c r="F559" i="49"/>
  <c r="F560" i="49"/>
  <c r="F561" i="49"/>
  <c r="F562" i="49"/>
  <c r="F563" i="49"/>
  <c r="F564" i="49"/>
  <c r="F565" i="49"/>
  <c r="F566" i="49"/>
  <c r="F567" i="49"/>
  <c r="F568" i="49"/>
  <c r="F583" i="49"/>
  <c r="F584" i="49"/>
  <c r="F585" i="49"/>
  <c r="F586" i="49"/>
  <c r="F587" i="49"/>
  <c r="F588" i="49"/>
  <c r="F589" i="49"/>
  <c r="F590" i="49"/>
  <c r="F591" i="49"/>
  <c r="F592" i="49"/>
  <c r="F593" i="49"/>
  <c r="F594" i="49"/>
  <c r="F595" i="49"/>
  <c r="F596" i="49"/>
  <c r="F597" i="49"/>
  <c r="F598" i="49"/>
  <c r="F599" i="49"/>
  <c r="F600" i="49"/>
  <c r="F601" i="49"/>
  <c r="F602" i="49"/>
  <c r="F603" i="49"/>
  <c r="F604" i="49"/>
  <c r="F605" i="49"/>
  <c r="F606" i="49"/>
  <c r="F607" i="49"/>
  <c r="F608" i="49"/>
  <c r="F609" i="49"/>
  <c r="F610" i="49"/>
  <c r="F624" i="49"/>
  <c r="F625" i="49"/>
  <c r="F626" i="49"/>
  <c r="F627" i="49"/>
  <c r="F628" i="49"/>
  <c r="F629" i="49"/>
  <c r="F630" i="49"/>
  <c r="F631" i="49"/>
  <c r="F632" i="49"/>
  <c r="F633" i="49"/>
  <c r="F634" i="49"/>
  <c r="F635" i="49"/>
  <c r="F636" i="49"/>
  <c r="F637" i="49"/>
  <c r="F638" i="49"/>
  <c r="F639" i="49"/>
  <c r="F640" i="49"/>
  <c r="F641" i="49"/>
  <c r="F826" i="49"/>
  <c r="F828" i="49"/>
  <c r="F735" i="49"/>
  <c r="F721" i="49"/>
  <c r="F851" i="49"/>
  <c r="F723" i="49"/>
  <c r="F719" i="49"/>
  <c r="F690" i="49"/>
  <c r="F656" i="49"/>
  <c r="F654" i="49"/>
  <c r="F644" i="49"/>
  <c r="F642" i="49"/>
  <c r="F702" i="49"/>
  <c r="F700" i="49"/>
  <c r="F717" i="49"/>
  <c r="F715" i="49"/>
  <c r="F729" i="49"/>
  <c r="F727" i="49"/>
  <c r="F709" i="49"/>
  <c r="F707" i="49"/>
  <c r="F691" i="49"/>
  <c r="F693" i="49"/>
  <c r="F711" i="49"/>
  <c r="F713" i="49"/>
  <c r="F695" i="49"/>
  <c r="F737" i="49"/>
  <c r="F738" i="49"/>
  <c r="F739" i="49"/>
  <c r="F740" i="49"/>
  <c r="F741" i="49"/>
  <c r="F742" i="49"/>
  <c r="F743" i="49"/>
  <c r="F744" i="49"/>
  <c r="F745" i="49"/>
  <c r="F746" i="49"/>
  <c r="F747" i="49"/>
  <c r="F748" i="49"/>
  <c r="F749" i="49"/>
  <c r="F750" i="49"/>
  <c r="F751" i="49"/>
  <c r="F752" i="49"/>
  <c r="F753" i="49"/>
  <c r="F754" i="49"/>
  <c r="F755" i="49"/>
  <c r="F756" i="49"/>
  <c r="F757" i="49"/>
  <c r="F758" i="49"/>
  <c r="F759" i="49"/>
  <c r="F760" i="49"/>
  <c r="F761" i="49"/>
  <c r="F762" i="49"/>
  <c r="F763" i="49"/>
  <c r="F764" i="49"/>
  <c r="F765" i="49"/>
  <c r="F766" i="49"/>
  <c r="F778" i="49"/>
  <c r="F779" i="49"/>
  <c r="F780" i="49"/>
  <c r="F781" i="49"/>
  <c r="F782" i="49"/>
  <c r="F783" i="49"/>
  <c r="F784" i="49"/>
  <c r="F785" i="49"/>
  <c r="F789" i="49"/>
  <c r="F790" i="49"/>
  <c r="F791" i="49"/>
  <c r="F792" i="49"/>
  <c r="F793" i="49"/>
  <c r="F794" i="49"/>
  <c r="F795" i="49"/>
  <c r="F796" i="49"/>
  <c r="F797" i="49"/>
  <c r="F798" i="49"/>
  <c r="F800" i="49"/>
  <c r="F801" i="49"/>
  <c r="F802" i="49"/>
  <c r="F803" i="49"/>
  <c r="F804" i="49"/>
  <c r="F805" i="49"/>
  <c r="F806" i="49"/>
  <c r="F807" i="49"/>
  <c r="F811" i="49"/>
  <c r="F812" i="49"/>
  <c r="F813" i="49"/>
  <c r="F814" i="49"/>
  <c r="F815" i="49"/>
  <c r="F816" i="49"/>
  <c r="F817" i="49"/>
  <c r="F818" i="49"/>
  <c r="F819" i="49"/>
  <c r="F820" i="49"/>
  <c r="F821" i="49"/>
  <c r="F822" i="49"/>
  <c r="F823" i="49"/>
  <c r="F827" i="49"/>
  <c r="F829" i="49"/>
  <c r="F734" i="49"/>
  <c r="F722" i="49"/>
  <c r="F852" i="49"/>
  <c r="F724" i="49"/>
  <c r="F651" i="49"/>
  <c r="F720" i="49"/>
  <c r="F657" i="49"/>
  <c r="F655" i="49"/>
  <c r="F645" i="49"/>
  <c r="F643" i="49"/>
  <c r="F703" i="49"/>
  <c r="F701" i="49"/>
  <c r="F718" i="49"/>
  <c r="F716" i="49"/>
  <c r="F730" i="49"/>
  <c r="F728" i="49"/>
  <c r="F710" i="49"/>
  <c r="F708" i="49"/>
  <c r="F705" i="49"/>
  <c r="F830" i="49"/>
  <c r="F731" i="49"/>
  <c r="F834" i="49"/>
  <c r="F833" i="49"/>
  <c r="F692" i="49"/>
  <c r="F694" i="49"/>
  <c r="F712" i="49"/>
  <c r="F714" i="49"/>
  <c r="F696" i="49"/>
  <c r="F854" i="49"/>
  <c r="F855" i="49"/>
  <c r="F856" i="49"/>
  <c r="F857" i="49"/>
  <c r="F858" i="49"/>
  <c r="F859" i="49"/>
  <c r="F860" i="49"/>
  <c r="F861" i="49"/>
  <c r="F862" i="49"/>
  <c r="F863" i="49"/>
  <c r="F864" i="49"/>
  <c r="F865" i="49"/>
  <c r="F866" i="49"/>
  <c r="F867" i="49"/>
  <c r="F872" i="49"/>
  <c r="F873" i="49"/>
  <c r="F874" i="49"/>
  <c r="F875" i="49"/>
  <c r="F876" i="49"/>
  <c r="F877" i="49"/>
  <c r="F878" i="49"/>
  <c r="F879" i="49"/>
  <c r="F880" i="49"/>
  <c r="F883" i="49"/>
  <c r="F884" i="49"/>
  <c r="F885" i="49"/>
  <c r="F886" i="49"/>
  <c r="F887" i="49"/>
  <c r="F888" i="49"/>
  <c r="F889" i="49"/>
  <c r="F890" i="49"/>
  <c r="F891" i="49"/>
  <c r="F892" i="49"/>
  <c r="F893" i="49"/>
  <c r="F894" i="49"/>
  <c r="F895" i="49"/>
  <c r="F896" i="49"/>
  <c r="F897" i="49"/>
  <c r="F898" i="49"/>
  <c r="F899" i="49"/>
  <c r="F900" i="49"/>
  <c r="F904" i="49"/>
  <c r="F905" i="49"/>
  <c r="F906" i="49"/>
  <c r="F907" i="49"/>
  <c r="F908" i="49"/>
  <c r="F909" i="49"/>
  <c r="F910" i="49"/>
  <c r="F911" i="49"/>
  <c r="F912" i="49"/>
  <c r="F913" i="49"/>
  <c r="F914" i="49"/>
  <c r="F915" i="49"/>
  <c r="F916" i="49"/>
  <c r="F917" i="49"/>
  <c r="F918" i="49"/>
  <c r="F919" i="49"/>
  <c r="F920" i="49"/>
  <c r="F921" i="49"/>
  <c r="F922" i="49"/>
  <c r="F923" i="49"/>
  <c r="F924" i="49"/>
  <c r="F925" i="49"/>
  <c r="F926" i="49"/>
  <c r="F927" i="49"/>
  <c r="F931" i="49"/>
  <c r="F932" i="49"/>
  <c r="F933" i="49"/>
  <c r="F934" i="49"/>
  <c r="F935" i="49"/>
  <c r="F936" i="49"/>
  <c r="F937" i="49"/>
  <c r="F938" i="49"/>
  <c r="F939" i="49"/>
  <c r="F940" i="49"/>
  <c r="F941" i="49"/>
  <c r="F942" i="49"/>
  <c r="F943" i="49"/>
  <c r="F969" i="49"/>
  <c r="F970" i="49"/>
  <c r="F971" i="49"/>
  <c r="F972" i="49"/>
  <c r="F973" i="49"/>
  <c r="F974" i="49"/>
  <c r="F975" i="49"/>
  <c r="F976" i="49"/>
  <c r="F977" i="49"/>
  <c r="F978" i="49"/>
  <c r="F979" i="49"/>
  <c r="F980" i="49"/>
  <c r="F981" i="49"/>
  <c r="F982" i="49"/>
  <c r="F985" i="49"/>
  <c r="F986" i="49"/>
  <c r="F987" i="49"/>
  <c r="F988" i="49"/>
  <c r="F989" i="49"/>
  <c r="F991" i="49"/>
  <c r="F992" i="49"/>
  <c r="F993" i="49"/>
  <c r="F994" i="49"/>
  <c r="F995" i="49"/>
  <c r="F996" i="49"/>
  <c r="F997" i="49"/>
  <c r="F1030" i="49"/>
  <c r="F1031" i="49"/>
  <c r="F1032" i="49"/>
  <c r="F1033" i="49"/>
  <c r="F1149" i="49"/>
  <c r="F1150" i="49"/>
  <c r="F1151" i="49"/>
  <c r="F1152" i="49"/>
  <c r="F1153" i="49"/>
  <c r="W1206" i="49"/>
  <c r="W1205" i="49"/>
  <c r="W1204" i="49"/>
  <c r="W1203" i="49"/>
  <c r="W1202" i="49"/>
  <c r="W1201" i="49"/>
  <c r="W1200" i="49"/>
  <c r="W1199" i="49"/>
  <c r="W1198" i="49"/>
  <c r="W1197" i="49"/>
  <c r="W1196" i="49"/>
  <c r="W1195" i="49"/>
  <c r="W1194" i="49"/>
  <c r="W1193" i="49"/>
  <c r="W1192" i="49"/>
  <c r="W1191" i="49"/>
  <c r="W1190" i="49"/>
  <c r="W1189" i="49"/>
  <c r="W1188" i="49"/>
  <c r="W1187" i="49"/>
  <c r="W1186" i="49"/>
  <c r="W1185" i="49"/>
  <c r="W1184" i="49"/>
  <c r="W1183" i="49"/>
  <c r="W1182" i="49"/>
  <c r="W1181" i="49"/>
  <c r="W1180" i="49"/>
  <c r="W1179" i="49"/>
  <c r="W1178" i="49"/>
  <c r="W1177" i="49"/>
  <c r="W1176" i="49"/>
  <c r="W1175" i="49"/>
  <c r="W1174" i="49"/>
  <c r="W1173" i="49"/>
  <c r="W1172" i="49"/>
  <c r="W1171" i="49"/>
  <c r="W1170" i="49"/>
  <c r="W1169" i="49"/>
  <c r="W1168" i="49"/>
  <c r="W1167" i="49"/>
  <c r="W1166" i="49"/>
  <c r="W1165" i="49"/>
  <c r="W1164" i="49"/>
  <c r="W1163" i="49"/>
  <c r="W1162" i="49"/>
  <c r="W1161" i="49"/>
  <c r="W1160" i="49"/>
  <c r="W1159" i="49"/>
  <c r="W1158" i="49"/>
  <c r="W1157" i="49"/>
  <c r="W1156" i="49"/>
  <c r="W1155" i="49"/>
  <c r="W1154" i="49"/>
  <c r="W1027" i="49"/>
  <c r="W1026" i="49"/>
  <c r="W1025" i="49"/>
  <c r="W1024" i="49"/>
  <c r="W1023" i="49"/>
  <c r="W1022" i="49"/>
  <c r="W1021" i="49"/>
  <c r="W1020" i="49"/>
  <c r="W1019" i="49"/>
  <c r="W1018" i="49"/>
  <c r="W1017" i="49"/>
  <c r="W1016" i="49"/>
  <c r="W1015" i="49"/>
  <c r="W1014" i="49"/>
  <c r="W1013" i="49"/>
  <c r="W1012" i="49"/>
  <c r="W1011" i="49"/>
  <c r="W1010" i="49"/>
  <c r="W1009" i="49"/>
  <c r="W1008" i="49"/>
  <c r="W1007" i="49"/>
  <c r="W1006" i="49"/>
  <c r="W1005" i="49"/>
  <c r="W1004" i="49"/>
  <c r="W1003" i="49"/>
  <c r="W1002" i="49"/>
  <c r="W1001" i="49"/>
  <c r="W1000" i="49"/>
  <c r="W999" i="49"/>
  <c r="W998" i="49"/>
  <c r="W967" i="49"/>
  <c r="W966" i="49"/>
  <c r="W965" i="49"/>
  <c r="W964" i="49"/>
  <c r="W963" i="49"/>
  <c r="W962" i="49"/>
  <c r="W961" i="49"/>
  <c r="W960" i="49"/>
  <c r="W959" i="49"/>
  <c r="W958" i="49"/>
  <c r="W957" i="49"/>
  <c r="W956" i="49"/>
  <c r="W955" i="49"/>
  <c r="W954" i="49"/>
  <c r="W953" i="49"/>
  <c r="W952" i="49"/>
  <c r="W951" i="49"/>
  <c r="W950" i="49"/>
  <c r="W949" i="49"/>
  <c r="W948" i="49"/>
  <c r="W947" i="49"/>
  <c r="W946" i="49"/>
  <c r="W945" i="49"/>
  <c r="W944" i="49"/>
  <c r="W928" i="49"/>
  <c r="W902" i="49"/>
  <c r="W881" i="49"/>
  <c r="W868" i="49"/>
  <c r="W808" i="49"/>
  <c r="W786" i="49"/>
  <c r="W767" i="49"/>
  <c r="W768" i="49"/>
  <c r="W772" i="49"/>
  <c r="W773" i="49"/>
  <c r="W774" i="49"/>
  <c r="W769" i="49"/>
  <c r="W770" i="49"/>
  <c r="W771" i="49"/>
  <c r="W853" i="49"/>
  <c r="W850" i="49"/>
  <c r="W849" i="49"/>
  <c r="W848" i="49"/>
  <c r="W847" i="49"/>
  <c r="W846" i="49"/>
  <c r="W845" i="49"/>
  <c r="W844" i="49"/>
  <c r="W843" i="49"/>
  <c r="W842" i="49"/>
  <c r="W841" i="49"/>
  <c r="W840" i="49"/>
  <c r="W839" i="49"/>
  <c r="W838" i="49"/>
  <c r="W837" i="49"/>
  <c r="W836" i="49"/>
  <c r="W835" i="49"/>
  <c r="W832" i="49"/>
  <c r="W831" i="49"/>
  <c r="W736" i="49"/>
  <c r="W733" i="49"/>
  <c r="W732" i="49"/>
  <c r="W726" i="49"/>
  <c r="W725" i="49"/>
  <c r="W706" i="49"/>
  <c r="W704" i="49"/>
  <c r="W699" i="49"/>
  <c r="W698" i="49"/>
  <c r="W697" i="49"/>
  <c r="W689" i="49"/>
  <c r="W688" i="49"/>
  <c r="W687" i="49"/>
  <c r="W686" i="49"/>
  <c r="W685" i="49"/>
  <c r="W684" i="49"/>
  <c r="W683" i="49"/>
  <c r="W682" i="49"/>
  <c r="W681" i="49"/>
  <c r="W680" i="49"/>
  <c r="W679" i="49"/>
  <c r="W678" i="49"/>
  <c r="W677" i="49"/>
  <c r="W676" i="49"/>
  <c r="W675" i="49"/>
  <c r="W674" i="49"/>
  <c r="W673" i="49"/>
  <c r="W672" i="49"/>
  <c r="W671" i="49"/>
  <c r="W670" i="49"/>
  <c r="W669" i="49"/>
  <c r="W668" i="49"/>
  <c r="W667" i="49"/>
  <c r="W666" i="49"/>
  <c r="W665" i="49"/>
  <c r="W664" i="49"/>
  <c r="W663" i="49"/>
  <c r="W662" i="49"/>
  <c r="W661" i="49"/>
  <c r="W660" i="49"/>
  <c r="W659" i="49"/>
  <c r="W658" i="49"/>
  <c r="W653" i="49"/>
  <c r="W652" i="49"/>
  <c r="W650" i="49"/>
  <c r="W649" i="49"/>
  <c r="W648" i="49"/>
  <c r="W647" i="49"/>
  <c r="W646" i="49"/>
  <c r="W611" i="49"/>
  <c r="W612" i="49"/>
  <c r="W613" i="49"/>
  <c r="W614" i="49"/>
  <c r="W569" i="49"/>
  <c r="W578" i="49"/>
  <c r="W577" i="49"/>
  <c r="W576" i="49"/>
  <c r="W575" i="49"/>
  <c r="W574" i="49"/>
  <c r="W573" i="49"/>
  <c r="W572" i="49"/>
  <c r="W571" i="49"/>
  <c r="W570" i="49"/>
  <c r="W214" i="49"/>
  <c r="W213" i="49"/>
  <c r="W212" i="49"/>
  <c r="W211" i="49"/>
  <c r="W210" i="49"/>
  <c r="W209" i="49"/>
  <c r="W208" i="49"/>
  <c r="W207" i="49"/>
  <c r="W206" i="49"/>
  <c r="W205" i="49"/>
  <c r="W204" i="49"/>
  <c r="W203" i="49"/>
  <c r="W202" i="49"/>
  <c r="W201" i="49"/>
  <c r="W200" i="49"/>
  <c r="W199" i="49"/>
  <c r="W198" i="49"/>
  <c r="W197" i="49"/>
  <c r="W196" i="49"/>
  <c r="W175" i="49"/>
  <c r="W195" i="49"/>
  <c r="W194" i="49"/>
  <c r="W193" i="49"/>
  <c r="W192" i="49"/>
  <c r="W191" i="49"/>
  <c r="W190" i="49"/>
  <c r="W189" i="49"/>
  <c r="W188" i="49"/>
  <c r="W187" i="49"/>
  <c r="W186" i="49"/>
  <c r="W185" i="49"/>
  <c r="W184" i="49"/>
  <c r="W183" i="49"/>
  <c r="W182" i="49"/>
  <c r="W181" i="49"/>
  <c r="W180" i="49"/>
  <c r="W179" i="49"/>
  <c r="W178" i="49"/>
  <c r="W177" i="49"/>
  <c r="W176" i="49"/>
  <c r="W136" i="49"/>
  <c r="W155" i="49"/>
  <c r="W154" i="49"/>
  <c r="W153" i="49"/>
  <c r="W152" i="49"/>
  <c r="W151" i="49"/>
  <c r="W150" i="49"/>
  <c r="W149" i="49"/>
  <c r="W148" i="49"/>
  <c r="W147" i="49"/>
  <c r="W146" i="49"/>
  <c r="W145" i="49"/>
  <c r="W144" i="49"/>
  <c r="W143" i="49"/>
  <c r="W142" i="49"/>
  <c r="W141" i="49"/>
  <c r="W140" i="49"/>
  <c r="W139" i="49"/>
  <c r="W138" i="49"/>
  <c r="W137" i="49"/>
  <c r="W39" i="49"/>
  <c r="W40" i="49"/>
  <c r="W49" i="49"/>
  <c r="W48" i="49"/>
  <c r="W47" i="49"/>
  <c r="W46" i="49"/>
  <c r="W45" i="49"/>
  <c r="W44" i="49"/>
  <c r="W43" i="49"/>
  <c r="W60" i="49"/>
  <c r="W42" i="49"/>
  <c r="W59" i="49"/>
  <c r="W58" i="49"/>
  <c r="W57" i="49"/>
  <c r="W56" i="49"/>
  <c r="W55" i="49"/>
  <c r="W54" i="49"/>
  <c r="W53" i="49"/>
  <c r="W52" i="49"/>
  <c r="W51" i="49"/>
  <c r="W50" i="49"/>
  <c r="W41" i="49"/>
  <c r="W61" i="49"/>
  <c r="W24" i="49"/>
  <c r="W23" i="49"/>
  <c r="W22" i="49"/>
  <c r="W21" i="49"/>
  <c r="W20" i="49"/>
  <c r="W19" i="49"/>
  <c r="W18" i="49"/>
  <c r="W17" i="49"/>
  <c r="W16" i="49"/>
  <c r="W15" i="49"/>
  <c r="W25" i="49"/>
  <c r="J979" i="51"/>
  <c r="J978" i="51"/>
  <c r="J977" i="51"/>
  <c r="J976" i="51"/>
  <c r="J306" i="51"/>
  <c r="J305" i="51"/>
  <c r="J304" i="51"/>
  <c r="J303" i="51"/>
  <c r="J302" i="51"/>
  <c r="J301" i="51"/>
  <c r="J300" i="51"/>
  <c r="J299" i="51"/>
  <c r="J298" i="51"/>
  <c r="J297" i="51"/>
  <c r="J296" i="51"/>
  <c r="J295" i="51"/>
  <c r="J294" i="51"/>
  <c r="J293" i="51"/>
  <c r="J975" i="51"/>
  <c r="J290" i="51"/>
  <c r="J974" i="51"/>
  <c r="J973" i="51"/>
  <c r="J972" i="51"/>
  <c r="J971" i="51"/>
  <c r="J970" i="51"/>
  <c r="J969" i="51"/>
  <c r="J320" i="51"/>
  <c r="J319" i="51"/>
  <c r="J318" i="51"/>
  <c r="J317" i="51"/>
  <c r="J316" i="51"/>
  <c r="J315" i="51"/>
  <c r="J314" i="51"/>
  <c r="J313" i="51"/>
  <c r="J312" i="51"/>
  <c r="J311" i="51"/>
  <c r="J310" i="51"/>
  <c r="J309" i="51"/>
  <c r="J968" i="51"/>
  <c r="J307" i="51"/>
  <c r="J967" i="51"/>
  <c r="J966" i="51"/>
  <c r="J288" i="51"/>
  <c r="J287" i="51"/>
  <c r="J286" i="51"/>
  <c r="J965" i="51"/>
  <c r="J289" i="51"/>
  <c r="J964" i="51"/>
  <c r="J284" i="51"/>
  <c r="J963" i="51"/>
  <c r="J962" i="51"/>
  <c r="J961" i="51"/>
  <c r="J343" i="51"/>
  <c r="J342" i="51"/>
  <c r="J341" i="51"/>
  <c r="J340" i="51"/>
  <c r="J339" i="51"/>
  <c r="J338" i="51"/>
  <c r="J337" i="51"/>
  <c r="J336" i="51"/>
  <c r="J335" i="51"/>
  <c r="J334" i="51"/>
  <c r="J333" i="51"/>
  <c r="J332" i="51"/>
  <c r="J331" i="51"/>
  <c r="J330" i="51"/>
  <c r="J329" i="51"/>
  <c r="J328" i="51"/>
  <c r="J327" i="51"/>
  <c r="J960" i="51"/>
  <c r="J326" i="51"/>
  <c r="J325" i="51"/>
  <c r="J324" i="51"/>
  <c r="J323" i="51"/>
  <c r="J959" i="51"/>
  <c r="J321" i="51"/>
  <c r="J283" i="51"/>
  <c r="J282" i="51"/>
  <c r="J281" i="51"/>
  <c r="J280" i="51"/>
  <c r="J279" i="51"/>
  <c r="J278" i="51"/>
  <c r="J277" i="51"/>
  <c r="J276" i="51"/>
  <c r="J275" i="51"/>
  <c r="J239" i="51"/>
  <c r="J274" i="51"/>
  <c r="J273" i="51"/>
  <c r="J272" i="51"/>
  <c r="J271" i="51"/>
  <c r="J270" i="51"/>
  <c r="J269" i="51"/>
  <c r="J268" i="51"/>
  <c r="J267" i="51"/>
  <c r="J252" i="51"/>
  <c r="J266" i="51"/>
  <c r="J251" i="51"/>
  <c r="J265" i="51"/>
  <c r="J264" i="51"/>
  <c r="J238" i="51"/>
  <c r="J237" i="51"/>
  <c r="J236" i="51"/>
  <c r="J253" i="51"/>
  <c r="J1187" i="51"/>
  <c r="J258" i="51"/>
  <c r="J257" i="51"/>
  <c r="J256" i="51"/>
  <c r="J255" i="51"/>
  <c r="J254" i="51"/>
  <c r="J1186" i="51"/>
  <c r="J235" i="51"/>
  <c r="J234" i="51"/>
  <c r="J233" i="51"/>
  <c r="J232" i="51"/>
  <c r="J231" i="51"/>
  <c r="J230" i="51"/>
  <c r="J229" i="51"/>
  <c r="J228" i="51"/>
  <c r="J224" i="51"/>
  <c r="J216" i="51"/>
  <c r="J215" i="51"/>
  <c r="J214" i="51"/>
  <c r="J213" i="51"/>
  <c r="J212" i="51"/>
  <c r="J211" i="51"/>
  <c r="J210" i="51"/>
  <c r="J209" i="51"/>
  <c r="J208" i="51"/>
  <c r="J263" i="51"/>
  <c r="J262" i="51"/>
  <c r="J261" i="51"/>
  <c r="J260" i="51"/>
  <c r="J259" i="51"/>
  <c r="J245" i="51"/>
  <c r="J244" i="51"/>
  <c r="J243" i="51"/>
  <c r="J242" i="51"/>
  <c r="J241" i="51"/>
  <c r="J240" i="51"/>
  <c r="J958" i="51"/>
  <c r="J957" i="51"/>
  <c r="J956" i="51"/>
  <c r="J955" i="51"/>
  <c r="J954" i="51"/>
  <c r="J953" i="51"/>
  <c r="J952" i="51"/>
  <c r="J951" i="51"/>
  <c r="J950" i="51"/>
  <c r="J949" i="51"/>
  <c r="J948" i="51"/>
  <c r="J947" i="51"/>
  <c r="J946" i="51"/>
  <c r="J945" i="51"/>
  <c r="J944" i="51"/>
  <c r="J943" i="51"/>
  <c r="J942" i="51"/>
  <c r="J941" i="51"/>
  <c r="J940" i="51"/>
  <c r="J939" i="51"/>
  <c r="J938" i="51"/>
  <c r="J937" i="51"/>
  <c r="J936" i="51"/>
  <c r="J935" i="51"/>
  <c r="J934" i="51"/>
  <c r="J933" i="51"/>
  <c r="J858" i="51"/>
  <c r="J857" i="51"/>
  <c r="J856" i="51"/>
  <c r="J855" i="51"/>
  <c r="J854" i="51"/>
  <c r="J853" i="51"/>
  <c r="J852" i="51"/>
  <c r="J851" i="51"/>
  <c r="J850" i="51"/>
  <c r="J847" i="51"/>
  <c r="J849" i="51"/>
  <c r="J848" i="51"/>
  <c r="J846" i="51"/>
  <c r="J845" i="51"/>
  <c r="J1185" i="51"/>
  <c r="J1184" i="51"/>
  <c r="J1183" i="51"/>
  <c r="J1182" i="51"/>
  <c r="J1181" i="51"/>
  <c r="J1180" i="51"/>
  <c r="J1179" i="51"/>
  <c r="J1178" i="51"/>
  <c r="J1177" i="51"/>
  <c r="J1176" i="51"/>
  <c r="J1175" i="51"/>
  <c r="J1174" i="51"/>
  <c r="J1173" i="51"/>
  <c r="J1172" i="51"/>
  <c r="J1171" i="51"/>
  <c r="J1170" i="51"/>
  <c r="J1169" i="51"/>
  <c r="J1168" i="51"/>
  <c r="J1167" i="51"/>
  <c r="J1166" i="51"/>
  <c r="J1165" i="51"/>
  <c r="J1164" i="51"/>
  <c r="J1163" i="51"/>
  <c r="J1162" i="51"/>
  <c r="J1161" i="51"/>
  <c r="J1160" i="51"/>
  <c r="J1159" i="51"/>
  <c r="J1158" i="51"/>
  <c r="J1157" i="51"/>
  <c r="J1156" i="51"/>
  <c r="J1155" i="51"/>
  <c r="J1154" i="51"/>
  <c r="J1153" i="51"/>
  <c r="J1152" i="51"/>
  <c r="J1151" i="51"/>
  <c r="J1150" i="51"/>
  <c r="J1149" i="51"/>
  <c r="J1148" i="51"/>
  <c r="J1147" i="51"/>
  <c r="J1146" i="51"/>
  <c r="J1145" i="51"/>
  <c r="J1144" i="51"/>
  <c r="J1143" i="51"/>
  <c r="J1142" i="51"/>
  <c r="J1141" i="51"/>
  <c r="J1140" i="51"/>
  <c r="J1139" i="51"/>
  <c r="J1138" i="51"/>
  <c r="J1137" i="51"/>
  <c r="J1136" i="51"/>
  <c r="J1135" i="51"/>
  <c r="J1134" i="51"/>
  <c r="J1133" i="51"/>
  <c r="J1132" i="51"/>
  <c r="J1131" i="51"/>
  <c r="J1130" i="51"/>
  <c r="J1129" i="51"/>
  <c r="J1128" i="51"/>
  <c r="J1127" i="51"/>
  <c r="J1126" i="51"/>
  <c r="J1125" i="51"/>
  <c r="J1124" i="51"/>
  <c r="J227" i="51"/>
  <c r="J226" i="51"/>
  <c r="J225" i="51"/>
  <c r="J223" i="51"/>
  <c r="J222" i="51"/>
  <c r="J221" i="51"/>
  <c r="J220" i="51"/>
  <c r="J219" i="51"/>
  <c r="J218" i="51"/>
  <c r="J217" i="51"/>
  <c r="J1009" i="51"/>
  <c r="J1008" i="51"/>
  <c r="J1007" i="51"/>
  <c r="J998" i="51"/>
  <c r="J997" i="51"/>
  <c r="J996" i="51"/>
  <c r="J995" i="51"/>
  <c r="J994" i="51"/>
  <c r="J993" i="51"/>
  <c r="J992" i="51"/>
  <c r="J1006" i="51"/>
  <c r="J1005" i="51"/>
  <c r="J1004" i="51"/>
  <c r="J991" i="51"/>
  <c r="J990" i="51"/>
  <c r="J989" i="51"/>
  <c r="J988" i="51"/>
  <c r="J987" i="51"/>
  <c r="J986" i="51"/>
  <c r="J985" i="51"/>
  <c r="J984" i="51"/>
  <c r="J1003" i="51"/>
  <c r="J1002" i="51"/>
  <c r="J1001" i="51"/>
  <c r="J1000" i="51"/>
  <c r="J999" i="51"/>
  <c r="J983" i="51"/>
  <c r="J982" i="51"/>
  <c r="J981" i="51"/>
  <c r="J980" i="51"/>
  <c r="J932" i="51"/>
  <c r="J931" i="51"/>
  <c r="J930" i="51"/>
  <c r="J929" i="51"/>
  <c r="J928" i="51"/>
  <c r="J927" i="51"/>
  <c r="J926" i="51"/>
  <c r="J844" i="51"/>
  <c r="J843" i="51"/>
  <c r="J842" i="51"/>
  <c r="J841" i="51"/>
  <c r="J840" i="51"/>
  <c r="J839" i="51"/>
  <c r="J838" i="51"/>
  <c r="J837" i="51"/>
  <c r="J836" i="51"/>
  <c r="J835" i="51"/>
  <c r="J925" i="51"/>
  <c r="J924" i="51"/>
  <c r="J923" i="51"/>
  <c r="J922" i="51"/>
  <c r="J921" i="51"/>
  <c r="J920" i="51"/>
  <c r="J919" i="51"/>
  <c r="J918" i="51"/>
  <c r="J917" i="51"/>
  <c r="J916" i="51"/>
  <c r="J915" i="51"/>
  <c r="J914" i="51"/>
  <c r="J913" i="51"/>
  <c r="J834" i="51"/>
  <c r="J833" i="51"/>
  <c r="J831" i="51"/>
  <c r="J830" i="51"/>
  <c r="J829" i="51"/>
  <c r="J828" i="51"/>
  <c r="J827" i="51"/>
  <c r="J826" i="51"/>
  <c r="J825" i="51"/>
  <c r="J824" i="51"/>
  <c r="J823" i="51"/>
  <c r="J822" i="51"/>
  <c r="J821" i="51"/>
  <c r="J820" i="51"/>
  <c r="J819" i="51"/>
  <c r="J818" i="51"/>
  <c r="J817" i="51"/>
  <c r="J816" i="51"/>
  <c r="J815" i="51"/>
  <c r="J814" i="51"/>
  <c r="J813" i="51"/>
  <c r="J812" i="51"/>
  <c r="J811" i="51"/>
  <c r="J810" i="51"/>
  <c r="J809" i="51"/>
  <c r="J808" i="51"/>
  <c r="J807" i="51"/>
  <c r="J806" i="51"/>
  <c r="J805" i="51"/>
  <c r="J804" i="51"/>
  <c r="J803" i="51"/>
  <c r="J802" i="51"/>
  <c r="J801" i="51"/>
  <c r="J800" i="51"/>
  <c r="J799" i="51"/>
  <c r="J798" i="51"/>
  <c r="J797" i="51"/>
  <c r="J796" i="51"/>
  <c r="J795" i="51"/>
  <c r="J794" i="51"/>
  <c r="J793" i="51"/>
  <c r="J792" i="51"/>
  <c r="J791" i="51"/>
  <c r="J790" i="51"/>
  <c r="J789" i="51"/>
  <c r="J788" i="51"/>
  <c r="J787" i="51"/>
  <c r="J786" i="51"/>
  <c r="J785" i="51"/>
  <c r="J784" i="51"/>
  <c r="J783" i="51"/>
  <c r="J782" i="51"/>
  <c r="J781" i="51"/>
  <c r="J780" i="51"/>
  <c r="J779" i="51"/>
  <c r="J778" i="51"/>
  <c r="J777" i="51"/>
  <c r="J776" i="51"/>
  <c r="J775" i="51"/>
  <c r="J774" i="51"/>
  <c r="J773" i="51"/>
  <c r="J772" i="51"/>
  <c r="J771" i="51"/>
  <c r="J769" i="51"/>
  <c r="J768" i="51"/>
  <c r="J767" i="51"/>
  <c r="J766" i="51"/>
  <c r="J765" i="51"/>
  <c r="J764" i="51"/>
  <c r="J763" i="51"/>
  <c r="J762" i="51"/>
  <c r="J761" i="51"/>
  <c r="J760" i="51"/>
  <c r="J759" i="51"/>
  <c r="J758" i="51"/>
  <c r="J757" i="51"/>
  <c r="J756" i="51"/>
  <c r="J755" i="51"/>
  <c r="J754" i="51"/>
  <c r="J753" i="51"/>
  <c r="J752" i="51"/>
  <c r="J751" i="51"/>
  <c r="J750" i="51"/>
  <c r="J749" i="51"/>
  <c r="J748" i="51"/>
  <c r="J747" i="51"/>
  <c r="J746" i="51"/>
  <c r="J745" i="51"/>
  <c r="J744" i="51"/>
  <c r="J743" i="51"/>
  <c r="J742" i="51"/>
  <c r="J741" i="51"/>
  <c r="J740" i="51"/>
  <c r="J739" i="51"/>
  <c r="J738" i="51"/>
  <c r="J737" i="51"/>
  <c r="J736" i="51"/>
  <c r="J735" i="51"/>
  <c r="J734" i="51"/>
  <c r="J733" i="51"/>
  <c r="J732" i="51"/>
  <c r="J731" i="51"/>
  <c r="J730" i="51"/>
  <c r="J729" i="51"/>
  <c r="J728" i="51"/>
  <c r="J727" i="51"/>
  <c r="J726" i="51"/>
  <c r="J725" i="51"/>
  <c r="J724" i="51"/>
  <c r="J723" i="51"/>
  <c r="J722" i="51"/>
  <c r="J721" i="51"/>
  <c r="J720" i="51"/>
  <c r="J719" i="51"/>
  <c r="J715" i="51"/>
  <c r="J714" i="51"/>
  <c r="J713" i="51"/>
  <c r="J712" i="51"/>
  <c r="J711" i="51"/>
  <c r="J710" i="51"/>
  <c r="J709" i="51"/>
  <c r="J706" i="51"/>
  <c r="J705" i="51"/>
  <c r="J912" i="51"/>
  <c r="J911" i="51"/>
  <c r="J910" i="51"/>
  <c r="J704" i="51"/>
  <c r="J703" i="51"/>
  <c r="J702" i="51"/>
  <c r="J701" i="51"/>
  <c r="J700" i="51"/>
  <c r="J699" i="51"/>
  <c r="J698" i="51"/>
  <c r="J697" i="51"/>
  <c r="J696" i="51"/>
  <c r="J695" i="51"/>
  <c r="J694" i="51"/>
  <c r="J693" i="51"/>
  <c r="J692" i="51"/>
  <c r="J207" i="51"/>
  <c r="J206" i="51"/>
  <c r="J205" i="51"/>
  <c r="J204" i="51"/>
  <c r="J203" i="51"/>
  <c r="J202" i="51"/>
  <c r="J201" i="51"/>
  <c r="J167" i="51"/>
  <c r="J166" i="51"/>
  <c r="J200" i="51"/>
  <c r="J199" i="51"/>
  <c r="J198" i="51"/>
  <c r="J197" i="51"/>
  <c r="J196" i="51"/>
  <c r="J195" i="51"/>
  <c r="J194" i="51"/>
  <c r="J193" i="51"/>
  <c r="J165" i="51"/>
  <c r="J192" i="51"/>
  <c r="J191" i="51"/>
  <c r="J190" i="51"/>
  <c r="J164" i="51"/>
  <c r="J163" i="51"/>
  <c r="J162" i="51"/>
  <c r="J122" i="51"/>
  <c r="J121" i="51"/>
  <c r="J120" i="51"/>
  <c r="J189" i="51"/>
  <c r="J188" i="51"/>
  <c r="J187" i="51"/>
  <c r="J186" i="51"/>
  <c r="J185" i="51"/>
  <c r="J184" i="51"/>
  <c r="J183" i="51"/>
  <c r="J182" i="51"/>
  <c r="J181" i="51"/>
  <c r="J180" i="51"/>
  <c r="J119" i="51"/>
  <c r="J118" i="51"/>
  <c r="J117" i="51"/>
  <c r="J116" i="51"/>
  <c r="J115" i="51"/>
  <c r="J114" i="51"/>
  <c r="J113" i="51"/>
  <c r="J112" i="51"/>
  <c r="J111" i="51"/>
  <c r="J110" i="51"/>
  <c r="J109" i="51"/>
  <c r="J108" i="51"/>
  <c r="J107" i="51"/>
  <c r="J106" i="51"/>
  <c r="J105" i="51"/>
  <c r="J104" i="51"/>
  <c r="J103" i="51"/>
  <c r="J102" i="51"/>
  <c r="J101" i="51"/>
  <c r="J100" i="51"/>
  <c r="J179" i="51"/>
  <c r="J178" i="51"/>
  <c r="J177" i="51"/>
  <c r="J176" i="51"/>
  <c r="J175" i="51"/>
  <c r="J174" i="51"/>
  <c r="J173" i="51"/>
  <c r="J172" i="51"/>
  <c r="J171" i="51"/>
  <c r="J170" i="51"/>
  <c r="J169" i="51"/>
  <c r="J99" i="51"/>
  <c r="J98" i="51"/>
  <c r="J97" i="51"/>
  <c r="J95" i="51"/>
  <c r="J94" i="51"/>
  <c r="J168" i="51"/>
  <c r="J909" i="51"/>
  <c r="J908" i="51"/>
  <c r="J907" i="51"/>
  <c r="J906" i="51"/>
  <c r="J905" i="51"/>
  <c r="J904" i="51"/>
  <c r="J691" i="51"/>
  <c r="J690" i="51"/>
  <c r="J689" i="51"/>
  <c r="J903" i="51"/>
  <c r="J902" i="51"/>
  <c r="J901" i="51"/>
  <c r="J688" i="51"/>
  <c r="J687" i="51"/>
  <c r="J686" i="51"/>
  <c r="J685" i="51"/>
  <c r="J684" i="51"/>
  <c r="J683" i="51"/>
  <c r="J682" i="51"/>
  <c r="J900" i="51"/>
  <c r="J899" i="51"/>
  <c r="J898" i="51"/>
  <c r="J897" i="51"/>
  <c r="J896" i="51"/>
  <c r="J895" i="51"/>
  <c r="J677" i="51"/>
  <c r="J676" i="51"/>
  <c r="J675" i="51"/>
  <c r="J674" i="51"/>
  <c r="J673" i="51"/>
  <c r="J672" i="51"/>
  <c r="J671" i="51"/>
  <c r="J670" i="51"/>
  <c r="J669" i="51"/>
  <c r="J668" i="51"/>
  <c r="J667" i="51"/>
  <c r="J666" i="51"/>
  <c r="J665" i="51"/>
  <c r="J664" i="51"/>
  <c r="J663" i="51"/>
  <c r="J662" i="51"/>
  <c r="J661" i="51"/>
  <c r="J660" i="51"/>
  <c r="J659" i="51"/>
  <c r="J658" i="51"/>
  <c r="J657" i="51"/>
  <c r="J656" i="51"/>
  <c r="J894" i="51"/>
  <c r="J893" i="51"/>
  <c r="J892" i="51"/>
  <c r="J891" i="51"/>
  <c r="J890" i="51"/>
  <c r="J889" i="51"/>
  <c r="J655" i="51"/>
  <c r="J654" i="51"/>
  <c r="J653" i="51"/>
  <c r="J888" i="51"/>
  <c r="J887" i="51"/>
  <c r="J886" i="51"/>
  <c r="J885" i="51"/>
  <c r="J884" i="51"/>
  <c r="J883" i="51"/>
  <c r="J882" i="51"/>
  <c r="J881" i="51"/>
  <c r="J880" i="51"/>
  <c r="J879" i="51"/>
  <c r="J652" i="51"/>
  <c r="J651" i="51"/>
  <c r="J650" i="51"/>
  <c r="J649" i="51"/>
  <c r="J648" i="51"/>
  <c r="J647" i="51"/>
  <c r="J646" i="51"/>
  <c r="J645" i="51"/>
  <c r="J644" i="51"/>
  <c r="J643" i="51"/>
  <c r="J642" i="51"/>
  <c r="J641" i="51"/>
  <c r="J640" i="51"/>
  <c r="J639" i="51"/>
  <c r="J638" i="51"/>
  <c r="J637" i="51"/>
  <c r="J636" i="51"/>
  <c r="J635" i="51"/>
  <c r="J634" i="51"/>
  <c r="J633" i="51"/>
  <c r="J632" i="51"/>
  <c r="J631" i="51"/>
  <c r="J630" i="51"/>
  <c r="J629" i="51"/>
  <c r="J628" i="51"/>
  <c r="J627" i="51"/>
  <c r="J626" i="51"/>
  <c r="J878" i="51"/>
  <c r="J536" i="51"/>
  <c r="J535" i="51"/>
  <c r="J534" i="51"/>
  <c r="J533" i="51"/>
  <c r="J532" i="51"/>
  <c r="J531" i="51"/>
  <c r="J530" i="51"/>
  <c r="J529" i="51"/>
  <c r="J528" i="51"/>
  <c r="J527" i="51"/>
  <c r="J526" i="51"/>
  <c r="J525" i="51"/>
  <c r="J524" i="51"/>
  <c r="J523" i="51"/>
  <c r="J522" i="51"/>
  <c r="J521" i="51"/>
  <c r="J520" i="51"/>
  <c r="J877" i="51"/>
  <c r="J876" i="51"/>
  <c r="J875" i="51"/>
  <c r="J874" i="51"/>
  <c r="J873" i="51"/>
  <c r="J872" i="51"/>
  <c r="J871" i="51"/>
  <c r="J870" i="51"/>
  <c r="J519" i="51"/>
  <c r="J518" i="51"/>
  <c r="J517" i="51"/>
  <c r="J516" i="51"/>
  <c r="J515" i="51"/>
  <c r="J514" i="51"/>
  <c r="J513" i="51"/>
  <c r="J512" i="51"/>
  <c r="J511" i="51"/>
  <c r="J510" i="51"/>
  <c r="J509" i="51"/>
  <c r="J508" i="51"/>
  <c r="J507" i="51"/>
  <c r="J506" i="51"/>
  <c r="J505" i="51"/>
  <c r="J504" i="51"/>
  <c r="J503" i="51"/>
  <c r="J502" i="51"/>
  <c r="J501" i="51"/>
  <c r="J500" i="51"/>
  <c r="J499" i="51"/>
  <c r="J498" i="51"/>
  <c r="J497" i="51"/>
  <c r="J496" i="51"/>
  <c r="J495" i="51"/>
  <c r="J494" i="51"/>
  <c r="J493" i="51"/>
  <c r="J492" i="51"/>
  <c r="J491" i="51"/>
  <c r="J490" i="51"/>
  <c r="J489" i="51"/>
  <c r="J488" i="51"/>
  <c r="J487" i="51"/>
  <c r="J486" i="51"/>
  <c r="J485" i="51"/>
  <c r="J484" i="51"/>
  <c r="J483" i="51"/>
  <c r="J482" i="51"/>
  <c r="J481" i="51"/>
  <c r="J480" i="51"/>
  <c r="J479" i="51"/>
  <c r="J478" i="51"/>
  <c r="J477" i="51"/>
  <c r="J476" i="51"/>
  <c r="J475" i="51"/>
  <c r="J474" i="51"/>
  <c r="J473" i="51"/>
  <c r="J472" i="51"/>
  <c r="J471" i="51"/>
  <c r="J470" i="51"/>
  <c r="J469" i="51"/>
  <c r="J468" i="51"/>
  <c r="J467" i="51"/>
  <c r="J466" i="51"/>
  <c r="J465" i="51"/>
  <c r="J464" i="51"/>
  <c r="J463" i="51"/>
  <c r="J462" i="51"/>
  <c r="J461" i="51"/>
  <c r="J460" i="51"/>
  <c r="J459" i="51"/>
  <c r="J458" i="51"/>
  <c r="J457" i="51"/>
  <c r="J456" i="51"/>
  <c r="J455" i="51"/>
  <c r="J454" i="51"/>
  <c r="J453" i="51"/>
  <c r="J452" i="51"/>
  <c r="J451" i="51"/>
  <c r="J450" i="51"/>
  <c r="J449" i="51"/>
  <c r="J448" i="51"/>
  <c r="J447" i="51"/>
  <c r="J446" i="51"/>
  <c r="J445" i="51"/>
  <c r="J444" i="51"/>
  <c r="J443" i="51"/>
  <c r="J442" i="51"/>
  <c r="J441" i="51"/>
  <c r="J440" i="51"/>
  <c r="J439" i="51"/>
  <c r="J438" i="51"/>
  <c r="J437" i="51"/>
  <c r="J436" i="51"/>
  <c r="J869" i="51"/>
  <c r="J868" i="51"/>
  <c r="J867" i="51"/>
  <c r="J866" i="51"/>
  <c r="J865" i="51"/>
  <c r="J864" i="51"/>
  <c r="J863" i="51"/>
  <c r="J862" i="51"/>
  <c r="J435" i="51"/>
  <c r="J434" i="51"/>
  <c r="J433" i="51"/>
  <c r="J432" i="51"/>
  <c r="J431" i="51"/>
  <c r="J430" i="51"/>
  <c r="J429" i="51"/>
  <c r="J428" i="51"/>
  <c r="J427" i="51"/>
  <c r="J426" i="51"/>
  <c r="J425" i="51"/>
  <c r="J424" i="51"/>
  <c r="J423" i="51"/>
  <c r="J422" i="51"/>
  <c r="J421" i="51"/>
  <c r="J420" i="51"/>
  <c r="J419" i="51"/>
  <c r="J418" i="51"/>
  <c r="J417" i="51"/>
  <c r="J416" i="51"/>
  <c r="J415" i="51"/>
  <c r="J414" i="51"/>
  <c r="J413" i="51"/>
  <c r="J412" i="51"/>
  <c r="J411" i="51"/>
  <c r="J410" i="51"/>
  <c r="J409" i="51"/>
  <c r="J408" i="51"/>
  <c r="J407" i="51"/>
  <c r="J406" i="51"/>
  <c r="J405" i="51"/>
  <c r="J404" i="51"/>
  <c r="J403" i="51"/>
  <c r="J402" i="51"/>
  <c r="J401" i="51"/>
  <c r="J400" i="51"/>
  <c r="J399" i="51"/>
  <c r="J398" i="51"/>
  <c r="J397" i="51"/>
  <c r="J396" i="51"/>
  <c r="J395" i="51"/>
  <c r="J394" i="51"/>
  <c r="J393" i="51"/>
  <c r="J392" i="51"/>
  <c r="J391" i="51"/>
  <c r="J390" i="51"/>
  <c r="J389" i="51"/>
  <c r="J388" i="51"/>
  <c r="J387" i="51"/>
  <c r="J386" i="51"/>
  <c r="J385" i="51"/>
  <c r="J384" i="51"/>
  <c r="J383" i="51"/>
  <c r="J382" i="51"/>
  <c r="J381" i="51"/>
  <c r="J380" i="51"/>
  <c r="J379" i="51"/>
  <c r="J378" i="51"/>
  <c r="J377" i="51"/>
  <c r="J376" i="51"/>
  <c r="J375" i="51"/>
  <c r="J374" i="51"/>
  <c r="J373" i="51"/>
  <c r="J372" i="51"/>
  <c r="J371" i="51"/>
  <c r="J370" i="51"/>
  <c r="J369" i="51"/>
  <c r="J368" i="51"/>
  <c r="J367" i="51"/>
  <c r="J366" i="51"/>
  <c r="J365" i="51"/>
  <c r="J364" i="51"/>
  <c r="J363" i="51"/>
  <c r="J362" i="51"/>
  <c r="J361" i="51"/>
  <c r="J360" i="51"/>
  <c r="J359" i="51"/>
  <c r="J358" i="51"/>
  <c r="J357" i="51"/>
  <c r="J356" i="51"/>
  <c r="J355" i="51"/>
  <c r="J354" i="51"/>
  <c r="J353" i="51"/>
  <c r="J352" i="51"/>
  <c r="J1123" i="51"/>
  <c r="J1122" i="51"/>
  <c r="J1121" i="51"/>
  <c r="J1108" i="51"/>
  <c r="J1107" i="51"/>
  <c r="J1106" i="51"/>
  <c r="J1105" i="51"/>
  <c r="J1104" i="51"/>
  <c r="J1103" i="51"/>
  <c r="J1102" i="51"/>
  <c r="J1101" i="51"/>
  <c r="J1100" i="51"/>
  <c r="J1099" i="51"/>
  <c r="J1098" i="51"/>
  <c r="J861" i="51"/>
  <c r="J860" i="51"/>
  <c r="J859" i="51"/>
  <c r="J351" i="51"/>
  <c r="J350" i="51"/>
  <c r="J349" i="51"/>
  <c r="J348" i="51"/>
  <c r="J347" i="51"/>
  <c r="J346" i="51"/>
  <c r="J345" i="51"/>
  <c r="J344" i="51"/>
  <c r="J1120" i="51"/>
  <c r="J1119" i="51"/>
  <c r="J1118" i="51"/>
  <c r="J1097" i="51"/>
  <c r="J1096" i="51"/>
  <c r="J1095" i="51"/>
  <c r="J1094" i="51"/>
  <c r="J1093" i="51"/>
  <c r="J1092" i="51"/>
  <c r="J1091" i="51"/>
  <c r="J1090" i="51"/>
  <c r="J1089" i="51"/>
  <c r="J1088" i="51"/>
  <c r="J1087" i="51"/>
  <c r="J1086" i="51"/>
  <c r="J1085" i="51"/>
  <c r="J1117" i="51"/>
  <c r="J1116" i="51"/>
  <c r="J1115" i="51"/>
  <c r="J1114" i="51"/>
  <c r="J1084" i="51"/>
  <c r="J1083" i="51"/>
  <c r="J1082" i="51"/>
  <c r="J1080" i="51"/>
  <c r="J1079" i="51"/>
  <c r="J1078" i="51"/>
  <c r="J1077" i="51"/>
  <c r="J1076" i="51"/>
  <c r="J1075" i="51"/>
  <c r="J1074" i="51"/>
  <c r="J1073" i="51"/>
  <c r="J1072" i="51"/>
  <c r="J1071" i="51"/>
  <c r="J1070" i="51"/>
  <c r="J1069" i="51"/>
  <c r="J1068" i="51"/>
  <c r="J1067" i="51"/>
  <c r="J1066" i="51"/>
  <c r="J1065" i="51"/>
  <c r="J1064" i="51"/>
  <c r="J1063" i="51"/>
  <c r="J1062" i="51"/>
  <c r="J1061" i="51"/>
  <c r="J1060" i="51"/>
  <c r="J1059" i="51"/>
  <c r="J1058" i="51"/>
  <c r="J1057" i="51"/>
  <c r="J1056" i="51"/>
  <c r="J1055" i="51"/>
  <c r="J1054" i="51"/>
  <c r="J1053" i="51"/>
  <c r="J1052" i="51"/>
  <c r="J1051" i="51"/>
  <c r="J1050" i="51"/>
  <c r="J1049" i="51"/>
  <c r="J1048" i="51"/>
  <c r="J1047" i="51"/>
  <c r="J1046" i="51"/>
  <c r="J1045" i="51"/>
  <c r="J1043" i="51"/>
  <c r="J1113" i="51"/>
  <c r="J1112" i="51"/>
  <c r="J1111" i="51"/>
  <c r="J1110" i="51"/>
  <c r="J1109" i="51"/>
  <c r="J1042" i="51"/>
  <c r="J1041" i="51"/>
  <c r="J1040" i="51"/>
  <c r="J1039" i="51"/>
  <c r="J1038" i="51"/>
  <c r="J1037" i="51"/>
  <c r="J1036" i="51"/>
  <c r="J1035" i="51"/>
  <c r="J1034" i="51"/>
  <c r="J1033" i="51"/>
  <c r="J1032" i="51"/>
  <c r="J1031" i="51"/>
  <c r="J1030" i="51"/>
  <c r="J1029" i="51"/>
  <c r="J1028" i="51"/>
  <c r="J1027" i="51"/>
  <c r="J1026" i="51"/>
  <c r="J1025" i="51"/>
  <c r="J1024" i="51"/>
  <c r="J1023" i="51"/>
  <c r="J1022" i="51"/>
  <c r="J1021" i="51"/>
  <c r="J1020" i="51"/>
  <c r="J1015" i="51"/>
  <c r="J1014" i="51"/>
  <c r="J1013" i="51"/>
  <c r="J1012" i="51"/>
  <c r="J1011" i="51"/>
  <c r="J1010" i="51"/>
  <c r="J93" i="51"/>
  <c r="J92" i="51"/>
  <c r="J91" i="51"/>
  <c r="J90" i="51"/>
  <c r="J89" i="51"/>
  <c r="J88" i="51"/>
  <c r="J87" i="51"/>
  <c r="J80" i="51"/>
  <c r="J79" i="51"/>
  <c r="J78" i="51"/>
  <c r="J77" i="51"/>
  <c r="J76" i="51"/>
  <c r="J75" i="51"/>
  <c r="J74" i="51"/>
  <c r="J73" i="51"/>
  <c r="J72" i="51"/>
  <c r="J71" i="51"/>
  <c r="J70" i="51"/>
  <c r="J69" i="51"/>
  <c r="J68" i="51"/>
  <c r="J67" i="51"/>
  <c r="J66" i="51"/>
  <c r="J65" i="51"/>
  <c r="J64" i="51"/>
  <c r="J63" i="51"/>
  <c r="J62" i="51"/>
  <c r="J61" i="51"/>
  <c r="J60" i="51"/>
  <c r="J59" i="51"/>
  <c r="J58" i="51"/>
  <c r="J56" i="51"/>
  <c r="J55" i="51"/>
  <c r="J54" i="51"/>
  <c r="J53" i="51"/>
  <c r="J52" i="51"/>
  <c r="J86" i="51"/>
  <c r="J85" i="51"/>
  <c r="J51" i="51"/>
  <c r="J50" i="51"/>
  <c r="J49" i="51"/>
  <c r="J48" i="51"/>
  <c r="J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84" i="51"/>
  <c r="J83" i="51"/>
  <c r="J82" i="51"/>
  <c r="J8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J5" i="51"/>
  <c r="J2" i="51"/>
  <c r="J3" i="51"/>
  <c r="J4" i="51"/>
  <c r="H354" i="51"/>
  <c r="H355" i="51"/>
  <c r="H356" i="51"/>
  <c r="W26" i="49"/>
  <c r="E89" i="18"/>
  <c r="E88" i="18"/>
  <c r="E87" i="18"/>
  <c r="E86" i="18"/>
  <c r="E85" i="18"/>
  <c r="E84" i="18"/>
  <c r="E83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2" i="18"/>
  <c r="E11" i="18"/>
  <c r="E10" i="18"/>
  <c r="E9" i="18"/>
  <c r="E8" i="18"/>
  <c r="E7" i="18"/>
  <c r="E6" i="18"/>
  <c r="E5" i="18"/>
  <c r="E4" i="18"/>
  <c r="E3" i="18"/>
  <c r="E2" i="18"/>
  <c r="P1088" i="52"/>
  <c r="P1087" i="52"/>
  <c r="P1086" i="52"/>
  <c r="P1085" i="52"/>
  <c r="P1084" i="52"/>
  <c r="P1083" i="52"/>
  <c r="P1082" i="52"/>
  <c r="P1081" i="52"/>
  <c r="P1080" i="52"/>
  <c r="P1079" i="52"/>
  <c r="P1078" i="52"/>
  <c r="P1077" i="52"/>
  <c r="P1076" i="52"/>
  <c r="P1075" i="52"/>
  <c r="P1074" i="52"/>
  <c r="P1073" i="52"/>
  <c r="P1072" i="52"/>
  <c r="P1071" i="52"/>
  <c r="P1070" i="52"/>
  <c r="P1069" i="52"/>
  <c r="P1068" i="52"/>
  <c r="P1067" i="52"/>
  <c r="P1066" i="52"/>
  <c r="P1065" i="52"/>
  <c r="P1064" i="52"/>
  <c r="P1063" i="52"/>
  <c r="P1062" i="52"/>
  <c r="P1061" i="52"/>
  <c r="P1060" i="52"/>
  <c r="P1059" i="52"/>
  <c r="P1058" i="52"/>
  <c r="P1057" i="52"/>
  <c r="P1056" i="52"/>
  <c r="P1055" i="52"/>
  <c r="P1054" i="52"/>
  <c r="P1053" i="52"/>
  <c r="P1052" i="52"/>
  <c r="P1051" i="52"/>
  <c r="P1050" i="52"/>
  <c r="P1049" i="52"/>
  <c r="P1048" i="52"/>
  <c r="P1047" i="52"/>
  <c r="P1046" i="52"/>
  <c r="P1045" i="52"/>
  <c r="P1044" i="52"/>
  <c r="P1043" i="52"/>
  <c r="P1042" i="52"/>
  <c r="P1041" i="52"/>
  <c r="P1040" i="52"/>
  <c r="P1039" i="52"/>
  <c r="P1038" i="52"/>
  <c r="P1037" i="52"/>
  <c r="P1036" i="52"/>
  <c r="P1035" i="52"/>
  <c r="P1034" i="52"/>
  <c r="P1033" i="52"/>
  <c r="P1032" i="52"/>
  <c r="P1031" i="52"/>
  <c r="P1030" i="52"/>
  <c r="P1029" i="52"/>
  <c r="P1028" i="52"/>
  <c r="P1027" i="52"/>
  <c r="P1026" i="52"/>
  <c r="P1025" i="52"/>
  <c r="P1024" i="52"/>
  <c r="P1023" i="52"/>
  <c r="P1022" i="52"/>
  <c r="P1021" i="52"/>
  <c r="P1020" i="52"/>
  <c r="P1019" i="52"/>
  <c r="P1018" i="52"/>
  <c r="P1017" i="52"/>
  <c r="P1016" i="52"/>
  <c r="P1015" i="52"/>
  <c r="P1014" i="52"/>
  <c r="P1013" i="52"/>
  <c r="P1012" i="52"/>
  <c r="P1011" i="52"/>
  <c r="P1010" i="52"/>
  <c r="P1009" i="52"/>
  <c r="P1008" i="52"/>
  <c r="P1007" i="52"/>
  <c r="P1006" i="52"/>
  <c r="P1005" i="52"/>
  <c r="P1004" i="52"/>
  <c r="P1003" i="52"/>
  <c r="P1002" i="52"/>
  <c r="P1001" i="52"/>
  <c r="P1000" i="52"/>
  <c r="P999" i="52"/>
  <c r="P998" i="52"/>
  <c r="P997" i="52"/>
  <c r="P996" i="52"/>
  <c r="P995" i="52"/>
  <c r="P994" i="52"/>
  <c r="P993" i="52"/>
  <c r="P992" i="52"/>
  <c r="P991" i="52"/>
  <c r="P990" i="52"/>
  <c r="P989" i="52"/>
  <c r="P988" i="52"/>
  <c r="P987" i="52"/>
  <c r="P986" i="52"/>
  <c r="P985" i="52"/>
  <c r="P984" i="52"/>
  <c r="P983" i="52"/>
  <c r="P982" i="52"/>
  <c r="P981" i="52"/>
  <c r="P980" i="52"/>
  <c r="P979" i="52"/>
  <c r="P978" i="52"/>
  <c r="P977" i="52"/>
  <c r="P976" i="52"/>
  <c r="P975" i="52"/>
  <c r="P974" i="52"/>
  <c r="P973" i="52"/>
  <c r="P972" i="52"/>
  <c r="P971" i="52"/>
  <c r="P970" i="52"/>
  <c r="P969" i="52"/>
  <c r="P968" i="52"/>
  <c r="P967" i="52"/>
  <c r="P966" i="52"/>
  <c r="P965" i="52"/>
  <c r="P964" i="52"/>
  <c r="P963" i="52"/>
  <c r="P962" i="52"/>
  <c r="P961" i="52"/>
  <c r="P960" i="52"/>
  <c r="P959" i="52"/>
  <c r="P958" i="52"/>
  <c r="P957" i="52"/>
  <c r="P956" i="52"/>
  <c r="P955" i="52"/>
  <c r="P954" i="52"/>
  <c r="P953" i="52"/>
  <c r="P952" i="52"/>
  <c r="P951" i="52"/>
  <c r="P950" i="52"/>
  <c r="P949" i="52"/>
  <c r="P948" i="52"/>
  <c r="P947" i="52"/>
  <c r="P946" i="52"/>
  <c r="P945" i="52"/>
  <c r="P944" i="52"/>
  <c r="P943" i="52"/>
  <c r="P942" i="52"/>
  <c r="P941" i="52"/>
  <c r="P940" i="52"/>
  <c r="P939" i="52"/>
  <c r="P938" i="52"/>
  <c r="P937" i="52"/>
  <c r="P936" i="52"/>
  <c r="P935" i="52"/>
  <c r="P934" i="52"/>
  <c r="P933" i="52"/>
  <c r="P932" i="52"/>
  <c r="P931" i="52"/>
  <c r="P930" i="52"/>
  <c r="P929" i="52"/>
  <c r="P928" i="52"/>
  <c r="P927" i="52"/>
  <c r="P926" i="52"/>
  <c r="P925" i="52"/>
  <c r="P924" i="52"/>
  <c r="P923" i="52"/>
  <c r="P922" i="52"/>
  <c r="P921" i="52"/>
  <c r="P920" i="52"/>
  <c r="P919" i="52"/>
  <c r="P918" i="52"/>
  <c r="P917" i="52"/>
  <c r="P916" i="52"/>
  <c r="P915" i="52"/>
  <c r="P914" i="52"/>
  <c r="P913" i="52"/>
  <c r="P912" i="52"/>
  <c r="P911" i="52"/>
  <c r="P910" i="52"/>
  <c r="P909" i="52"/>
  <c r="P908" i="52"/>
  <c r="P907" i="52"/>
  <c r="P906" i="52"/>
  <c r="P905" i="52"/>
  <c r="P904" i="52"/>
  <c r="P903" i="52"/>
  <c r="P902" i="52"/>
  <c r="P901" i="52"/>
  <c r="P900" i="52"/>
  <c r="P899" i="52"/>
  <c r="P898" i="52"/>
  <c r="P897" i="52"/>
  <c r="P896" i="52"/>
  <c r="P895" i="52"/>
  <c r="P894" i="52"/>
  <c r="P893" i="52"/>
  <c r="P892" i="52"/>
  <c r="P891" i="52"/>
  <c r="P890" i="52"/>
  <c r="P889" i="52"/>
  <c r="P888" i="52"/>
  <c r="P887" i="52"/>
  <c r="P886" i="52"/>
  <c r="P885" i="52"/>
  <c r="P884" i="52"/>
  <c r="P883" i="52"/>
  <c r="P882" i="52"/>
  <c r="P881" i="52"/>
  <c r="P880" i="52"/>
  <c r="P879" i="52"/>
  <c r="P878" i="52"/>
  <c r="P877" i="52"/>
  <c r="P876" i="52"/>
  <c r="P875" i="52"/>
  <c r="P874" i="52"/>
  <c r="P873" i="52"/>
  <c r="P872" i="52"/>
  <c r="P871" i="52"/>
  <c r="P870" i="52"/>
  <c r="P869" i="52"/>
  <c r="P868" i="52"/>
  <c r="P867" i="52"/>
  <c r="P866" i="52"/>
  <c r="P865" i="52"/>
  <c r="P864" i="52"/>
  <c r="P863" i="52"/>
  <c r="P862" i="52"/>
  <c r="P861" i="52"/>
  <c r="P860" i="52"/>
  <c r="P859" i="52"/>
  <c r="P858" i="52"/>
  <c r="P857" i="52"/>
  <c r="P856" i="52"/>
  <c r="P855" i="52"/>
  <c r="P854" i="52"/>
  <c r="P853" i="52"/>
  <c r="P852" i="52"/>
  <c r="P851" i="52"/>
  <c r="P850" i="52"/>
  <c r="P849" i="52"/>
  <c r="P848" i="52"/>
  <c r="P847" i="52"/>
  <c r="P846" i="52"/>
  <c r="P845" i="52"/>
  <c r="P844" i="52"/>
  <c r="P843" i="52"/>
  <c r="P842" i="52"/>
  <c r="P841" i="52"/>
  <c r="P840" i="52"/>
  <c r="P839" i="52"/>
  <c r="P838" i="52"/>
  <c r="P837" i="52"/>
  <c r="P836" i="52"/>
  <c r="P835" i="52"/>
  <c r="P834" i="52"/>
  <c r="P833" i="52"/>
  <c r="P832" i="52"/>
  <c r="P831" i="52"/>
  <c r="P830" i="52"/>
  <c r="P829" i="52"/>
  <c r="P828" i="52"/>
  <c r="P827" i="52"/>
  <c r="P826" i="52"/>
  <c r="P825" i="52"/>
  <c r="P824" i="52"/>
  <c r="P823" i="52"/>
  <c r="P822" i="52"/>
  <c r="P821" i="52"/>
  <c r="P820" i="52"/>
  <c r="P819" i="52"/>
  <c r="P818" i="52"/>
  <c r="P817" i="52"/>
  <c r="P816" i="52"/>
  <c r="P815" i="52"/>
  <c r="P814" i="52"/>
  <c r="P813" i="52"/>
  <c r="P812" i="52"/>
  <c r="P811" i="52"/>
  <c r="P810" i="52"/>
  <c r="P809" i="52"/>
  <c r="P808" i="52"/>
  <c r="P807" i="52"/>
  <c r="P806" i="52"/>
  <c r="P805" i="52"/>
  <c r="P804" i="52"/>
  <c r="P803" i="52"/>
  <c r="P802" i="52"/>
  <c r="P801" i="52"/>
  <c r="P800" i="52"/>
  <c r="P799" i="52"/>
  <c r="P798" i="52"/>
  <c r="P797" i="52"/>
  <c r="P796" i="52"/>
  <c r="P795" i="52"/>
  <c r="P794" i="52"/>
  <c r="P793" i="52"/>
  <c r="P792" i="52"/>
  <c r="P791" i="52"/>
  <c r="P790" i="52"/>
  <c r="P789" i="52"/>
  <c r="P788" i="52"/>
  <c r="P787" i="52"/>
  <c r="P786" i="52"/>
  <c r="P785" i="52"/>
  <c r="P784" i="52"/>
  <c r="P783" i="52"/>
  <c r="P782" i="52"/>
  <c r="P781" i="52"/>
  <c r="P780" i="52"/>
  <c r="P779" i="52"/>
  <c r="P778" i="52"/>
  <c r="P777" i="52"/>
  <c r="P776" i="52"/>
  <c r="P775" i="52"/>
  <c r="P774" i="52"/>
  <c r="P773" i="52"/>
  <c r="P772" i="52"/>
  <c r="P771" i="52"/>
  <c r="P770" i="52"/>
  <c r="P769" i="52"/>
  <c r="P768" i="52"/>
  <c r="P767" i="52"/>
  <c r="P766" i="52"/>
  <c r="P765" i="52"/>
  <c r="P764" i="52"/>
  <c r="P763" i="52"/>
  <c r="P762" i="52"/>
  <c r="P761" i="52"/>
  <c r="P760" i="52"/>
  <c r="P759" i="52"/>
  <c r="P758" i="52"/>
  <c r="P757" i="52"/>
  <c r="P756" i="52"/>
  <c r="P755" i="52"/>
  <c r="P754" i="52"/>
  <c r="P753" i="52"/>
  <c r="P752" i="52"/>
  <c r="P751" i="52"/>
  <c r="P750" i="52"/>
  <c r="P749" i="52"/>
  <c r="P748" i="52"/>
  <c r="P747" i="52"/>
  <c r="P746" i="52"/>
  <c r="P745" i="52"/>
  <c r="P744" i="52"/>
  <c r="P743" i="52"/>
  <c r="P742" i="52"/>
  <c r="P741" i="52"/>
  <c r="P740" i="52"/>
  <c r="P739" i="52"/>
  <c r="P738" i="52"/>
  <c r="P737" i="52"/>
  <c r="P736" i="52"/>
  <c r="P735" i="52"/>
  <c r="P734" i="52"/>
  <c r="P733" i="52"/>
  <c r="P732" i="52"/>
  <c r="P731" i="52"/>
  <c r="P730" i="52"/>
  <c r="P729" i="52"/>
  <c r="P728" i="52"/>
  <c r="P727" i="52"/>
  <c r="P726" i="52"/>
  <c r="P725" i="52"/>
  <c r="P724" i="52"/>
  <c r="P723" i="52"/>
  <c r="P722" i="52"/>
  <c r="P721" i="52"/>
  <c r="P720" i="52"/>
  <c r="P719" i="52"/>
  <c r="P718" i="52"/>
  <c r="P717" i="52"/>
  <c r="P716" i="52"/>
  <c r="P715" i="52"/>
  <c r="P714" i="52"/>
  <c r="P713" i="52"/>
  <c r="P712" i="52"/>
  <c r="P711" i="52"/>
  <c r="P710" i="52"/>
  <c r="P709" i="52"/>
  <c r="P708" i="52"/>
  <c r="P707" i="52"/>
  <c r="P706" i="52"/>
  <c r="P705" i="52"/>
  <c r="P704" i="52"/>
  <c r="P703" i="52"/>
  <c r="P702" i="52"/>
  <c r="P701" i="52"/>
  <c r="P700" i="52"/>
  <c r="P699" i="52"/>
  <c r="P698" i="52"/>
  <c r="P697" i="52"/>
  <c r="P696" i="52"/>
  <c r="P695" i="52"/>
  <c r="P694" i="52"/>
  <c r="P693" i="52"/>
  <c r="P692" i="52"/>
  <c r="P691" i="52"/>
  <c r="P690" i="52"/>
  <c r="P689" i="52"/>
  <c r="P688" i="52"/>
  <c r="P687" i="52"/>
  <c r="P686" i="52"/>
  <c r="P685" i="52"/>
  <c r="P684" i="52"/>
  <c r="P683" i="52"/>
  <c r="P682" i="52"/>
  <c r="P681" i="52"/>
  <c r="P680" i="52"/>
  <c r="P679" i="52"/>
  <c r="P678" i="52"/>
  <c r="P677" i="52"/>
  <c r="P676" i="52"/>
  <c r="P675" i="52"/>
  <c r="P674" i="52"/>
  <c r="P673" i="52"/>
  <c r="P672" i="52"/>
  <c r="P671" i="52"/>
  <c r="P670" i="52"/>
  <c r="P669" i="52"/>
  <c r="P668" i="52"/>
  <c r="P667" i="52"/>
  <c r="P666" i="52"/>
  <c r="P665" i="52"/>
  <c r="P664" i="52"/>
  <c r="P663" i="52"/>
  <c r="P662" i="52"/>
  <c r="P661" i="52"/>
  <c r="P660" i="52"/>
  <c r="P659" i="52"/>
  <c r="P658" i="52"/>
  <c r="P657" i="52"/>
  <c r="P656" i="52"/>
  <c r="P655" i="52"/>
  <c r="P654" i="52"/>
  <c r="P653" i="52"/>
  <c r="P652" i="52"/>
  <c r="P651" i="52"/>
  <c r="P650" i="52"/>
  <c r="P649" i="52"/>
  <c r="P648" i="52"/>
  <c r="P647" i="52"/>
  <c r="P646" i="52"/>
  <c r="P645" i="52"/>
  <c r="P644" i="52"/>
  <c r="P643" i="52"/>
  <c r="P642" i="52"/>
  <c r="P641" i="52"/>
  <c r="P640" i="52"/>
  <c r="P639" i="52"/>
  <c r="P638" i="52"/>
  <c r="P637" i="52"/>
  <c r="P636" i="52"/>
  <c r="P635" i="52"/>
  <c r="P634" i="52"/>
  <c r="P633" i="52"/>
  <c r="P632" i="52"/>
  <c r="P631" i="52"/>
  <c r="P630" i="52"/>
  <c r="P629" i="52"/>
  <c r="P628" i="52"/>
  <c r="P627" i="52"/>
  <c r="P626" i="52"/>
  <c r="P625" i="52"/>
  <c r="P624" i="52"/>
  <c r="P623" i="52"/>
  <c r="P622" i="52"/>
  <c r="P621" i="52"/>
  <c r="P620" i="52"/>
  <c r="P619" i="52"/>
  <c r="P618" i="52"/>
  <c r="P617" i="52"/>
  <c r="P616" i="52"/>
  <c r="P615" i="52"/>
  <c r="P614" i="52"/>
  <c r="P613" i="52"/>
  <c r="P612" i="52"/>
  <c r="P611" i="52"/>
  <c r="P610" i="52"/>
  <c r="P609" i="52"/>
  <c r="P608" i="52"/>
  <c r="P607" i="52"/>
  <c r="P606" i="52"/>
  <c r="P605" i="52"/>
  <c r="P604" i="52"/>
  <c r="P603" i="52"/>
  <c r="P602" i="52"/>
  <c r="P601" i="52"/>
  <c r="P600" i="52"/>
  <c r="P599" i="52"/>
  <c r="P598" i="52"/>
  <c r="P597" i="52"/>
  <c r="P596" i="52"/>
  <c r="P595" i="52"/>
  <c r="P594" i="52"/>
  <c r="P593" i="52"/>
  <c r="P592" i="52"/>
  <c r="P591" i="52"/>
  <c r="P590" i="52"/>
  <c r="P589" i="52"/>
  <c r="P588" i="52"/>
  <c r="P587" i="52"/>
  <c r="P586" i="52"/>
  <c r="P585" i="52"/>
  <c r="P584" i="52"/>
  <c r="P583" i="52"/>
  <c r="P582" i="52"/>
  <c r="P581" i="52"/>
  <c r="P580" i="52"/>
  <c r="P579" i="52"/>
  <c r="P578" i="52"/>
  <c r="P577" i="52"/>
  <c r="P576" i="52"/>
  <c r="P575" i="52"/>
  <c r="P574" i="52"/>
  <c r="P573" i="52"/>
  <c r="P572" i="52"/>
  <c r="P571" i="52"/>
  <c r="P570" i="52"/>
  <c r="P569" i="52"/>
  <c r="P568" i="52"/>
  <c r="P567" i="52"/>
  <c r="P566" i="52"/>
  <c r="P565" i="52"/>
  <c r="P564" i="52"/>
  <c r="P563" i="52"/>
  <c r="P562" i="52"/>
  <c r="P561" i="52"/>
  <c r="P560" i="52"/>
  <c r="P559" i="52"/>
  <c r="P558" i="52"/>
  <c r="P557" i="52"/>
  <c r="P556" i="52"/>
  <c r="P555" i="52"/>
  <c r="P554" i="52"/>
  <c r="P553" i="52"/>
  <c r="P552" i="52"/>
  <c r="P551" i="52"/>
  <c r="P550" i="52"/>
  <c r="P549" i="52"/>
  <c r="P548" i="52"/>
  <c r="P547" i="52"/>
  <c r="P546" i="52"/>
  <c r="P545" i="52"/>
  <c r="P544" i="52"/>
  <c r="P543" i="52"/>
  <c r="P542" i="52"/>
  <c r="P541" i="52"/>
  <c r="P540" i="52"/>
  <c r="P539" i="52"/>
  <c r="P538" i="52"/>
  <c r="P537" i="52"/>
  <c r="P536" i="52"/>
  <c r="P535" i="52"/>
  <c r="P534" i="52"/>
  <c r="P533" i="52"/>
  <c r="P532" i="52"/>
  <c r="P531" i="52"/>
  <c r="P530" i="52"/>
  <c r="P529" i="52"/>
  <c r="P528" i="52"/>
  <c r="P527" i="52"/>
  <c r="P526" i="52"/>
  <c r="P525" i="52"/>
  <c r="P524" i="52"/>
  <c r="P523" i="52"/>
  <c r="P522" i="52"/>
  <c r="P521" i="52"/>
  <c r="P520" i="52"/>
  <c r="P519" i="52"/>
  <c r="P518" i="52"/>
  <c r="P517" i="52"/>
  <c r="P516" i="52"/>
  <c r="P515" i="52"/>
  <c r="P514" i="52"/>
  <c r="P513" i="52"/>
  <c r="P512" i="52"/>
  <c r="P511" i="52"/>
  <c r="P510" i="52"/>
  <c r="P509" i="52"/>
  <c r="P508" i="52"/>
  <c r="P507" i="52"/>
  <c r="P506" i="52"/>
  <c r="P505" i="52"/>
  <c r="P504" i="52"/>
  <c r="P503" i="52"/>
  <c r="P502" i="52"/>
  <c r="P501" i="52"/>
  <c r="P500" i="52"/>
  <c r="P499" i="52"/>
  <c r="P498" i="52"/>
  <c r="P497" i="52"/>
  <c r="P496" i="52"/>
  <c r="P495" i="52"/>
  <c r="P494" i="52"/>
  <c r="P493" i="52"/>
  <c r="P492" i="52"/>
  <c r="P491" i="52"/>
  <c r="P490" i="52"/>
  <c r="P489" i="52"/>
  <c r="P488" i="52"/>
  <c r="P487" i="52"/>
  <c r="P486" i="52"/>
  <c r="P485" i="52"/>
  <c r="P484" i="52"/>
  <c r="P483" i="52"/>
  <c r="P482" i="52"/>
  <c r="P481" i="52"/>
  <c r="P480" i="52"/>
  <c r="P479" i="52"/>
  <c r="P478" i="52"/>
  <c r="P477" i="52"/>
  <c r="P476" i="52"/>
  <c r="P475" i="52"/>
  <c r="P474" i="52"/>
  <c r="P473" i="52"/>
  <c r="P472" i="52"/>
  <c r="P471" i="52"/>
  <c r="P470" i="52"/>
  <c r="P469" i="52"/>
  <c r="P468" i="52"/>
  <c r="P467" i="52"/>
  <c r="P466" i="52"/>
  <c r="P465" i="52"/>
  <c r="P464" i="52"/>
  <c r="P463" i="52"/>
  <c r="P462" i="52"/>
  <c r="P461" i="52"/>
  <c r="P460" i="52"/>
  <c r="P459" i="52"/>
  <c r="P458" i="52"/>
  <c r="P457" i="52"/>
  <c r="P456" i="52"/>
  <c r="P455" i="52"/>
  <c r="P454" i="52"/>
  <c r="P453" i="52"/>
  <c r="P452" i="52"/>
  <c r="P451" i="52"/>
  <c r="P450" i="52"/>
  <c r="P449" i="52"/>
  <c r="P448" i="52"/>
  <c r="P447" i="52"/>
  <c r="P446" i="52"/>
  <c r="P445" i="52"/>
  <c r="P444" i="52"/>
  <c r="P443" i="52"/>
  <c r="P442" i="52"/>
  <c r="P441" i="52"/>
  <c r="P440" i="52"/>
  <c r="P439" i="52"/>
  <c r="P438" i="52"/>
  <c r="P437" i="52"/>
  <c r="P436" i="52"/>
  <c r="P435" i="52"/>
  <c r="P434" i="52"/>
  <c r="P433" i="52"/>
  <c r="P432" i="52"/>
  <c r="P431" i="52"/>
  <c r="P430" i="52"/>
  <c r="P429" i="52"/>
  <c r="P428" i="52"/>
  <c r="P427" i="52"/>
  <c r="P426" i="52"/>
  <c r="P425" i="52"/>
  <c r="P424" i="52"/>
  <c r="P423" i="52"/>
  <c r="P422" i="52"/>
  <c r="P421" i="52"/>
  <c r="P420" i="52"/>
  <c r="P419" i="52"/>
  <c r="P418" i="52"/>
  <c r="P417" i="52"/>
  <c r="P416" i="52"/>
  <c r="P415" i="52"/>
  <c r="P414" i="52"/>
  <c r="P413" i="52"/>
  <c r="P412" i="52"/>
  <c r="P411" i="52"/>
  <c r="P410" i="52"/>
  <c r="P409" i="52"/>
  <c r="P408" i="52"/>
  <c r="P407" i="52"/>
  <c r="P406" i="52"/>
  <c r="P405" i="52"/>
  <c r="P404" i="52"/>
  <c r="P403" i="52"/>
  <c r="P402" i="52"/>
  <c r="P401" i="52"/>
  <c r="P400" i="52"/>
  <c r="P399" i="52"/>
  <c r="P398" i="52"/>
  <c r="P397" i="52"/>
  <c r="P396" i="52"/>
  <c r="P395" i="52"/>
  <c r="P394" i="52"/>
  <c r="P393" i="52"/>
  <c r="P392" i="52"/>
  <c r="P391" i="52"/>
  <c r="P390" i="52"/>
  <c r="P389" i="52"/>
  <c r="P388" i="52"/>
  <c r="P387" i="52"/>
  <c r="P386" i="52"/>
  <c r="P385" i="52"/>
  <c r="P384" i="52"/>
  <c r="P383" i="52"/>
  <c r="P382" i="52"/>
  <c r="P381" i="52"/>
  <c r="P380" i="52"/>
  <c r="P379" i="52"/>
  <c r="P378" i="52"/>
  <c r="P377" i="52"/>
  <c r="P376" i="52"/>
  <c r="P375" i="52"/>
  <c r="P374" i="52"/>
  <c r="P373" i="52"/>
  <c r="P372" i="52"/>
  <c r="P371" i="52"/>
  <c r="P370" i="52"/>
  <c r="P369" i="52"/>
  <c r="P368" i="52"/>
  <c r="P367" i="52"/>
  <c r="P366" i="52"/>
  <c r="P365" i="52"/>
  <c r="P364" i="52"/>
  <c r="P363" i="52"/>
  <c r="P362" i="52"/>
  <c r="P361" i="52"/>
  <c r="P360" i="52"/>
  <c r="P359" i="52"/>
  <c r="P358" i="52"/>
  <c r="P357" i="52"/>
  <c r="P356" i="52"/>
  <c r="P355" i="52"/>
  <c r="P354" i="52"/>
  <c r="P353" i="52"/>
  <c r="P352" i="52"/>
  <c r="P351" i="52"/>
  <c r="P350" i="52"/>
  <c r="P349" i="52"/>
  <c r="P348" i="52"/>
  <c r="P347" i="52"/>
  <c r="P346" i="52"/>
  <c r="P345" i="52"/>
  <c r="P344" i="52"/>
  <c r="P343" i="52"/>
  <c r="P342" i="52"/>
  <c r="P341" i="52"/>
  <c r="P340" i="52"/>
  <c r="P339" i="52"/>
  <c r="P338" i="52"/>
  <c r="P337" i="52"/>
  <c r="P336" i="52"/>
  <c r="P335" i="52"/>
  <c r="P334" i="52"/>
  <c r="P333" i="52"/>
  <c r="P332" i="52"/>
  <c r="P331" i="52"/>
  <c r="P330" i="52"/>
  <c r="P329" i="52"/>
  <c r="P328" i="52"/>
  <c r="P327" i="52"/>
  <c r="P326" i="52"/>
  <c r="P325" i="52"/>
  <c r="P324" i="52"/>
  <c r="P323" i="52"/>
  <c r="P322" i="52"/>
  <c r="P321" i="52"/>
  <c r="P320" i="52"/>
  <c r="P319" i="52"/>
  <c r="P318" i="52"/>
  <c r="P317" i="52"/>
  <c r="P316" i="52"/>
  <c r="P315" i="52"/>
  <c r="P314" i="52"/>
  <c r="P313" i="52"/>
  <c r="P312" i="52"/>
  <c r="P311" i="52"/>
  <c r="P310" i="52"/>
  <c r="P309" i="52"/>
  <c r="P308" i="52"/>
  <c r="P307" i="52"/>
  <c r="P306" i="52"/>
  <c r="P305" i="52"/>
  <c r="P304" i="52"/>
  <c r="P303" i="52"/>
  <c r="P302" i="52"/>
  <c r="P301" i="52"/>
  <c r="P300" i="52"/>
  <c r="P299" i="52"/>
  <c r="P298" i="52"/>
  <c r="P297" i="52"/>
  <c r="P296" i="52"/>
  <c r="P295" i="52"/>
  <c r="P294" i="52"/>
  <c r="P293" i="52"/>
  <c r="P292" i="52"/>
  <c r="P291" i="52"/>
  <c r="P290" i="52"/>
  <c r="P289" i="52"/>
  <c r="P288" i="52"/>
  <c r="P287" i="52"/>
  <c r="P286" i="52"/>
  <c r="P285" i="52"/>
  <c r="P284" i="52"/>
  <c r="P283" i="52"/>
  <c r="P282" i="52"/>
  <c r="P281" i="52"/>
  <c r="P280" i="52"/>
  <c r="P279" i="52"/>
  <c r="P278" i="52"/>
  <c r="P277" i="52"/>
  <c r="P276" i="52"/>
  <c r="P275" i="52"/>
  <c r="P274" i="52"/>
  <c r="P273" i="52"/>
  <c r="P272" i="52"/>
  <c r="P271" i="52"/>
  <c r="P270" i="52"/>
  <c r="P269" i="52"/>
  <c r="P268" i="52"/>
  <c r="P267" i="52"/>
  <c r="P266" i="52"/>
  <c r="P265" i="52"/>
  <c r="P264" i="52"/>
  <c r="P263" i="52"/>
  <c r="P262" i="52"/>
  <c r="P261" i="52"/>
  <c r="P260" i="52"/>
  <c r="P259" i="52"/>
  <c r="P258" i="52"/>
  <c r="P257" i="52"/>
  <c r="P256" i="52"/>
  <c r="P255" i="52"/>
  <c r="P254" i="52"/>
  <c r="P253" i="52"/>
  <c r="P252" i="52"/>
  <c r="P251" i="52"/>
  <c r="P250" i="52"/>
  <c r="P249" i="52"/>
  <c r="P248" i="52"/>
  <c r="P247" i="52"/>
  <c r="P246" i="52"/>
  <c r="P245" i="52"/>
  <c r="P244" i="52"/>
  <c r="P243" i="52"/>
  <c r="P242" i="52"/>
  <c r="P241" i="52"/>
  <c r="P240" i="52"/>
  <c r="P239" i="52"/>
  <c r="P238" i="52"/>
  <c r="P237" i="52"/>
  <c r="P236" i="52"/>
  <c r="P235" i="52"/>
  <c r="P234" i="52"/>
  <c r="P233" i="52"/>
  <c r="P232" i="52"/>
  <c r="P231" i="52"/>
  <c r="P230" i="52"/>
  <c r="P229" i="52"/>
  <c r="P228" i="52"/>
  <c r="P227" i="52"/>
  <c r="P226" i="52"/>
  <c r="P225" i="52"/>
  <c r="P224" i="52"/>
  <c r="P223" i="52"/>
  <c r="P222" i="52"/>
  <c r="P221" i="52"/>
  <c r="P220" i="52"/>
  <c r="P219" i="52"/>
  <c r="P218" i="52"/>
  <c r="P217" i="52"/>
  <c r="P216" i="52"/>
  <c r="P215" i="52"/>
  <c r="P214" i="52"/>
  <c r="P213" i="52"/>
  <c r="P212" i="52"/>
  <c r="P211" i="52"/>
  <c r="P210" i="52"/>
  <c r="P209" i="52"/>
  <c r="P208" i="52"/>
  <c r="P207" i="52"/>
  <c r="P206" i="52"/>
  <c r="P205" i="52"/>
  <c r="P204" i="52"/>
  <c r="P203" i="52"/>
  <c r="P202" i="52"/>
  <c r="P201" i="52"/>
  <c r="P200" i="52"/>
  <c r="P199" i="52"/>
  <c r="P198" i="52"/>
  <c r="P197" i="52"/>
  <c r="P196" i="52"/>
  <c r="P195" i="52"/>
  <c r="P194" i="52"/>
  <c r="P193" i="52"/>
  <c r="P192" i="52"/>
  <c r="P191" i="52"/>
  <c r="P190" i="52"/>
  <c r="P189" i="52"/>
  <c r="P188" i="52"/>
  <c r="P187" i="52"/>
  <c r="P186" i="52"/>
  <c r="P185" i="52"/>
  <c r="P184" i="52"/>
  <c r="P183" i="52"/>
  <c r="P182" i="52"/>
  <c r="P181" i="52"/>
  <c r="P180" i="52"/>
  <c r="P179" i="52"/>
  <c r="P178" i="52"/>
  <c r="P177" i="52"/>
  <c r="P176" i="52"/>
  <c r="P175" i="52"/>
  <c r="P174" i="52"/>
  <c r="P173" i="52"/>
  <c r="P172" i="52"/>
  <c r="P171" i="52"/>
  <c r="P170" i="52"/>
  <c r="P169" i="52"/>
  <c r="P168" i="52"/>
  <c r="P167" i="52"/>
  <c r="P166" i="52"/>
  <c r="P165" i="52"/>
  <c r="P164" i="52"/>
  <c r="P163" i="52"/>
  <c r="P162" i="52"/>
  <c r="P161" i="52"/>
  <c r="P160" i="52"/>
  <c r="P159" i="52"/>
  <c r="P158" i="52"/>
  <c r="P157" i="52"/>
  <c r="P156" i="52"/>
  <c r="P155" i="52"/>
  <c r="P154" i="52"/>
  <c r="P153" i="52"/>
  <c r="P152" i="52"/>
  <c r="P151" i="52"/>
  <c r="P150" i="52"/>
  <c r="P149" i="52"/>
  <c r="P148" i="52"/>
  <c r="P147" i="52"/>
  <c r="P146" i="52"/>
  <c r="P145" i="52"/>
  <c r="P144" i="52"/>
  <c r="P143" i="52"/>
  <c r="P142" i="52"/>
  <c r="P141" i="52"/>
  <c r="P140" i="52"/>
  <c r="P139" i="52"/>
  <c r="P138" i="52"/>
  <c r="P137" i="52"/>
  <c r="P136" i="52"/>
  <c r="P135" i="52"/>
  <c r="P134" i="52"/>
  <c r="P133" i="52"/>
  <c r="P132" i="52"/>
  <c r="P131" i="52"/>
  <c r="P130" i="52"/>
  <c r="P129" i="52"/>
  <c r="P128" i="52"/>
  <c r="P127" i="52"/>
  <c r="P126" i="52"/>
  <c r="P125" i="52"/>
  <c r="P124" i="52"/>
  <c r="P123" i="52"/>
  <c r="P122" i="52"/>
  <c r="P121" i="52"/>
  <c r="P120" i="52"/>
  <c r="P119" i="52"/>
  <c r="P118" i="52"/>
  <c r="P117" i="52"/>
  <c r="P116" i="52"/>
  <c r="P115" i="52"/>
  <c r="P114" i="52"/>
  <c r="P113" i="52"/>
  <c r="P112" i="52"/>
  <c r="P111" i="52"/>
  <c r="P110" i="52"/>
  <c r="P109" i="52"/>
  <c r="P108" i="52"/>
  <c r="P107" i="52"/>
  <c r="P106" i="52"/>
  <c r="P105" i="52"/>
  <c r="P104" i="52"/>
  <c r="P103" i="52"/>
  <c r="P102" i="52"/>
  <c r="P101" i="52"/>
  <c r="P100" i="52"/>
  <c r="P99" i="52"/>
  <c r="P98" i="52"/>
  <c r="P97" i="52"/>
  <c r="P96" i="52"/>
  <c r="P95" i="52"/>
  <c r="P94" i="52"/>
  <c r="P93" i="52"/>
  <c r="P92" i="52"/>
  <c r="P91" i="52"/>
  <c r="P90" i="52"/>
  <c r="P89" i="52"/>
  <c r="P88" i="52"/>
  <c r="P87" i="52"/>
  <c r="P86" i="52"/>
  <c r="P85" i="52"/>
  <c r="P84" i="52"/>
  <c r="P83" i="52"/>
  <c r="P82" i="52"/>
  <c r="P81" i="52"/>
  <c r="P80" i="52"/>
  <c r="P79" i="52"/>
  <c r="P78" i="52"/>
  <c r="P77" i="52"/>
  <c r="P76" i="52"/>
  <c r="P75" i="52"/>
  <c r="P74" i="52"/>
  <c r="P73" i="52"/>
  <c r="P72" i="52"/>
  <c r="P71" i="52"/>
  <c r="P70" i="52"/>
  <c r="P69" i="52"/>
  <c r="P68" i="52"/>
  <c r="P67" i="52"/>
  <c r="P66" i="52"/>
  <c r="P65" i="52"/>
  <c r="P64" i="52"/>
  <c r="P63" i="52"/>
  <c r="P62" i="52"/>
  <c r="P61" i="52"/>
  <c r="P60" i="52"/>
  <c r="P59" i="52"/>
  <c r="P58" i="52"/>
  <c r="P57" i="52"/>
  <c r="P56" i="52"/>
  <c r="P55" i="52"/>
  <c r="P54" i="52"/>
  <c r="P53" i="52"/>
  <c r="P52" i="52"/>
  <c r="P51" i="52"/>
  <c r="P50" i="52"/>
  <c r="P49" i="52"/>
  <c r="P48" i="52"/>
  <c r="P47" i="52"/>
  <c r="P46" i="52"/>
  <c r="P45" i="52"/>
  <c r="P44" i="52"/>
  <c r="P43" i="52"/>
  <c r="P42" i="52"/>
  <c r="P41" i="52"/>
  <c r="P40" i="52"/>
  <c r="P39" i="52"/>
  <c r="P38" i="52"/>
  <c r="P37" i="52"/>
  <c r="P36" i="52"/>
  <c r="P35" i="52"/>
  <c r="P34" i="52"/>
  <c r="P33" i="52"/>
  <c r="P32" i="52"/>
  <c r="P31" i="52"/>
  <c r="P30" i="52"/>
  <c r="P29" i="52"/>
  <c r="P28" i="52"/>
  <c r="P27" i="52"/>
  <c r="P26" i="52"/>
  <c r="P25" i="52"/>
  <c r="P24" i="52"/>
  <c r="P23" i="52"/>
  <c r="P22" i="52"/>
  <c r="P21" i="52"/>
  <c r="P20" i="52"/>
  <c r="P19" i="52"/>
  <c r="P18" i="52"/>
  <c r="P17" i="52"/>
  <c r="P16" i="52"/>
  <c r="P15" i="52"/>
  <c r="P14" i="52"/>
  <c r="P13" i="52"/>
  <c r="P12" i="52"/>
  <c r="P11" i="52"/>
  <c r="P10" i="52"/>
  <c r="P9" i="52"/>
  <c r="P8" i="52"/>
  <c r="P7" i="52"/>
  <c r="P6" i="52"/>
  <c r="P5" i="52"/>
  <c r="P4" i="52"/>
  <c r="P3" i="52"/>
  <c r="P2" i="52"/>
  <c r="Y1435" i="49" l="1"/>
  <c r="Y1436" i="49"/>
  <c r="Y1418" i="49"/>
  <c r="Y1419" i="49"/>
  <c r="Y1420" i="49"/>
  <c r="Y1421" i="49"/>
  <c r="Y1428" i="49"/>
  <c r="Y1410" i="49"/>
  <c r="Y580" i="49"/>
  <c r="Y1429" i="49"/>
  <c r="Y1411" i="49"/>
  <c r="Y1430" i="49"/>
  <c r="Y1412" i="49"/>
  <c r="Y581" i="49"/>
  <c r="Y1422" i="49"/>
  <c r="Y1413" i="49"/>
  <c r="Y1423" i="49"/>
  <c r="Y1414" i="49"/>
  <c r="Y1424" i="49"/>
  <c r="Y1415" i="49"/>
  <c r="Y582" i="49"/>
  <c r="Y1434" i="49"/>
  <c r="Y1416" i="49"/>
  <c r="Y1417" i="49"/>
  <c r="Y1425" i="49"/>
  <c r="Y1426" i="49"/>
  <c r="Y1427" i="49"/>
  <c r="Y1437" i="49"/>
  <c r="Y1438" i="49"/>
  <c r="Y1439" i="49"/>
  <c r="Y1431" i="49"/>
  <c r="Y1432" i="49"/>
  <c r="Y1433" i="49"/>
  <c r="Y579" i="49"/>
  <c r="Y117" i="49"/>
  <c r="Y118" i="49"/>
  <c r="Y393" i="49"/>
  <c r="Y413" i="49"/>
  <c r="Y433" i="49"/>
  <c r="Y434" i="49"/>
  <c r="Y443" i="49"/>
  <c r="Y1028" i="49"/>
  <c r="Y1029" i="49"/>
  <c r="Y1393" i="49"/>
  <c r="Y1405" i="49"/>
  <c r="Y1387" i="49"/>
  <c r="Y1406" i="49"/>
  <c r="Y1388" i="49"/>
  <c r="Y1407" i="49"/>
  <c r="Y1377" i="49"/>
  <c r="Y1389" i="49"/>
  <c r="Y1368" i="49"/>
  <c r="Y1394" i="49"/>
  <c r="Y1395" i="49"/>
  <c r="Y1396" i="49"/>
  <c r="Y1408" i="49"/>
  <c r="Y1378" i="49"/>
  <c r="Y1369" i="49"/>
  <c r="Y1397" i="49"/>
  <c r="Y1409" i="49"/>
  <c r="Y1379" i="49"/>
  <c r="Y1370" i="49"/>
  <c r="Y1398" i="49"/>
  <c r="Y1380" i="49"/>
  <c r="Y1371" i="49"/>
  <c r="Y1399" i="49"/>
  <c r="Y1381" i="49"/>
  <c r="Y1372" i="49"/>
  <c r="Y1400" i="49"/>
  <c r="Y1382" i="49"/>
  <c r="Y1376" i="49"/>
  <c r="Y1373" i="49"/>
  <c r="Y1401" i="49"/>
  <c r="Y1383" i="49"/>
  <c r="Y1374" i="49"/>
  <c r="Y1402" i="49"/>
  <c r="Y1390" i="49"/>
  <c r="Y1384" i="49"/>
  <c r="Y1375" i="49"/>
  <c r="Y1391" i="49"/>
  <c r="Y1403" i="49"/>
  <c r="Y1385" i="49"/>
  <c r="Y1392" i="49"/>
  <c r="Y1404" i="49"/>
  <c r="Y1386" i="49"/>
  <c r="Y1360" i="49"/>
  <c r="Y1361" i="49"/>
  <c r="Y1362" i="49"/>
  <c r="Y1363" i="49"/>
  <c r="Y1364" i="49"/>
  <c r="Y1365" i="49"/>
  <c r="Y1366" i="49"/>
  <c r="Y1367" i="49"/>
  <c r="Y1350" i="49"/>
  <c r="Y1351" i="49"/>
  <c r="Y1352" i="49"/>
  <c r="Y1353" i="49"/>
  <c r="Y1354" i="49"/>
  <c r="Y1355" i="49"/>
  <c r="Y1356" i="49"/>
  <c r="Y1357" i="49"/>
  <c r="Y1358" i="49"/>
  <c r="Y1359" i="49"/>
  <c r="Y1349" i="49"/>
  <c r="Y1340" i="49"/>
  <c r="Y1341" i="49"/>
  <c r="Y1342" i="49"/>
  <c r="Y1343" i="49"/>
  <c r="Y1344" i="49"/>
  <c r="Y1345" i="49"/>
  <c r="Y1346" i="49"/>
  <c r="Y1347" i="49"/>
  <c r="Y1348" i="49"/>
  <c r="Y1339" i="49"/>
  <c r="Y1332" i="49"/>
  <c r="Y1333" i="49"/>
  <c r="Y1334" i="49"/>
  <c r="Y1335" i="49"/>
  <c r="Y1336" i="49"/>
  <c r="Y1337" i="49"/>
  <c r="Y1338" i="49"/>
  <c r="Y1331" i="49"/>
  <c r="Y1315" i="49"/>
  <c r="Y1316" i="49"/>
  <c r="Y1317" i="49"/>
  <c r="Y1318" i="49"/>
  <c r="Y1319" i="49"/>
  <c r="Y1320" i="49"/>
  <c r="Y1321" i="49"/>
  <c r="Y1322" i="49"/>
  <c r="Y1323" i="49"/>
  <c r="Y1324" i="49"/>
  <c r="Y1325" i="49"/>
  <c r="Y1326" i="49"/>
  <c r="Y1327" i="49"/>
  <c r="Y1328" i="49"/>
  <c r="Y1329" i="49"/>
  <c r="Y1330" i="49"/>
  <c r="Y1314" i="49"/>
  <c r="Y1280" i="49"/>
  <c r="Y1281" i="49"/>
  <c r="Y1282" i="49"/>
  <c r="Y1283" i="49"/>
  <c r="Y1284" i="49"/>
  <c r="Y1285" i="49"/>
  <c r="Y1286" i="49"/>
  <c r="Y1287" i="49"/>
  <c r="Y1288" i="49"/>
  <c r="Y1289" i="49"/>
  <c r="Y1290" i="49"/>
  <c r="Y1291" i="49"/>
  <c r="Y1292" i="49"/>
  <c r="Y1293" i="49"/>
  <c r="Y1294" i="49"/>
  <c r="Y1295" i="49"/>
  <c r="Y1296" i="49"/>
  <c r="Y1297" i="49"/>
  <c r="Y1298" i="49"/>
  <c r="Y1299" i="49"/>
  <c r="Y1300" i="49"/>
  <c r="Y1301" i="49"/>
  <c r="Y1302" i="49"/>
  <c r="Y1303" i="49"/>
  <c r="Y1304" i="49"/>
  <c r="Y1305" i="49"/>
  <c r="Y1306" i="49"/>
  <c r="Y1307" i="49"/>
  <c r="Y1308" i="49"/>
  <c r="Y1309" i="49"/>
  <c r="Y1310" i="49"/>
  <c r="Y1311" i="49"/>
  <c r="Y1312" i="49"/>
  <c r="Y1313" i="49"/>
  <c r="Y1279" i="49"/>
  <c r="Y1270" i="49"/>
  <c r="Y1271" i="49"/>
  <c r="Y1272" i="49"/>
  <c r="Y1273" i="49"/>
  <c r="Y1274" i="49"/>
  <c r="Y1275" i="49"/>
  <c r="Y1276" i="49"/>
  <c r="Y1277" i="49"/>
  <c r="Y1278" i="49"/>
  <c r="Y1269" i="49"/>
  <c r="Y1256" i="49"/>
  <c r="Y1257" i="49"/>
  <c r="Y1258" i="49"/>
  <c r="Y1259" i="49"/>
  <c r="Y1260" i="49"/>
  <c r="Y1261" i="49"/>
  <c r="Y1262" i="49"/>
  <c r="Y1263" i="49"/>
  <c r="Y1264" i="49"/>
  <c r="Y1265" i="49"/>
  <c r="Y1266" i="49"/>
  <c r="Y1267" i="49"/>
  <c r="Y1268" i="49"/>
  <c r="Y1255" i="49"/>
  <c r="Y1245" i="49"/>
  <c r="Y1246" i="49"/>
  <c r="Y1247" i="49"/>
  <c r="Y1248" i="49"/>
  <c r="Y1249" i="49"/>
  <c r="Y1250" i="49"/>
  <c r="Y1251" i="49"/>
  <c r="Y1252" i="49"/>
  <c r="Y1253" i="49"/>
  <c r="Y1254" i="49"/>
  <c r="Y1234" i="49"/>
  <c r="Y1235" i="49"/>
  <c r="Y1236" i="49"/>
  <c r="Y1237" i="49"/>
  <c r="Y1238" i="49"/>
  <c r="Y1239" i="49"/>
  <c r="Y1240" i="49"/>
  <c r="Y1241" i="49"/>
  <c r="Y1242" i="49"/>
  <c r="Y1243" i="49"/>
  <c r="Y1244" i="49"/>
  <c r="Y1233" i="49"/>
  <c r="Y1229" i="49"/>
  <c r="Y1230" i="49"/>
  <c r="Y1231" i="49"/>
  <c r="Y1232" i="49"/>
  <c r="Y1219" i="49"/>
  <c r="Z1219" i="49" s="1"/>
  <c r="Y1220" i="49"/>
  <c r="AA1220" i="49" s="1"/>
  <c r="Y1221" i="49"/>
  <c r="Z1221" i="49" s="1"/>
  <c r="Y1222" i="49"/>
  <c r="Z1222" i="49" s="1"/>
  <c r="Y1223" i="49"/>
  <c r="AA1223" i="49" s="1"/>
  <c r="Y1224" i="49"/>
  <c r="AA1224" i="49" s="1"/>
  <c r="Y1225" i="49"/>
  <c r="AA1225" i="49" s="1"/>
  <c r="Y1226" i="49"/>
  <c r="AA1226" i="49" s="1"/>
  <c r="Y1227" i="49"/>
  <c r="AA1227" i="49" s="1"/>
  <c r="Y1228" i="49"/>
  <c r="AA1228" i="49" s="1"/>
  <c r="Y1218" i="49"/>
  <c r="Z1218" i="49" s="1"/>
  <c r="Y1208" i="49"/>
  <c r="Y1209" i="49"/>
  <c r="Y1210" i="49"/>
  <c r="Y1211" i="49"/>
  <c r="Y1212" i="49"/>
  <c r="Y1213" i="49"/>
  <c r="Y1214" i="49"/>
  <c r="Y1215" i="49"/>
  <c r="Y1216" i="49"/>
  <c r="Y1217" i="49"/>
  <c r="Y1207" i="49"/>
  <c r="Y824" i="49"/>
  <c r="Y825" i="49"/>
  <c r="AA156" i="49"/>
  <c r="Z156" i="49"/>
  <c r="Y903" i="49"/>
  <c r="Y882" i="49"/>
  <c r="Y615" i="49"/>
  <c r="Y116" i="49"/>
  <c r="Y115" i="49"/>
  <c r="Y114" i="49"/>
  <c r="Y810" i="49"/>
  <c r="Y809" i="49"/>
  <c r="Y799" i="49"/>
  <c r="Y777" i="49"/>
  <c r="Y788" i="49"/>
  <c r="Y787" i="49"/>
  <c r="Y776" i="49"/>
  <c r="Y775" i="49"/>
  <c r="Y983" i="49"/>
  <c r="Y984" i="49"/>
  <c r="Y930" i="49"/>
  <c r="Y929" i="49"/>
  <c r="Y455" i="49"/>
  <c r="Y968" i="49"/>
  <c r="Y530" i="49"/>
  <c r="Y531" i="49"/>
  <c r="Y532" i="49"/>
  <c r="Y533" i="49"/>
  <c r="Y534" i="49"/>
  <c r="Y535" i="49"/>
  <c r="Y536" i="49"/>
  <c r="Y537" i="49"/>
  <c r="Y538" i="49"/>
  <c r="Y539" i="49"/>
  <c r="Y540" i="49"/>
  <c r="Y541" i="49"/>
  <c r="Y542" i="49"/>
  <c r="Y543" i="49"/>
  <c r="Y544" i="49"/>
  <c r="Y507" i="49"/>
  <c r="Y508" i="49"/>
  <c r="Y509" i="49"/>
  <c r="Y510" i="49"/>
  <c r="Y511" i="49"/>
  <c r="Y512" i="49"/>
  <c r="Y513" i="49"/>
  <c r="Y514" i="49"/>
  <c r="Y515" i="49"/>
  <c r="Y516" i="49"/>
  <c r="Y517" i="49"/>
  <c r="Y518" i="49"/>
  <c r="Y519" i="49"/>
  <c r="Y520" i="49"/>
  <c r="Y521" i="49"/>
  <c r="Y522" i="49"/>
  <c r="Y523" i="49"/>
  <c r="Y524" i="49"/>
  <c r="Y525" i="49"/>
  <c r="Y526" i="49"/>
  <c r="Y487" i="49"/>
  <c r="Y488" i="49"/>
  <c r="Y489" i="49"/>
  <c r="Y490" i="49"/>
  <c r="Y491" i="49"/>
  <c r="Y492" i="49"/>
  <c r="Y493" i="49"/>
  <c r="Y494" i="49"/>
  <c r="Y495" i="49"/>
  <c r="Y496" i="49"/>
  <c r="Y484" i="49"/>
  <c r="Y485" i="49"/>
  <c r="Y486" i="49"/>
  <c r="Y497" i="49"/>
  <c r="Y498" i="49"/>
  <c r="Y499" i="49"/>
  <c r="Y500" i="49"/>
  <c r="Y501" i="49"/>
  <c r="Y502" i="49"/>
  <c r="Y503" i="49"/>
  <c r="Y504" i="49"/>
  <c r="Y505" i="49"/>
  <c r="Y506" i="49"/>
  <c r="Y527" i="49"/>
  <c r="Y528" i="49"/>
  <c r="Y529" i="49"/>
  <c r="Y545" i="49"/>
  <c r="Y869" i="49"/>
  <c r="Y870" i="49"/>
  <c r="Y365" i="49"/>
  <c r="Y362" i="49"/>
  <c r="Y360" i="49"/>
  <c r="Y358" i="49"/>
  <c r="Y353" i="49"/>
  <c r="Y352" i="49"/>
  <c r="Y351" i="49"/>
  <c r="Y350" i="49"/>
  <c r="Y349" i="49"/>
  <c r="Y348" i="49"/>
  <c r="Y347" i="49"/>
  <c r="Y346" i="49"/>
  <c r="Y345" i="49"/>
  <c r="Y341" i="49"/>
  <c r="Y338" i="49"/>
  <c r="Y337" i="49"/>
  <c r="Y330" i="49"/>
  <c r="Y366" i="49"/>
  <c r="Y367" i="49"/>
  <c r="Y368" i="49"/>
  <c r="Y369" i="49"/>
  <c r="Y370" i="49"/>
  <c r="Y371" i="49"/>
  <c r="Y372" i="49"/>
  <c r="Y373" i="49"/>
  <c r="Y374" i="49"/>
  <c r="Y375" i="49"/>
  <c r="Y376" i="49"/>
  <c r="Y377" i="49"/>
  <c r="Y378" i="49"/>
  <c r="Y379" i="49"/>
  <c r="Y380" i="49"/>
  <c r="Y381" i="49"/>
  <c r="Y382" i="49"/>
  <c r="Y383" i="49"/>
  <c r="Y384" i="49"/>
  <c r="Y385" i="49"/>
  <c r="Y386" i="49"/>
  <c r="Y387" i="49"/>
  <c r="Y388" i="49"/>
  <c r="Y389" i="49"/>
  <c r="Y390" i="49"/>
  <c r="Y391" i="49"/>
  <c r="Y392" i="49"/>
  <c r="Y394" i="49"/>
  <c r="Y395" i="49"/>
  <c r="Y396" i="49"/>
  <c r="Y397" i="49"/>
  <c r="Y398" i="49"/>
  <c r="Y399" i="49"/>
  <c r="Y400" i="49"/>
  <c r="Y401" i="49"/>
  <c r="Y402" i="49"/>
  <c r="Y403" i="49"/>
  <c r="Y404" i="49"/>
  <c r="Y405" i="49"/>
  <c r="Y406" i="49"/>
  <c r="Y407" i="49"/>
  <c r="Y408" i="49"/>
  <c r="Y409" i="49"/>
  <c r="Y410" i="49"/>
  <c r="Y411" i="49"/>
  <c r="Y412" i="49"/>
  <c r="Y414" i="49"/>
  <c r="Y415" i="49"/>
  <c r="Y416" i="49"/>
  <c r="Y417" i="49"/>
  <c r="Y418" i="49"/>
  <c r="Y327" i="49"/>
  <c r="Y326" i="49"/>
  <c r="Y324" i="49"/>
  <c r="Y322" i="49"/>
  <c r="Y321" i="49"/>
  <c r="Y320" i="49"/>
  <c r="Y290" i="49"/>
  <c r="Y307" i="49"/>
  <c r="Y315" i="49"/>
  <c r="Y314" i="49"/>
  <c r="Y312" i="49"/>
  <c r="Y310" i="49"/>
  <c r="Y305" i="49"/>
  <c r="Y901" i="49"/>
  <c r="AA901" i="49" s="1"/>
  <c r="Y26" i="49"/>
  <c r="Z26" i="49" s="1"/>
  <c r="F16" i="49"/>
  <c r="F17" i="49"/>
  <c r="F18" i="49"/>
  <c r="H77" i="51"/>
  <c r="G77" i="51"/>
  <c r="Y60" i="49" s="1"/>
  <c r="H76" i="51"/>
  <c r="G76" i="51"/>
  <c r="Y59" i="49" s="1"/>
  <c r="AA59" i="49" s="1"/>
  <c r="H75" i="51"/>
  <c r="G75" i="51"/>
  <c r="Y58" i="49" s="1"/>
  <c r="H74" i="51"/>
  <c r="G74" i="51"/>
  <c r="Y57" i="49" s="1"/>
  <c r="H73" i="51"/>
  <c r="G73" i="51"/>
  <c r="Y56" i="49" s="1"/>
  <c r="H72" i="51"/>
  <c r="G72" i="51"/>
  <c r="Y55" i="49" s="1"/>
  <c r="H71" i="51"/>
  <c r="G71" i="51"/>
  <c r="Y54" i="49" s="1"/>
  <c r="Z54" i="49" s="1"/>
  <c r="H70" i="51"/>
  <c r="G70" i="51"/>
  <c r="Y53" i="49" s="1"/>
  <c r="H69" i="51"/>
  <c r="G69" i="51"/>
  <c r="Y52" i="49" s="1"/>
  <c r="H68" i="51"/>
  <c r="G68" i="51"/>
  <c r="Y51" i="49" s="1"/>
  <c r="H67" i="51"/>
  <c r="G67" i="51"/>
  <c r="Y50" i="49" s="1"/>
  <c r="H66" i="51"/>
  <c r="G66" i="51"/>
  <c r="Y49" i="49" s="1"/>
  <c r="H65" i="51"/>
  <c r="G65" i="51"/>
  <c r="Y48" i="49" s="1"/>
  <c r="H64" i="51"/>
  <c r="G64" i="51"/>
  <c r="Y47" i="49" s="1"/>
  <c r="Z47" i="49" s="1"/>
  <c r="H63" i="51"/>
  <c r="G63" i="51"/>
  <c r="Y46" i="49" s="1"/>
  <c r="H62" i="51"/>
  <c r="G62" i="51"/>
  <c r="Y45" i="49" s="1"/>
  <c r="Z45" i="49" s="1"/>
  <c r="H61" i="51"/>
  <c r="G61" i="51"/>
  <c r="Y44" i="49" s="1"/>
  <c r="H60" i="51"/>
  <c r="G60" i="51"/>
  <c r="Y43" i="49" s="1"/>
  <c r="Z43" i="49" s="1"/>
  <c r="H59" i="51"/>
  <c r="G59" i="51"/>
  <c r="Y42" i="49" s="1"/>
  <c r="Z1425" i="49" l="1"/>
  <c r="AA1425" i="49"/>
  <c r="Z1412" i="49"/>
  <c r="AA1412" i="49"/>
  <c r="Z1435" i="49"/>
  <c r="AA1435" i="49"/>
  <c r="Z1417" i="49"/>
  <c r="AA1417" i="49"/>
  <c r="Z1430" i="49"/>
  <c r="AA1430" i="49"/>
  <c r="Z1416" i="49"/>
  <c r="AA1416" i="49"/>
  <c r="Z1411" i="49"/>
  <c r="AA1411" i="49"/>
  <c r="Z579" i="49"/>
  <c r="AA579" i="49"/>
  <c r="Z1434" i="49"/>
  <c r="AA1434" i="49"/>
  <c r="Z1429" i="49"/>
  <c r="AA1429" i="49"/>
  <c r="Z1433" i="49"/>
  <c r="AA1433" i="49"/>
  <c r="Z582" i="49"/>
  <c r="AA582" i="49"/>
  <c r="Z580" i="49"/>
  <c r="AA580" i="49"/>
  <c r="Z1432" i="49"/>
  <c r="AA1432" i="49"/>
  <c r="Z1415" i="49"/>
  <c r="AA1415" i="49"/>
  <c r="Z1410" i="49"/>
  <c r="AA1410" i="49"/>
  <c r="Z1431" i="49"/>
  <c r="AA1431" i="49"/>
  <c r="Z1424" i="49"/>
  <c r="AA1424" i="49"/>
  <c r="Z1428" i="49"/>
  <c r="AA1428" i="49"/>
  <c r="AA1439" i="49"/>
  <c r="Z1439" i="49"/>
  <c r="Z1414" i="49"/>
  <c r="AA1414" i="49"/>
  <c r="Z1421" i="49"/>
  <c r="AA1421" i="49"/>
  <c r="AA1438" i="49"/>
  <c r="Z1438" i="49"/>
  <c r="AA1423" i="49"/>
  <c r="Z1423" i="49"/>
  <c r="Z1420" i="49"/>
  <c r="AA1420" i="49"/>
  <c r="Z1437" i="49"/>
  <c r="AA1437" i="49"/>
  <c r="Z1413" i="49"/>
  <c r="AA1413" i="49"/>
  <c r="Z1419" i="49"/>
  <c r="AA1419" i="49"/>
  <c r="Z1427" i="49"/>
  <c r="AA1427" i="49"/>
  <c r="AA1422" i="49"/>
  <c r="Z1422" i="49"/>
  <c r="Z1418" i="49"/>
  <c r="AA1418" i="49"/>
  <c r="Z1426" i="49"/>
  <c r="AA1426" i="49"/>
  <c r="Z581" i="49"/>
  <c r="AA581" i="49"/>
  <c r="Z1436" i="49"/>
  <c r="AA1436" i="49"/>
  <c r="Z118" i="49"/>
  <c r="AA118" i="49"/>
  <c r="Z117" i="49"/>
  <c r="AA117" i="49"/>
  <c r="Z393" i="49"/>
  <c r="AA393" i="49"/>
  <c r="Z413" i="49"/>
  <c r="AA413" i="49"/>
  <c r="Z434" i="49"/>
  <c r="AA434" i="49"/>
  <c r="Z433" i="49"/>
  <c r="AA433" i="49"/>
  <c r="Z443" i="49"/>
  <c r="AA443" i="49"/>
  <c r="Z1029" i="49"/>
  <c r="AA1029" i="49"/>
  <c r="Z1028" i="49"/>
  <c r="AA1028" i="49"/>
  <c r="Z1228" i="49"/>
  <c r="Z1227" i="49"/>
  <c r="Z1224" i="49"/>
  <c r="AA1222" i="49"/>
  <c r="AA1221" i="49"/>
  <c r="Z1220" i="49"/>
  <c r="AA1375" i="49"/>
  <c r="Z1375" i="49"/>
  <c r="Z1381" i="49"/>
  <c r="AA1381" i="49"/>
  <c r="AA1396" i="49"/>
  <c r="Z1396" i="49"/>
  <c r="AA1219" i="49"/>
  <c r="Z1384" i="49"/>
  <c r="AA1384" i="49"/>
  <c r="Z1399" i="49"/>
  <c r="AA1399" i="49"/>
  <c r="AA1395" i="49"/>
  <c r="Z1395" i="49"/>
  <c r="AA1218" i="49"/>
  <c r="Z1390" i="49"/>
  <c r="AA1390" i="49"/>
  <c r="Z1371" i="49"/>
  <c r="AA1371" i="49"/>
  <c r="AA1394" i="49"/>
  <c r="Z1394" i="49"/>
  <c r="Z1402" i="49"/>
  <c r="AA1402" i="49"/>
  <c r="Z1380" i="49"/>
  <c r="AA1380" i="49"/>
  <c r="AA1368" i="49"/>
  <c r="Z1368" i="49"/>
  <c r="AA1374" i="49"/>
  <c r="Z1374" i="49"/>
  <c r="Z1398" i="49"/>
  <c r="AA1398" i="49"/>
  <c r="Z1389" i="49"/>
  <c r="AA1389" i="49"/>
  <c r="Z1226" i="49"/>
  <c r="Z1225" i="49"/>
  <c r="Z1383" i="49"/>
  <c r="AA1383" i="49"/>
  <c r="Z1370" i="49"/>
  <c r="AA1370" i="49"/>
  <c r="Z1377" i="49"/>
  <c r="AA1377" i="49"/>
  <c r="Z1386" i="49"/>
  <c r="AA1386" i="49"/>
  <c r="Z1401" i="49"/>
  <c r="AA1401" i="49"/>
  <c r="Z1379" i="49"/>
  <c r="AA1379" i="49"/>
  <c r="AA1407" i="49"/>
  <c r="Z1407" i="49"/>
  <c r="Z1223" i="49"/>
  <c r="AA1404" i="49"/>
  <c r="Z1404" i="49"/>
  <c r="Z1373" i="49"/>
  <c r="AA1373" i="49"/>
  <c r="AA1409" i="49"/>
  <c r="Z1409" i="49"/>
  <c r="Z1388" i="49"/>
  <c r="AA1388" i="49"/>
  <c r="AA1392" i="49"/>
  <c r="Z1392" i="49"/>
  <c r="Z1376" i="49"/>
  <c r="AA1376" i="49"/>
  <c r="AA1397" i="49"/>
  <c r="Z1397" i="49"/>
  <c r="AA1406" i="49"/>
  <c r="Z1406" i="49"/>
  <c r="AA1385" i="49"/>
  <c r="Z1385" i="49"/>
  <c r="Z1382" i="49"/>
  <c r="AA1382" i="49"/>
  <c r="AA1369" i="49"/>
  <c r="Z1369" i="49"/>
  <c r="Z1387" i="49"/>
  <c r="AA1387" i="49"/>
  <c r="AA1403" i="49"/>
  <c r="Z1403" i="49"/>
  <c r="Z1400" i="49"/>
  <c r="AA1400" i="49"/>
  <c r="Z1378" i="49"/>
  <c r="AA1378" i="49"/>
  <c r="AA1405" i="49"/>
  <c r="Z1405" i="49"/>
  <c r="AA1391" i="49"/>
  <c r="Z1391" i="49"/>
  <c r="Z1372" i="49"/>
  <c r="AA1372" i="49"/>
  <c r="AA1408" i="49"/>
  <c r="Z1408" i="49"/>
  <c r="AA1393" i="49"/>
  <c r="Z1393" i="49"/>
  <c r="Z1367" i="49"/>
  <c r="AA1367" i="49"/>
  <c r="Z1366" i="49"/>
  <c r="AA1366" i="49"/>
  <c r="Z1365" i="49"/>
  <c r="AA1365" i="49"/>
  <c r="Z1364" i="49"/>
  <c r="AA1364" i="49"/>
  <c r="Z1363" i="49"/>
  <c r="AA1363" i="49"/>
  <c r="Z1362" i="49"/>
  <c r="AA1362" i="49"/>
  <c r="Z1361" i="49"/>
  <c r="AA1361" i="49"/>
  <c r="Z1360" i="49"/>
  <c r="AA1360" i="49"/>
  <c r="Z1349" i="49"/>
  <c r="AA1349" i="49"/>
  <c r="Z1359" i="49"/>
  <c r="AA1359" i="49"/>
  <c r="Z1358" i="49"/>
  <c r="AA1358" i="49"/>
  <c r="Z1357" i="49"/>
  <c r="AA1357" i="49"/>
  <c r="Z1356" i="49"/>
  <c r="AA1356" i="49"/>
  <c r="Z1355" i="49"/>
  <c r="AA1355" i="49"/>
  <c r="Z1354" i="49"/>
  <c r="AA1354" i="49"/>
  <c r="Z1353" i="49"/>
  <c r="AA1353" i="49"/>
  <c r="Z1352" i="49"/>
  <c r="AA1352" i="49"/>
  <c r="Z1351" i="49"/>
  <c r="AA1351" i="49"/>
  <c r="Z1350" i="49"/>
  <c r="AA1350" i="49"/>
  <c r="Z1279" i="49"/>
  <c r="AA1279" i="49"/>
  <c r="Z1313" i="49"/>
  <c r="AA1313" i="49"/>
  <c r="Z1312" i="49"/>
  <c r="AA1312" i="49"/>
  <c r="Z1311" i="49"/>
  <c r="AA1311" i="49"/>
  <c r="Z1310" i="49"/>
  <c r="AA1310" i="49"/>
  <c r="Z1309" i="49"/>
  <c r="AA1309" i="49"/>
  <c r="Z1308" i="49"/>
  <c r="AA1308" i="49"/>
  <c r="Z1307" i="49"/>
  <c r="AA1307" i="49"/>
  <c r="Z1306" i="49"/>
  <c r="AA1306" i="49"/>
  <c r="Z1305" i="49"/>
  <c r="AA1305" i="49"/>
  <c r="Z1304" i="49"/>
  <c r="AA1304" i="49"/>
  <c r="Z1303" i="49"/>
  <c r="AA1303" i="49"/>
  <c r="Z1302" i="49"/>
  <c r="AA1302" i="49"/>
  <c r="Z1301" i="49"/>
  <c r="AA1301" i="49"/>
  <c r="Z1300" i="49"/>
  <c r="AA1300" i="49"/>
  <c r="Z1299" i="49"/>
  <c r="AA1299" i="49"/>
  <c r="Z1298" i="49"/>
  <c r="AA1298" i="49"/>
  <c r="Z1297" i="49"/>
  <c r="AA1297" i="49"/>
  <c r="Z1296" i="49"/>
  <c r="AA1296" i="49"/>
  <c r="Z1295" i="49"/>
  <c r="AA1295" i="49"/>
  <c r="Z1294" i="49"/>
  <c r="AA1294" i="49"/>
  <c r="Z1293" i="49"/>
  <c r="AA1293" i="49"/>
  <c r="Z1292" i="49"/>
  <c r="AA1292" i="49"/>
  <c r="Z1291" i="49"/>
  <c r="AA1291" i="49"/>
  <c r="Z1290" i="49"/>
  <c r="AA1290" i="49"/>
  <c r="Z1289" i="49"/>
  <c r="AA1289" i="49"/>
  <c r="Z1288" i="49"/>
  <c r="AA1288" i="49"/>
  <c r="Z1287" i="49"/>
  <c r="AA1287" i="49"/>
  <c r="Z1286" i="49"/>
  <c r="AA1286" i="49"/>
  <c r="Z1285" i="49"/>
  <c r="AA1285" i="49"/>
  <c r="Z1284" i="49"/>
  <c r="AA1284" i="49"/>
  <c r="Z1283" i="49"/>
  <c r="AA1283" i="49"/>
  <c r="Z1282" i="49"/>
  <c r="AA1282" i="49"/>
  <c r="Z1281" i="49"/>
  <c r="AA1281" i="49"/>
  <c r="Z1280" i="49"/>
  <c r="AA1280" i="49"/>
  <c r="Z1314" i="49"/>
  <c r="AA1314" i="49"/>
  <c r="Z1330" i="49"/>
  <c r="AA1330" i="49"/>
  <c r="Z1329" i="49"/>
  <c r="AA1329" i="49"/>
  <c r="Z1328" i="49"/>
  <c r="AA1328" i="49"/>
  <c r="Z1327" i="49"/>
  <c r="AA1327" i="49"/>
  <c r="Z1326" i="49"/>
  <c r="AA1326" i="49"/>
  <c r="Z1325" i="49"/>
  <c r="AA1325" i="49"/>
  <c r="Z1324" i="49"/>
  <c r="AA1324" i="49"/>
  <c r="Z1323" i="49"/>
  <c r="AA1323" i="49"/>
  <c r="Z1322" i="49"/>
  <c r="AA1322" i="49"/>
  <c r="Z1321" i="49"/>
  <c r="AA1321" i="49"/>
  <c r="Z1320" i="49"/>
  <c r="AA1320" i="49"/>
  <c r="Z1319" i="49"/>
  <c r="AA1319" i="49"/>
  <c r="Z1318" i="49"/>
  <c r="AA1318" i="49"/>
  <c r="Z1317" i="49"/>
  <c r="AA1317" i="49"/>
  <c r="Z1316" i="49"/>
  <c r="AA1316" i="49"/>
  <c r="Z1315" i="49"/>
  <c r="AA1315" i="49"/>
  <c r="Z1331" i="49"/>
  <c r="AA1331" i="49"/>
  <c r="Z1338" i="49"/>
  <c r="AA1338" i="49"/>
  <c r="Z1337" i="49"/>
  <c r="AA1337" i="49"/>
  <c r="Z1336" i="49"/>
  <c r="AA1336" i="49"/>
  <c r="Z1335" i="49"/>
  <c r="AA1335" i="49"/>
  <c r="Z1334" i="49"/>
  <c r="AA1334" i="49"/>
  <c r="Z1333" i="49"/>
  <c r="AA1333" i="49"/>
  <c r="Z1332" i="49"/>
  <c r="AA1332" i="49"/>
  <c r="Z1339" i="49"/>
  <c r="AA1339" i="49"/>
  <c r="Z1348" i="49"/>
  <c r="AA1348" i="49"/>
  <c r="Z1347" i="49"/>
  <c r="AA1347" i="49"/>
  <c r="Z1346" i="49"/>
  <c r="AA1346" i="49"/>
  <c r="Z1345" i="49"/>
  <c r="AA1345" i="49"/>
  <c r="Z1344" i="49"/>
  <c r="AA1344" i="49"/>
  <c r="Z1343" i="49"/>
  <c r="AA1343" i="49"/>
  <c r="Z1342" i="49"/>
  <c r="AA1342" i="49"/>
  <c r="Z1341" i="49"/>
  <c r="AA1341" i="49"/>
  <c r="Z1340" i="49"/>
  <c r="AA1340" i="49"/>
  <c r="Z1232" i="49"/>
  <c r="AA1232" i="49"/>
  <c r="Z1231" i="49"/>
  <c r="AA1231" i="49"/>
  <c r="Z1230" i="49"/>
  <c r="AA1230" i="49"/>
  <c r="Z1229" i="49"/>
  <c r="AA1229" i="49"/>
  <c r="Z1233" i="49"/>
  <c r="AA1233" i="49"/>
  <c r="Z1244" i="49"/>
  <c r="AA1244" i="49"/>
  <c r="Z1243" i="49"/>
  <c r="AA1243" i="49"/>
  <c r="Z1242" i="49"/>
  <c r="AA1242" i="49"/>
  <c r="Z1241" i="49"/>
  <c r="AA1241" i="49"/>
  <c r="Z1240" i="49"/>
  <c r="AA1240" i="49"/>
  <c r="Z1239" i="49"/>
  <c r="AA1239" i="49"/>
  <c r="Z1238" i="49"/>
  <c r="AA1238" i="49"/>
  <c r="Z1237" i="49"/>
  <c r="AA1237" i="49"/>
  <c r="Z1236" i="49"/>
  <c r="AA1236" i="49"/>
  <c r="Z1235" i="49"/>
  <c r="AA1235" i="49"/>
  <c r="Z1234" i="49"/>
  <c r="AA1234" i="49"/>
  <c r="Z1254" i="49"/>
  <c r="AA1254" i="49"/>
  <c r="Z1253" i="49"/>
  <c r="AA1253" i="49"/>
  <c r="Z1252" i="49"/>
  <c r="AA1252" i="49"/>
  <c r="Z1251" i="49"/>
  <c r="AA1251" i="49"/>
  <c r="Z1250" i="49"/>
  <c r="AA1250" i="49"/>
  <c r="Z1249" i="49"/>
  <c r="AA1249" i="49"/>
  <c r="Z1248" i="49"/>
  <c r="AA1248" i="49"/>
  <c r="Z1247" i="49"/>
  <c r="AA1247" i="49"/>
  <c r="Z1246" i="49"/>
  <c r="AA1246" i="49"/>
  <c r="Z1245" i="49"/>
  <c r="AA1245" i="49"/>
  <c r="Z1255" i="49"/>
  <c r="AA1255" i="49"/>
  <c r="Z1268" i="49"/>
  <c r="AA1268" i="49"/>
  <c r="Z1267" i="49"/>
  <c r="AA1267" i="49"/>
  <c r="Z1266" i="49"/>
  <c r="AA1266" i="49"/>
  <c r="Z1265" i="49"/>
  <c r="AA1265" i="49"/>
  <c r="Z1264" i="49"/>
  <c r="AA1264" i="49"/>
  <c r="Z1263" i="49"/>
  <c r="AA1263" i="49"/>
  <c r="Z1262" i="49"/>
  <c r="AA1262" i="49"/>
  <c r="Z1261" i="49"/>
  <c r="AA1261" i="49"/>
  <c r="Z1260" i="49"/>
  <c r="AA1260" i="49"/>
  <c r="Z1259" i="49"/>
  <c r="AA1259" i="49"/>
  <c r="Z1258" i="49"/>
  <c r="AA1258" i="49"/>
  <c r="Z1257" i="49"/>
  <c r="AA1257" i="49"/>
  <c r="Z1256" i="49"/>
  <c r="AA1256" i="49"/>
  <c r="Z1269" i="49"/>
  <c r="AA1269" i="49"/>
  <c r="Z1278" i="49"/>
  <c r="AA1278" i="49"/>
  <c r="Z1277" i="49"/>
  <c r="AA1277" i="49"/>
  <c r="Z1276" i="49"/>
  <c r="AA1276" i="49"/>
  <c r="Z1275" i="49"/>
  <c r="AA1275" i="49"/>
  <c r="Z1274" i="49"/>
  <c r="AA1274" i="49"/>
  <c r="Z1273" i="49"/>
  <c r="AA1273" i="49"/>
  <c r="Z1272" i="49"/>
  <c r="AA1272" i="49"/>
  <c r="Z1271" i="49"/>
  <c r="AA1271" i="49"/>
  <c r="Z1270" i="49"/>
  <c r="AA1270" i="49"/>
  <c r="Z1207" i="49"/>
  <c r="AA1207" i="49"/>
  <c r="Z1217" i="49"/>
  <c r="AA1217" i="49"/>
  <c r="Z1216" i="49"/>
  <c r="AA1216" i="49"/>
  <c r="Z1215" i="49"/>
  <c r="AA1215" i="49"/>
  <c r="Z1214" i="49"/>
  <c r="AA1214" i="49"/>
  <c r="Z1213" i="49"/>
  <c r="AA1213" i="49"/>
  <c r="Z1212" i="49"/>
  <c r="AA1212" i="49"/>
  <c r="Z1211" i="49"/>
  <c r="AA1211" i="49"/>
  <c r="Z1210" i="49"/>
  <c r="AA1210" i="49"/>
  <c r="Z1209" i="49"/>
  <c r="AA1209" i="49"/>
  <c r="Z1208" i="49"/>
  <c r="AA1208" i="49"/>
  <c r="Z825" i="49"/>
  <c r="AA825" i="49"/>
  <c r="Z824" i="49"/>
  <c r="AA824" i="49"/>
  <c r="AA903" i="49"/>
  <c r="Z903" i="49"/>
  <c r="AA882" i="49"/>
  <c r="Z882" i="49"/>
  <c r="AA615" i="49"/>
  <c r="Z615" i="49"/>
  <c r="AA114" i="49"/>
  <c r="Z114" i="49"/>
  <c r="AA115" i="49"/>
  <c r="Z115" i="49"/>
  <c r="AA116" i="49"/>
  <c r="Z116" i="49"/>
  <c r="AA809" i="49"/>
  <c r="Z809" i="49"/>
  <c r="AA810" i="49"/>
  <c r="Z810" i="49"/>
  <c r="Z799" i="49"/>
  <c r="AA799" i="49"/>
  <c r="AA787" i="49"/>
  <c r="Z787" i="49"/>
  <c r="AA788" i="49"/>
  <c r="Z788" i="49"/>
  <c r="AA777" i="49"/>
  <c r="Z777" i="49"/>
  <c r="AA775" i="49"/>
  <c r="Z775" i="49"/>
  <c r="Z776" i="49"/>
  <c r="AA776" i="49"/>
  <c r="AA455" i="49"/>
  <c r="Z455" i="49"/>
  <c r="AA929" i="49"/>
  <c r="Z929" i="49"/>
  <c r="AA930" i="49"/>
  <c r="Z930" i="49"/>
  <c r="AA984" i="49"/>
  <c r="Z984" i="49"/>
  <c r="AA983" i="49"/>
  <c r="Z983" i="49"/>
  <c r="Z968" i="49"/>
  <c r="AA968" i="49"/>
  <c r="Z545" i="49"/>
  <c r="AA545" i="49"/>
  <c r="Z529" i="49"/>
  <c r="AA529" i="49"/>
  <c r="Z528" i="49"/>
  <c r="AA528" i="49"/>
  <c r="Z527" i="49"/>
  <c r="AA527" i="49"/>
  <c r="Z506" i="49"/>
  <c r="AA506" i="49"/>
  <c r="Z505" i="49"/>
  <c r="AA505" i="49"/>
  <c r="Z504" i="49"/>
  <c r="AA504" i="49"/>
  <c r="Z503" i="49"/>
  <c r="AA503" i="49"/>
  <c r="Z502" i="49"/>
  <c r="AA502" i="49"/>
  <c r="Z501" i="49"/>
  <c r="AA501" i="49"/>
  <c r="Z500" i="49"/>
  <c r="AA500" i="49"/>
  <c r="Z499" i="49"/>
  <c r="AA499" i="49"/>
  <c r="Z498" i="49"/>
  <c r="AA498" i="49"/>
  <c r="Z497" i="49"/>
  <c r="AA497" i="49"/>
  <c r="Z486" i="49"/>
  <c r="AA486" i="49"/>
  <c r="Z485" i="49"/>
  <c r="AA485" i="49"/>
  <c r="Z484" i="49"/>
  <c r="AA484" i="49"/>
  <c r="Z496" i="49"/>
  <c r="AA496" i="49"/>
  <c r="Z495" i="49"/>
  <c r="AA495" i="49"/>
  <c r="Z494" i="49"/>
  <c r="AA494" i="49"/>
  <c r="Z493" i="49"/>
  <c r="AA493" i="49"/>
  <c r="Z492" i="49"/>
  <c r="AA492" i="49"/>
  <c r="Z491" i="49"/>
  <c r="AA491" i="49"/>
  <c r="Z490" i="49"/>
  <c r="AA490" i="49"/>
  <c r="Z489" i="49"/>
  <c r="AA489" i="49"/>
  <c r="Z488" i="49"/>
  <c r="AA488" i="49"/>
  <c r="Z487" i="49"/>
  <c r="AA487" i="49"/>
  <c r="Z526" i="49"/>
  <c r="AA526" i="49"/>
  <c r="Z525" i="49"/>
  <c r="AA525" i="49"/>
  <c r="Z524" i="49"/>
  <c r="AA524" i="49"/>
  <c r="Z523" i="49"/>
  <c r="AA523" i="49"/>
  <c r="Z522" i="49"/>
  <c r="AA522" i="49"/>
  <c r="Z521" i="49"/>
  <c r="AA521" i="49"/>
  <c r="Z520" i="49"/>
  <c r="AA520" i="49"/>
  <c r="Z519" i="49"/>
  <c r="AA519" i="49"/>
  <c r="Z518" i="49"/>
  <c r="AA518" i="49"/>
  <c r="Z517" i="49"/>
  <c r="AA517" i="49"/>
  <c r="Z516" i="49"/>
  <c r="AA516" i="49"/>
  <c r="Z515" i="49"/>
  <c r="AA515" i="49"/>
  <c r="Z514" i="49"/>
  <c r="AA514" i="49"/>
  <c r="Z513" i="49"/>
  <c r="AA513" i="49"/>
  <c r="Z512" i="49"/>
  <c r="AA512" i="49"/>
  <c r="Z511" i="49"/>
  <c r="AA511" i="49"/>
  <c r="Z510" i="49"/>
  <c r="AA510" i="49"/>
  <c r="Z509" i="49"/>
  <c r="AA509" i="49"/>
  <c r="Z508" i="49"/>
  <c r="AA508" i="49"/>
  <c r="Z507" i="49"/>
  <c r="AA507" i="49"/>
  <c r="Z544" i="49"/>
  <c r="AA544" i="49"/>
  <c r="Z543" i="49"/>
  <c r="AA543" i="49"/>
  <c r="Z542" i="49"/>
  <c r="AA542" i="49"/>
  <c r="Z541" i="49"/>
  <c r="AA541" i="49"/>
  <c r="Z540" i="49"/>
  <c r="AA540" i="49"/>
  <c r="Z539" i="49"/>
  <c r="AA539" i="49"/>
  <c r="Z538" i="49"/>
  <c r="AA538" i="49"/>
  <c r="Z537" i="49"/>
  <c r="AA537" i="49"/>
  <c r="Z536" i="49"/>
  <c r="AA536" i="49"/>
  <c r="Z535" i="49"/>
  <c r="AA535" i="49"/>
  <c r="Z534" i="49"/>
  <c r="AA534" i="49"/>
  <c r="Z533" i="49"/>
  <c r="AA533" i="49"/>
  <c r="Z532" i="49"/>
  <c r="AA532" i="49"/>
  <c r="Z531" i="49"/>
  <c r="AA531" i="49"/>
  <c r="Z530" i="49"/>
  <c r="AA530" i="49"/>
  <c r="Z870" i="49"/>
  <c r="AA870" i="49"/>
  <c r="Z869" i="49"/>
  <c r="AA869" i="49"/>
  <c r="Z305" i="49"/>
  <c r="AA305" i="49"/>
  <c r="Z310" i="49"/>
  <c r="AA310" i="49"/>
  <c r="Z312" i="49"/>
  <c r="AA312" i="49"/>
  <c r="Z314" i="49"/>
  <c r="AA314" i="49"/>
  <c r="Z315" i="49"/>
  <c r="AA315" i="49"/>
  <c r="Z307" i="49"/>
  <c r="AA307" i="49"/>
  <c r="Z290" i="49"/>
  <c r="AA290" i="49"/>
  <c r="Z320" i="49"/>
  <c r="AA320" i="49"/>
  <c r="Z321" i="49"/>
  <c r="AA321" i="49"/>
  <c r="Z322" i="49"/>
  <c r="AA322" i="49"/>
  <c r="Z324" i="49"/>
  <c r="AA324" i="49"/>
  <c r="Z326" i="49"/>
  <c r="AA326" i="49"/>
  <c r="Z327" i="49"/>
  <c r="AA327" i="49"/>
  <c r="Z418" i="49"/>
  <c r="AA418" i="49"/>
  <c r="Z417" i="49"/>
  <c r="AA417" i="49"/>
  <c r="Z416" i="49"/>
  <c r="AA416" i="49"/>
  <c r="Z415" i="49"/>
  <c r="AA415" i="49"/>
  <c r="Z414" i="49"/>
  <c r="AA414" i="49"/>
  <c r="Z412" i="49"/>
  <c r="AA412" i="49"/>
  <c r="Z411" i="49"/>
  <c r="AA411" i="49"/>
  <c r="Z410" i="49"/>
  <c r="AA410" i="49"/>
  <c r="Z409" i="49"/>
  <c r="AA409" i="49"/>
  <c r="Z408" i="49"/>
  <c r="AA408" i="49"/>
  <c r="Z407" i="49"/>
  <c r="AA407" i="49"/>
  <c r="Z406" i="49"/>
  <c r="AA406" i="49"/>
  <c r="Z405" i="49"/>
  <c r="AA405" i="49"/>
  <c r="Z404" i="49"/>
  <c r="AA404" i="49"/>
  <c r="Z403" i="49"/>
  <c r="AA403" i="49"/>
  <c r="Z402" i="49"/>
  <c r="AA402" i="49"/>
  <c r="Z401" i="49"/>
  <c r="AA401" i="49"/>
  <c r="Z400" i="49"/>
  <c r="AA400" i="49"/>
  <c r="Z399" i="49"/>
  <c r="AA399" i="49"/>
  <c r="Z398" i="49"/>
  <c r="AA398" i="49"/>
  <c r="Z397" i="49"/>
  <c r="AA397" i="49"/>
  <c r="Z396" i="49"/>
  <c r="AA396" i="49"/>
  <c r="Z395" i="49"/>
  <c r="AA395" i="49"/>
  <c r="Z394" i="49"/>
  <c r="AA394" i="49"/>
  <c r="Z392" i="49"/>
  <c r="AA392" i="49"/>
  <c r="Z391" i="49"/>
  <c r="AA391" i="49"/>
  <c r="Z390" i="49"/>
  <c r="AA390" i="49"/>
  <c r="Z389" i="49"/>
  <c r="AA389" i="49"/>
  <c r="Z388" i="49"/>
  <c r="AA388" i="49"/>
  <c r="Z387" i="49"/>
  <c r="AA387" i="49"/>
  <c r="Z386" i="49"/>
  <c r="AA386" i="49"/>
  <c r="Z385" i="49"/>
  <c r="AA385" i="49"/>
  <c r="Z384" i="49"/>
  <c r="AA384" i="49"/>
  <c r="Z383" i="49"/>
  <c r="AA383" i="49"/>
  <c r="Z382" i="49"/>
  <c r="AA382" i="49"/>
  <c r="Z381" i="49"/>
  <c r="AA381" i="49"/>
  <c r="Z380" i="49"/>
  <c r="AA380" i="49"/>
  <c r="Z379" i="49"/>
  <c r="AA379" i="49"/>
  <c r="Z378" i="49"/>
  <c r="AA378" i="49"/>
  <c r="Z377" i="49"/>
  <c r="AA377" i="49"/>
  <c r="Z376" i="49"/>
  <c r="AA376" i="49"/>
  <c r="Z375" i="49"/>
  <c r="AA375" i="49"/>
  <c r="Z374" i="49"/>
  <c r="AA374" i="49"/>
  <c r="Z373" i="49"/>
  <c r="AA373" i="49"/>
  <c r="Z372" i="49"/>
  <c r="AA372" i="49"/>
  <c r="Z371" i="49"/>
  <c r="AA371" i="49"/>
  <c r="Z370" i="49"/>
  <c r="AA370" i="49"/>
  <c r="Z369" i="49"/>
  <c r="AA369" i="49"/>
  <c r="Z368" i="49"/>
  <c r="AA368" i="49"/>
  <c r="Z367" i="49"/>
  <c r="AA367" i="49"/>
  <c r="Z366" i="49"/>
  <c r="AA366" i="49"/>
  <c r="Z330" i="49"/>
  <c r="AA330" i="49"/>
  <c r="Z337" i="49"/>
  <c r="AA337" i="49"/>
  <c r="Z338" i="49"/>
  <c r="AA338" i="49"/>
  <c r="Z341" i="49"/>
  <c r="AA341" i="49"/>
  <c r="Z345" i="49"/>
  <c r="AA345" i="49"/>
  <c r="Z346" i="49"/>
  <c r="AA346" i="49"/>
  <c r="Z347" i="49"/>
  <c r="AA347" i="49"/>
  <c r="Z348" i="49"/>
  <c r="AA348" i="49"/>
  <c r="Z349" i="49"/>
  <c r="AA349" i="49"/>
  <c r="Z350" i="49"/>
  <c r="AA350" i="49"/>
  <c r="Z351" i="49"/>
  <c r="AA351" i="49"/>
  <c r="Z352" i="49"/>
  <c r="AA352" i="49"/>
  <c r="Z353" i="49"/>
  <c r="AA353" i="49"/>
  <c r="Z358" i="49"/>
  <c r="AA358" i="49"/>
  <c r="Z360" i="49"/>
  <c r="AA360" i="49"/>
  <c r="Z362" i="49"/>
  <c r="AA362" i="49"/>
  <c r="Z365" i="49"/>
  <c r="AA365" i="49"/>
  <c r="Z901" i="49"/>
  <c r="AA26" i="49"/>
  <c r="Z60" i="49"/>
  <c r="AA60" i="49"/>
  <c r="AA44" i="49"/>
  <c r="Z44" i="49"/>
  <c r="AA54" i="49"/>
  <c r="AA43" i="49"/>
  <c r="AA47" i="49"/>
  <c r="F19" i="49"/>
  <c r="AA45" i="49"/>
  <c r="F24" i="49"/>
  <c r="Z59" i="49"/>
  <c r="Z55" i="49"/>
  <c r="AA55" i="49"/>
  <c r="Z46" i="49"/>
  <c r="AA46" i="49"/>
  <c r="Z53" i="49"/>
  <c r="AA53" i="49"/>
  <c r="Z51" i="49"/>
  <c r="AA51" i="49"/>
  <c r="Z49" i="49"/>
  <c r="F49" i="49"/>
  <c r="AA49" i="49"/>
  <c r="Z52" i="49"/>
  <c r="AA52" i="49"/>
  <c r="Z56" i="49"/>
  <c r="AA56" i="49"/>
  <c r="F40" i="49"/>
  <c r="Z48" i="49"/>
  <c r="AA48" i="49"/>
  <c r="Z50" i="49"/>
  <c r="AA50" i="49"/>
  <c r="F39" i="49"/>
  <c r="Z58" i="49"/>
  <c r="AA58" i="49"/>
  <c r="Z57" i="49"/>
  <c r="AA57" i="49"/>
  <c r="Z42" i="49"/>
  <c r="AA42" i="49"/>
  <c r="F20" i="49"/>
  <c r="F22" i="49"/>
  <c r="F15" i="49"/>
  <c r="F21" i="49"/>
  <c r="F23" i="49"/>
  <c r="F25" i="49"/>
  <c r="H782" i="51"/>
  <c r="G782" i="51"/>
  <c r="H781" i="51"/>
  <c r="G781" i="51"/>
  <c r="H780" i="51"/>
  <c r="G780" i="51"/>
  <c r="H779" i="51"/>
  <c r="G779" i="51"/>
  <c r="H778" i="51"/>
  <c r="G778" i="51"/>
  <c r="H777" i="51"/>
  <c r="G777" i="51"/>
  <c r="H776" i="51"/>
  <c r="G776" i="51"/>
  <c r="H775" i="51"/>
  <c r="G775" i="51"/>
  <c r="Y154" i="49"/>
  <c r="Y153" i="49"/>
  <c r="Y152" i="49"/>
  <c r="Z152" i="49" s="1"/>
  <c r="Y151" i="49"/>
  <c r="AA151" i="49" s="1"/>
  <c r="Y150" i="49"/>
  <c r="Y149" i="49"/>
  <c r="Z149" i="49" s="1"/>
  <c r="Y148" i="49"/>
  <c r="Z148" i="49" s="1"/>
  <c r="Y147" i="49"/>
  <c r="AA147" i="49" s="1"/>
  <c r="Y146" i="49"/>
  <c r="Z146" i="49" s="1"/>
  <c r="Y145" i="49"/>
  <c r="Z145" i="49" s="1"/>
  <c r="Y144" i="49"/>
  <c r="Y143" i="49"/>
  <c r="Z143" i="49" s="1"/>
  <c r="Y142" i="49"/>
  <c r="Z142" i="49" s="1"/>
  <c r="Y141" i="49"/>
  <c r="Z141" i="49" s="1"/>
  <c r="Y140" i="49"/>
  <c r="Z140" i="49" s="1"/>
  <c r="Y139" i="49"/>
  <c r="Y138" i="49"/>
  <c r="AA138" i="49" s="1"/>
  <c r="H672" i="51"/>
  <c r="G672" i="51"/>
  <c r="Y578" i="49" s="1"/>
  <c r="Z578" i="49" s="1"/>
  <c r="H671" i="51"/>
  <c r="G671" i="51"/>
  <c r="Y577" i="49" s="1"/>
  <c r="Z577" i="49" s="1"/>
  <c r="H670" i="51"/>
  <c r="G670" i="51"/>
  <c r="Y576" i="49" s="1"/>
  <c r="Z576" i="49" s="1"/>
  <c r="H669" i="51"/>
  <c r="G669" i="51"/>
  <c r="Y575" i="49" s="1"/>
  <c r="Z575" i="49" s="1"/>
  <c r="H668" i="51"/>
  <c r="G668" i="51"/>
  <c r="Y574" i="49" s="1"/>
  <c r="Z574" i="49" s="1"/>
  <c r="H667" i="51"/>
  <c r="G667" i="51"/>
  <c r="Y573" i="49" s="1"/>
  <c r="Z573" i="49" s="1"/>
  <c r="H666" i="51"/>
  <c r="G666" i="51"/>
  <c r="Y572" i="49" s="1"/>
  <c r="H665" i="51"/>
  <c r="G665" i="51"/>
  <c r="Y571" i="49" s="1"/>
  <c r="H417" i="51"/>
  <c r="G417" i="51"/>
  <c r="Y845" i="49" s="1"/>
  <c r="H416" i="51"/>
  <c r="G416" i="51"/>
  <c r="Y844" i="49" s="1"/>
  <c r="Z844" i="49" s="1"/>
  <c r="H415" i="51"/>
  <c r="G415" i="51"/>
  <c r="Y843" i="49" s="1"/>
  <c r="AA843" i="49" s="1"/>
  <c r="H414" i="51"/>
  <c r="G414" i="51"/>
  <c r="Y842" i="49" s="1"/>
  <c r="Z842" i="49" s="1"/>
  <c r="H412" i="51"/>
  <c r="G412" i="51"/>
  <c r="Y850" i="49" s="1"/>
  <c r="Z850" i="49" s="1"/>
  <c r="H411" i="51"/>
  <c r="G411" i="51"/>
  <c r="Y849" i="49" s="1"/>
  <c r="Z849" i="49" s="1"/>
  <c r="H410" i="51"/>
  <c r="G410" i="51"/>
  <c r="Y848" i="49" s="1"/>
  <c r="AA848" i="49" s="1"/>
  <c r="H409" i="51"/>
  <c r="G409" i="51"/>
  <c r="Y847" i="49" s="1"/>
  <c r="H407" i="51"/>
  <c r="G407" i="51"/>
  <c r="Y840" i="49" s="1"/>
  <c r="AA840" i="49" s="1"/>
  <c r="H406" i="51"/>
  <c r="G406" i="51"/>
  <c r="Y839" i="49" s="1"/>
  <c r="Z839" i="49" s="1"/>
  <c r="H405" i="51"/>
  <c r="G405" i="51"/>
  <c r="Y838" i="49" s="1"/>
  <c r="Z838" i="49" s="1"/>
  <c r="H404" i="51"/>
  <c r="G404" i="51"/>
  <c r="Y837" i="49" s="1"/>
  <c r="AA837" i="49" s="1"/>
  <c r="H402" i="51"/>
  <c r="G402" i="51"/>
  <c r="Y678" i="49" s="1"/>
  <c r="G678" i="49" s="1"/>
  <c r="H401" i="51"/>
  <c r="G401" i="51"/>
  <c r="Y676" i="49" s="1"/>
  <c r="G676" i="49" s="1"/>
  <c r="H400" i="51"/>
  <c r="G400" i="51"/>
  <c r="Y675" i="49" s="1"/>
  <c r="G675" i="49" s="1"/>
  <c r="H399" i="51"/>
  <c r="G399" i="51"/>
  <c r="Y674" i="49" s="1"/>
  <c r="G674" i="49" s="1"/>
  <c r="H398" i="51"/>
  <c r="G398" i="51"/>
  <c r="Y673" i="49" s="1"/>
  <c r="G673" i="49" s="1"/>
  <c r="H397" i="51"/>
  <c r="G397" i="51"/>
  <c r="Y672" i="49" s="1"/>
  <c r="G672" i="49" s="1"/>
  <c r="H396" i="51"/>
  <c r="G396" i="51"/>
  <c r="Y671" i="49" s="1"/>
  <c r="G671" i="49" s="1"/>
  <c r="H395" i="51"/>
  <c r="G395" i="51"/>
  <c r="Y670" i="49" s="1"/>
  <c r="Z670" i="49" s="1"/>
  <c r="H394" i="51"/>
  <c r="G394" i="51"/>
  <c r="Y669" i="49" s="1"/>
  <c r="H393" i="51"/>
  <c r="G393" i="51"/>
  <c r="Y668" i="49" s="1"/>
  <c r="G668" i="49" s="1"/>
  <c r="H392" i="51"/>
  <c r="G392" i="51"/>
  <c r="Y667" i="49" s="1"/>
  <c r="G667" i="49" s="1"/>
  <c r="H391" i="51"/>
  <c r="G391" i="51"/>
  <c r="Y685" i="49" s="1"/>
  <c r="G685" i="49" s="1"/>
  <c r="H390" i="51"/>
  <c r="G390" i="51"/>
  <c r="Y684" i="49" s="1"/>
  <c r="G684" i="49" s="1"/>
  <c r="H389" i="51"/>
  <c r="G389" i="51"/>
  <c r="Y683" i="49" s="1"/>
  <c r="G683" i="49" s="1"/>
  <c r="H388" i="51"/>
  <c r="G388" i="51"/>
  <c r="Y682" i="49" s="1"/>
  <c r="G682" i="49" s="1"/>
  <c r="H387" i="51"/>
  <c r="G387" i="51"/>
  <c r="Y681" i="49" s="1"/>
  <c r="G681" i="49" s="1"/>
  <c r="H386" i="51"/>
  <c r="G386" i="51"/>
  <c r="Y680" i="49" s="1"/>
  <c r="G680" i="49" s="1"/>
  <c r="H385" i="51"/>
  <c r="G385" i="51"/>
  <c r="Y679" i="49" s="1"/>
  <c r="G679" i="49" s="1"/>
  <c r="H384" i="51"/>
  <c r="G384" i="51"/>
  <c r="Y677" i="49" s="1"/>
  <c r="G677" i="49" s="1"/>
  <c r="H1078" i="51"/>
  <c r="G1078" i="51"/>
  <c r="Y1005" i="49" s="1"/>
  <c r="Z1005" i="49" s="1"/>
  <c r="H1077" i="51"/>
  <c r="G1077" i="51"/>
  <c r="Y1004" i="49" s="1"/>
  <c r="Z1004" i="49" s="1"/>
  <c r="H1076" i="51"/>
  <c r="G1076" i="51"/>
  <c r="Y1003" i="49" s="1"/>
  <c r="H1075" i="51"/>
  <c r="G1075" i="51"/>
  <c r="Y1002" i="49" s="1"/>
  <c r="Z1002" i="49" s="1"/>
  <c r="H1074" i="51"/>
  <c r="G1074" i="51"/>
  <c r="Y1001" i="49" s="1"/>
  <c r="AA1001" i="49" s="1"/>
  <c r="H1073" i="51"/>
  <c r="G1073" i="51"/>
  <c r="Y1000" i="49" s="1"/>
  <c r="Z1000" i="49" s="1"/>
  <c r="H1072" i="51"/>
  <c r="G1072" i="51"/>
  <c r="Y999" i="49" s="1"/>
  <c r="Z999" i="49" s="1"/>
  <c r="H1071" i="51"/>
  <c r="G1071" i="51"/>
  <c r="Y998" i="49" s="1"/>
  <c r="Z998" i="49" s="1"/>
  <c r="H15" i="51"/>
  <c r="G15" i="51"/>
  <c r="Y23" i="49" s="1"/>
  <c r="AA23" i="49" s="1"/>
  <c r="H14" i="51"/>
  <c r="G14" i="51"/>
  <c r="Y22" i="49" s="1"/>
  <c r="AA22" i="49" s="1"/>
  <c r="H13" i="51"/>
  <c r="G13" i="51"/>
  <c r="Y21" i="49" s="1"/>
  <c r="AA21" i="49" s="1"/>
  <c r="H12" i="51"/>
  <c r="G12" i="51"/>
  <c r="Y20" i="49" s="1"/>
  <c r="AA20" i="49" s="1"/>
  <c r="H11" i="51"/>
  <c r="G11" i="51"/>
  <c r="Y19" i="49" s="1"/>
  <c r="AA19" i="49" s="1"/>
  <c r="H10" i="51"/>
  <c r="G10" i="51"/>
  <c r="Y18" i="49" s="1"/>
  <c r="H9" i="51"/>
  <c r="G9" i="51"/>
  <c r="Y17" i="49" s="1"/>
  <c r="H8" i="51"/>
  <c r="G8" i="51"/>
  <c r="Y16" i="49" s="1"/>
  <c r="H7" i="51"/>
  <c r="G7" i="51"/>
  <c r="Y15" i="49" s="1"/>
  <c r="AA15" i="49" s="1"/>
  <c r="H304" i="51"/>
  <c r="G304" i="51"/>
  <c r="W432" i="49"/>
  <c r="Y432" i="49" s="1"/>
  <c r="W431" i="49"/>
  <c r="Y431" i="49" s="1"/>
  <c r="W430" i="49"/>
  <c r="Y430" i="49" s="1"/>
  <c r="W429" i="49"/>
  <c r="Y429" i="49" s="1"/>
  <c r="W428" i="49"/>
  <c r="Y428" i="49" s="1"/>
  <c r="W427" i="49"/>
  <c r="Y427" i="49" s="1"/>
  <c r="W426" i="49"/>
  <c r="Y426" i="49" s="1"/>
  <c r="W425" i="49"/>
  <c r="Y425" i="49" s="1"/>
  <c r="W424" i="49"/>
  <c r="Y424" i="49" s="1"/>
  <c r="W423" i="49"/>
  <c r="Y423" i="49" s="1"/>
  <c r="W422" i="49"/>
  <c r="Y422" i="49" s="1"/>
  <c r="W421" i="49"/>
  <c r="Y421" i="49" s="1"/>
  <c r="W420" i="49"/>
  <c r="Y420" i="49" s="1"/>
  <c r="W419" i="49"/>
  <c r="Y419" i="49" s="1"/>
  <c r="W442" i="49"/>
  <c r="Y442" i="49" s="1"/>
  <c r="W441" i="49"/>
  <c r="Y441" i="49" s="1"/>
  <c r="W440" i="49"/>
  <c r="Y440" i="49" s="1"/>
  <c r="W439" i="49"/>
  <c r="Y439" i="49" s="1"/>
  <c r="W438" i="49"/>
  <c r="Y438" i="49" s="1"/>
  <c r="W437" i="49"/>
  <c r="Y437" i="49" s="1"/>
  <c r="W436" i="49"/>
  <c r="Y436" i="49" s="1"/>
  <c r="W435" i="49"/>
  <c r="Y435" i="49" s="1"/>
  <c r="W1148" i="49"/>
  <c r="Y1148" i="49" s="1"/>
  <c r="W1147" i="49"/>
  <c r="Y1147" i="49" s="1"/>
  <c r="W1146" i="49"/>
  <c r="Y1146" i="49" s="1"/>
  <c r="W1145" i="49"/>
  <c r="Y1145" i="49" s="1"/>
  <c r="W1144" i="49"/>
  <c r="Y1144" i="49" s="1"/>
  <c r="W1143" i="49"/>
  <c r="Y1143" i="49" s="1"/>
  <c r="W1142" i="49"/>
  <c r="Y1142" i="49" s="1"/>
  <c r="W1141" i="49"/>
  <c r="Y1141" i="49" s="1"/>
  <c r="W1140" i="49"/>
  <c r="Y1140" i="49" s="1"/>
  <c r="W1139" i="49"/>
  <c r="Y1139" i="49" s="1"/>
  <c r="W1133" i="49"/>
  <c r="Y1133" i="49" s="1"/>
  <c r="W1132" i="49"/>
  <c r="Y1132" i="49" s="1"/>
  <c r="W1131" i="49"/>
  <c r="Y1131" i="49" s="1"/>
  <c r="W1130" i="49"/>
  <c r="Y1130" i="49" s="1"/>
  <c r="W1129" i="49"/>
  <c r="Y1129" i="49" s="1"/>
  <c r="W1128" i="49"/>
  <c r="Y1128" i="49" s="1"/>
  <c r="W1127" i="49"/>
  <c r="Y1127" i="49" s="1"/>
  <c r="W1126" i="49"/>
  <c r="Y1126" i="49" s="1"/>
  <c r="W1125" i="49"/>
  <c r="Y1125" i="49" s="1"/>
  <c r="W1124" i="49"/>
  <c r="Y1124" i="49" s="1"/>
  <c r="W1123" i="49"/>
  <c r="Y1123" i="49" s="1"/>
  <c r="W1122" i="49"/>
  <c r="Y1122" i="49" s="1"/>
  <c r="W1121" i="49"/>
  <c r="Y1121" i="49" s="1"/>
  <c r="W1120" i="49"/>
  <c r="Y1120" i="49" s="1"/>
  <c r="W1119" i="49"/>
  <c r="Y1119" i="49" s="1"/>
  <c r="W1118" i="49"/>
  <c r="Y1118" i="49" s="1"/>
  <c r="W1117" i="49"/>
  <c r="Y1117" i="49" s="1"/>
  <c r="W1116" i="49"/>
  <c r="Y1116" i="49" s="1"/>
  <c r="W1115" i="49"/>
  <c r="Y1115" i="49" s="1"/>
  <c r="W1114" i="49"/>
  <c r="Y1114" i="49" s="1"/>
  <c r="W1113" i="49"/>
  <c r="Y1113" i="49" s="1"/>
  <c r="W1112" i="49"/>
  <c r="Y1112" i="49" s="1"/>
  <c r="W1111" i="49"/>
  <c r="Y1111" i="49" s="1"/>
  <c r="W1110" i="49"/>
  <c r="Y1110" i="49" s="1"/>
  <c r="W1109" i="49"/>
  <c r="Y1109" i="49" s="1"/>
  <c r="W1108" i="49"/>
  <c r="Y1108" i="49" s="1"/>
  <c r="W1107" i="49"/>
  <c r="Y1107" i="49" s="1"/>
  <c r="W1106" i="49"/>
  <c r="Y1106" i="49" s="1"/>
  <c r="W1105" i="49"/>
  <c r="Y1105" i="49" s="1"/>
  <c r="W1104" i="49"/>
  <c r="Y1104" i="49" s="1"/>
  <c r="W1103" i="49"/>
  <c r="Y1103" i="49" s="1"/>
  <c r="W1102" i="49"/>
  <c r="Y1102" i="49" s="1"/>
  <c r="W1101" i="49"/>
  <c r="Y1101" i="49" s="1"/>
  <c r="W1100" i="49"/>
  <c r="Y1100" i="49" s="1"/>
  <c r="W1099" i="49"/>
  <c r="Y1099" i="49" s="1"/>
  <c r="W1098" i="49"/>
  <c r="Y1098" i="49" s="1"/>
  <c r="W1097" i="49"/>
  <c r="Y1097" i="49" s="1"/>
  <c r="W1096" i="49"/>
  <c r="Y1096" i="49" s="1"/>
  <c r="W1095" i="49"/>
  <c r="Y1095" i="49" s="1"/>
  <c r="W1094" i="49"/>
  <c r="Y1094" i="49" s="1"/>
  <c r="W1093" i="49"/>
  <c r="Y1093" i="49" s="1"/>
  <c r="W1092" i="49"/>
  <c r="Y1092" i="49" s="1"/>
  <c r="W1091" i="49"/>
  <c r="Y1091" i="49" s="1"/>
  <c r="W1090" i="49"/>
  <c r="Y1090" i="49" s="1"/>
  <c r="W1089" i="49"/>
  <c r="Y1089" i="49" s="1"/>
  <c r="W1088" i="49"/>
  <c r="Y1088" i="49" s="1"/>
  <c r="W1087" i="49"/>
  <c r="Y1087" i="49" s="1"/>
  <c r="W1086" i="49"/>
  <c r="Y1086" i="49" s="1"/>
  <c r="W1085" i="49"/>
  <c r="Y1085" i="49" s="1"/>
  <c r="W1084" i="49"/>
  <c r="Y1084" i="49" s="1"/>
  <c r="W1083" i="49"/>
  <c r="Y1083" i="49" s="1"/>
  <c r="W1082" i="49"/>
  <c r="Y1082" i="49" s="1"/>
  <c r="W1081" i="49"/>
  <c r="Y1081" i="49" s="1"/>
  <c r="W1080" i="49"/>
  <c r="Y1080" i="49" s="1"/>
  <c r="W1079" i="49"/>
  <c r="Y1079" i="49" s="1"/>
  <c r="W1078" i="49"/>
  <c r="Y1078" i="49" s="1"/>
  <c r="W1077" i="49"/>
  <c r="Y1077" i="49" s="1"/>
  <c r="W1076" i="49"/>
  <c r="Y1076" i="49" s="1"/>
  <c r="W1075" i="49"/>
  <c r="Y1075" i="49" s="1"/>
  <c r="W1073" i="49"/>
  <c r="Y1073" i="49" s="1"/>
  <c r="W1074" i="49"/>
  <c r="Y1074" i="49" s="1"/>
  <c r="W1072" i="49"/>
  <c r="Y1072" i="49" s="1"/>
  <c r="W1071" i="49"/>
  <c r="Y1071" i="49" s="1"/>
  <c r="W1070" i="49"/>
  <c r="Y1070" i="49" s="1"/>
  <c r="W1054" i="49"/>
  <c r="Y1054" i="49" s="1"/>
  <c r="W1053" i="49"/>
  <c r="Y1053" i="49" s="1"/>
  <c r="W1052" i="49"/>
  <c r="Y1052" i="49" s="1"/>
  <c r="W1051" i="49"/>
  <c r="Y1051" i="49" s="1"/>
  <c r="W1050" i="49"/>
  <c r="Y1050" i="49" s="1"/>
  <c r="W1049" i="49"/>
  <c r="Y1049" i="49" s="1"/>
  <c r="W1048" i="49"/>
  <c r="Y1048" i="49" s="1"/>
  <c r="W1047" i="49"/>
  <c r="Y1047" i="49" s="1"/>
  <c r="W1046" i="49"/>
  <c r="Y1046" i="49" s="1"/>
  <c r="W1045" i="49"/>
  <c r="Y1045" i="49" s="1"/>
  <c r="W1068" i="49"/>
  <c r="Y1068" i="49" s="1"/>
  <c r="W1067" i="49"/>
  <c r="Y1067" i="49" s="1"/>
  <c r="W1066" i="49"/>
  <c r="Y1066" i="49" s="1"/>
  <c r="W1065" i="49"/>
  <c r="Y1065" i="49" s="1"/>
  <c r="W1064" i="49"/>
  <c r="Y1064" i="49" s="1"/>
  <c r="W1063" i="49"/>
  <c r="Y1063" i="49" s="1"/>
  <c r="W1062" i="49"/>
  <c r="Y1062" i="49" s="1"/>
  <c r="W1061" i="49"/>
  <c r="Y1061" i="49" s="1"/>
  <c r="W1060" i="49"/>
  <c r="Y1060" i="49" s="1"/>
  <c r="W1059" i="49"/>
  <c r="Y1059" i="49" s="1"/>
  <c r="W1058" i="49"/>
  <c r="Y1058" i="49" s="1"/>
  <c r="W1057" i="49"/>
  <c r="Y1057" i="49" s="1"/>
  <c r="W1056" i="49"/>
  <c r="Y1056" i="49" s="1"/>
  <c r="W1055" i="49"/>
  <c r="Y1055" i="49" s="1"/>
  <c r="W823" i="49"/>
  <c r="Y823" i="49" s="1"/>
  <c r="W822" i="49"/>
  <c r="Y822" i="49" s="1"/>
  <c r="W610" i="49"/>
  <c r="Y610" i="49" s="1"/>
  <c r="W609" i="49"/>
  <c r="Y609" i="49" s="1"/>
  <c r="W608" i="49"/>
  <c r="Y608" i="49" s="1"/>
  <c r="W607" i="49"/>
  <c r="Y607" i="49" s="1"/>
  <c r="W606" i="49"/>
  <c r="Y606" i="49" s="1"/>
  <c r="W605" i="49"/>
  <c r="Y605" i="49" s="1"/>
  <c r="W604" i="49"/>
  <c r="Y604" i="49" s="1"/>
  <c r="W603" i="49"/>
  <c r="Y603" i="49" s="1"/>
  <c r="W602" i="49"/>
  <c r="Y602" i="49" s="1"/>
  <c r="W601" i="49"/>
  <c r="Y601" i="49" s="1"/>
  <c r="W600" i="49"/>
  <c r="Y600" i="49" s="1"/>
  <c r="W599" i="49"/>
  <c r="Y599" i="49" s="1"/>
  <c r="W598" i="49"/>
  <c r="Y598" i="49" s="1"/>
  <c r="W597" i="49"/>
  <c r="Y597" i="49" s="1"/>
  <c r="W596" i="49"/>
  <c r="Y596" i="49" s="1"/>
  <c r="W595" i="49"/>
  <c r="Y595" i="49" s="1"/>
  <c r="W594" i="49"/>
  <c r="Y594" i="49" s="1"/>
  <c r="W593" i="49"/>
  <c r="Y593" i="49" s="1"/>
  <c r="W592" i="49"/>
  <c r="Y592" i="49" s="1"/>
  <c r="W591" i="49"/>
  <c r="Y591" i="49" s="1"/>
  <c r="W590" i="49"/>
  <c r="Y590" i="49" s="1"/>
  <c r="W589" i="49"/>
  <c r="Y589" i="49" s="1"/>
  <c r="W588" i="49"/>
  <c r="Y588" i="49" s="1"/>
  <c r="W587" i="49"/>
  <c r="Y587" i="49" s="1"/>
  <c r="W586" i="49"/>
  <c r="Y586" i="49" s="1"/>
  <c r="W585" i="49"/>
  <c r="Y585" i="49" s="1"/>
  <c r="W584" i="49"/>
  <c r="Y584" i="49" s="1"/>
  <c r="W583" i="49"/>
  <c r="Y583" i="49" s="1"/>
  <c r="W821" i="49"/>
  <c r="Y821" i="49" s="1"/>
  <c r="W820" i="49"/>
  <c r="Y820" i="49" s="1"/>
  <c r="W819" i="49"/>
  <c r="Y819" i="49" s="1"/>
  <c r="W818" i="49"/>
  <c r="Y818" i="49" s="1"/>
  <c r="W817" i="49"/>
  <c r="Y817" i="49" s="1"/>
  <c r="W816" i="49"/>
  <c r="Y816" i="49" s="1"/>
  <c r="W815" i="49"/>
  <c r="Y815" i="49" s="1"/>
  <c r="W814" i="49"/>
  <c r="Y814" i="49" s="1"/>
  <c r="W813" i="49"/>
  <c r="Y813" i="49" s="1"/>
  <c r="W812" i="49"/>
  <c r="Y812" i="49" s="1"/>
  <c r="W811" i="49"/>
  <c r="Y811" i="49" s="1"/>
  <c r="W807" i="49"/>
  <c r="Y807" i="49" s="1"/>
  <c r="W806" i="49"/>
  <c r="Y806" i="49" s="1"/>
  <c r="W805" i="49"/>
  <c r="Y805" i="49" s="1"/>
  <c r="W804" i="49"/>
  <c r="Y804" i="49" s="1"/>
  <c r="W803" i="49"/>
  <c r="Y803" i="49" s="1"/>
  <c r="W802" i="49"/>
  <c r="Y802" i="49" s="1"/>
  <c r="W801" i="49"/>
  <c r="Y801" i="49" s="1"/>
  <c r="W800" i="49"/>
  <c r="Y800" i="49" s="1"/>
  <c r="W798" i="49"/>
  <c r="Y798" i="49" s="1"/>
  <c r="W797" i="49"/>
  <c r="Y797" i="49" s="1"/>
  <c r="W796" i="49"/>
  <c r="Y796" i="49" s="1"/>
  <c r="W795" i="49"/>
  <c r="Y795" i="49" s="1"/>
  <c r="W794" i="49"/>
  <c r="Y794" i="49" s="1"/>
  <c r="W793" i="49"/>
  <c r="Y793" i="49" s="1"/>
  <c r="W792" i="49"/>
  <c r="Y792" i="49" s="1"/>
  <c r="W791" i="49"/>
  <c r="Y791" i="49" s="1"/>
  <c r="W790" i="49"/>
  <c r="Y790" i="49" s="1"/>
  <c r="W789" i="49"/>
  <c r="Y789" i="49" s="1"/>
  <c r="W785" i="49"/>
  <c r="Y785" i="49" s="1"/>
  <c r="W784" i="49"/>
  <c r="Y784" i="49" s="1"/>
  <c r="W783" i="49"/>
  <c r="Y783" i="49" s="1"/>
  <c r="W782" i="49"/>
  <c r="Y782" i="49" s="1"/>
  <c r="W781" i="49"/>
  <c r="Y781" i="49" s="1"/>
  <c r="W780" i="49"/>
  <c r="Y780" i="49" s="1"/>
  <c r="W779" i="49"/>
  <c r="Y779" i="49" s="1"/>
  <c r="W778" i="49"/>
  <c r="Y778" i="49" s="1"/>
  <c r="W766" i="49"/>
  <c r="Y766" i="49" s="1"/>
  <c r="W765" i="49"/>
  <c r="Y765" i="49" s="1"/>
  <c r="W764" i="49"/>
  <c r="Y764" i="49" s="1"/>
  <c r="W763" i="49"/>
  <c r="Y763" i="49" s="1"/>
  <c r="W762" i="49"/>
  <c r="Y762" i="49" s="1"/>
  <c r="W761" i="49"/>
  <c r="Y761" i="49" s="1"/>
  <c r="W760" i="49"/>
  <c r="Y760" i="49" s="1"/>
  <c r="W759" i="49"/>
  <c r="Y759" i="49" s="1"/>
  <c r="W758" i="49"/>
  <c r="Y758" i="49" s="1"/>
  <c r="W757" i="49"/>
  <c r="Y757" i="49" s="1"/>
  <c r="W756" i="49"/>
  <c r="Y756" i="49" s="1"/>
  <c r="W755" i="49"/>
  <c r="Y755" i="49" s="1"/>
  <c r="W754" i="49"/>
  <c r="Y754" i="49" s="1"/>
  <c r="W753" i="49"/>
  <c r="Y753" i="49" s="1"/>
  <c r="W752" i="49"/>
  <c r="Y752" i="49" s="1"/>
  <c r="W751" i="49"/>
  <c r="Y751" i="49" s="1"/>
  <c r="W750" i="49"/>
  <c r="Y750" i="49" s="1"/>
  <c r="W749" i="49"/>
  <c r="Y749" i="49" s="1"/>
  <c r="W748" i="49"/>
  <c r="Y748" i="49" s="1"/>
  <c r="W747" i="49"/>
  <c r="Y747" i="49" s="1"/>
  <c r="W746" i="49"/>
  <c r="Y746" i="49" s="1"/>
  <c r="W745" i="49"/>
  <c r="Y745" i="49" s="1"/>
  <c r="W744" i="49"/>
  <c r="Y744" i="49" s="1"/>
  <c r="W743" i="49"/>
  <c r="Y743" i="49" s="1"/>
  <c r="W742" i="49"/>
  <c r="Y742" i="49" s="1"/>
  <c r="W741" i="49"/>
  <c r="Y741" i="49" s="1"/>
  <c r="W739" i="49"/>
  <c r="Y739" i="49" s="1"/>
  <c r="W740" i="49"/>
  <c r="Y740" i="49" s="1"/>
  <c r="W738" i="49"/>
  <c r="Y738" i="49" s="1"/>
  <c r="W737" i="49"/>
  <c r="Y737" i="49" s="1"/>
  <c r="W867" i="49"/>
  <c r="Y867" i="49" s="1"/>
  <c r="W866" i="49"/>
  <c r="Y866" i="49" s="1"/>
  <c r="W865" i="49"/>
  <c r="Y865" i="49" s="1"/>
  <c r="W864" i="49"/>
  <c r="Y864" i="49" s="1"/>
  <c r="W863" i="49"/>
  <c r="Y863" i="49" s="1"/>
  <c r="W862" i="49"/>
  <c r="Y862" i="49" s="1"/>
  <c r="W861" i="49"/>
  <c r="Y861" i="49" s="1"/>
  <c r="W860" i="49"/>
  <c r="Y860" i="49" s="1"/>
  <c r="W859" i="49"/>
  <c r="Y859" i="49" s="1"/>
  <c r="W858" i="49"/>
  <c r="Y858" i="49" s="1"/>
  <c r="W857" i="49"/>
  <c r="Y857" i="49" s="1"/>
  <c r="W856" i="49"/>
  <c r="Y856" i="49" s="1"/>
  <c r="W855" i="49"/>
  <c r="Y855" i="49" s="1"/>
  <c r="W854" i="49"/>
  <c r="Y854" i="49" s="1"/>
  <c r="W568" i="49"/>
  <c r="Y568" i="49" s="1"/>
  <c r="W567" i="49"/>
  <c r="Y567" i="49" s="1"/>
  <c r="W566" i="49"/>
  <c r="Y566" i="49" s="1"/>
  <c r="W565" i="49"/>
  <c r="Y565" i="49" s="1"/>
  <c r="W564" i="49"/>
  <c r="Y564" i="49" s="1"/>
  <c r="W563" i="49"/>
  <c r="Y563" i="49" s="1"/>
  <c r="W562" i="49"/>
  <c r="Y562" i="49" s="1"/>
  <c r="W561" i="49"/>
  <c r="Y561" i="49" s="1"/>
  <c r="W560" i="49"/>
  <c r="Y560" i="49" s="1"/>
  <c r="W559" i="49"/>
  <c r="Y559" i="49" s="1"/>
  <c r="W558" i="49"/>
  <c r="Y558" i="49" s="1"/>
  <c r="W557" i="49"/>
  <c r="Y557" i="49" s="1"/>
  <c r="W556" i="49"/>
  <c r="Y556" i="49" s="1"/>
  <c r="W555" i="49"/>
  <c r="Y555" i="49" s="1"/>
  <c r="W554" i="49"/>
  <c r="Y554" i="49" s="1"/>
  <c r="W553" i="49"/>
  <c r="Y553" i="49" s="1"/>
  <c r="W552" i="49"/>
  <c r="Y552" i="49" s="1"/>
  <c r="W641" i="49"/>
  <c r="Y641" i="49" s="1"/>
  <c r="W640" i="49"/>
  <c r="Y640" i="49" s="1"/>
  <c r="W639" i="49"/>
  <c r="Y639" i="49" s="1"/>
  <c r="W638" i="49"/>
  <c r="Y638" i="49" s="1"/>
  <c r="W637" i="49"/>
  <c r="Y637" i="49" s="1"/>
  <c r="W636" i="49"/>
  <c r="Y636" i="49" s="1"/>
  <c r="W635" i="49"/>
  <c r="Y635" i="49" s="1"/>
  <c r="W634" i="49"/>
  <c r="Y634" i="49" s="1"/>
  <c r="W633" i="49"/>
  <c r="Y633" i="49" s="1"/>
  <c r="W632" i="49"/>
  <c r="Y632" i="49" s="1"/>
  <c r="W631" i="49"/>
  <c r="Y631" i="49" s="1"/>
  <c r="W630" i="49"/>
  <c r="Y630" i="49" s="1"/>
  <c r="W629" i="49"/>
  <c r="Y629" i="49" s="1"/>
  <c r="W628" i="49"/>
  <c r="Y628" i="49" s="1"/>
  <c r="W627" i="49"/>
  <c r="Y627" i="49" s="1"/>
  <c r="W626" i="49"/>
  <c r="Y626" i="49" s="1"/>
  <c r="W625" i="49"/>
  <c r="Y625" i="49" s="1"/>
  <c r="W624" i="49"/>
  <c r="Y624" i="49" s="1"/>
  <c r="W551" i="49"/>
  <c r="Y551" i="49" s="1"/>
  <c r="W550" i="49"/>
  <c r="Y550" i="49" s="1"/>
  <c r="W549" i="49"/>
  <c r="Y549" i="49" s="1"/>
  <c r="W548" i="49"/>
  <c r="Y548" i="49" s="1"/>
  <c r="W547" i="49"/>
  <c r="Y547" i="49" s="1"/>
  <c r="W546" i="49"/>
  <c r="Y546" i="49" s="1"/>
  <c r="W483" i="49"/>
  <c r="Y483" i="49" s="1"/>
  <c r="W482" i="49"/>
  <c r="Y482" i="49" s="1"/>
  <c r="W481" i="49"/>
  <c r="Y481" i="49" s="1"/>
  <c r="W480" i="49"/>
  <c r="Y480" i="49" s="1"/>
  <c r="W479" i="49"/>
  <c r="Y479" i="49" s="1"/>
  <c r="W478" i="49"/>
  <c r="Y478" i="49" s="1"/>
  <c r="W477" i="49"/>
  <c r="Y477" i="49" s="1"/>
  <c r="W476" i="49"/>
  <c r="Y476" i="49" s="1"/>
  <c r="W475" i="49"/>
  <c r="Y475" i="49" s="1"/>
  <c r="W474" i="49"/>
  <c r="Y474" i="49" s="1"/>
  <c r="W473" i="49"/>
  <c r="Y473" i="49" s="1"/>
  <c r="W472" i="49"/>
  <c r="Y472" i="49" s="1"/>
  <c r="W471" i="49"/>
  <c r="Y471" i="49" s="1"/>
  <c r="W470" i="49"/>
  <c r="Y470" i="49" s="1"/>
  <c r="W469" i="49"/>
  <c r="Y469" i="49" s="1"/>
  <c r="W468" i="49"/>
  <c r="Y468" i="49" s="1"/>
  <c r="W467" i="49"/>
  <c r="Y467" i="49" s="1"/>
  <c r="W466" i="49"/>
  <c r="Y466" i="49" s="1"/>
  <c r="W465" i="49"/>
  <c r="Y465" i="49" s="1"/>
  <c r="W464" i="49"/>
  <c r="Y464" i="49" s="1"/>
  <c r="W463" i="49"/>
  <c r="Y463" i="49" s="1"/>
  <c r="W462" i="49"/>
  <c r="Y462" i="49" s="1"/>
  <c r="W461" i="49"/>
  <c r="Y461" i="49" s="1"/>
  <c r="W460" i="49"/>
  <c r="Y460" i="49" s="1"/>
  <c r="W459" i="49"/>
  <c r="Y459" i="49" s="1"/>
  <c r="W458" i="49"/>
  <c r="Y458" i="49" s="1"/>
  <c r="W457" i="49"/>
  <c r="Y457" i="49" s="1"/>
  <c r="W456" i="49"/>
  <c r="Y456" i="49" s="1"/>
  <c r="W696" i="49"/>
  <c r="Y696" i="49" s="1"/>
  <c r="W714" i="49"/>
  <c r="Y714" i="49" s="1"/>
  <c r="W712" i="49"/>
  <c r="Y712" i="49" s="1"/>
  <c r="W694" i="49"/>
  <c r="Y694" i="49" s="1"/>
  <c r="W692" i="49"/>
  <c r="Y692" i="49" s="1"/>
  <c r="W833" i="49"/>
  <c r="Y833" i="49" s="1"/>
  <c r="W834" i="49"/>
  <c r="Y834" i="49" s="1"/>
  <c r="W731" i="49"/>
  <c r="Y731" i="49" s="1"/>
  <c r="W830" i="49"/>
  <c r="Y830" i="49" s="1"/>
  <c r="W705" i="49"/>
  <c r="Y705" i="49" s="1"/>
  <c r="W708" i="49"/>
  <c r="Y708" i="49" s="1"/>
  <c r="W710" i="49"/>
  <c r="Y710" i="49" s="1"/>
  <c r="W728" i="49"/>
  <c r="Y728" i="49" s="1"/>
  <c r="W730" i="49"/>
  <c r="Y730" i="49" s="1"/>
  <c r="W716" i="49"/>
  <c r="Y716" i="49" s="1"/>
  <c r="W718" i="49"/>
  <c r="Y718" i="49" s="1"/>
  <c r="W701" i="49"/>
  <c r="Y701" i="49" s="1"/>
  <c r="W703" i="49"/>
  <c r="Y703" i="49" s="1"/>
  <c r="W643" i="49"/>
  <c r="Y643" i="49" s="1"/>
  <c r="W645" i="49"/>
  <c r="Y645" i="49" s="1"/>
  <c r="W655" i="49"/>
  <c r="Y655" i="49" s="1"/>
  <c r="W657" i="49"/>
  <c r="Y657" i="49" s="1"/>
  <c r="W720" i="49"/>
  <c r="Y720" i="49" s="1"/>
  <c r="W651" i="49"/>
  <c r="Y651" i="49" s="1"/>
  <c r="W724" i="49"/>
  <c r="Y724" i="49" s="1"/>
  <c r="W852" i="49"/>
  <c r="Y852" i="49" s="1"/>
  <c r="W722" i="49"/>
  <c r="Y722" i="49" s="1"/>
  <c r="W734" i="49"/>
  <c r="Y734" i="49" s="1"/>
  <c r="W829" i="49"/>
  <c r="Y829" i="49" s="1"/>
  <c r="W827" i="49"/>
  <c r="Y827" i="49" s="1"/>
  <c r="W695" i="49"/>
  <c r="Y695" i="49" s="1"/>
  <c r="W713" i="49"/>
  <c r="Y713" i="49" s="1"/>
  <c r="W711" i="49"/>
  <c r="Y711" i="49" s="1"/>
  <c r="W693" i="49"/>
  <c r="Y693" i="49" s="1"/>
  <c r="W691" i="49"/>
  <c r="Y691" i="49" s="1"/>
  <c r="W707" i="49"/>
  <c r="Y707" i="49" s="1"/>
  <c r="W709" i="49"/>
  <c r="Y709" i="49" s="1"/>
  <c r="W727" i="49"/>
  <c r="Y727" i="49" s="1"/>
  <c r="W729" i="49"/>
  <c r="Y729" i="49" s="1"/>
  <c r="W715" i="49"/>
  <c r="Y715" i="49" s="1"/>
  <c r="W717" i="49"/>
  <c r="Y717" i="49" s="1"/>
  <c r="W700" i="49"/>
  <c r="Y700" i="49" s="1"/>
  <c r="W702" i="49"/>
  <c r="Y702" i="49" s="1"/>
  <c r="W642" i="49"/>
  <c r="Y642" i="49" s="1"/>
  <c r="W644" i="49"/>
  <c r="Y644" i="49" s="1"/>
  <c r="W654" i="49"/>
  <c r="Y654" i="49" s="1"/>
  <c r="W656" i="49"/>
  <c r="Y656" i="49" s="1"/>
  <c r="W690" i="49"/>
  <c r="Y690" i="49" s="1"/>
  <c r="W719" i="49"/>
  <c r="Y719" i="49" s="1"/>
  <c r="W723" i="49"/>
  <c r="Y723" i="49" s="1"/>
  <c r="W851" i="49"/>
  <c r="Y851" i="49" s="1"/>
  <c r="W721" i="49"/>
  <c r="Y721" i="49" s="1"/>
  <c r="W735" i="49"/>
  <c r="Y735" i="49" s="1"/>
  <c r="W828" i="49"/>
  <c r="Y828" i="49" s="1"/>
  <c r="W826" i="49"/>
  <c r="Y826" i="49" s="1"/>
  <c r="W454" i="49"/>
  <c r="Y454" i="49" s="1"/>
  <c r="W453" i="49"/>
  <c r="Y453" i="49" s="1"/>
  <c r="W452" i="49"/>
  <c r="Y452" i="49" s="1"/>
  <c r="W451" i="49"/>
  <c r="Y451" i="49" s="1"/>
  <c r="W450" i="49"/>
  <c r="Y450" i="49" s="1"/>
  <c r="W449" i="49"/>
  <c r="Y449" i="49" s="1"/>
  <c r="W448" i="49"/>
  <c r="Y448" i="49" s="1"/>
  <c r="W447" i="49"/>
  <c r="Y447" i="49" s="1"/>
  <c r="W446" i="49"/>
  <c r="Y446" i="49" s="1"/>
  <c r="W445" i="49"/>
  <c r="Y445" i="49" s="1"/>
  <c r="W444" i="49"/>
  <c r="Y444" i="49" s="1"/>
  <c r="W287" i="49"/>
  <c r="Y287" i="49" s="1"/>
  <c r="W286" i="49"/>
  <c r="Y286" i="49" s="1"/>
  <c r="W285" i="49"/>
  <c r="Y285" i="49" s="1"/>
  <c r="W284" i="49"/>
  <c r="Y284" i="49" s="1"/>
  <c r="W283" i="49"/>
  <c r="Y283" i="49" s="1"/>
  <c r="W282" i="49"/>
  <c r="Y282" i="49" s="1"/>
  <c r="W281" i="49"/>
  <c r="Y281" i="49" s="1"/>
  <c r="W280" i="49"/>
  <c r="Y280" i="49" s="1"/>
  <c r="W279" i="49"/>
  <c r="Y279" i="49" s="1"/>
  <c r="W278" i="49"/>
  <c r="Y278" i="49" s="1"/>
  <c r="W277" i="49"/>
  <c r="Y277" i="49" s="1"/>
  <c r="W276" i="49"/>
  <c r="Y276" i="49" s="1"/>
  <c r="W275" i="49"/>
  <c r="Y275" i="49" s="1"/>
  <c r="W274" i="49"/>
  <c r="Y274" i="49" s="1"/>
  <c r="W273" i="49"/>
  <c r="Y273" i="49" s="1"/>
  <c r="W272" i="49"/>
  <c r="Y272" i="49" s="1"/>
  <c r="W271" i="49"/>
  <c r="Y271" i="49" s="1"/>
  <c r="W270" i="49"/>
  <c r="Y270" i="49" s="1"/>
  <c r="W269" i="49"/>
  <c r="Y269" i="49" s="1"/>
  <c r="W268" i="49"/>
  <c r="Y268" i="49" s="1"/>
  <c r="W267" i="49"/>
  <c r="Y267" i="49" s="1"/>
  <c r="W266" i="49"/>
  <c r="Y266" i="49" s="1"/>
  <c r="W265" i="49"/>
  <c r="Y265" i="49" s="1"/>
  <c r="W264" i="49"/>
  <c r="Y264" i="49" s="1"/>
  <c r="W263" i="49"/>
  <c r="Y263" i="49" s="1"/>
  <c r="W262" i="49"/>
  <c r="Y262" i="49" s="1"/>
  <c r="W261" i="49"/>
  <c r="Y261" i="49" s="1"/>
  <c r="W260" i="49"/>
  <c r="Y260" i="49" s="1"/>
  <c r="W259" i="49"/>
  <c r="Y259" i="49" s="1"/>
  <c r="W258" i="49"/>
  <c r="Y258" i="49" s="1"/>
  <c r="W257" i="49"/>
  <c r="Y257" i="49" s="1"/>
  <c r="W256" i="49"/>
  <c r="Y256" i="49" s="1"/>
  <c r="W255" i="49"/>
  <c r="Y255" i="49" s="1"/>
  <c r="W254" i="49"/>
  <c r="Y254" i="49" s="1"/>
  <c r="W253" i="49"/>
  <c r="Y253" i="49" s="1"/>
  <c r="W252" i="49"/>
  <c r="Y252" i="49" s="1"/>
  <c r="W251" i="49"/>
  <c r="W250" i="49"/>
  <c r="Y250" i="49" s="1"/>
  <c r="W249" i="49"/>
  <c r="Y249" i="49" s="1"/>
  <c r="W248" i="49"/>
  <c r="Y248" i="49" s="1"/>
  <c r="W247" i="49"/>
  <c r="Y247" i="49" s="1"/>
  <c r="W246" i="49"/>
  <c r="Y246" i="49" s="1"/>
  <c r="W245" i="49"/>
  <c r="Y245" i="49" s="1"/>
  <c r="W244" i="49"/>
  <c r="Y244" i="49" s="1"/>
  <c r="W243" i="49"/>
  <c r="Y243" i="49" s="1"/>
  <c r="W242" i="49"/>
  <c r="Y242" i="49" s="1"/>
  <c r="W241" i="49"/>
  <c r="Y241" i="49" s="1"/>
  <c r="W240" i="49"/>
  <c r="Y240" i="49" s="1"/>
  <c r="W239" i="49"/>
  <c r="Y239" i="49" s="1"/>
  <c r="W238" i="49"/>
  <c r="Y238" i="49" s="1"/>
  <c r="W237" i="49"/>
  <c r="Y237" i="49" s="1"/>
  <c r="W236" i="49"/>
  <c r="Y236" i="49" s="1"/>
  <c r="W927" i="49"/>
  <c r="Y927" i="49" s="1"/>
  <c r="W926" i="49"/>
  <c r="Y926" i="49" s="1"/>
  <c r="W925" i="49"/>
  <c r="Y925" i="49" s="1"/>
  <c r="W924" i="49"/>
  <c r="Y924" i="49" s="1"/>
  <c r="W923" i="49"/>
  <c r="Y923" i="49" s="1"/>
  <c r="W922" i="49"/>
  <c r="Y922" i="49" s="1"/>
  <c r="W921" i="49"/>
  <c r="Y921" i="49" s="1"/>
  <c r="W920" i="49"/>
  <c r="Y920" i="49" s="1"/>
  <c r="W919" i="49"/>
  <c r="Y919" i="49" s="1"/>
  <c r="W918" i="49"/>
  <c r="Y918" i="49" s="1"/>
  <c r="W917" i="49"/>
  <c r="Y917" i="49" s="1"/>
  <c r="W916" i="49"/>
  <c r="Y916" i="49" s="1"/>
  <c r="W915" i="49"/>
  <c r="Y915" i="49" s="1"/>
  <c r="W914" i="49"/>
  <c r="Y914" i="49" s="1"/>
  <c r="W913" i="49"/>
  <c r="Y913" i="49" s="1"/>
  <c r="W912" i="49"/>
  <c r="Y912" i="49" s="1"/>
  <c r="W911" i="49"/>
  <c r="Y911" i="49" s="1"/>
  <c r="W910" i="49"/>
  <c r="Y910" i="49" s="1"/>
  <c r="W909" i="49"/>
  <c r="Y909" i="49" s="1"/>
  <c r="W908" i="49"/>
  <c r="Y908" i="49" s="1"/>
  <c r="W907" i="49"/>
  <c r="Y907" i="49" s="1"/>
  <c r="W906" i="49"/>
  <c r="Y906" i="49" s="1"/>
  <c r="W905" i="49"/>
  <c r="Y905" i="49" s="1"/>
  <c r="W904" i="49"/>
  <c r="Y904" i="49" s="1"/>
  <c r="W997" i="49"/>
  <c r="Y997" i="49" s="1"/>
  <c r="W996" i="49"/>
  <c r="Y996" i="49" s="1"/>
  <c r="W995" i="49"/>
  <c r="Y995" i="49" s="1"/>
  <c r="W994" i="49"/>
  <c r="Y994" i="49" s="1"/>
  <c r="W993" i="49"/>
  <c r="Y993" i="49" s="1"/>
  <c r="W992" i="49"/>
  <c r="Y992" i="49" s="1"/>
  <c r="W991" i="49"/>
  <c r="Y991" i="49" s="1"/>
  <c r="W990" i="49"/>
  <c r="Y990" i="49" s="1"/>
  <c r="W989" i="49"/>
  <c r="Y989" i="49" s="1"/>
  <c r="W988" i="49"/>
  <c r="Y988" i="49" s="1"/>
  <c r="W987" i="49"/>
  <c r="Y987" i="49" s="1"/>
  <c r="W986" i="49"/>
  <c r="Y986" i="49" s="1"/>
  <c r="W985" i="49"/>
  <c r="Y985" i="49" s="1"/>
  <c r="W982" i="49"/>
  <c r="Y982" i="49" s="1"/>
  <c r="W981" i="49"/>
  <c r="Y981" i="49" s="1"/>
  <c r="W980" i="49"/>
  <c r="Y980" i="49" s="1"/>
  <c r="W979" i="49"/>
  <c r="Y979" i="49" s="1"/>
  <c r="W978" i="49"/>
  <c r="Y978" i="49" s="1"/>
  <c r="W977" i="49"/>
  <c r="Y977" i="49" s="1"/>
  <c r="W976" i="49"/>
  <c r="Y976" i="49" s="1"/>
  <c r="W975" i="49"/>
  <c r="Y975" i="49" s="1"/>
  <c r="W974" i="49"/>
  <c r="Y974" i="49" s="1"/>
  <c r="W973" i="49"/>
  <c r="Y973" i="49" s="1"/>
  <c r="W972" i="49"/>
  <c r="Y972" i="49" s="1"/>
  <c r="W971" i="49"/>
  <c r="Y971" i="49" s="1"/>
  <c r="W970" i="49"/>
  <c r="Y970" i="49" s="1"/>
  <c r="W969" i="49"/>
  <c r="Y969" i="49" s="1"/>
  <c r="W943" i="49"/>
  <c r="Y943" i="49" s="1"/>
  <c r="W942" i="49"/>
  <c r="Y942" i="49" s="1"/>
  <c r="W941" i="49"/>
  <c r="Y941" i="49" s="1"/>
  <c r="W940" i="49"/>
  <c r="Y940" i="49" s="1"/>
  <c r="W939" i="49"/>
  <c r="Y939" i="49" s="1"/>
  <c r="W938" i="49"/>
  <c r="Y938" i="49" s="1"/>
  <c r="W937" i="49"/>
  <c r="Y937" i="49" s="1"/>
  <c r="W936" i="49"/>
  <c r="Y936" i="49" s="1"/>
  <c r="W935" i="49"/>
  <c r="Y935" i="49" s="1"/>
  <c r="W934" i="49"/>
  <c r="Y934" i="49" s="1"/>
  <c r="W933" i="49"/>
  <c r="Y933" i="49" s="1"/>
  <c r="W932" i="49"/>
  <c r="Y932" i="49" s="1"/>
  <c r="W931" i="49"/>
  <c r="Y931" i="49" s="1"/>
  <c r="W1153" i="49"/>
  <c r="Y1153" i="49" s="1"/>
  <c r="W1152" i="49"/>
  <c r="Y1152" i="49" s="1"/>
  <c r="W1151" i="49"/>
  <c r="Y1151" i="49" s="1"/>
  <c r="W1150" i="49"/>
  <c r="Y1150" i="49" s="1"/>
  <c r="W1149" i="49"/>
  <c r="Y1149" i="49" s="1"/>
  <c r="W1033" i="49"/>
  <c r="Y1033" i="49" s="1"/>
  <c r="W1032" i="49"/>
  <c r="Y1032" i="49" s="1"/>
  <c r="W1031" i="49"/>
  <c r="Y1031" i="49" s="1"/>
  <c r="W1030" i="49"/>
  <c r="Y1030" i="49" s="1"/>
  <c r="W105" i="49"/>
  <c r="Y105" i="49" s="1"/>
  <c r="W104" i="49"/>
  <c r="Y104" i="49" s="1"/>
  <c r="W103" i="49"/>
  <c r="Y103" i="49" s="1"/>
  <c r="W102" i="49"/>
  <c r="Y102" i="49" s="1"/>
  <c r="W101" i="49"/>
  <c r="Y101" i="49" s="1"/>
  <c r="W100" i="49"/>
  <c r="Y100" i="49" s="1"/>
  <c r="W99" i="49"/>
  <c r="Y99" i="49" s="1"/>
  <c r="W98" i="49"/>
  <c r="Y98" i="49" s="1"/>
  <c r="W97" i="49"/>
  <c r="Y97" i="49" s="1"/>
  <c r="W96" i="49"/>
  <c r="Y96" i="49" s="1"/>
  <c r="W95" i="49"/>
  <c r="Y95" i="49" s="1"/>
  <c r="W94" i="49"/>
  <c r="Y94" i="49" s="1"/>
  <c r="W113" i="49"/>
  <c r="Y113" i="49" s="1"/>
  <c r="W112" i="49"/>
  <c r="Y112" i="49" s="1"/>
  <c r="W111" i="49"/>
  <c r="Y111" i="49" s="1"/>
  <c r="W110" i="49"/>
  <c r="Y110" i="49" s="1"/>
  <c r="W109" i="49"/>
  <c r="Y109" i="49" s="1"/>
  <c r="W108" i="49"/>
  <c r="Y108" i="49" s="1"/>
  <c r="W107" i="49"/>
  <c r="Y107" i="49" s="1"/>
  <c r="W106" i="49"/>
  <c r="Y106" i="49" s="1"/>
  <c r="W235" i="49"/>
  <c r="Y235" i="49" s="1"/>
  <c r="W234" i="49"/>
  <c r="Y234" i="49" s="1"/>
  <c r="W233" i="49"/>
  <c r="Y233" i="49" s="1"/>
  <c r="W232" i="49"/>
  <c r="Y232" i="49" s="1"/>
  <c r="W231" i="49"/>
  <c r="Y231" i="49" s="1"/>
  <c r="W230" i="49"/>
  <c r="Y230" i="49" s="1"/>
  <c r="W229" i="49"/>
  <c r="Y229" i="49" s="1"/>
  <c r="W228" i="49"/>
  <c r="Y228" i="49" s="1"/>
  <c r="W227" i="49"/>
  <c r="Y227" i="49" s="1"/>
  <c r="W226" i="49"/>
  <c r="Y226" i="49" s="1"/>
  <c r="W225" i="49"/>
  <c r="Y225" i="49" s="1"/>
  <c r="W224" i="49"/>
  <c r="Y224" i="49" s="1"/>
  <c r="W223" i="49"/>
  <c r="Y223" i="49" s="1"/>
  <c r="W222" i="49"/>
  <c r="Y222" i="49" s="1"/>
  <c r="W221" i="49"/>
  <c r="Y221" i="49" s="1"/>
  <c r="W220" i="49"/>
  <c r="Y220" i="49" s="1"/>
  <c r="W219" i="49"/>
  <c r="Y219" i="49" s="1"/>
  <c r="W218" i="49"/>
  <c r="Y218" i="49" s="1"/>
  <c r="W217" i="49"/>
  <c r="Y217" i="49" s="1"/>
  <c r="W216" i="49"/>
  <c r="Y216" i="49" s="1"/>
  <c r="W215" i="49"/>
  <c r="Y215" i="49" s="1"/>
  <c r="W174" i="49"/>
  <c r="Y174" i="49" s="1"/>
  <c r="W173" i="49"/>
  <c r="Y173" i="49" s="1"/>
  <c r="W172" i="49"/>
  <c r="Y172" i="49" s="1"/>
  <c r="W171" i="49"/>
  <c r="Y171" i="49" s="1"/>
  <c r="W170" i="49"/>
  <c r="Y170" i="49" s="1"/>
  <c r="W169" i="49"/>
  <c r="Y169" i="49" s="1"/>
  <c r="W168" i="49"/>
  <c r="Y168" i="49" s="1"/>
  <c r="W167" i="49"/>
  <c r="Y167" i="49" s="1"/>
  <c r="W166" i="49"/>
  <c r="Y166" i="49" s="1"/>
  <c r="W165" i="49"/>
  <c r="Y165" i="49" s="1"/>
  <c r="W164" i="49"/>
  <c r="Y164" i="49" s="1"/>
  <c r="W163" i="49"/>
  <c r="Y163" i="49" s="1"/>
  <c r="W162" i="49"/>
  <c r="Y162" i="49" s="1"/>
  <c r="W161" i="49"/>
  <c r="Y161" i="49" s="1"/>
  <c r="W160" i="49"/>
  <c r="Y160" i="49" s="1"/>
  <c r="W159" i="49"/>
  <c r="Y159" i="49" s="1"/>
  <c r="W158" i="49"/>
  <c r="Y158" i="49" s="1"/>
  <c r="W157" i="49"/>
  <c r="Y157" i="49" s="1"/>
  <c r="W135" i="49"/>
  <c r="Y135" i="49" s="1"/>
  <c r="W134" i="49"/>
  <c r="Y134" i="49" s="1"/>
  <c r="W133" i="49"/>
  <c r="Y133" i="49" s="1"/>
  <c r="W132" i="49"/>
  <c r="Y132" i="49" s="1"/>
  <c r="W131" i="49"/>
  <c r="Y131" i="49" s="1"/>
  <c r="W130" i="49"/>
  <c r="Y130" i="49" s="1"/>
  <c r="W129" i="49"/>
  <c r="Y129" i="49" s="1"/>
  <c r="W128" i="49"/>
  <c r="Y128" i="49" s="1"/>
  <c r="W127" i="49"/>
  <c r="Y127" i="49" s="1"/>
  <c r="W126" i="49"/>
  <c r="Y126" i="49" s="1"/>
  <c r="W125" i="49"/>
  <c r="Y125" i="49" s="1"/>
  <c r="W124" i="49"/>
  <c r="Y124" i="49" s="1"/>
  <c r="W123" i="49"/>
  <c r="Y123" i="49" s="1"/>
  <c r="W122" i="49"/>
  <c r="Y122" i="49" s="1"/>
  <c r="W121" i="49"/>
  <c r="Y121" i="49" s="1"/>
  <c r="W120" i="49"/>
  <c r="Y120" i="49" s="1"/>
  <c r="W119" i="49"/>
  <c r="Y119" i="49" s="1"/>
  <c r="W880" i="49"/>
  <c r="Y880" i="49" s="1"/>
  <c r="W879" i="49"/>
  <c r="Y879" i="49" s="1"/>
  <c r="W878" i="49"/>
  <c r="Y878" i="49" s="1"/>
  <c r="W877" i="49"/>
  <c r="Y877" i="49" s="1"/>
  <c r="W876" i="49"/>
  <c r="Y876" i="49" s="1"/>
  <c r="W875" i="49"/>
  <c r="Y875" i="49" s="1"/>
  <c r="W874" i="49"/>
  <c r="Y874" i="49" s="1"/>
  <c r="W873" i="49"/>
  <c r="Y873" i="49" s="1"/>
  <c r="W872" i="49"/>
  <c r="Y872" i="49" s="1"/>
  <c r="W900" i="49"/>
  <c r="Y900" i="49" s="1"/>
  <c r="W899" i="49"/>
  <c r="Y899" i="49" s="1"/>
  <c r="W898" i="49"/>
  <c r="Y898" i="49" s="1"/>
  <c r="W897" i="49"/>
  <c r="Y897" i="49" s="1"/>
  <c r="W896" i="49"/>
  <c r="Y896" i="49" s="1"/>
  <c r="W895" i="49"/>
  <c r="Y895" i="49" s="1"/>
  <c r="W894" i="49"/>
  <c r="Y894" i="49" s="1"/>
  <c r="W893" i="49"/>
  <c r="Y893" i="49" s="1"/>
  <c r="W892" i="49"/>
  <c r="Y892" i="49" s="1"/>
  <c r="W891" i="49"/>
  <c r="Y891" i="49" s="1"/>
  <c r="W890" i="49"/>
  <c r="Y890" i="49" s="1"/>
  <c r="W889" i="49"/>
  <c r="Y889" i="49" s="1"/>
  <c r="W888" i="49"/>
  <c r="Y888" i="49" s="1"/>
  <c r="W887" i="49"/>
  <c r="Y887" i="49" s="1"/>
  <c r="W886" i="49"/>
  <c r="Y886" i="49" s="1"/>
  <c r="W885" i="49"/>
  <c r="Y885" i="49" s="1"/>
  <c r="W884" i="49"/>
  <c r="Y884" i="49" s="1"/>
  <c r="W883" i="49"/>
  <c r="Y883" i="49" s="1"/>
  <c r="W93" i="49"/>
  <c r="Y93" i="49" s="1"/>
  <c r="W92" i="49"/>
  <c r="Y92" i="49" s="1"/>
  <c r="W91" i="49"/>
  <c r="Y91" i="49" s="1"/>
  <c r="W90" i="49"/>
  <c r="Y90" i="49" s="1"/>
  <c r="W89" i="49"/>
  <c r="Y89" i="49" s="1"/>
  <c r="W88" i="49"/>
  <c r="Y88" i="49" s="1"/>
  <c r="W87" i="49"/>
  <c r="Y87" i="49" s="1"/>
  <c r="W86" i="49"/>
  <c r="Y86" i="49" s="1"/>
  <c r="W85" i="49"/>
  <c r="Y85" i="49" s="1"/>
  <c r="W84" i="49"/>
  <c r="Y84" i="49" s="1"/>
  <c r="W83" i="49"/>
  <c r="Y83" i="49" s="1"/>
  <c r="W82" i="49"/>
  <c r="Y82" i="49" s="1"/>
  <c r="W81" i="49"/>
  <c r="Y81" i="49" s="1"/>
  <c r="W80" i="49"/>
  <c r="Y80" i="49" s="1"/>
  <c r="W79" i="49"/>
  <c r="Y79" i="49" s="1"/>
  <c r="W78" i="49"/>
  <c r="Y78" i="49" s="1"/>
  <c r="W77" i="49"/>
  <c r="Y77" i="49" s="1"/>
  <c r="W76" i="49"/>
  <c r="Y76" i="49" s="1"/>
  <c r="W75" i="49"/>
  <c r="Y75" i="49" s="1"/>
  <c r="W74" i="49"/>
  <c r="Y74" i="49" s="1"/>
  <c r="W73" i="49"/>
  <c r="Y73" i="49" s="1"/>
  <c r="W72" i="49"/>
  <c r="Y72" i="49" s="1"/>
  <c r="W71" i="49"/>
  <c r="Y71" i="49" s="1"/>
  <c r="W70" i="49"/>
  <c r="Y70" i="49" s="1"/>
  <c r="W69" i="49"/>
  <c r="Y69" i="49" s="1"/>
  <c r="W68" i="49"/>
  <c r="Y68" i="49" s="1"/>
  <c r="W67" i="49"/>
  <c r="Y67" i="49" s="1"/>
  <c r="W66" i="49"/>
  <c r="Y66" i="49" s="1"/>
  <c r="W65" i="49"/>
  <c r="Y65" i="49" s="1"/>
  <c r="W64" i="49"/>
  <c r="Y64" i="49" s="1"/>
  <c r="W63" i="49"/>
  <c r="Y63" i="49" s="1"/>
  <c r="W62" i="49"/>
  <c r="Y62" i="49" s="1"/>
  <c r="W14" i="49"/>
  <c r="Y14" i="49" s="1"/>
  <c r="W13" i="49"/>
  <c r="Y13" i="49" s="1"/>
  <c r="W12" i="49"/>
  <c r="Y12" i="49" s="1"/>
  <c r="W11" i="49"/>
  <c r="Y11" i="49" s="1"/>
  <c r="W10" i="49"/>
  <c r="Y10" i="49" s="1"/>
  <c r="W9" i="49"/>
  <c r="Y9" i="49" s="1"/>
  <c r="W8" i="49"/>
  <c r="Y8" i="49" s="1"/>
  <c r="W7" i="49"/>
  <c r="Y7" i="49" s="1"/>
  <c r="W6" i="49"/>
  <c r="Y6" i="49" s="1"/>
  <c r="W5" i="49"/>
  <c r="Y5" i="49" s="1"/>
  <c r="W4" i="49"/>
  <c r="Y4" i="49" s="1"/>
  <c r="W3" i="49"/>
  <c r="Y3" i="49" s="1"/>
  <c r="W2" i="49"/>
  <c r="Y2" i="49" s="1"/>
  <c r="W38" i="49"/>
  <c r="Y38" i="49" s="1"/>
  <c r="W37" i="49"/>
  <c r="Y37" i="49" s="1"/>
  <c r="W36" i="49"/>
  <c r="Y36" i="49" s="1"/>
  <c r="W35" i="49"/>
  <c r="Y35" i="49" s="1"/>
  <c r="W34" i="49"/>
  <c r="Y34" i="49" s="1"/>
  <c r="W33" i="49"/>
  <c r="Y33" i="49" s="1"/>
  <c r="W32" i="49"/>
  <c r="Y32" i="49" s="1"/>
  <c r="W30" i="49"/>
  <c r="W29" i="49"/>
  <c r="Y29" i="49" s="1"/>
  <c r="W31" i="49"/>
  <c r="Y31" i="49" s="1"/>
  <c r="W28" i="49"/>
  <c r="Y28" i="49" s="1"/>
  <c r="W27" i="49"/>
  <c r="Y27" i="49" s="1"/>
  <c r="W1044" i="49"/>
  <c r="Y1044" i="49" s="1"/>
  <c r="W1043" i="49"/>
  <c r="Y1043" i="49" s="1"/>
  <c r="W1042" i="49"/>
  <c r="Y1042" i="49" s="1"/>
  <c r="W1041" i="49"/>
  <c r="Y1041" i="49" s="1"/>
  <c r="W1040" i="49"/>
  <c r="Y1040" i="49" s="1"/>
  <c r="W1039" i="49"/>
  <c r="Y1039" i="49" s="1"/>
  <c r="W1038" i="49"/>
  <c r="Y1038" i="49" s="1"/>
  <c r="W1037" i="49"/>
  <c r="Y1037" i="49" s="1"/>
  <c r="W1036" i="49"/>
  <c r="Y1036" i="49" s="1"/>
  <c r="W1035" i="49"/>
  <c r="Y1035" i="49" s="1"/>
  <c r="W1034" i="49"/>
  <c r="Y1034" i="49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H2" i="51"/>
  <c r="H3" i="51"/>
  <c r="H4" i="51"/>
  <c r="H5" i="51"/>
  <c r="H6" i="51"/>
  <c r="H16" i="51"/>
  <c r="H17" i="51"/>
  <c r="H18" i="51"/>
  <c r="H19" i="51"/>
  <c r="H20" i="51"/>
  <c r="H81" i="51"/>
  <c r="H82" i="51"/>
  <c r="H83" i="51"/>
  <c r="H84" i="51"/>
  <c r="H21" i="51"/>
  <c r="H22" i="51"/>
  <c r="H23" i="51"/>
  <c r="H24" i="51"/>
  <c r="H25" i="51"/>
  <c r="H26" i="51"/>
  <c r="H27" i="51"/>
  <c r="H28" i="51"/>
  <c r="H29" i="51"/>
  <c r="H30" i="51"/>
  <c r="H31" i="51"/>
  <c r="H32" i="51"/>
  <c r="H33" i="51"/>
  <c r="H34" i="51"/>
  <c r="H35" i="51"/>
  <c r="H36" i="51"/>
  <c r="H37" i="51"/>
  <c r="H38" i="51"/>
  <c r="H39" i="51"/>
  <c r="H40" i="51"/>
  <c r="H41" i="51"/>
  <c r="H42" i="51"/>
  <c r="H43" i="51"/>
  <c r="H44" i="51"/>
  <c r="H45" i="51"/>
  <c r="H46" i="51"/>
  <c r="H47" i="51"/>
  <c r="H48" i="51"/>
  <c r="H49" i="51"/>
  <c r="H50" i="51"/>
  <c r="H51" i="51"/>
  <c r="H85" i="51"/>
  <c r="H86" i="51"/>
  <c r="H52" i="51"/>
  <c r="H53" i="51"/>
  <c r="H54" i="51"/>
  <c r="H55" i="51"/>
  <c r="H56" i="51"/>
  <c r="H57" i="51"/>
  <c r="H58" i="51"/>
  <c r="H78" i="51"/>
  <c r="H79" i="51"/>
  <c r="H80" i="51"/>
  <c r="H87" i="51"/>
  <c r="H88" i="51"/>
  <c r="H89" i="51"/>
  <c r="H90" i="51"/>
  <c r="H91" i="51"/>
  <c r="H92" i="51"/>
  <c r="H93" i="51"/>
  <c r="H1010" i="51"/>
  <c r="H1011" i="51"/>
  <c r="H1012" i="51"/>
  <c r="H1013" i="51"/>
  <c r="H1014" i="51"/>
  <c r="H1015" i="51"/>
  <c r="H1016" i="51"/>
  <c r="H1018" i="51"/>
  <c r="H1019" i="51"/>
  <c r="H1020" i="51"/>
  <c r="H1021" i="51"/>
  <c r="H1022" i="51"/>
  <c r="H1023" i="51"/>
  <c r="H1024" i="51"/>
  <c r="H1025" i="51"/>
  <c r="H1026" i="51"/>
  <c r="H1027" i="51"/>
  <c r="H1028" i="51"/>
  <c r="H1029" i="51"/>
  <c r="H1030" i="51"/>
  <c r="H1031" i="51"/>
  <c r="H1032" i="51"/>
  <c r="H1033" i="51"/>
  <c r="H1034" i="51"/>
  <c r="H1035" i="51"/>
  <c r="H1036" i="51"/>
  <c r="H1037" i="51"/>
  <c r="H1038" i="51"/>
  <c r="H1039" i="51"/>
  <c r="H1040" i="51"/>
  <c r="H1041" i="51"/>
  <c r="H1042" i="51"/>
  <c r="H1109" i="51"/>
  <c r="H1110" i="51"/>
  <c r="H1111" i="51"/>
  <c r="H1112" i="51"/>
  <c r="H1113" i="51"/>
  <c r="H1043" i="51"/>
  <c r="H1045" i="51"/>
  <c r="H1046" i="51"/>
  <c r="H1047" i="51"/>
  <c r="H1048" i="51"/>
  <c r="H1049" i="51"/>
  <c r="H1050" i="51"/>
  <c r="H1051" i="51"/>
  <c r="H1052" i="51"/>
  <c r="H1053" i="51"/>
  <c r="H1054" i="51"/>
  <c r="H1055" i="51"/>
  <c r="H1056" i="51"/>
  <c r="H1057" i="51"/>
  <c r="H1058" i="51"/>
  <c r="H1059" i="51"/>
  <c r="H1060" i="51"/>
  <c r="H1061" i="51"/>
  <c r="H1062" i="51"/>
  <c r="H1063" i="51"/>
  <c r="H1064" i="51"/>
  <c r="H1065" i="51"/>
  <c r="H1066" i="51"/>
  <c r="H1067" i="51"/>
  <c r="H1068" i="51"/>
  <c r="H1069" i="51"/>
  <c r="H1070" i="51"/>
  <c r="H1079" i="51"/>
  <c r="H1080" i="51"/>
  <c r="H1082" i="51"/>
  <c r="H1083" i="51"/>
  <c r="H1084" i="51"/>
  <c r="H1114" i="51"/>
  <c r="H1115" i="51"/>
  <c r="H1116" i="51"/>
  <c r="H1117" i="51"/>
  <c r="H1085" i="51"/>
  <c r="H1086" i="51"/>
  <c r="H1087" i="51"/>
  <c r="H1088" i="51"/>
  <c r="H1089" i="51"/>
  <c r="H1090" i="51"/>
  <c r="H1091" i="51"/>
  <c r="H1092" i="51"/>
  <c r="H1093" i="51"/>
  <c r="H1094" i="51"/>
  <c r="H1095" i="51"/>
  <c r="H1096" i="51"/>
  <c r="H1097" i="51"/>
  <c r="H1118" i="51"/>
  <c r="H1119" i="51"/>
  <c r="H1120" i="51"/>
  <c r="H344" i="51"/>
  <c r="H345" i="51"/>
  <c r="H346" i="51"/>
  <c r="H347" i="51"/>
  <c r="H348" i="51"/>
  <c r="H349" i="51"/>
  <c r="H350" i="51"/>
  <c r="H351" i="51"/>
  <c r="H859" i="51"/>
  <c r="H860" i="51"/>
  <c r="H861" i="51"/>
  <c r="H1098" i="51"/>
  <c r="H1099" i="51"/>
  <c r="H1100" i="51"/>
  <c r="H1101" i="51"/>
  <c r="H1102" i="51"/>
  <c r="H1103" i="51"/>
  <c r="H1104" i="51"/>
  <c r="H1105" i="51"/>
  <c r="H1106" i="51"/>
  <c r="H1107" i="51"/>
  <c r="H1108" i="51"/>
  <c r="H1121" i="51"/>
  <c r="H1122" i="51"/>
  <c r="H1123" i="51"/>
  <c r="H352" i="51"/>
  <c r="H353" i="51"/>
  <c r="H357" i="51"/>
  <c r="H358" i="51"/>
  <c r="H359" i="51"/>
  <c r="H360" i="51"/>
  <c r="H361" i="51"/>
  <c r="H362" i="51"/>
  <c r="H363" i="51"/>
  <c r="H364" i="51"/>
  <c r="H365" i="51"/>
  <c r="H366" i="51"/>
  <c r="H367" i="51"/>
  <c r="H368" i="51"/>
  <c r="H369" i="51"/>
  <c r="H370" i="51"/>
  <c r="H371" i="51"/>
  <c r="H372" i="51"/>
  <c r="H373" i="51"/>
  <c r="H374" i="51"/>
  <c r="H375" i="51"/>
  <c r="H376" i="51"/>
  <c r="H377" i="51"/>
  <c r="H378" i="51"/>
  <c r="H379" i="51"/>
  <c r="H380" i="51"/>
  <c r="H381" i="51"/>
  <c r="H382" i="51"/>
  <c r="H383" i="51"/>
  <c r="H403" i="51"/>
  <c r="H408" i="51"/>
  <c r="H413" i="51"/>
  <c r="H418" i="51"/>
  <c r="H419" i="51"/>
  <c r="H420" i="51"/>
  <c r="H421" i="51"/>
  <c r="H422" i="51"/>
  <c r="H423" i="51"/>
  <c r="H424" i="51"/>
  <c r="H425" i="51"/>
  <c r="H426" i="51"/>
  <c r="H427" i="51"/>
  <c r="H428" i="51"/>
  <c r="H429" i="51"/>
  <c r="H430" i="51"/>
  <c r="H431" i="51"/>
  <c r="H432" i="51"/>
  <c r="H433" i="51"/>
  <c r="H434" i="51"/>
  <c r="H435" i="51"/>
  <c r="H862" i="51"/>
  <c r="H863" i="51"/>
  <c r="H864" i="51"/>
  <c r="H865" i="51"/>
  <c r="H866" i="51"/>
  <c r="H867" i="51"/>
  <c r="H868" i="51"/>
  <c r="H869" i="51"/>
  <c r="H436" i="51"/>
  <c r="H437" i="51"/>
  <c r="H438" i="51"/>
  <c r="H439" i="51"/>
  <c r="H440" i="51"/>
  <c r="H441" i="51"/>
  <c r="H442" i="51"/>
  <c r="H443" i="51"/>
  <c r="H444" i="51"/>
  <c r="H445" i="51"/>
  <c r="H446" i="51"/>
  <c r="H447" i="51"/>
  <c r="H448" i="51"/>
  <c r="H449" i="51"/>
  <c r="H450" i="51"/>
  <c r="H451" i="51"/>
  <c r="H452" i="51"/>
  <c r="H453" i="51"/>
  <c r="H454" i="51"/>
  <c r="H455" i="51"/>
  <c r="H456" i="51"/>
  <c r="H457" i="51"/>
  <c r="H458" i="51"/>
  <c r="H459" i="51"/>
  <c r="H460" i="51"/>
  <c r="H461" i="51"/>
  <c r="H462" i="51"/>
  <c r="H463" i="51"/>
  <c r="H464" i="51"/>
  <c r="H465" i="51"/>
  <c r="H466" i="51"/>
  <c r="H467" i="51"/>
  <c r="H468" i="51"/>
  <c r="H469" i="51"/>
  <c r="H470" i="51"/>
  <c r="H471" i="51"/>
  <c r="H472" i="51"/>
  <c r="H473" i="51"/>
  <c r="H474" i="51"/>
  <c r="H475" i="51"/>
  <c r="H476" i="51"/>
  <c r="H477" i="51"/>
  <c r="H478" i="51"/>
  <c r="H479" i="51"/>
  <c r="H480" i="51"/>
  <c r="H481" i="51"/>
  <c r="H482" i="51"/>
  <c r="H483" i="51"/>
  <c r="H484" i="51"/>
  <c r="H485" i="51"/>
  <c r="H486" i="51"/>
  <c r="H487" i="51"/>
  <c r="H488" i="51"/>
  <c r="H489" i="51"/>
  <c r="H490" i="51"/>
  <c r="H491" i="51"/>
  <c r="H492" i="51"/>
  <c r="H493" i="51"/>
  <c r="H494" i="51"/>
  <c r="H495" i="51"/>
  <c r="H496" i="51"/>
  <c r="H497" i="51"/>
  <c r="H498" i="51"/>
  <c r="H499" i="51"/>
  <c r="H500" i="51"/>
  <c r="H501" i="51"/>
  <c r="H502" i="51"/>
  <c r="H503" i="51"/>
  <c r="H504" i="51"/>
  <c r="H505" i="51"/>
  <c r="H506" i="51"/>
  <c r="H507" i="51"/>
  <c r="H508" i="51"/>
  <c r="H509" i="51"/>
  <c r="H510" i="51"/>
  <c r="H511" i="51"/>
  <c r="H512" i="51"/>
  <c r="H513" i="51"/>
  <c r="H514" i="51"/>
  <c r="H515" i="51"/>
  <c r="H516" i="51"/>
  <c r="H517" i="51"/>
  <c r="H518" i="51"/>
  <c r="H519" i="51"/>
  <c r="H870" i="51"/>
  <c r="H871" i="51"/>
  <c r="H872" i="51"/>
  <c r="H873" i="51"/>
  <c r="H874" i="51"/>
  <c r="H875" i="51"/>
  <c r="H876" i="51"/>
  <c r="H877" i="51"/>
  <c r="H520" i="51"/>
  <c r="H521" i="51"/>
  <c r="H522" i="51"/>
  <c r="H523" i="51"/>
  <c r="H524" i="51"/>
  <c r="H525" i="51"/>
  <c r="H526" i="51"/>
  <c r="H527" i="51"/>
  <c r="H528" i="51"/>
  <c r="H529" i="51"/>
  <c r="H530" i="51"/>
  <c r="H531" i="51"/>
  <c r="H532" i="51"/>
  <c r="H533" i="51"/>
  <c r="H534" i="51"/>
  <c r="H535" i="51"/>
  <c r="H536" i="51"/>
  <c r="H878" i="51"/>
  <c r="H626" i="51"/>
  <c r="H627" i="51"/>
  <c r="H628" i="51"/>
  <c r="H629" i="51"/>
  <c r="H630" i="51"/>
  <c r="H631" i="51"/>
  <c r="H632" i="51"/>
  <c r="H633" i="51"/>
  <c r="H634" i="51"/>
  <c r="H635" i="51"/>
  <c r="H636" i="51"/>
  <c r="H637" i="51"/>
  <c r="H638" i="51"/>
  <c r="H639" i="51"/>
  <c r="H640" i="51"/>
  <c r="H641" i="51"/>
  <c r="H642" i="51"/>
  <c r="H643" i="51"/>
  <c r="H644" i="51"/>
  <c r="H645" i="51"/>
  <c r="H646" i="51"/>
  <c r="H647" i="51"/>
  <c r="H648" i="51"/>
  <c r="H649" i="51"/>
  <c r="H650" i="51"/>
  <c r="H651" i="51"/>
  <c r="H652" i="51"/>
  <c r="H879" i="51"/>
  <c r="H880" i="51"/>
  <c r="H881" i="51"/>
  <c r="H882" i="51"/>
  <c r="H883" i="51"/>
  <c r="H884" i="51"/>
  <c r="H885" i="51"/>
  <c r="H886" i="51"/>
  <c r="H887" i="51"/>
  <c r="H888" i="51"/>
  <c r="H653" i="51"/>
  <c r="H654" i="51"/>
  <c r="H655" i="51"/>
  <c r="H889" i="51"/>
  <c r="H890" i="51"/>
  <c r="H891" i="51"/>
  <c r="H892" i="51"/>
  <c r="H893" i="51"/>
  <c r="H894" i="51"/>
  <c r="H656" i="51"/>
  <c r="H657" i="51"/>
  <c r="H658" i="51"/>
  <c r="H659" i="51"/>
  <c r="H660" i="51"/>
  <c r="H661" i="51"/>
  <c r="H662" i="51"/>
  <c r="H663" i="51"/>
  <c r="H664" i="51"/>
  <c r="H673" i="51"/>
  <c r="H674" i="51"/>
  <c r="H675" i="51"/>
  <c r="H676" i="51"/>
  <c r="H677" i="51"/>
  <c r="H895" i="51"/>
  <c r="H896" i="51"/>
  <c r="H897" i="51"/>
  <c r="H898" i="51"/>
  <c r="H899" i="51"/>
  <c r="H900" i="51"/>
  <c r="H682" i="51"/>
  <c r="H683" i="51"/>
  <c r="H684" i="51"/>
  <c r="H685" i="51"/>
  <c r="H686" i="51"/>
  <c r="H687" i="51"/>
  <c r="H688" i="51"/>
  <c r="H901" i="51"/>
  <c r="H902" i="51"/>
  <c r="H903" i="51"/>
  <c r="H689" i="51"/>
  <c r="H690" i="51"/>
  <c r="H691" i="51"/>
  <c r="H904" i="51"/>
  <c r="H905" i="51"/>
  <c r="H906" i="51"/>
  <c r="H907" i="51"/>
  <c r="H908" i="51"/>
  <c r="H909" i="51"/>
  <c r="H168" i="51"/>
  <c r="H94" i="51"/>
  <c r="H95" i="51"/>
  <c r="H97" i="51"/>
  <c r="H98" i="51"/>
  <c r="H99" i="51"/>
  <c r="H169" i="51"/>
  <c r="H170" i="51"/>
  <c r="H171" i="51"/>
  <c r="H172" i="51"/>
  <c r="H173" i="51"/>
  <c r="H174" i="51"/>
  <c r="H175" i="51"/>
  <c r="H176" i="51"/>
  <c r="H177" i="51"/>
  <c r="H178" i="51"/>
  <c r="H179" i="51"/>
  <c r="H100" i="51"/>
  <c r="H101" i="51"/>
  <c r="H102" i="51"/>
  <c r="H103" i="51"/>
  <c r="H104" i="51"/>
  <c r="H105" i="51"/>
  <c r="H106" i="51"/>
  <c r="H107" i="51"/>
  <c r="H108" i="51"/>
  <c r="H109" i="51"/>
  <c r="H110" i="51"/>
  <c r="H111" i="51"/>
  <c r="H112" i="51"/>
  <c r="H113" i="51"/>
  <c r="H114" i="51"/>
  <c r="H115" i="51"/>
  <c r="H116" i="51"/>
  <c r="H117" i="51"/>
  <c r="H118" i="51"/>
  <c r="H119" i="51"/>
  <c r="H180" i="51"/>
  <c r="H181" i="51"/>
  <c r="H182" i="51"/>
  <c r="H183" i="51"/>
  <c r="H184" i="51"/>
  <c r="H185" i="51"/>
  <c r="H186" i="51"/>
  <c r="H187" i="51"/>
  <c r="H188" i="51"/>
  <c r="H189" i="51"/>
  <c r="H120" i="51"/>
  <c r="H121" i="51"/>
  <c r="H122" i="51"/>
  <c r="H162" i="51"/>
  <c r="H163" i="51"/>
  <c r="H164" i="51"/>
  <c r="H190" i="51"/>
  <c r="H191" i="51"/>
  <c r="H192" i="51"/>
  <c r="H165" i="51"/>
  <c r="H193" i="51"/>
  <c r="H194" i="51"/>
  <c r="H195" i="51"/>
  <c r="H196" i="51"/>
  <c r="H197" i="51"/>
  <c r="H198" i="51"/>
  <c r="H199" i="51"/>
  <c r="H200" i="51"/>
  <c r="H166" i="51"/>
  <c r="H167" i="51"/>
  <c r="H201" i="51"/>
  <c r="H202" i="51"/>
  <c r="H203" i="51"/>
  <c r="H204" i="51"/>
  <c r="H205" i="51"/>
  <c r="H206" i="51"/>
  <c r="H207" i="51"/>
  <c r="H692" i="51"/>
  <c r="H693" i="51"/>
  <c r="H694" i="51"/>
  <c r="H695" i="51"/>
  <c r="H696" i="51"/>
  <c r="H697" i="51"/>
  <c r="H698" i="51"/>
  <c r="H699" i="51"/>
  <c r="H700" i="51"/>
  <c r="H701" i="51"/>
  <c r="H702" i="51"/>
  <c r="H703" i="51"/>
  <c r="H704" i="51"/>
  <c r="H910" i="51"/>
  <c r="H911" i="51"/>
  <c r="H912" i="51"/>
  <c r="H705" i="51"/>
  <c r="H706" i="51"/>
  <c r="H709" i="51"/>
  <c r="H710" i="51"/>
  <c r="H711" i="51"/>
  <c r="H712" i="51"/>
  <c r="H713" i="51"/>
  <c r="H714" i="51"/>
  <c r="H715" i="51"/>
  <c r="H719" i="51"/>
  <c r="H720" i="51"/>
  <c r="H721" i="51"/>
  <c r="H722" i="51"/>
  <c r="H723" i="51"/>
  <c r="H724" i="51"/>
  <c r="H725" i="51"/>
  <c r="H726" i="51"/>
  <c r="H727" i="51"/>
  <c r="H728" i="51"/>
  <c r="H729" i="51"/>
  <c r="H730" i="51"/>
  <c r="H731" i="51"/>
  <c r="H732" i="51"/>
  <c r="H733" i="51"/>
  <c r="H734" i="51"/>
  <c r="H735" i="51"/>
  <c r="H736" i="51"/>
  <c r="H737" i="51"/>
  <c r="H738" i="51"/>
  <c r="H739" i="51"/>
  <c r="H740" i="51"/>
  <c r="H741" i="51"/>
  <c r="H742" i="51"/>
  <c r="H743" i="51"/>
  <c r="H744" i="51"/>
  <c r="H745" i="51"/>
  <c r="H746" i="51"/>
  <c r="H747" i="51"/>
  <c r="H748" i="51"/>
  <c r="H749" i="51"/>
  <c r="H750" i="51"/>
  <c r="H751" i="51"/>
  <c r="H752" i="51"/>
  <c r="H753" i="51"/>
  <c r="H754" i="51"/>
  <c r="H755" i="51"/>
  <c r="H756" i="51"/>
  <c r="H757" i="51"/>
  <c r="H758" i="51"/>
  <c r="H759" i="51"/>
  <c r="H760" i="51"/>
  <c r="H761" i="51"/>
  <c r="H762" i="51"/>
  <c r="H763" i="51"/>
  <c r="H764" i="51"/>
  <c r="H765" i="51"/>
  <c r="H766" i="51"/>
  <c r="H767" i="51"/>
  <c r="H768" i="51"/>
  <c r="H769" i="51"/>
  <c r="H771" i="51"/>
  <c r="H772" i="51"/>
  <c r="H773" i="51"/>
  <c r="H774" i="51"/>
  <c r="H783" i="51"/>
  <c r="H784" i="51"/>
  <c r="H785" i="51"/>
  <c r="H786" i="51"/>
  <c r="H787" i="51"/>
  <c r="H788" i="51"/>
  <c r="H789" i="51"/>
  <c r="H790" i="51"/>
  <c r="H791" i="51"/>
  <c r="H792" i="51"/>
  <c r="H793" i="51"/>
  <c r="H794" i="51"/>
  <c r="H795" i="51"/>
  <c r="H796" i="51"/>
  <c r="H797" i="51"/>
  <c r="H798" i="51"/>
  <c r="H799" i="51"/>
  <c r="H800" i="51"/>
  <c r="H801" i="51"/>
  <c r="H802" i="51"/>
  <c r="H803" i="51"/>
  <c r="H804" i="51"/>
  <c r="H805" i="51"/>
  <c r="H806" i="51"/>
  <c r="H807" i="51"/>
  <c r="H808" i="51"/>
  <c r="H809" i="51"/>
  <c r="H810" i="51"/>
  <c r="H811" i="51"/>
  <c r="H812" i="51"/>
  <c r="H813" i="51"/>
  <c r="H814" i="51"/>
  <c r="H815" i="51"/>
  <c r="H816" i="51"/>
  <c r="H817" i="51"/>
  <c r="H818" i="51"/>
  <c r="H819" i="51"/>
  <c r="H820" i="51"/>
  <c r="H821" i="51"/>
  <c r="H822" i="51"/>
  <c r="H823" i="51"/>
  <c r="H824" i="51"/>
  <c r="H825" i="51"/>
  <c r="H826" i="51"/>
  <c r="H827" i="51"/>
  <c r="H828" i="51"/>
  <c r="H829" i="51"/>
  <c r="H830" i="51"/>
  <c r="H831" i="51"/>
  <c r="H833" i="51"/>
  <c r="H834" i="51"/>
  <c r="H913" i="51"/>
  <c r="H914" i="51"/>
  <c r="H915" i="51"/>
  <c r="H916" i="51"/>
  <c r="H917" i="51"/>
  <c r="H918" i="51"/>
  <c r="H919" i="51"/>
  <c r="H920" i="51"/>
  <c r="H921" i="51"/>
  <c r="H922" i="51"/>
  <c r="H923" i="51"/>
  <c r="H924" i="51"/>
  <c r="H925" i="51"/>
  <c r="H835" i="51"/>
  <c r="H836" i="51"/>
  <c r="H837" i="51"/>
  <c r="H838" i="51"/>
  <c r="H839" i="51"/>
  <c r="H840" i="51"/>
  <c r="H841" i="51"/>
  <c r="H842" i="51"/>
  <c r="H843" i="51"/>
  <c r="H844" i="51"/>
  <c r="H926" i="51"/>
  <c r="H927" i="51"/>
  <c r="H928" i="51"/>
  <c r="H929" i="51"/>
  <c r="H930" i="51"/>
  <c r="H931" i="51"/>
  <c r="H932" i="51"/>
  <c r="H980" i="51"/>
  <c r="H981" i="51"/>
  <c r="H982" i="51"/>
  <c r="H983" i="51"/>
  <c r="H999" i="51"/>
  <c r="H1000" i="51"/>
  <c r="H1001" i="51"/>
  <c r="H1002" i="51"/>
  <c r="H1003" i="51"/>
  <c r="H984" i="51"/>
  <c r="H985" i="51"/>
  <c r="H986" i="51"/>
  <c r="H987" i="51"/>
  <c r="H988" i="51"/>
  <c r="H989" i="51"/>
  <c r="H990" i="51"/>
  <c r="H991" i="51"/>
  <c r="H1004" i="51"/>
  <c r="H1005" i="51"/>
  <c r="H1006" i="51"/>
  <c r="H992" i="51"/>
  <c r="H993" i="51"/>
  <c r="H994" i="51"/>
  <c r="H995" i="51"/>
  <c r="H996" i="51"/>
  <c r="H997" i="51"/>
  <c r="H998" i="51"/>
  <c r="H1007" i="51"/>
  <c r="H1008" i="51"/>
  <c r="H1009" i="51"/>
  <c r="H217" i="51"/>
  <c r="H218" i="51"/>
  <c r="H219" i="51"/>
  <c r="H220" i="51"/>
  <c r="H221" i="51"/>
  <c r="H222" i="51"/>
  <c r="H223" i="51"/>
  <c r="H225" i="51"/>
  <c r="H226" i="51"/>
  <c r="H227" i="51"/>
  <c r="H1124" i="51"/>
  <c r="H1125" i="51"/>
  <c r="H1126" i="51"/>
  <c r="H1127" i="51"/>
  <c r="H1128" i="51"/>
  <c r="H1129" i="51"/>
  <c r="H1130" i="51"/>
  <c r="H1131" i="51"/>
  <c r="H1132" i="51"/>
  <c r="H1133" i="51"/>
  <c r="H1134" i="51"/>
  <c r="H1135" i="51"/>
  <c r="H1136" i="51"/>
  <c r="H1137" i="51"/>
  <c r="H1138" i="51"/>
  <c r="H1139" i="51"/>
  <c r="H1140" i="51"/>
  <c r="H1141" i="51"/>
  <c r="H1142" i="51"/>
  <c r="H1143" i="51"/>
  <c r="H1144" i="51"/>
  <c r="H1145" i="51"/>
  <c r="H1146" i="51"/>
  <c r="H1147" i="51"/>
  <c r="H1148" i="51"/>
  <c r="H1149" i="51"/>
  <c r="H1150" i="51"/>
  <c r="H1151" i="51"/>
  <c r="H1152" i="51"/>
  <c r="H1153" i="51"/>
  <c r="H1154" i="51"/>
  <c r="H1155" i="51"/>
  <c r="H1156" i="51"/>
  <c r="H1157" i="51"/>
  <c r="H1158" i="51"/>
  <c r="H1159" i="51"/>
  <c r="H1160" i="51"/>
  <c r="H1161" i="51"/>
  <c r="H1162" i="51"/>
  <c r="H1163" i="51"/>
  <c r="H1164" i="51"/>
  <c r="H1165" i="51"/>
  <c r="H1166" i="51"/>
  <c r="H1167" i="51"/>
  <c r="H1168" i="51"/>
  <c r="H1169" i="51"/>
  <c r="H1170" i="51"/>
  <c r="H1171" i="51"/>
  <c r="H1172" i="51"/>
  <c r="H1173" i="51"/>
  <c r="H1174" i="51"/>
  <c r="H1175" i="51"/>
  <c r="H1176" i="51"/>
  <c r="H1177" i="51"/>
  <c r="H1178" i="51"/>
  <c r="H1179" i="51"/>
  <c r="H1180" i="51"/>
  <c r="H1181" i="51"/>
  <c r="H1182" i="51"/>
  <c r="H1183" i="51"/>
  <c r="H1184" i="51"/>
  <c r="H1185" i="51"/>
  <c r="H845" i="51"/>
  <c r="H846" i="51"/>
  <c r="H848" i="51"/>
  <c r="H849" i="51"/>
  <c r="H847" i="51"/>
  <c r="H850" i="51"/>
  <c r="H851" i="51"/>
  <c r="H852" i="51"/>
  <c r="H853" i="51"/>
  <c r="H854" i="51"/>
  <c r="H855" i="51"/>
  <c r="H856" i="51"/>
  <c r="H857" i="51"/>
  <c r="H858" i="51"/>
  <c r="H933" i="51"/>
  <c r="H934" i="51"/>
  <c r="H935" i="51"/>
  <c r="H936" i="51"/>
  <c r="H937" i="51"/>
  <c r="H938" i="51"/>
  <c r="H939" i="51"/>
  <c r="H940" i="51"/>
  <c r="H941" i="51"/>
  <c r="H942" i="51"/>
  <c r="H943" i="51"/>
  <c r="H944" i="51"/>
  <c r="H945" i="51"/>
  <c r="H946" i="51"/>
  <c r="H947" i="51"/>
  <c r="H948" i="51"/>
  <c r="H949" i="51"/>
  <c r="H950" i="51"/>
  <c r="H951" i="51"/>
  <c r="H952" i="51"/>
  <c r="H953" i="51"/>
  <c r="H954" i="51"/>
  <c r="H955" i="51"/>
  <c r="H956" i="51"/>
  <c r="H957" i="51"/>
  <c r="H958" i="51"/>
  <c r="H240" i="51"/>
  <c r="H241" i="51"/>
  <c r="H242" i="51"/>
  <c r="H243" i="51"/>
  <c r="H244" i="51"/>
  <c r="H245" i="51"/>
  <c r="H259" i="51"/>
  <c r="H260" i="51"/>
  <c r="H261" i="51"/>
  <c r="H262" i="51"/>
  <c r="H263" i="51"/>
  <c r="H208" i="51"/>
  <c r="H209" i="51"/>
  <c r="H210" i="51"/>
  <c r="H211" i="51"/>
  <c r="H212" i="51"/>
  <c r="H213" i="51"/>
  <c r="H214" i="51"/>
  <c r="H215" i="51"/>
  <c r="H216" i="51"/>
  <c r="H224" i="51"/>
  <c r="H228" i="51"/>
  <c r="H229" i="51"/>
  <c r="H230" i="51"/>
  <c r="H231" i="51"/>
  <c r="H232" i="51"/>
  <c r="H233" i="51"/>
  <c r="H234" i="51"/>
  <c r="H235" i="51"/>
  <c r="H1186" i="51"/>
  <c r="H254" i="51"/>
  <c r="H255" i="51"/>
  <c r="H256" i="51"/>
  <c r="H257" i="51"/>
  <c r="H258" i="51"/>
  <c r="H1187" i="51"/>
  <c r="H253" i="51"/>
  <c r="H236" i="51"/>
  <c r="H237" i="51"/>
  <c r="H238" i="51"/>
  <c r="H264" i="51"/>
  <c r="H265" i="51"/>
  <c r="H251" i="51"/>
  <c r="H266" i="51"/>
  <c r="H252" i="51"/>
  <c r="H267" i="51"/>
  <c r="H268" i="51"/>
  <c r="H269" i="51"/>
  <c r="H270" i="51"/>
  <c r="H271" i="51"/>
  <c r="H272" i="51"/>
  <c r="H273" i="51"/>
  <c r="H274" i="51"/>
  <c r="H239" i="51"/>
  <c r="H275" i="51"/>
  <c r="H276" i="51"/>
  <c r="H277" i="51"/>
  <c r="H278" i="51"/>
  <c r="H279" i="51"/>
  <c r="H280" i="51"/>
  <c r="H281" i="51"/>
  <c r="H282" i="51"/>
  <c r="H283" i="51"/>
  <c r="H321" i="51"/>
  <c r="H959" i="51"/>
  <c r="H323" i="51"/>
  <c r="H324" i="51"/>
  <c r="H325" i="51"/>
  <c r="H326" i="51"/>
  <c r="H960" i="51"/>
  <c r="H327" i="51"/>
  <c r="H328" i="51"/>
  <c r="H329" i="51"/>
  <c r="H330" i="51"/>
  <c r="H331" i="51"/>
  <c r="H332" i="51"/>
  <c r="H333" i="51"/>
  <c r="H334" i="51"/>
  <c r="H335" i="51"/>
  <c r="H336" i="51"/>
  <c r="H337" i="51"/>
  <c r="H338" i="51"/>
  <c r="H339" i="51"/>
  <c r="H340" i="51"/>
  <c r="H341" i="51"/>
  <c r="H342" i="51"/>
  <c r="H343" i="51"/>
  <c r="H961" i="51"/>
  <c r="H962" i="51"/>
  <c r="H963" i="51"/>
  <c r="H284" i="51"/>
  <c r="X443" i="49" s="1"/>
  <c r="H964" i="51"/>
  <c r="H289" i="51"/>
  <c r="H965" i="51"/>
  <c r="H286" i="51"/>
  <c r="H287" i="51"/>
  <c r="H288" i="51"/>
  <c r="H966" i="51"/>
  <c r="H967" i="51"/>
  <c r="H307" i="51"/>
  <c r="H968" i="51"/>
  <c r="H309" i="51"/>
  <c r="H310" i="51"/>
  <c r="H311" i="51"/>
  <c r="H312" i="51"/>
  <c r="H313" i="51"/>
  <c r="H314" i="51"/>
  <c r="H315" i="51"/>
  <c r="H316" i="51"/>
  <c r="H317" i="51"/>
  <c r="H318" i="51"/>
  <c r="H319" i="51"/>
  <c r="H320" i="51"/>
  <c r="H969" i="51"/>
  <c r="H970" i="51"/>
  <c r="H971" i="51"/>
  <c r="H972" i="51"/>
  <c r="H973" i="51"/>
  <c r="H974" i="51"/>
  <c r="H290" i="51"/>
  <c r="H975" i="51"/>
  <c r="H293" i="51"/>
  <c r="H294" i="51"/>
  <c r="H295" i="51"/>
  <c r="H296" i="51"/>
  <c r="H297" i="51"/>
  <c r="H298" i="51"/>
  <c r="H299" i="51"/>
  <c r="H300" i="51"/>
  <c r="H301" i="51"/>
  <c r="H302" i="51"/>
  <c r="H303" i="51"/>
  <c r="H305" i="51"/>
  <c r="H306" i="51"/>
  <c r="H976" i="51"/>
  <c r="H977" i="51"/>
  <c r="H978" i="51"/>
  <c r="H979" i="51"/>
  <c r="G2" i="51"/>
  <c r="G3" i="51"/>
  <c r="G4" i="51"/>
  <c r="Y24" i="49" s="1"/>
  <c r="AA24" i="49" s="1"/>
  <c r="G5" i="51"/>
  <c r="G6" i="51"/>
  <c r="G16" i="51"/>
  <c r="G17" i="51"/>
  <c r="G18" i="51"/>
  <c r="G19" i="51"/>
  <c r="G20" i="51"/>
  <c r="G81" i="51"/>
  <c r="G82" i="51"/>
  <c r="G83" i="51"/>
  <c r="G84" i="51"/>
  <c r="G21" i="51"/>
  <c r="Y25" i="49" s="1"/>
  <c r="AA25" i="49" s="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85" i="51"/>
  <c r="G86" i="51"/>
  <c r="G52" i="51"/>
  <c r="G53" i="51"/>
  <c r="G54" i="51"/>
  <c r="Y61" i="49" s="1"/>
  <c r="Z61" i="49" s="1"/>
  <c r="G55" i="51"/>
  <c r="Y40" i="49" s="1"/>
  <c r="Z40" i="49" s="1"/>
  <c r="G56" i="51"/>
  <c r="Y39" i="49" s="1"/>
  <c r="Z39" i="49" s="1"/>
  <c r="G57" i="51"/>
  <c r="G58" i="51"/>
  <c r="Y41" i="49" s="1"/>
  <c r="Z41" i="49" s="1"/>
  <c r="G78" i="51"/>
  <c r="G79" i="51"/>
  <c r="G80" i="51"/>
  <c r="G87" i="51"/>
  <c r="G88" i="51"/>
  <c r="G89" i="51"/>
  <c r="G90" i="51"/>
  <c r="G91" i="51"/>
  <c r="G92" i="51"/>
  <c r="G93" i="51"/>
  <c r="G1010" i="51"/>
  <c r="G1011" i="51"/>
  <c r="G1012" i="51"/>
  <c r="Y944" i="49" s="1"/>
  <c r="Z944" i="49" s="1"/>
  <c r="G1013" i="51"/>
  <c r="Y965" i="49" s="1"/>
  <c r="Z965" i="49" s="1"/>
  <c r="G1014" i="51"/>
  <c r="Y966" i="49" s="1"/>
  <c r="Z966" i="49" s="1"/>
  <c r="G1015" i="51"/>
  <c r="Y967" i="49" s="1"/>
  <c r="AA967" i="49" s="1"/>
  <c r="G1016" i="51"/>
  <c r="G1018" i="51"/>
  <c r="G1019" i="51"/>
  <c r="G1020" i="51"/>
  <c r="Y945" i="49" s="1"/>
  <c r="Z945" i="49" s="1"/>
  <c r="G1021" i="51"/>
  <c r="Y956" i="49" s="1"/>
  <c r="AA956" i="49" s="1"/>
  <c r="G1022" i="51"/>
  <c r="Y958" i="49" s="1"/>
  <c r="Z958" i="49" s="1"/>
  <c r="G1023" i="51"/>
  <c r="Y959" i="49" s="1"/>
  <c r="G1024" i="51"/>
  <c r="Y960" i="49" s="1"/>
  <c r="Z960" i="49" s="1"/>
  <c r="G1025" i="51"/>
  <c r="Y961" i="49" s="1"/>
  <c r="G1026" i="51"/>
  <c r="Y962" i="49" s="1"/>
  <c r="Z962" i="49" s="1"/>
  <c r="G1027" i="51"/>
  <c r="Y963" i="49" s="1"/>
  <c r="Z963" i="49" s="1"/>
  <c r="G1028" i="51"/>
  <c r="Y964" i="49" s="1"/>
  <c r="G1029" i="51"/>
  <c r="Y946" i="49" s="1"/>
  <c r="Z946" i="49" s="1"/>
  <c r="G1030" i="51"/>
  <c r="Y947" i="49" s="1"/>
  <c r="Z947" i="49" s="1"/>
  <c r="G1031" i="51"/>
  <c r="Y948" i="49" s="1"/>
  <c r="Z948" i="49" s="1"/>
  <c r="G1032" i="51"/>
  <c r="Y949" i="49" s="1"/>
  <c r="G1033" i="51"/>
  <c r="Y950" i="49" s="1"/>
  <c r="Z950" i="49" s="1"/>
  <c r="G1034" i="51"/>
  <c r="Y951" i="49" s="1"/>
  <c r="Z951" i="49" s="1"/>
  <c r="G1035" i="51"/>
  <c r="Y952" i="49" s="1"/>
  <c r="Z952" i="49" s="1"/>
  <c r="G1036" i="51"/>
  <c r="Y953" i="49" s="1"/>
  <c r="Z953" i="49" s="1"/>
  <c r="G1037" i="51"/>
  <c r="Y954" i="49" s="1"/>
  <c r="Z954" i="49" s="1"/>
  <c r="G1038" i="51"/>
  <c r="Y955" i="49" s="1"/>
  <c r="Z955" i="49" s="1"/>
  <c r="G1039" i="51"/>
  <c r="Y957" i="49" s="1"/>
  <c r="Z957" i="49" s="1"/>
  <c r="G1040" i="51"/>
  <c r="G1041" i="51"/>
  <c r="G1042" i="51"/>
  <c r="G1109" i="51"/>
  <c r="G1110" i="51"/>
  <c r="G1111" i="51"/>
  <c r="G1112" i="51"/>
  <c r="G1113" i="51"/>
  <c r="G1043" i="51"/>
  <c r="G1045" i="51"/>
  <c r="G1046" i="51"/>
  <c r="G1047" i="51"/>
  <c r="G1048" i="51"/>
  <c r="G1049" i="51"/>
  <c r="Y1007" i="49" s="1"/>
  <c r="Z1007" i="49" s="1"/>
  <c r="G1050" i="51"/>
  <c r="G1051" i="51"/>
  <c r="Y1026" i="49" s="1"/>
  <c r="Z1026" i="49" s="1"/>
  <c r="G1052" i="51"/>
  <c r="Y1027" i="49" s="1"/>
  <c r="Z1027" i="49" s="1"/>
  <c r="G1053" i="51"/>
  <c r="Y1024" i="49" s="1"/>
  <c r="Z1024" i="49" s="1"/>
  <c r="G1054" i="51"/>
  <c r="Y1025" i="49" s="1"/>
  <c r="Z1025" i="49" s="1"/>
  <c r="G1055" i="51"/>
  <c r="Y1022" i="49" s="1"/>
  <c r="G1056" i="51"/>
  <c r="Y1023" i="49" s="1"/>
  <c r="Z1023" i="49" s="1"/>
  <c r="G1057" i="51"/>
  <c r="Y1020" i="49" s="1"/>
  <c r="AA1020" i="49" s="1"/>
  <c r="G1058" i="51"/>
  <c r="Y1021" i="49" s="1"/>
  <c r="Z1021" i="49" s="1"/>
  <c r="G1059" i="51"/>
  <c r="Y1018" i="49" s="1"/>
  <c r="Z1018" i="49" s="1"/>
  <c r="G1060" i="51"/>
  <c r="Y1019" i="49" s="1"/>
  <c r="Z1019" i="49" s="1"/>
  <c r="G1061" i="51"/>
  <c r="Y1016" i="49" s="1"/>
  <c r="Z1016" i="49" s="1"/>
  <c r="G1062" i="51"/>
  <c r="Y1017" i="49" s="1"/>
  <c r="Z1017" i="49" s="1"/>
  <c r="G1063" i="51"/>
  <c r="Y1014" i="49" s="1"/>
  <c r="G1064" i="51"/>
  <c r="Y1015" i="49" s="1"/>
  <c r="Z1015" i="49" s="1"/>
  <c r="G1065" i="51"/>
  <c r="Y1012" i="49" s="1"/>
  <c r="Z1012" i="49" s="1"/>
  <c r="G1066" i="51"/>
  <c r="Y1013" i="49" s="1"/>
  <c r="Z1013" i="49" s="1"/>
  <c r="G1067" i="51"/>
  <c r="Y1010" i="49" s="1"/>
  <c r="Z1010" i="49" s="1"/>
  <c r="G1068" i="51"/>
  <c r="Y1011" i="49" s="1"/>
  <c r="Z1011" i="49" s="1"/>
  <c r="G1069" i="51"/>
  <c r="Y1008" i="49" s="1"/>
  <c r="Z1008" i="49" s="1"/>
  <c r="G1070" i="51"/>
  <c r="Y1009" i="49" s="1"/>
  <c r="Z1009" i="49" s="1"/>
  <c r="G1079" i="51"/>
  <c r="Y1006" i="49" s="1"/>
  <c r="Z1006" i="49" s="1"/>
  <c r="G1080" i="51"/>
  <c r="G1082" i="51"/>
  <c r="G1083" i="51"/>
  <c r="G1084" i="51"/>
  <c r="G1114" i="51"/>
  <c r="G1115" i="51"/>
  <c r="G1116" i="51"/>
  <c r="G1117" i="51"/>
  <c r="G1085" i="51"/>
  <c r="Y928" i="49" s="1"/>
  <c r="Z928" i="49" s="1"/>
  <c r="G1086" i="51"/>
  <c r="G1087" i="51"/>
  <c r="G1088" i="51"/>
  <c r="G1089" i="51"/>
  <c r="G1090" i="51"/>
  <c r="G1091" i="51"/>
  <c r="G1092" i="51"/>
  <c r="G1093" i="51"/>
  <c r="G1094" i="51"/>
  <c r="G1095" i="51"/>
  <c r="G1096" i="51"/>
  <c r="G1097" i="51"/>
  <c r="G1118" i="51"/>
  <c r="G1119" i="51"/>
  <c r="G1120" i="51"/>
  <c r="G344" i="51"/>
  <c r="G345" i="51"/>
  <c r="G346" i="51"/>
  <c r="G347" i="51"/>
  <c r="G348" i="51"/>
  <c r="G349" i="51"/>
  <c r="G350" i="51"/>
  <c r="G351" i="51"/>
  <c r="G859" i="51"/>
  <c r="G860" i="51"/>
  <c r="G861" i="51"/>
  <c r="G1098" i="51"/>
  <c r="G1099" i="51"/>
  <c r="G1100" i="51"/>
  <c r="G1101" i="51"/>
  <c r="G1102" i="51"/>
  <c r="G1103" i="51"/>
  <c r="G1104" i="51"/>
  <c r="G1105" i="51"/>
  <c r="G1106" i="51"/>
  <c r="G1107" i="51"/>
  <c r="G1108" i="51"/>
  <c r="G1121" i="51"/>
  <c r="G1122" i="51"/>
  <c r="G1123" i="51"/>
  <c r="G352" i="51"/>
  <c r="G353" i="51"/>
  <c r="G354" i="51"/>
  <c r="Y686" i="49" s="1"/>
  <c r="G686" i="49" s="1"/>
  <c r="G355" i="51"/>
  <c r="Y687" i="49" s="1"/>
  <c r="G687" i="49" s="1"/>
  <c r="G356" i="51"/>
  <c r="Y688" i="49" s="1"/>
  <c r="G688" i="49" s="1"/>
  <c r="G357" i="51"/>
  <c r="Y853" i="49" s="1"/>
  <c r="Z853" i="49" s="1"/>
  <c r="G358" i="51"/>
  <c r="G359" i="51"/>
  <c r="G360" i="51"/>
  <c r="G361" i="51"/>
  <c r="G362" i="51"/>
  <c r="G363" i="51"/>
  <c r="G364" i="51"/>
  <c r="G365" i="51"/>
  <c r="G366" i="51"/>
  <c r="G367" i="51"/>
  <c r="G368" i="51"/>
  <c r="G369" i="51"/>
  <c r="Y646" i="49" s="1"/>
  <c r="Z646" i="49" s="1"/>
  <c r="G370" i="51"/>
  <c r="Y658" i="49" s="1"/>
  <c r="Z658" i="49" s="1"/>
  <c r="G371" i="51"/>
  <c r="Y662" i="49" s="1"/>
  <c r="AA662" i="49" s="1"/>
  <c r="G372" i="51"/>
  <c r="Y652" i="49" s="1"/>
  <c r="Z652" i="49" s="1"/>
  <c r="G373" i="51"/>
  <c r="Y697" i="49" s="1"/>
  <c r="Z697" i="49" s="1"/>
  <c r="G374" i="51"/>
  <c r="Y706" i="49" s="1"/>
  <c r="Z706" i="49" s="1"/>
  <c r="G375" i="51"/>
  <c r="Y732" i="49" s="1"/>
  <c r="Z732" i="49" s="1"/>
  <c r="G376" i="51"/>
  <c r="Y831" i="49" s="1"/>
  <c r="AA831" i="49" s="1"/>
  <c r="G377" i="51"/>
  <c r="Y726" i="49" s="1"/>
  <c r="Z726" i="49" s="1"/>
  <c r="G378" i="51"/>
  <c r="Y835" i="49" s="1"/>
  <c r="Z835" i="49" s="1"/>
  <c r="G379" i="51"/>
  <c r="Y832" i="49" s="1"/>
  <c r="Z832" i="49" s="1"/>
  <c r="G380" i="51"/>
  <c r="Y725" i="49" s="1"/>
  <c r="Z725" i="49" s="1"/>
  <c r="G381" i="51"/>
  <c r="Y689" i="49" s="1"/>
  <c r="Z689" i="49" s="1"/>
  <c r="G382" i="51"/>
  <c r="Y650" i="49" s="1"/>
  <c r="Z650" i="49" s="1"/>
  <c r="G383" i="51"/>
  <c r="Y666" i="49" s="1"/>
  <c r="G666" i="49" s="1"/>
  <c r="G403" i="51"/>
  <c r="Y836" i="49" s="1"/>
  <c r="Z836" i="49" s="1"/>
  <c r="G408" i="51"/>
  <c r="Y846" i="49" s="1"/>
  <c r="G413" i="51"/>
  <c r="G418" i="51"/>
  <c r="Y663" i="49" s="1"/>
  <c r="AA663" i="49" s="1"/>
  <c r="G419" i="51"/>
  <c r="Y659" i="49" s="1"/>
  <c r="G420" i="51"/>
  <c r="Y647" i="49" s="1"/>
  <c r="Z647" i="49" s="1"/>
  <c r="G421" i="51"/>
  <c r="Y653" i="49" s="1"/>
  <c r="Z653" i="49" s="1"/>
  <c r="G422" i="51"/>
  <c r="Y698" i="49" s="1"/>
  <c r="AA698" i="49" s="1"/>
  <c r="G423" i="51"/>
  <c r="G424" i="51"/>
  <c r="Y699" i="49" s="1"/>
  <c r="Z699" i="49" s="1"/>
  <c r="G425" i="51"/>
  <c r="Y736" i="49" s="1"/>
  <c r="Z736" i="49" s="1"/>
  <c r="G426" i="51"/>
  <c r="G427" i="51"/>
  <c r="G428" i="51"/>
  <c r="G429" i="51"/>
  <c r="Y648" i="49" s="1"/>
  <c r="AA648" i="49" s="1"/>
  <c r="G430" i="51"/>
  <c r="Y660" i="49" s="1"/>
  <c r="Z660" i="49" s="1"/>
  <c r="G431" i="51"/>
  <c r="Y664" i="49" s="1"/>
  <c r="Z664" i="49" s="1"/>
  <c r="G432" i="51"/>
  <c r="Y649" i="49" s="1"/>
  <c r="G433" i="51"/>
  <c r="Y661" i="49" s="1"/>
  <c r="Z661" i="49" s="1"/>
  <c r="G434" i="51"/>
  <c r="Y665" i="49" s="1"/>
  <c r="G435" i="51"/>
  <c r="Y704" i="49" s="1"/>
  <c r="Z704" i="49" s="1"/>
  <c r="G862" i="51"/>
  <c r="G863" i="51"/>
  <c r="G864" i="51"/>
  <c r="G865" i="51"/>
  <c r="G866" i="51"/>
  <c r="G867" i="51"/>
  <c r="G868" i="51"/>
  <c r="G869" i="51"/>
  <c r="G436" i="51"/>
  <c r="Y733" i="49" s="1"/>
  <c r="Z733" i="49" s="1"/>
  <c r="G437" i="51"/>
  <c r="G438" i="51"/>
  <c r="G439" i="51"/>
  <c r="G440" i="51"/>
  <c r="G441" i="51"/>
  <c r="G442" i="51"/>
  <c r="G443" i="51"/>
  <c r="G444" i="51"/>
  <c r="G445" i="51"/>
  <c r="G446" i="51"/>
  <c r="G447" i="51"/>
  <c r="G448" i="51"/>
  <c r="G449" i="51"/>
  <c r="G450" i="51"/>
  <c r="G451" i="51"/>
  <c r="G452" i="51"/>
  <c r="G453" i="51"/>
  <c r="G454" i="51"/>
  <c r="G455" i="51"/>
  <c r="G456" i="51"/>
  <c r="G457" i="51"/>
  <c r="G458" i="51"/>
  <c r="G459" i="51"/>
  <c r="G460" i="51"/>
  <c r="G461" i="51"/>
  <c r="G462" i="51"/>
  <c r="G463" i="51"/>
  <c r="G464" i="51"/>
  <c r="G465" i="51"/>
  <c r="G466" i="51"/>
  <c r="G467" i="51"/>
  <c r="G468" i="51"/>
  <c r="G469" i="51"/>
  <c r="G470" i="51"/>
  <c r="G471" i="51"/>
  <c r="G472" i="51"/>
  <c r="G473" i="51"/>
  <c r="G474" i="51"/>
  <c r="G475" i="51"/>
  <c r="G476" i="51"/>
  <c r="G477" i="51"/>
  <c r="G478" i="51"/>
  <c r="G479" i="51"/>
  <c r="G480" i="51"/>
  <c r="G481" i="51"/>
  <c r="G482" i="51"/>
  <c r="G483" i="51"/>
  <c r="G484" i="51"/>
  <c r="G485" i="51"/>
  <c r="G486" i="51"/>
  <c r="G487" i="51"/>
  <c r="G488" i="51"/>
  <c r="G489" i="51"/>
  <c r="G490" i="51"/>
  <c r="G491" i="51"/>
  <c r="G492" i="51"/>
  <c r="G493" i="51"/>
  <c r="G494" i="51"/>
  <c r="G495" i="51"/>
  <c r="G496" i="51"/>
  <c r="G497" i="51"/>
  <c r="Y841" i="49" s="1"/>
  <c r="Z841" i="49" s="1"/>
  <c r="G498" i="51"/>
  <c r="G499" i="51"/>
  <c r="G500" i="51"/>
  <c r="G501" i="51"/>
  <c r="G502" i="51"/>
  <c r="G503" i="51"/>
  <c r="G504" i="51"/>
  <c r="G505" i="51"/>
  <c r="G506" i="51"/>
  <c r="G507" i="51"/>
  <c r="G508" i="51"/>
  <c r="G509" i="51"/>
  <c r="G510" i="51"/>
  <c r="G511" i="51"/>
  <c r="G512" i="51"/>
  <c r="G513" i="51"/>
  <c r="G514" i="51"/>
  <c r="G515" i="51"/>
  <c r="G516" i="51"/>
  <c r="G517" i="51"/>
  <c r="G518" i="51"/>
  <c r="G519" i="51"/>
  <c r="G870" i="51"/>
  <c r="G871" i="51"/>
  <c r="G872" i="51"/>
  <c r="G873" i="51"/>
  <c r="G874" i="51"/>
  <c r="G875" i="51"/>
  <c r="G876" i="51"/>
  <c r="G877" i="51"/>
  <c r="G520" i="51"/>
  <c r="G521" i="51"/>
  <c r="G522" i="51"/>
  <c r="G523" i="51"/>
  <c r="G524" i="51"/>
  <c r="G525" i="51"/>
  <c r="G526" i="51"/>
  <c r="G527" i="51"/>
  <c r="G528" i="51"/>
  <c r="G529" i="51"/>
  <c r="G530" i="51"/>
  <c r="G531" i="51"/>
  <c r="G532" i="51"/>
  <c r="G533" i="51"/>
  <c r="G534" i="51"/>
  <c r="G535" i="51"/>
  <c r="G536" i="51"/>
  <c r="G878" i="51"/>
  <c r="G626" i="51"/>
  <c r="G627" i="51"/>
  <c r="G628" i="51"/>
  <c r="G629" i="51"/>
  <c r="G630" i="51"/>
  <c r="G631" i="51"/>
  <c r="G632" i="51"/>
  <c r="G633" i="51"/>
  <c r="G634" i="51"/>
  <c r="Y769" i="49" s="1"/>
  <c r="Z769" i="49" s="1"/>
  <c r="G635" i="51"/>
  <c r="Y770" i="49" s="1"/>
  <c r="Z770" i="49" s="1"/>
  <c r="G636" i="51"/>
  <c r="Y772" i="49" s="1"/>
  <c r="Z772" i="49" s="1"/>
  <c r="G637" i="51"/>
  <c r="G638" i="51"/>
  <c r="Y773" i="49" s="1"/>
  <c r="Z773" i="49" s="1"/>
  <c r="G639" i="51"/>
  <c r="Y774" i="49" s="1"/>
  <c r="Z774" i="49" s="1"/>
  <c r="G640" i="51"/>
  <c r="G641" i="51"/>
  <c r="Y768" i="49" s="1"/>
  <c r="Z768" i="49" s="1"/>
  <c r="G642" i="51"/>
  <c r="G643" i="51"/>
  <c r="G644" i="51"/>
  <c r="G645" i="51"/>
  <c r="G646" i="51"/>
  <c r="Y771" i="49" s="1"/>
  <c r="Z771" i="49" s="1"/>
  <c r="G647" i="51"/>
  <c r="G648" i="51"/>
  <c r="G649" i="51"/>
  <c r="Y767" i="49" s="1"/>
  <c r="Z767" i="49" s="1"/>
  <c r="G650" i="51"/>
  <c r="G651" i="51"/>
  <c r="G652" i="51"/>
  <c r="G879" i="51"/>
  <c r="G880" i="51"/>
  <c r="G881" i="51"/>
  <c r="G882" i="51"/>
  <c r="G883" i="51"/>
  <c r="G884" i="51"/>
  <c r="G885" i="51"/>
  <c r="G886" i="51"/>
  <c r="G887" i="51"/>
  <c r="G888" i="51"/>
  <c r="G653" i="51"/>
  <c r="Y786" i="49" s="1"/>
  <c r="Z786" i="49" s="1"/>
  <c r="G654" i="51"/>
  <c r="G655" i="51"/>
  <c r="G889" i="51"/>
  <c r="G890" i="51"/>
  <c r="G891" i="51"/>
  <c r="G892" i="51"/>
  <c r="G893" i="51"/>
  <c r="G894" i="51"/>
  <c r="G656" i="51"/>
  <c r="Y569" i="49" s="1"/>
  <c r="G569" i="49" s="1"/>
  <c r="G657" i="51"/>
  <c r="G658" i="51"/>
  <c r="G659" i="51"/>
  <c r="G660" i="51"/>
  <c r="G661" i="51"/>
  <c r="G662" i="51"/>
  <c r="G663" i="51"/>
  <c r="G664" i="51"/>
  <c r="Y570" i="49" s="1"/>
  <c r="G570" i="49" s="1"/>
  <c r="G673" i="51"/>
  <c r="G674" i="51"/>
  <c r="G675" i="51"/>
  <c r="G676" i="51"/>
  <c r="G677" i="51"/>
  <c r="G895" i="51"/>
  <c r="G896" i="51"/>
  <c r="G897" i="51"/>
  <c r="G898" i="51"/>
  <c r="G899" i="51"/>
  <c r="G900" i="51"/>
  <c r="G682" i="51"/>
  <c r="G683" i="51"/>
  <c r="G684" i="51"/>
  <c r="G685" i="51"/>
  <c r="G686" i="51"/>
  <c r="G687" i="51"/>
  <c r="G688" i="51"/>
  <c r="G901" i="51"/>
  <c r="G902" i="51"/>
  <c r="G903" i="51"/>
  <c r="G689" i="51"/>
  <c r="Y808" i="49" s="1"/>
  <c r="Z808" i="49" s="1"/>
  <c r="G690" i="51"/>
  <c r="G691" i="51"/>
  <c r="G904" i="51"/>
  <c r="G905" i="51"/>
  <c r="G906" i="51"/>
  <c r="G907" i="51"/>
  <c r="G908" i="51"/>
  <c r="G909" i="51"/>
  <c r="G168" i="51"/>
  <c r="G94" i="51"/>
  <c r="G95" i="51"/>
  <c r="Y137" i="49"/>
  <c r="Z137" i="49" s="1"/>
  <c r="Y136" i="49"/>
  <c r="G97" i="51"/>
  <c r="G98" i="51"/>
  <c r="G99" i="51"/>
  <c r="G169" i="51"/>
  <c r="G170" i="51"/>
  <c r="G171" i="51"/>
  <c r="G172" i="51"/>
  <c r="G173" i="51"/>
  <c r="G174" i="51"/>
  <c r="G175" i="51"/>
  <c r="G176" i="51"/>
  <c r="G177" i="51"/>
  <c r="G178" i="51"/>
  <c r="G179" i="51"/>
  <c r="G100" i="51"/>
  <c r="G101" i="51"/>
  <c r="G102" i="51"/>
  <c r="G103" i="51"/>
  <c r="G104" i="51"/>
  <c r="G105" i="51"/>
  <c r="G106" i="51"/>
  <c r="G107" i="51"/>
  <c r="G108" i="51"/>
  <c r="G109" i="51"/>
  <c r="G110" i="51"/>
  <c r="G111" i="51"/>
  <c r="G112" i="51"/>
  <c r="G113" i="51"/>
  <c r="G114" i="51"/>
  <c r="G115" i="51"/>
  <c r="G116" i="51"/>
  <c r="G117" i="51"/>
  <c r="G118" i="51"/>
  <c r="G119" i="51"/>
  <c r="G180" i="51"/>
  <c r="G181" i="51"/>
  <c r="G182" i="51"/>
  <c r="G183" i="51"/>
  <c r="G184" i="51"/>
  <c r="G185" i="51"/>
  <c r="G186" i="51"/>
  <c r="G187" i="51"/>
  <c r="G188" i="51"/>
  <c r="G189" i="51"/>
  <c r="G120" i="51"/>
  <c r="G121" i="51"/>
  <c r="G122" i="51"/>
  <c r="Y196" i="49"/>
  <c r="Z196" i="49" s="1"/>
  <c r="Y197" i="49"/>
  <c r="Z197" i="49" s="1"/>
  <c r="Y198" i="49"/>
  <c r="Z198" i="49" s="1"/>
  <c r="Y199" i="49"/>
  <c r="Z199" i="49" s="1"/>
  <c r="Y200" i="49"/>
  <c r="Z200" i="49" s="1"/>
  <c r="Y201" i="49"/>
  <c r="Z201" i="49" s="1"/>
  <c r="Y202" i="49"/>
  <c r="Z202" i="49" s="1"/>
  <c r="Y203" i="49"/>
  <c r="Z203" i="49" s="1"/>
  <c r="Y204" i="49"/>
  <c r="Z204" i="49" s="1"/>
  <c r="Y205" i="49"/>
  <c r="Y206" i="49"/>
  <c r="Z206" i="49" s="1"/>
  <c r="Y207" i="49"/>
  <c r="Z207" i="49" s="1"/>
  <c r="Y208" i="49"/>
  <c r="Y209" i="49"/>
  <c r="Z209" i="49" s="1"/>
  <c r="Y210" i="49"/>
  <c r="Z210" i="49" s="1"/>
  <c r="Y211" i="49"/>
  <c r="Z211" i="49" s="1"/>
  <c r="Y212" i="49"/>
  <c r="Z212" i="49" s="1"/>
  <c r="Y213" i="49"/>
  <c r="Z213" i="49" s="1"/>
  <c r="Y214" i="49"/>
  <c r="Z214" i="49" s="1"/>
  <c r="Y176" i="49"/>
  <c r="Z176" i="49" s="1"/>
  <c r="Y177" i="49"/>
  <c r="Y178" i="49"/>
  <c r="Z178" i="49" s="1"/>
  <c r="Y179" i="49"/>
  <c r="Z179" i="49" s="1"/>
  <c r="Y180" i="49"/>
  <c r="Y181" i="49"/>
  <c r="Z181" i="49" s="1"/>
  <c r="Y182" i="49"/>
  <c r="Z182" i="49" s="1"/>
  <c r="Y183" i="49"/>
  <c r="Z183" i="49" s="1"/>
  <c r="Y184" i="49"/>
  <c r="Z184" i="49" s="1"/>
  <c r="Y185" i="49"/>
  <c r="Y186" i="49"/>
  <c r="Z186" i="49" s="1"/>
  <c r="Y187" i="49"/>
  <c r="Z187" i="49" s="1"/>
  <c r="Y188" i="49"/>
  <c r="Y189" i="49"/>
  <c r="Z189" i="49" s="1"/>
  <c r="Y190" i="49"/>
  <c r="Z190" i="49" s="1"/>
  <c r="Y191" i="49"/>
  <c r="Z191" i="49" s="1"/>
  <c r="Y192" i="49"/>
  <c r="Y193" i="49"/>
  <c r="Z193" i="49" s="1"/>
  <c r="Y194" i="49"/>
  <c r="AA194" i="49" s="1"/>
  <c r="Y195" i="49"/>
  <c r="Z195" i="49" s="1"/>
  <c r="G162" i="51"/>
  <c r="G163" i="51"/>
  <c r="G164" i="51"/>
  <c r="G190" i="51"/>
  <c r="G191" i="51"/>
  <c r="G192" i="51"/>
  <c r="G165" i="51"/>
  <c r="Y175" i="49" s="1"/>
  <c r="Z175" i="49" s="1"/>
  <c r="G193" i="51"/>
  <c r="G194" i="51"/>
  <c r="G195" i="51"/>
  <c r="G196" i="51"/>
  <c r="G197" i="51"/>
  <c r="G198" i="51"/>
  <c r="G199" i="51"/>
  <c r="G200" i="51"/>
  <c r="G166" i="51"/>
  <c r="G167" i="51"/>
  <c r="G201" i="51"/>
  <c r="G202" i="51"/>
  <c r="G203" i="51"/>
  <c r="G204" i="51"/>
  <c r="G205" i="51"/>
  <c r="G206" i="51"/>
  <c r="G207" i="51"/>
  <c r="G692" i="51"/>
  <c r="G693" i="51"/>
  <c r="G694" i="51"/>
  <c r="G695" i="51"/>
  <c r="G696" i="51"/>
  <c r="G697" i="51"/>
  <c r="G698" i="51"/>
  <c r="G699" i="51"/>
  <c r="G700" i="51"/>
  <c r="G701" i="51"/>
  <c r="Y868" i="49" s="1"/>
  <c r="G702" i="51"/>
  <c r="G703" i="51"/>
  <c r="G704" i="51"/>
  <c r="G910" i="51"/>
  <c r="G911" i="51"/>
  <c r="G912" i="51"/>
  <c r="G705" i="51"/>
  <c r="G706" i="51"/>
  <c r="G709" i="51"/>
  <c r="G710" i="51"/>
  <c r="G711" i="51"/>
  <c r="G712" i="51"/>
  <c r="Y298" i="49" s="1"/>
  <c r="G713" i="51"/>
  <c r="G714" i="51"/>
  <c r="G715" i="51"/>
  <c r="G719" i="51"/>
  <c r="Y302" i="49" s="1"/>
  <c r="G720" i="51"/>
  <c r="Y303" i="49" s="1"/>
  <c r="G721" i="51"/>
  <c r="Y304" i="49" s="1"/>
  <c r="G722" i="51"/>
  <c r="Y299" i="49" s="1"/>
  <c r="G723" i="51"/>
  <c r="Y300" i="49" s="1"/>
  <c r="G724" i="51"/>
  <c r="Y301" i="49" s="1"/>
  <c r="G725" i="51"/>
  <c r="Y364" i="49" s="1"/>
  <c r="G726" i="51"/>
  <c r="Y363" i="49" s="1"/>
  <c r="G727" i="51"/>
  <c r="Y311" i="49" s="1"/>
  <c r="G728" i="51"/>
  <c r="Y309" i="49" s="1"/>
  <c r="G729" i="51"/>
  <c r="Y308" i="49" s="1"/>
  <c r="G730" i="51"/>
  <c r="Y293" i="49" s="1"/>
  <c r="G731" i="51"/>
  <c r="G732" i="51"/>
  <c r="G733" i="51"/>
  <c r="Y354" i="49" s="1"/>
  <c r="G734" i="51"/>
  <c r="Y355" i="49" s="1"/>
  <c r="G735" i="51"/>
  <c r="Y356" i="49" s="1"/>
  <c r="G736" i="51"/>
  <c r="Y333" i="49" s="1"/>
  <c r="G737" i="51"/>
  <c r="Y334" i="49" s="1"/>
  <c r="G738" i="51"/>
  <c r="Y335" i="49" s="1"/>
  <c r="G739" i="51"/>
  <c r="Y336" i="49" s="1"/>
  <c r="G740" i="51"/>
  <c r="G741" i="51"/>
  <c r="G742" i="51"/>
  <c r="G743" i="51"/>
  <c r="G744" i="51"/>
  <c r="G745" i="51"/>
  <c r="Y317" i="49" s="1"/>
  <c r="G746" i="51"/>
  <c r="Y316" i="49" s="1"/>
  <c r="G747" i="51"/>
  <c r="Y313" i="49" s="1"/>
  <c r="G748" i="51"/>
  <c r="Y328" i="49" s="1"/>
  <c r="G749" i="51"/>
  <c r="Y318" i="49" s="1"/>
  <c r="G750" i="51"/>
  <c r="Y359" i="49" s="1"/>
  <c r="G751" i="51"/>
  <c r="G752" i="51"/>
  <c r="Y361" i="49" s="1"/>
  <c r="G753" i="51"/>
  <c r="G754" i="51"/>
  <c r="G755" i="51"/>
  <c r="G756" i="51"/>
  <c r="G757" i="51"/>
  <c r="G758" i="51"/>
  <c r="G759" i="51"/>
  <c r="G760" i="51"/>
  <c r="G761" i="51"/>
  <c r="G762" i="51"/>
  <c r="G763" i="51"/>
  <c r="G764" i="51"/>
  <c r="G765" i="51"/>
  <c r="G766" i="51"/>
  <c r="Y306" i="49" s="1"/>
  <c r="G767" i="51"/>
  <c r="G768" i="51"/>
  <c r="Y344" i="49" s="1"/>
  <c r="G769" i="51"/>
  <c r="G771" i="51"/>
  <c r="G772" i="51"/>
  <c r="G773" i="51"/>
  <c r="G774" i="51"/>
  <c r="G783" i="51"/>
  <c r="Y343" i="49" s="1"/>
  <c r="G784" i="51"/>
  <c r="G785" i="51"/>
  <c r="G786" i="51"/>
  <c r="Y342" i="49" s="1"/>
  <c r="G787" i="51"/>
  <c r="Y329" i="49" s="1"/>
  <c r="G788" i="51"/>
  <c r="Y319" i="49" s="1"/>
  <c r="G789" i="51"/>
  <c r="Y323" i="49" s="1"/>
  <c r="G790" i="51"/>
  <c r="Y325" i="49" s="1"/>
  <c r="G791" i="51"/>
  <c r="G792" i="51"/>
  <c r="G793" i="51"/>
  <c r="G794" i="51"/>
  <c r="G795" i="51"/>
  <c r="G796" i="51"/>
  <c r="G797" i="51"/>
  <c r="Y288" i="49" s="1"/>
  <c r="G798" i="51"/>
  <c r="Y289" i="49" s="1"/>
  <c r="G799" i="51"/>
  <c r="Y294" i="49" s="1"/>
  <c r="G800" i="51"/>
  <c r="Y295" i="49" s="1"/>
  <c r="G801" i="51"/>
  <c r="Y296" i="49" s="1"/>
  <c r="G802" i="51"/>
  <c r="Y297" i="49" s="1"/>
  <c r="G803" i="51"/>
  <c r="Y291" i="49" s="1"/>
  <c r="G804" i="51"/>
  <c r="Y292" i="49" s="1"/>
  <c r="G805" i="51"/>
  <c r="Y331" i="49" s="1"/>
  <c r="G806" i="51"/>
  <c r="Y332" i="49" s="1"/>
  <c r="G807" i="51"/>
  <c r="G808" i="51"/>
  <c r="G809" i="51"/>
  <c r="G810" i="51"/>
  <c r="G811" i="51"/>
  <c r="Y340" i="49" s="1"/>
  <c r="G812" i="51"/>
  <c r="Y357" i="49" s="1"/>
  <c r="G813" i="51"/>
  <c r="G814" i="51"/>
  <c r="G815" i="51"/>
  <c r="G816" i="51"/>
  <c r="Y339" i="49" s="1"/>
  <c r="G817" i="51"/>
  <c r="G818" i="51"/>
  <c r="G819" i="51"/>
  <c r="G820" i="51"/>
  <c r="G821" i="51"/>
  <c r="G822" i="51"/>
  <c r="G823" i="51"/>
  <c r="G824" i="51"/>
  <c r="G825" i="51"/>
  <c r="G826" i="51"/>
  <c r="G827" i="51"/>
  <c r="G828" i="51"/>
  <c r="G829" i="51"/>
  <c r="G830" i="51"/>
  <c r="G831" i="51"/>
  <c r="G833" i="51"/>
  <c r="G834" i="51"/>
  <c r="G913" i="51"/>
  <c r="G914" i="51"/>
  <c r="G915" i="51"/>
  <c r="G916" i="51"/>
  <c r="G917" i="51"/>
  <c r="G918" i="51"/>
  <c r="G919" i="51"/>
  <c r="G920" i="51"/>
  <c r="G921" i="51"/>
  <c r="G922" i="51"/>
  <c r="G923" i="51"/>
  <c r="G924" i="51"/>
  <c r="G925" i="51"/>
  <c r="G835" i="51"/>
  <c r="G836" i="51"/>
  <c r="G837" i="51"/>
  <c r="G838" i="51"/>
  <c r="G839" i="51"/>
  <c r="G840" i="51"/>
  <c r="G841" i="51"/>
  <c r="G842" i="51"/>
  <c r="G843" i="51"/>
  <c r="G844" i="51"/>
  <c r="G926" i="51"/>
  <c r="G927" i="51"/>
  <c r="G928" i="51"/>
  <c r="G929" i="51"/>
  <c r="G930" i="51"/>
  <c r="G931" i="51"/>
  <c r="G932" i="51"/>
  <c r="G980" i="51"/>
  <c r="G981" i="51"/>
  <c r="G982" i="51"/>
  <c r="G983" i="51"/>
  <c r="G999" i="51"/>
  <c r="G1000" i="51"/>
  <c r="G1001" i="51"/>
  <c r="G1002" i="51"/>
  <c r="G1003" i="51"/>
  <c r="G984" i="51"/>
  <c r="G985" i="51"/>
  <c r="G986" i="51"/>
  <c r="G987" i="51"/>
  <c r="G988" i="51"/>
  <c r="Y902" i="49" s="1"/>
  <c r="Z902" i="49" s="1"/>
  <c r="G989" i="51"/>
  <c r="G990" i="51"/>
  <c r="G991" i="51"/>
  <c r="G1004" i="51"/>
  <c r="G1005" i="51"/>
  <c r="G1006" i="51"/>
  <c r="G992" i="51"/>
  <c r="Y881" i="49" s="1"/>
  <c r="Z881" i="49" s="1"/>
  <c r="G993" i="51"/>
  <c r="G994" i="51"/>
  <c r="G995" i="51"/>
  <c r="G996" i="51"/>
  <c r="G997" i="51"/>
  <c r="G998" i="51"/>
  <c r="G1007" i="51"/>
  <c r="G1008" i="51"/>
  <c r="G1009" i="51"/>
  <c r="G217" i="51"/>
  <c r="G218" i="51"/>
  <c r="G219" i="51"/>
  <c r="G220" i="51"/>
  <c r="G221" i="51"/>
  <c r="G222" i="51"/>
  <c r="G223" i="51"/>
  <c r="G225" i="51"/>
  <c r="G226" i="51"/>
  <c r="G227" i="51"/>
  <c r="G1124" i="51"/>
  <c r="G1125" i="51"/>
  <c r="Y1206" i="49" s="1"/>
  <c r="Z1206" i="49" s="1"/>
  <c r="G1126" i="51"/>
  <c r="G1127" i="51"/>
  <c r="Y1154" i="49" s="1"/>
  <c r="Z1154" i="49" s="1"/>
  <c r="G1128" i="51"/>
  <c r="Y1165" i="49" s="1"/>
  <c r="Z1165" i="49" s="1"/>
  <c r="G1129" i="51"/>
  <c r="Y1176" i="49" s="1"/>
  <c r="Z1176" i="49" s="1"/>
  <c r="G1130" i="51"/>
  <c r="Y1187" i="49" s="1"/>
  <c r="G1131" i="51"/>
  <c r="Y1198" i="49" s="1"/>
  <c r="Z1198" i="49" s="1"/>
  <c r="G1132" i="51"/>
  <c r="Y1202" i="49" s="1"/>
  <c r="G1133" i="51"/>
  <c r="Y1203" i="49" s="1"/>
  <c r="Z1203" i="49" s="1"/>
  <c r="G1134" i="51"/>
  <c r="Y1204" i="49" s="1"/>
  <c r="AA1204" i="49" s="1"/>
  <c r="G1135" i="51"/>
  <c r="Y1205" i="49" s="1"/>
  <c r="Z1205" i="49" s="1"/>
  <c r="G1136" i="51"/>
  <c r="Y1155" i="49" s="1"/>
  <c r="AA1155" i="49" s="1"/>
  <c r="G1137" i="51"/>
  <c r="Y1156" i="49" s="1"/>
  <c r="Z1156" i="49" s="1"/>
  <c r="G1138" i="51"/>
  <c r="Y1157" i="49" s="1"/>
  <c r="AA1157" i="49" s="1"/>
  <c r="G1139" i="51"/>
  <c r="Y1158" i="49" s="1"/>
  <c r="G1140" i="51"/>
  <c r="Y1159" i="49" s="1"/>
  <c r="Z1159" i="49" s="1"/>
  <c r="G1141" i="51"/>
  <c r="Y1160" i="49" s="1"/>
  <c r="Z1160" i="49" s="1"/>
  <c r="G1142" i="51"/>
  <c r="Y1161" i="49" s="1"/>
  <c r="Z1161" i="49" s="1"/>
  <c r="G1143" i="51"/>
  <c r="Y1162" i="49" s="1"/>
  <c r="Z1162" i="49" s="1"/>
  <c r="G1144" i="51"/>
  <c r="Y1163" i="49" s="1"/>
  <c r="AA1163" i="49" s="1"/>
  <c r="G1145" i="51"/>
  <c r="Y1164" i="49" s="1"/>
  <c r="G1146" i="51"/>
  <c r="Y1166" i="49" s="1"/>
  <c r="Z1166" i="49" s="1"/>
  <c r="G1147" i="51"/>
  <c r="Y1167" i="49" s="1"/>
  <c r="AA1167" i="49" s="1"/>
  <c r="G1148" i="51"/>
  <c r="Y1168" i="49" s="1"/>
  <c r="AA1168" i="49" s="1"/>
  <c r="G1149" i="51"/>
  <c r="Y1169" i="49" s="1"/>
  <c r="G1150" i="51"/>
  <c r="Y1170" i="49" s="1"/>
  <c r="Z1170" i="49" s="1"/>
  <c r="G1151" i="51"/>
  <c r="Y1171" i="49" s="1"/>
  <c r="Z1171" i="49" s="1"/>
  <c r="G1152" i="51"/>
  <c r="Y1172" i="49" s="1"/>
  <c r="Z1172" i="49" s="1"/>
  <c r="G1153" i="51"/>
  <c r="Y1173" i="49" s="1"/>
  <c r="Z1173" i="49" s="1"/>
  <c r="G1154" i="51"/>
  <c r="Y1174" i="49" s="1"/>
  <c r="Z1174" i="49" s="1"/>
  <c r="G1155" i="51"/>
  <c r="Y1175" i="49" s="1"/>
  <c r="Z1175" i="49" s="1"/>
  <c r="G1156" i="51"/>
  <c r="Y1177" i="49" s="1"/>
  <c r="G1157" i="51"/>
  <c r="Y1178" i="49" s="1"/>
  <c r="Z1178" i="49" s="1"/>
  <c r="G1158" i="51"/>
  <c r="Y1179" i="49" s="1"/>
  <c r="Z1179" i="49" s="1"/>
  <c r="G1159" i="51"/>
  <c r="Y1180" i="49" s="1"/>
  <c r="Z1180" i="49" s="1"/>
  <c r="G1160" i="51"/>
  <c r="Y1181" i="49" s="1"/>
  <c r="Z1181" i="49" s="1"/>
  <c r="G1161" i="51"/>
  <c r="Y1182" i="49" s="1"/>
  <c r="Z1182" i="49" s="1"/>
  <c r="G1162" i="51"/>
  <c r="Y1183" i="49" s="1"/>
  <c r="AA1183" i="49" s="1"/>
  <c r="G1163" i="51"/>
  <c r="Y1184" i="49" s="1"/>
  <c r="Z1184" i="49" s="1"/>
  <c r="G1164" i="51"/>
  <c r="Y1185" i="49" s="1"/>
  <c r="Z1185" i="49" s="1"/>
  <c r="G1165" i="51"/>
  <c r="Y1186" i="49" s="1"/>
  <c r="Z1186" i="49" s="1"/>
  <c r="G1166" i="51"/>
  <c r="Y1188" i="49" s="1"/>
  <c r="G1167" i="51"/>
  <c r="Y1189" i="49" s="1"/>
  <c r="G1168" i="51"/>
  <c r="Y1190" i="49" s="1"/>
  <c r="Z1190" i="49" s="1"/>
  <c r="G1169" i="51"/>
  <c r="Y1191" i="49" s="1"/>
  <c r="Z1191" i="49" s="1"/>
  <c r="G1170" i="51"/>
  <c r="Y1192" i="49" s="1"/>
  <c r="Z1192" i="49" s="1"/>
  <c r="G1171" i="51"/>
  <c r="Y1193" i="49" s="1"/>
  <c r="G1172" i="51"/>
  <c r="Y1194" i="49" s="1"/>
  <c r="Z1194" i="49" s="1"/>
  <c r="G1173" i="51"/>
  <c r="Y1195" i="49" s="1"/>
  <c r="Z1195" i="49" s="1"/>
  <c r="G1174" i="51"/>
  <c r="Y1196" i="49" s="1"/>
  <c r="Z1196" i="49" s="1"/>
  <c r="G1175" i="51"/>
  <c r="Y1197" i="49" s="1"/>
  <c r="Z1197" i="49" s="1"/>
  <c r="G1176" i="51"/>
  <c r="Y1199" i="49" s="1"/>
  <c r="Z1199" i="49" s="1"/>
  <c r="G1177" i="51"/>
  <c r="Y1200" i="49" s="1"/>
  <c r="Z1200" i="49" s="1"/>
  <c r="G1178" i="51"/>
  <c r="Y1201" i="49" s="1"/>
  <c r="Z1201" i="49" s="1"/>
  <c r="G1179" i="51"/>
  <c r="G1180" i="51"/>
  <c r="G1181" i="51"/>
  <c r="G1182" i="51"/>
  <c r="G1183" i="51"/>
  <c r="G1184" i="51"/>
  <c r="G1185" i="51"/>
  <c r="G845" i="51"/>
  <c r="Y611" i="49" s="1"/>
  <c r="Z611" i="49" s="1"/>
  <c r="G846" i="51"/>
  <c r="G848" i="51"/>
  <c r="Y613" i="49" s="1"/>
  <c r="Z613" i="49" s="1"/>
  <c r="G849" i="51"/>
  <c r="Y612" i="49" s="1"/>
  <c r="G847" i="51"/>
  <c r="G850" i="51"/>
  <c r="Y614" i="49" s="1"/>
  <c r="Z614" i="49" s="1"/>
  <c r="G851" i="51"/>
  <c r="Y616" i="49" s="1"/>
  <c r="Z616" i="49" s="1"/>
  <c r="G852" i="51"/>
  <c r="Y617" i="49" s="1"/>
  <c r="AA617" i="49" s="1"/>
  <c r="G853" i="51"/>
  <c r="Y618" i="49" s="1"/>
  <c r="Z618" i="49" s="1"/>
  <c r="G854" i="51"/>
  <c r="Y619" i="49" s="1"/>
  <c r="AA619" i="49" s="1"/>
  <c r="G855" i="51"/>
  <c r="Y620" i="49" s="1"/>
  <c r="AA620" i="49" s="1"/>
  <c r="G856" i="51"/>
  <c r="Y621" i="49" s="1"/>
  <c r="AA621" i="49" s="1"/>
  <c r="G857" i="51"/>
  <c r="Y622" i="49" s="1"/>
  <c r="AA622" i="49" s="1"/>
  <c r="G858" i="51"/>
  <c r="Y623" i="49" s="1"/>
  <c r="AA623" i="49" s="1"/>
  <c r="G933" i="51"/>
  <c r="G934" i="51"/>
  <c r="G935" i="51"/>
  <c r="G936" i="51"/>
  <c r="G937" i="51"/>
  <c r="G938" i="51"/>
  <c r="G939" i="51"/>
  <c r="G940" i="51"/>
  <c r="G941" i="51"/>
  <c r="G942" i="51"/>
  <c r="G943" i="51"/>
  <c r="G944" i="51"/>
  <c r="G945" i="51"/>
  <c r="G946" i="51"/>
  <c r="G947" i="51"/>
  <c r="G948" i="51"/>
  <c r="G949" i="51"/>
  <c r="G950" i="51"/>
  <c r="G951" i="51"/>
  <c r="G952" i="51"/>
  <c r="G953" i="51"/>
  <c r="G954" i="51"/>
  <c r="G955" i="51"/>
  <c r="G956" i="51"/>
  <c r="G957" i="51"/>
  <c r="G958" i="51"/>
  <c r="G240" i="51"/>
  <c r="G241" i="51"/>
  <c r="G242" i="51"/>
  <c r="G243" i="51"/>
  <c r="G244" i="51"/>
  <c r="G245" i="51"/>
  <c r="G259" i="51"/>
  <c r="G260" i="51"/>
  <c r="G261" i="51"/>
  <c r="G262" i="51"/>
  <c r="G263" i="51"/>
  <c r="G208" i="51"/>
  <c r="G209" i="51"/>
  <c r="G210" i="51"/>
  <c r="G211" i="51"/>
  <c r="G212" i="51"/>
  <c r="G213" i="51"/>
  <c r="G214" i="51"/>
  <c r="G215" i="51"/>
  <c r="G216" i="51"/>
  <c r="G224" i="51"/>
  <c r="G228" i="51"/>
  <c r="G229" i="51"/>
  <c r="G230" i="51"/>
  <c r="G231" i="51"/>
  <c r="G232" i="51"/>
  <c r="G233" i="51"/>
  <c r="G234" i="51"/>
  <c r="G235" i="51"/>
  <c r="G1186" i="51"/>
  <c r="G254" i="51"/>
  <c r="G255" i="51"/>
  <c r="G256" i="51"/>
  <c r="G257" i="51"/>
  <c r="G258" i="51"/>
  <c r="G1187" i="51"/>
  <c r="G253" i="51"/>
  <c r="G236" i="51"/>
  <c r="G237" i="51"/>
  <c r="G238" i="51"/>
  <c r="G264" i="51"/>
  <c r="G265" i="51"/>
  <c r="G251" i="51"/>
  <c r="G266" i="51"/>
  <c r="G252" i="51"/>
  <c r="G267" i="51"/>
  <c r="G268" i="51"/>
  <c r="G269" i="51"/>
  <c r="G270" i="51"/>
  <c r="G271" i="51"/>
  <c r="G272" i="51"/>
  <c r="G273" i="51"/>
  <c r="G274" i="51"/>
  <c r="G239" i="51"/>
  <c r="G275" i="51"/>
  <c r="G276" i="51"/>
  <c r="G277" i="51"/>
  <c r="G278" i="51"/>
  <c r="G279" i="51"/>
  <c r="G280" i="51"/>
  <c r="G281" i="51"/>
  <c r="G282" i="51"/>
  <c r="G283" i="51"/>
  <c r="G321" i="51"/>
  <c r="G959" i="51"/>
  <c r="G323" i="51"/>
  <c r="G324" i="51"/>
  <c r="G325" i="51"/>
  <c r="G326" i="51"/>
  <c r="G960" i="51"/>
  <c r="G327" i="51"/>
  <c r="G328" i="51"/>
  <c r="G329" i="51"/>
  <c r="G330" i="51"/>
  <c r="G331" i="51"/>
  <c r="G332" i="51"/>
  <c r="G333" i="51"/>
  <c r="G334" i="51"/>
  <c r="G335" i="51"/>
  <c r="G336" i="51"/>
  <c r="G337" i="51"/>
  <c r="G338" i="51"/>
  <c r="G339" i="51"/>
  <c r="G340" i="51"/>
  <c r="G341" i="51"/>
  <c r="G342" i="51"/>
  <c r="G343" i="51"/>
  <c r="G961" i="51"/>
  <c r="G962" i="51"/>
  <c r="G963" i="51"/>
  <c r="G284" i="51"/>
  <c r="G964" i="51"/>
  <c r="G289" i="51"/>
  <c r="G965" i="51"/>
  <c r="G286" i="51"/>
  <c r="G287" i="51"/>
  <c r="G288" i="51"/>
  <c r="G966" i="51"/>
  <c r="G967" i="51"/>
  <c r="G307" i="51"/>
  <c r="G968" i="51"/>
  <c r="G309" i="51"/>
  <c r="G310" i="51"/>
  <c r="G311" i="51"/>
  <c r="G312" i="51"/>
  <c r="G313" i="51"/>
  <c r="G314" i="51"/>
  <c r="G315" i="51"/>
  <c r="G316" i="51"/>
  <c r="G317" i="51"/>
  <c r="G318" i="51"/>
  <c r="G319" i="51"/>
  <c r="G320" i="51"/>
  <c r="G969" i="51"/>
  <c r="G970" i="51"/>
  <c r="G971" i="51"/>
  <c r="G972" i="51"/>
  <c r="G973" i="51"/>
  <c r="G974" i="51"/>
  <c r="G290" i="51"/>
  <c r="G975" i="51"/>
  <c r="G293" i="51"/>
  <c r="G294" i="51"/>
  <c r="G295" i="51"/>
  <c r="G296" i="51"/>
  <c r="G297" i="51"/>
  <c r="G298" i="51"/>
  <c r="G299" i="51"/>
  <c r="G300" i="51"/>
  <c r="G301" i="51"/>
  <c r="G302" i="51"/>
  <c r="G303" i="51"/>
  <c r="G305" i="51"/>
  <c r="G306" i="51"/>
  <c r="G976" i="51"/>
  <c r="G977" i="51"/>
  <c r="G978" i="51"/>
  <c r="G979" i="51"/>
  <c r="R807" i="49"/>
  <c r="R806" i="49"/>
  <c r="R785" i="49"/>
  <c r="R784" i="49"/>
  <c r="R276" i="49"/>
  <c r="R651" i="49"/>
  <c r="R739" i="49"/>
  <c r="R734" i="49"/>
  <c r="R696" i="49"/>
  <c r="R714" i="49"/>
  <c r="R712" i="49"/>
  <c r="R694" i="49"/>
  <c r="R692" i="49"/>
  <c r="R833" i="49"/>
  <c r="R834" i="49"/>
  <c r="R731" i="49"/>
  <c r="R830" i="49"/>
  <c r="R705" i="49"/>
  <c r="R708" i="49"/>
  <c r="R710" i="49"/>
  <c r="R728" i="49"/>
  <c r="R730" i="49"/>
  <c r="R716" i="49"/>
  <c r="R718" i="49"/>
  <c r="R701" i="49"/>
  <c r="R703" i="49"/>
  <c r="R643" i="49"/>
  <c r="R645" i="49"/>
  <c r="R655" i="49"/>
  <c r="R657" i="49"/>
  <c r="R720" i="49"/>
  <c r="R852" i="49"/>
  <c r="R724" i="49"/>
  <c r="R722" i="49"/>
  <c r="R829" i="49"/>
  <c r="R827" i="49"/>
  <c r="R695" i="49"/>
  <c r="R713" i="49"/>
  <c r="R711" i="49"/>
  <c r="R693" i="49"/>
  <c r="R691" i="49"/>
  <c r="R707" i="49"/>
  <c r="R709" i="49"/>
  <c r="R727" i="49"/>
  <c r="R729" i="49"/>
  <c r="R715" i="49"/>
  <c r="R717" i="49"/>
  <c r="R700" i="49"/>
  <c r="R702" i="49"/>
  <c r="R642" i="49"/>
  <c r="R644" i="49"/>
  <c r="R654" i="49"/>
  <c r="R656" i="49"/>
  <c r="R690" i="49"/>
  <c r="R719" i="49"/>
  <c r="R851" i="49"/>
  <c r="R723" i="49"/>
  <c r="R721" i="49"/>
  <c r="R735" i="49"/>
  <c r="R828" i="49"/>
  <c r="R826" i="49"/>
  <c r="R751" i="49"/>
  <c r="R761" i="49"/>
  <c r="R760" i="49"/>
  <c r="R759" i="49"/>
  <c r="R757" i="49"/>
  <c r="R756" i="49"/>
  <c r="R740" i="49"/>
  <c r="R220" i="49"/>
  <c r="R1034" i="49"/>
  <c r="R1035" i="49"/>
  <c r="R1036" i="49"/>
  <c r="R1037" i="49"/>
  <c r="R1038" i="49"/>
  <c r="R1039" i="49"/>
  <c r="R1040" i="49"/>
  <c r="R1041" i="49"/>
  <c r="R1042" i="49"/>
  <c r="R1043" i="49"/>
  <c r="R1044" i="49"/>
  <c r="R561" i="49"/>
  <c r="R991" i="49"/>
  <c r="R464" i="49"/>
  <c r="R1148" i="49"/>
  <c r="R1147" i="49"/>
  <c r="F1147" i="49"/>
  <c r="R1146" i="49"/>
  <c r="F1146" i="49"/>
  <c r="R1145" i="49"/>
  <c r="F1145" i="49"/>
  <c r="R1144" i="49"/>
  <c r="F1144" i="49"/>
  <c r="R1143" i="49"/>
  <c r="F1143" i="49"/>
  <c r="R1142" i="49"/>
  <c r="F1142" i="49"/>
  <c r="R1141" i="49"/>
  <c r="F1141" i="49"/>
  <c r="R1140" i="49"/>
  <c r="F1140" i="49"/>
  <c r="R1139" i="49"/>
  <c r="F1139" i="49"/>
  <c r="R1133" i="49"/>
  <c r="F1133" i="49"/>
  <c r="R1132" i="49"/>
  <c r="F1132" i="49"/>
  <c r="R1131" i="49"/>
  <c r="F1131" i="49"/>
  <c r="R1130" i="49"/>
  <c r="F1130" i="49"/>
  <c r="R1129" i="49"/>
  <c r="F1129" i="49"/>
  <c r="R1128" i="49"/>
  <c r="F1128" i="49"/>
  <c r="R1127" i="49"/>
  <c r="F1127" i="49"/>
  <c r="R1126" i="49"/>
  <c r="F1126" i="49"/>
  <c r="R1125" i="49"/>
  <c r="F1125" i="49"/>
  <c r="R1124" i="49"/>
  <c r="F1124" i="49"/>
  <c r="R1123" i="49"/>
  <c r="F1123" i="49"/>
  <c r="R1122" i="49"/>
  <c r="F1122" i="49"/>
  <c r="R1121" i="49"/>
  <c r="F1121" i="49"/>
  <c r="R1120" i="49"/>
  <c r="F1120" i="49"/>
  <c r="R1119" i="49"/>
  <c r="F1119" i="49"/>
  <c r="R1118" i="49"/>
  <c r="F1118" i="49"/>
  <c r="R1117" i="49"/>
  <c r="F1117" i="49"/>
  <c r="R1116" i="49"/>
  <c r="F1116" i="49"/>
  <c r="R1115" i="49"/>
  <c r="F1115" i="49"/>
  <c r="R1114" i="49"/>
  <c r="F1114" i="49"/>
  <c r="R1113" i="49"/>
  <c r="F1113" i="49"/>
  <c r="R1112" i="49"/>
  <c r="F1112" i="49"/>
  <c r="R1111" i="49"/>
  <c r="F1111" i="49"/>
  <c r="R1110" i="49"/>
  <c r="F1110" i="49"/>
  <c r="R1109" i="49"/>
  <c r="F1109" i="49"/>
  <c r="R1108" i="49"/>
  <c r="F1108" i="49"/>
  <c r="R1107" i="49"/>
  <c r="F1107" i="49"/>
  <c r="R1106" i="49"/>
  <c r="F1106" i="49"/>
  <c r="R1105" i="49"/>
  <c r="F1105" i="49"/>
  <c r="R1104" i="49"/>
  <c r="F1104" i="49"/>
  <c r="R1103" i="49"/>
  <c r="F1103" i="49"/>
  <c r="R1102" i="49"/>
  <c r="F1102" i="49"/>
  <c r="R1101" i="49"/>
  <c r="F1101" i="49"/>
  <c r="R1100" i="49"/>
  <c r="F1100" i="49"/>
  <c r="R1099" i="49"/>
  <c r="F1099" i="49"/>
  <c r="R1098" i="49"/>
  <c r="F1098" i="49"/>
  <c r="R1097" i="49"/>
  <c r="F1097" i="49"/>
  <c r="R1096" i="49"/>
  <c r="F1096" i="49"/>
  <c r="R1095" i="49"/>
  <c r="F1095" i="49"/>
  <c r="R1094" i="49"/>
  <c r="F1094" i="49"/>
  <c r="R1093" i="49"/>
  <c r="F1093" i="49"/>
  <c r="R1092" i="49"/>
  <c r="F1092" i="49"/>
  <c r="R1091" i="49"/>
  <c r="F1091" i="49"/>
  <c r="R1090" i="49"/>
  <c r="F1090" i="49"/>
  <c r="R1089" i="49"/>
  <c r="F1089" i="49"/>
  <c r="R1088" i="49"/>
  <c r="F1088" i="49"/>
  <c r="R1087" i="49"/>
  <c r="F1087" i="49"/>
  <c r="R1086" i="49"/>
  <c r="F1086" i="49"/>
  <c r="R1085" i="49"/>
  <c r="F1085" i="49"/>
  <c r="R1084" i="49"/>
  <c r="F1084" i="49"/>
  <c r="R1083" i="49"/>
  <c r="F1083" i="49"/>
  <c r="R1082" i="49"/>
  <c r="F1082" i="49"/>
  <c r="R1081" i="49"/>
  <c r="F1081" i="49"/>
  <c r="R1080" i="49"/>
  <c r="F1080" i="49"/>
  <c r="R1079" i="49"/>
  <c r="F1079" i="49"/>
  <c r="R1078" i="49"/>
  <c r="F1078" i="49"/>
  <c r="R1077" i="49"/>
  <c r="F1077" i="49"/>
  <c r="R1076" i="49"/>
  <c r="F1076" i="49"/>
  <c r="R1075" i="49"/>
  <c r="F1075" i="49"/>
  <c r="R1073" i="49"/>
  <c r="F1073" i="49"/>
  <c r="R1074" i="49"/>
  <c r="F1074" i="49"/>
  <c r="R1072" i="49"/>
  <c r="F1072" i="49"/>
  <c r="R1071" i="49"/>
  <c r="F1071" i="49"/>
  <c r="R1070" i="49"/>
  <c r="F1070" i="49"/>
  <c r="R1054" i="49"/>
  <c r="F1054" i="49"/>
  <c r="R1053" i="49"/>
  <c r="F1053" i="49"/>
  <c r="R1052" i="49"/>
  <c r="F1052" i="49"/>
  <c r="R1051" i="49"/>
  <c r="F1051" i="49"/>
  <c r="R1050" i="49"/>
  <c r="F1050" i="49"/>
  <c r="R1049" i="49"/>
  <c r="F1049" i="49"/>
  <c r="R1048" i="49"/>
  <c r="F1048" i="49"/>
  <c r="R1047" i="49"/>
  <c r="F1047" i="49"/>
  <c r="R1046" i="49"/>
  <c r="F1046" i="49"/>
  <c r="R1045" i="49"/>
  <c r="F1045" i="49"/>
  <c r="R1068" i="49"/>
  <c r="F1068" i="49"/>
  <c r="R1067" i="49"/>
  <c r="F1067" i="49"/>
  <c r="R1066" i="49"/>
  <c r="F1066" i="49"/>
  <c r="R1065" i="49"/>
  <c r="F1065" i="49"/>
  <c r="R1064" i="49"/>
  <c r="F1064" i="49"/>
  <c r="R1063" i="49"/>
  <c r="F1063" i="49"/>
  <c r="R1062" i="49"/>
  <c r="F1062" i="49"/>
  <c r="R1061" i="49"/>
  <c r="F1061" i="49"/>
  <c r="R1060" i="49"/>
  <c r="F1060" i="49"/>
  <c r="R1059" i="49"/>
  <c r="F1059" i="49"/>
  <c r="R1058" i="49"/>
  <c r="F1058" i="49"/>
  <c r="R1057" i="49"/>
  <c r="F1057" i="49"/>
  <c r="R1056" i="49"/>
  <c r="F1056" i="49"/>
  <c r="R1055" i="49"/>
  <c r="F1055" i="49"/>
  <c r="R823" i="49"/>
  <c r="R822" i="49"/>
  <c r="R610" i="49"/>
  <c r="R609" i="49"/>
  <c r="R608" i="49"/>
  <c r="R607" i="49"/>
  <c r="R606" i="49"/>
  <c r="R605" i="49"/>
  <c r="R604" i="49"/>
  <c r="R603" i="49"/>
  <c r="R602" i="49"/>
  <c r="R601" i="49"/>
  <c r="R600" i="49"/>
  <c r="R599" i="49"/>
  <c r="R598" i="49"/>
  <c r="R597" i="49"/>
  <c r="R596" i="49"/>
  <c r="R595" i="49"/>
  <c r="R594" i="49"/>
  <c r="R593" i="49"/>
  <c r="R592" i="49"/>
  <c r="R591" i="49"/>
  <c r="R590" i="49"/>
  <c r="R589" i="49"/>
  <c r="R588" i="49"/>
  <c r="R587" i="49"/>
  <c r="R586" i="49"/>
  <c r="R585" i="49"/>
  <c r="R584" i="49"/>
  <c r="R583" i="49"/>
  <c r="R821" i="49"/>
  <c r="R820" i="49"/>
  <c r="R819" i="49"/>
  <c r="R818" i="49"/>
  <c r="R817" i="49"/>
  <c r="R816" i="49"/>
  <c r="R815" i="49"/>
  <c r="R814" i="49"/>
  <c r="R813" i="49"/>
  <c r="R812" i="49"/>
  <c r="R811" i="49"/>
  <c r="R867" i="49"/>
  <c r="R866" i="49"/>
  <c r="R865" i="49"/>
  <c r="R864" i="49"/>
  <c r="R863" i="49"/>
  <c r="R862" i="49"/>
  <c r="R861" i="49"/>
  <c r="R860" i="49"/>
  <c r="R859" i="49"/>
  <c r="R858" i="49"/>
  <c r="R857" i="49"/>
  <c r="R856" i="49"/>
  <c r="R855" i="49"/>
  <c r="R854" i="49"/>
  <c r="R568" i="49"/>
  <c r="R567" i="49"/>
  <c r="R566" i="49"/>
  <c r="R565" i="49"/>
  <c r="R564" i="49"/>
  <c r="R563" i="49"/>
  <c r="R562" i="49"/>
  <c r="R560" i="49"/>
  <c r="R559" i="49"/>
  <c r="R558" i="49"/>
  <c r="R557" i="49"/>
  <c r="R556" i="49"/>
  <c r="R555" i="49"/>
  <c r="R554" i="49"/>
  <c r="R553" i="49"/>
  <c r="R552" i="49"/>
  <c r="R742" i="49"/>
  <c r="R741" i="49"/>
  <c r="R641" i="49"/>
  <c r="R640" i="49"/>
  <c r="R639" i="49"/>
  <c r="R638" i="49"/>
  <c r="R637" i="49"/>
  <c r="R636" i="49"/>
  <c r="R635" i="49"/>
  <c r="R634" i="49"/>
  <c r="R633" i="49"/>
  <c r="R632" i="49"/>
  <c r="R631" i="49"/>
  <c r="R630" i="49"/>
  <c r="R629" i="49"/>
  <c r="R628" i="49"/>
  <c r="R627" i="49"/>
  <c r="R626" i="49"/>
  <c r="R625" i="49"/>
  <c r="R624" i="49"/>
  <c r="R551" i="49"/>
  <c r="R550" i="49"/>
  <c r="R549" i="49"/>
  <c r="R548" i="49"/>
  <c r="R547" i="49"/>
  <c r="R546" i="49"/>
  <c r="R482" i="49"/>
  <c r="R481" i="49"/>
  <c r="R480" i="49"/>
  <c r="R479" i="49"/>
  <c r="R477" i="49"/>
  <c r="R476" i="49"/>
  <c r="R475" i="49"/>
  <c r="R474" i="49"/>
  <c r="R473" i="49"/>
  <c r="R472" i="49"/>
  <c r="R471" i="49"/>
  <c r="R470" i="49"/>
  <c r="R469" i="49"/>
  <c r="R468" i="49"/>
  <c r="R467" i="49"/>
  <c r="R466" i="49"/>
  <c r="R465" i="49"/>
  <c r="R463" i="49"/>
  <c r="R462" i="49"/>
  <c r="R461" i="49"/>
  <c r="R460" i="49"/>
  <c r="R459" i="49"/>
  <c r="R458" i="49"/>
  <c r="R457" i="49"/>
  <c r="R456" i="49"/>
  <c r="R454" i="49"/>
  <c r="R453" i="49"/>
  <c r="R452" i="49"/>
  <c r="R451" i="49"/>
  <c r="R450" i="49"/>
  <c r="R449" i="49"/>
  <c r="R448" i="49"/>
  <c r="R447" i="49"/>
  <c r="R446" i="49"/>
  <c r="R445" i="49"/>
  <c r="R444" i="49"/>
  <c r="R287" i="49"/>
  <c r="R244" i="49"/>
  <c r="R286" i="49"/>
  <c r="R285" i="49"/>
  <c r="R284" i="49"/>
  <c r="R283" i="49"/>
  <c r="R282" i="49"/>
  <c r="R281" i="49"/>
  <c r="R280" i="49"/>
  <c r="R279" i="49"/>
  <c r="R278" i="49"/>
  <c r="R277" i="49"/>
  <c r="R275" i="49"/>
  <c r="R274" i="49"/>
  <c r="R273" i="49"/>
  <c r="R272" i="49"/>
  <c r="R271" i="49"/>
  <c r="R270" i="49"/>
  <c r="R269" i="49"/>
  <c r="R268" i="49"/>
  <c r="R267" i="49"/>
  <c r="R266" i="49"/>
  <c r="R265" i="49"/>
  <c r="R264" i="49"/>
  <c r="R263" i="49"/>
  <c r="R262" i="49"/>
  <c r="R261" i="49"/>
  <c r="R260" i="49"/>
  <c r="R259" i="49"/>
  <c r="R258" i="49"/>
  <c r="R257" i="49"/>
  <c r="R256" i="49"/>
  <c r="R255" i="49"/>
  <c r="R254" i="49"/>
  <c r="R253" i="49"/>
  <c r="R252" i="49"/>
  <c r="R251" i="49"/>
  <c r="R249" i="49"/>
  <c r="R250" i="49"/>
  <c r="R248" i="49"/>
  <c r="R247" i="49"/>
  <c r="R246" i="49"/>
  <c r="R245" i="49"/>
  <c r="R243" i="49"/>
  <c r="R242" i="49"/>
  <c r="R241" i="49"/>
  <c r="R240" i="49"/>
  <c r="R239" i="49"/>
  <c r="R238" i="49"/>
  <c r="R237" i="49"/>
  <c r="R236" i="49"/>
  <c r="R927" i="49"/>
  <c r="R926" i="49"/>
  <c r="R925" i="49"/>
  <c r="R924" i="49"/>
  <c r="R923" i="49"/>
  <c r="R922" i="49"/>
  <c r="R921" i="49"/>
  <c r="R920" i="49"/>
  <c r="R919" i="49"/>
  <c r="R918" i="49"/>
  <c r="R917" i="49"/>
  <c r="R916" i="49"/>
  <c r="R915" i="49"/>
  <c r="R914" i="49"/>
  <c r="R911" i="49"/>
  <c r="R913" i="49"/>
  <c r="R912" i="49"/>
  <c r="R910" i="49"/>
  <c r="R909" i="49"/>
  <c r="R908" i="49"/>
  <c r="R907" i="49"/>
  <c r="R906" i="49"/>
  <c r="R905" i="49"/>
  <c r="R904" i="49"/>
  <c r="R997" i="49"/>
  <c r="R996" i="49"/>
  <c r="R995" i="49"/>
  <c r="R994" i="49"/>
  <c r="R993" i="49"/>
  <c r="R992" i="49"/>
  <c r="R990" i="49"/>
  <c r="R989" i="49"/>
  <c r="R988" i="49"/>
  <c r="R987" i="49"/>
  <c r="R986" i="49"/>
  <c r="R985" i="49"/>
  <c r="R982" i="49"/>
  <c r="R981" i="49"/>
  <c r="R980" i="49"/>
  <c r="R979" i="49"/>
  <c r="R977" i="49"/>
  <c r="R978" i="49"/>
  <c r="R975" i="49"/>
  <c r="R973" i="49"/>
  <c r="R974" i="49"/>
  <c r="R976" i="49"/>
  <c r="R972" i="49"/>
  <c r="R971" i="49"/>
  <c r="R970" i="49"/>
  <c r="R969" i="49"/>
  <c r="R943" i="49"/>
  <c r="R942" i="49"/>
  <c r="R941" i="49"/>
  <c r="R940" i="49"/>
  <c r="R939" i="49"/>
  <c r="R938" i="49"/>
  <c r="R937" i="49"/>
  <c r="R936" i="49"/>
  <c r="R935" i="49"/>
  <c r="R934" i="49"/>
  <c r="R933" i="49"/>
  <c r="R932" i="49"/>
  <c r="R931" i="49"/>
  <c r="R1153" i="49"/>
  <c r="R1152" i="49"/>
  <c r="R1151" i="49"/>
  <c r="R1150" i="49"/>
  <c r="R1149" i="49"/>
  <c r="R1033" i="49"/>
  <c r="R1032" i="49"/>
  <c r="R1031" i="49"/>
  <c r="R1030" i="49"/>
  <c r="R105" i="49"/>
  <c r="R104" i="49"/>
  <c r="R103" i="49"/>
  <c r="R102" i="49"/>
  <c r="R101" i="49"/>
  <c r="R100" i="49"/>
  <c r="R99" i="49"/>
  <c r="R98" i="49"/>
  <c r="R97" i="49"/>
  <c r="R96" i="49"/>
  <c r="R95" i="49"/>
  <c r="R94" i="49"/>
  <c r="R113" i="49"/>
  <c r="R112" i="49"/>
  <c r="R111" i="49"/>
  <c r="R110" i="49"/>
  <c r="R109" i="49"/>
  <c r="R108" i="49"/>
  <c r="R107" i="49"/>
  <c r="R106" i="49"/>
  <c r="R235" i="49"/>
  <c r="R234" i="49"/>
  <c r="R233" i="49"/>
  <c r="R232" i="49"/>
  <c r="R231" i="49"/>
  <c r="R230" i="49"/>
  <c r="R229" i="49"/>
  <c r="R228" i="49"/>
  <c r="R227" i="49"/>
  <c r="R226" i="49"/>
  <c r="R225" i="49"/>
  <c r="R224" i="49"/>
  <c r="R223" i="49"/>
  <c r="R222" i="49"/>
  <c r="R221" i="49"/>
  <c r="R219" i="49"/>
  <c r="R218" i="49"/>
  <c r="R217" i="49"/>
  <c r="R216" i="49"/>
  <c r="R215" i="49"/>
  <c r="R174" i="49"/>
  <c r="R173" i="49"/>
  <c r="R172" i="49"/>
  <c r="R171" i="49"/>
  <c r="R170" i="49"/>
  <c r="R169" i="49"/>
  <c r="R168" i="49"/>
  <c r="R167" i="49"/>
  <c r="R166" i="49"/>
  <c r="R165" i="49"/>
  <c r="R164" i="49"/>
  <c r="R163" i="49"/>
  <c r="R162" i="49"/>
  <c r="R161" i="49"/>
  <c r="R160" i="49"/>
  <c r="R159" i="49"/>
  <c r="R158" i="49"/>
  <c r="R157" i="49"/>
  <c r="R135" i="49"/>
  <c r="R134" i="49"/>
  <c r="R133" i="49"/>
  <c r="R132" i="49"/>
  <c r="R131" i="49"/>
  <c r="R130" i="49"/>
  <c r="R129" i="49"/>
  <c r="R128" i="49"/>
  <c r="R127" i="49"/>
  <c r="R126" i="49"/>
  <c r="R125" i="49"/>
  <c r="R124" i="49"/>
  <c r="R123" i="49"/>
  <c r="R122" i="49"/>
  <c r="R121" i="49"/>
  <c r="R120" i="49"/>
  <c r="R119" i="49"/>
  <c r="R880" i="49"/>
  <c r="R879" i="49"/>
  <c r="R878" i="49"/>
  <c r="R877" i="49"/>
  <c r="R876" i="49"/>
  <c r="R875" i="49"/>
  <c r="R874" i="49"/>
  <c r="R873" i="49"/>
  <c r="R872" i="49"/>
  <c r="R900" i="49"/>
  <c r="R899" i="49"/>
  <c r="R898" i="49"/>
  <c r="R897" i="49"/>
  <c r="R896" i="49"/>
  <c r="R895" i="49"/>
  <c r="R894" i="49"/>
  <c r="R893" i="49"/>
  <c r="R892" i="49"/>
  <c r="R891" i="49"/>
  <c r="R890" i="49"/>
  <c r="R889" i="49"/>
  <c r="R888" i="49"/>
  <c r="R887" i="49"/>
  <c r="R886" i="49"/>
  <c r="R885" i="49"/>
  <c r="R884" i="49"/>
  <c r="R883" i="49"/>
  <c r="R805" i="49"/>
  <c r="R804" i="49"/>
  <c r="R803" i="49"/>
  <c r="R802" i="49"/>
  <c r="R801" i="49"/>
  <c r="R800" i="49"/>
  <c r="R798" i="49"/>
  <c r="R797" i="49"/>
  <c r="R796" i="49"/>
  <c r="R795" i="49"/>
  <c r="R794" i="49"/>
  <c r="R793" i="49"/>
  <c r="R792" i="49"/>
  <c r="R791" i="49"/>
  <c r="R790" i="49"/>
  <c r="R789" i="49"/>
  <c r="R93" i="49"/>
  <c r="R92" i="49"/>
  <c r="R91" i="49"/>
  <c r="R90" i="49"/>
  <c r="R89" i="49"/>
  <c r="R88" i="49"/>
  <c r="R87" i="49"/>
  <c r="R86" i="49"/>
  <c r="R85" i="49"/>
  <c r="R84" i="49"/>
  <c r="R83" i="49"/>
  <c r="R82" i="49"/>
  <c r="R81" i="49"/>
  <c r="R80" i="49"/>
  <c r="R79" i="49"/>
  <c r="R78" i="49"/>
  <c r="R77" i="49"/>
  <c r="R76" i="49"/>
  <c r="R75" i="49"/>
  <c r="R74" i="49"/>
  <c r="R73" i="49"/>
  <c r="R72" i="49"/>
  <c r="R71" i="49"/>
  <c r="R70" i="49"/>
  <c r="R69" i="49"/>
  <c r="R68" i="49"/>
  <c r="R67" i="49"/>
  <c r="R66" i="49"/>
  <c r="R65" i="49"/>
  <c r="R64" i="49"/>
  <c r="R63" i="49"/>
  <c r="R62" i="49"/>
  <c r="R14" i="49"/>
  <c r="F14" i="49"/>
  <c r="R13" i="49"/>
  <c r="F13" i="49"/>
  <c r="R12" i="49"/>
  <c r="F12" i="49"/>
  <c r="R11" i="49"/>
  <c r="F11" i="49"/>
  <c r="F10" i="49"/>
  <c r="R9" i="49"/>
  <c r="F9" i="49"/>
  <c r="R8" i="49"/>
  <c r="F8" i="49"/>
  <c r="R7" i="49"/>
  <c r="F7" i="49"/>
  <c r="R6" i="49"/>
  <c r="F6" i="49"/>
  <c r="R5" i="49"/>
  <c r="F5" i="49"/>
  <c r="R4" i="49"/>
  <c r="F4" i="49"/>
  <c r="R3" i="49"/>
  <c r="F3" i="49"/>
  <c r="R2" i="49"/>
  <c r="F2" i="49"/>
  <c r="R38" i="49"/>
  <c r="F38" i="49"/>
  <c r="R37" i="49"/>
  <c r="F37" i="49"/>
  <c r="R36" i="49"/>
  <c r="F36" i="49"/>
  <c r="R35" i="49"/>
  <c r="F35" i="49"/>
  <c r="R34" i="49"/>
  <c r="F34" i="49"/>
  <c r="R33" i="49"/>
  <c r="F33" i="49"/>
  <c r="R32" i="49"/>
  <c r="F32" i="49"/>
  <c r="R30" i="49"/>
  <c r="F30" i="49"/>
  <c r="R29" i="49"/>
  <c r="F29" i="49"/>
  <c r="R31" i="49"/>
  <c r="F31" i="49"/>
  <c r="R28" i="49"/>
  <c r="F28" i="49"/>
  <c r="R27" i="49"/>
  <c r="F27" i="49"/>
  <c r="R26" i="49"/>
  <c r="F26" i="49"/>
  <c r="R783" i="49"/>
  <c r="R782" i="49"/>
  <c r="R781" i="49"/>
  <c r="R780" i="49"/>
  <c r="R779" i="49"/>
  <c r="R778" i="49"/>
  <c r="R766" i="49"/>
  <c r="R765" i="49"/>
  <c r="R764" i="49"/>
  <c r="R763" i="49"/>
  <c r="R762" i="49"/>
  <c r="R758" i="49"/>
  <c r="R754" i="49"/>
  <c r="R753" i="49"/>
  <c r="R743" i="49"/>
  <c r="R755" i="49"/>
  <c r="R752" i="49"/>
  <c r="R750" i="49"/>
  <c r="R749" i="49"/>
  <c r="R748" i="49"/>
  <c r="R746" i="49"/>
  <c r="R745" i="49"/>
  <c r="R744" i="49"/>
  <c r="R747" i="49"/>
  <c r="R738" i="49"/>
  <c r="R737" i="49"/>
  <c r="F1044" i="49"/>
  <c r="F1043" i="49"/>
  <c r="F1042" i="49"/>
  <c r="F1041" i="49"/>
  <c r="F1040" i="49"/>
  <c r="F1039" i="49"/>
  <c r="F1038" i="49"/>
  <c r="F1037" i="49"/>
  <c r="F1036" i="49"/>
  <c r="F1035" i="49"/>
  <c r="F1034" i="49"/>
  <c r="Z339" i="49" l="1"/>
  <c r="AA339" i="49"/>
  <c r="Z357" i="49"/>
  <c r="AA357" i="49"/>
  <c r="Z340" i="49"/>
  <c r="AA340" i="49"/>
  <c r="Z332" i="49"/>
  <c r="AA332" i="49"/>
  <c r="Z331" i="49"/>
  <c r="AA331" i="49"/>
  <c r="Z292" i="49"/>
  <c r="AA292" i="49"/>
  <c r="Z291" i="49"/>
  <c r="AA291" i="49"/>
  <c r="Z297" i="49"/>
  <c r="AA297" i="49"/>
  <c r="Z296" i="49"/>
  <c r="AA296" i="49"/>
  <c r="Z295" i="49"/>
  <c r="AA295" i="49"/>
  <c r="Z294" i="49"/>
  <c r="AA294" i="49"/>
  <c r="Z289" i="49"/>
  <c r="AA289" i="49"/>
  <c r="Z288" i="49"/>
  <c r="AA288" i="49"/>
  <c r="Z325" i="49"/>
  <c r="AA325" i="49"/>
  <c r="Z323" i="49"/>
  <c r="AA323" i="49"/>
  <c r="Z319" i="49"/>
  <c r="AA319" i="49"/>
  <c r="Z329" i="49"/>
  <c r="AA329" i="49"/>
  <c r="Z342" i="49"/>
  <c r="AA342" i="49"/>
  <c r="Z343" i="49"/>
  <c r="AA343" i="49"/>
  <c r="Z344" i="49"/>
  <c r="AA344" i="49"/>
  <c r="Z306" i="49"/>
  <c r="AA306" i="49"/>
  <c r="Z361" i="49"/>
  <c r="AA361" i="49"/>
  <c r="Z359" i="49"/>
  <c r="AA359" i="49"/>
  <c r="Z318" i="49"/>
  <c r="AA318" i="49"/>
  <c r="Z328" i="49"/>
  <c r="AA328" i="49"/>
  <c r="Z313" i="49"/>
  <c r="AA313" i="49"/>
  <c r="Z316" i="49"/>
  <c r="AA316" i="49"/>
  <c r="Z317" i="49"/>
  <c r="AA317" i="49"/>
  <c r="Z336" i="49"/>
  <c r="AA336" i="49"/>
  <c r="Z335" i="49"/>
  <c r="AA335" i="49"/>
  <c r="Z334" i="49"/>
  <c r="AA334" i="49"/>
  <c r="Z333" i="49"/>
  <c r="AA333" i="49"/>
  <c r="Z356" i="49"/>
  <c r="AA356" i="49"/>
  <c r="Z355" i="49"/>
  <c r="AA355" i="49"/>
  <c r="Z354" i="49"/>
  <c r="AA354" i="49"/>
  <c r="Z293" i="49"/>
  <c r="AA293" i="49"/>
  <c r="Z308" i="49"/>
  <c r="AA308" i="49"/>
  <c r="Z309" i="49"/>
  <c r="AA309" i="49"/>
  <c r="Z311" i="49"/>
  <c r="AA311" i="49"/>
  <c r="Z363" i="49"/>
  <c r="AA363" i="49"/>
  <c r="Z364" i="49"/>
  <c r="AA364" i="49"/>
  <c r="Z301" i="49"/>
  <c r="AA301" i="49"/>
  <c r="Z300" i="49"/>
  <c r="AA300" i="49"/>
  <c r="Z299" i="49"/>
  <c r="AA299" i="49"/>
  <c r="Z304" i="49"/>
  <c r="AA304" i="49"/>
  <c r="Z303" i="49"/>
  <c r="AA303" i="49"/>
  <c r="Z302" i="49"/>
  <c r="AA302" i="49"/>
  <c r="Z298" i="49"/>
  <c r="AA298" i="49"/>
  <c r="X118" i="49"/>
  <c r="X117" i="49"/>
  <c r="X393" i="49"/>
  <c r="Y251" i="49"/>
  <c r="Z251" i="49" s="1"/>
  <c r="X413" i="49"/>
  <c r="X433" i="49"/>
  <c r="X434" i="49"/>
  <c r="X1028" i="49"/>
  <c r="X1029" i="49"/>
  <c r="X1400" i="49"/>
  <c r="X1388" i="49"/>
  <c r="X1368" i="49"/>
  <c r="X1402" i="49"/>
  <c r="X1401" i="49"/>
  <c r="X1377" i="49"/>
  <c r="X1389" i="49"/>
  <c r="X1369" i="49"/>
  <c r="X1378" i="49"/>
  <c r="X1370" i="49"/>
  <c r="X1403" i="49"/>
  <c r="X1379" i="49"/>
  <c r="X1371" i="49"/>
  <c r="X1391" i="49"/>
  <c r="X1376" i="49"/>
  <c r="X1392" i="49"/>
  <c r="X1404" i="49"/>
  <c r="X1380" i="49"/>
  <c r="X1372" i="49"/>
  <c r="X1393" i="49"/>
  <c r="X1405" i="49"/>
  <c r="X1381" i="49"/>
  <c r="X1373" i="49"/>
  <c r="X1407" i="49"/>
  <c r="X1383" i="49"/>
  <c r="X1394" i="49"/>
  <c r="X1406" i="49"/>
  <c r="X1382" i="49"/>
  <c r="X1374" i="49"/>
  <c r="X1395" i="49"/>
  <c r="X1375" i="49"/>
  <c r="X1396" i="49"/>
  <c r="X1408" i="49"/>
  <c r="X1384" i="49"/>
  <c r="X1397" i="49"/>
  <c r="X1409" i="49"/>
  <c r="X1385" i="49"/>
  <c r="X1398" i="49"/>
  <c r="X1386" i="49"/>
  <c r="X1399" i="49"/>
  <c r="X1390" i="49"/>
  <c r="X1387" i="49"/>
  <c r="X1360" i="49"/>
  <c r="X1361" i="49"/>
  <c r="X1362" i="49"/>
  <c r="X1363" i="49"/>
  <c r="X1364" i="49"/>
  <c r="X1365" i="49"/>
  <c r="X1366" i="49"/>
  <c r="X1367" i="49"/>
  <c r="X1350" i="49"/>
  <c r="X1351" i="49"/>
  <c r="X1352" i="49"/>
  <c r="X1353" i="49"/>
  <c r="X1354" i="49"/>
  <c r="X1355" i="49"/>
  <c r="X1356" i="49"/>
  <c r="X1357" i="49"/>
  <c r="X1358" i="49"/>
  <c r="X1359" i="49"/>
  <c r="X1349" i="49"/>
  <c r="X1340" i="49"/>
  <c r="X1341" i="49"/>
  <c r="X1342" i="49"/>
  <c r="X1343" i="49"/>
  <c r="X1344" i="49"/>
  <c r="X1345" i="49"/>
  <c r="X1346" i="49"/>
  <c r="X1347" i="49"/>
  <c r="X1348" i="49"/>
  <c r="X1339" i="49"/>
  <c r="X1332" i="49"/>
  <c r="X1333" i="49"/>
  <c r="X1334" i="49"/>
  <c r="X1335" i="49"/>
  <c r="X1336" i="49"/>
  <c r="X1337" i="49"/>
  <c r="X1338" i="49"/>
  <c r="X1331" i="49"/>
  <c r="X1315" i="49"/>
  <c r="X1316" i="49"/>
  <c r="X1317" i="49"/>
  <c r="X1318" i="49"/>
  <c r="X1319" i="49"/>
  <c r="X1320" i="49"/>
  <c r="X1321" i="49"/>
  <c r="X1322" i="49"/>
  <c r="X1323" i="49"/>
  <c r="X1324" i="49"/>
  <c r="X1325" i="49"/>
  <c r="X1326" i="49"/>
  <c r="X1327" i="49"/>
  <c r="X1328" i="49"/>
  <c r="X1329" i="49"/>
  <c r="X1330" i="49"/>
  <c r="X1314" i="49"/>
  <c r="X1280" i="49"/>
  <c r="X1281" i="49"/>
  <c r="X1282" i="49"/>
  <c r="X1283" i="49"/>
  <c r="X1284" i="49"/>
  <c r="X1285" i="49"/>
  <c r="X1286" i="49"/>
  <c r="X1287" i="49"/>
  <c r="X1288" i="49"/>
  <c r="X1289" i="49"/>
  <c r="X1290" i="49"/>
  <c r="X1291" i="49"/>
  <c r="X1292" i="49"/>
  <c r="X1293" i="49"/>
  <c r="X1294" i="49"/>
  <c r="X1295" i="49"/>
  <c r="X1296" i="49"/>
  <c r="X1297" i="49"/>
  <c r="X1298" i="49"/>
  <c r="X1299" i="49"/>
  <c r="X1300" i="49"/>
  <c r="X1301" i="49"/>
  <c r="X1302" i="49"/>
  <c r="X1303" i="49"/>
  <c r="X1304" i="49"/>
  <c r="X1305" i="49"/>
  <c r="X1306" i="49"/>
  <c r="X1307" i="49"/>
  <c r="X1308" i="49"/>
  <c r="X1309" i="49"/>
  <c r="X1310" i="49"/>
  <c r="X1311" i="49"/>
  <c r="X1312" i="49"/>
  <c r="X1313" i="49"/>
  <c r="X1279" i="49"/>
  <c r="X1269" i="49"/>
  <c r="X1255" i="49"/>
  <c r="X1243" i="49"/>
  <c r="X1233" i="49"/>
  <c r="X1218" i="49"/>
  <c r="X1207" i="49"/>
  <c r="X824" i="49"/>
  <c r="X825" i="49"/>
  <c r="X1270" i="49"/>
  <c r="X1271" i="49"/>
  <c r="X1272" i="49"/>
  <c r="X1273" i="49"/>
  <c r="X1274" i="49"/>
  <c r="X1275" i="49"/>
  <c r="X1276" i="49"/>
  <c r="X1277" i="49"/>
  <c r="X1278" i="49"/>
  <c r="X1256" i="49"/>
  <c r="X1257" i="49"/>
  <c r="X1258" i="49"/>
  <c r="X1259" i="49"/>
  <c r="X1260" i="49"/>
  <c r="X1261" i="49"/>
  <c r="X1262" i="49"/>
  <c r="X1263" i="49"/>
  <c r="X1264" i="49"/>
  <c r="X1265" i="49"/>
  <c r="X1266" i="49"/>
  <c r="X1267" i="49"/>
  <c r="X1268" i="49"/>
  <c r="X1245" i="49"/>
  <c r="X1246" i="49"/>
  <c r="X1247" i="49"/>
  <c r="X1248" i="49"/>
  <c r="X1249" i="49"/>
  <c r="X1250" i="49"/>
  <c r="X1251" i="49"/>
  <c r="X1252" i="49"/>
  <c r="X1253" i="49"/>
  <c r="X1254" i="49"/>
  <c r="X1234" i="49"/>
  <c r="X1235" i="49"/>
  <c r="X1236" i="49"/>
  <c r="X1237" i="49"/>
  <c r="X1238" i="49"/>
  <c r="X1239" i="49"/>
  <c r="X1240" i="49"/>
  <c r="X1241" i="49"/>
  <c r="X1242" i="49"/>
  <c r="X1244" i="49"/>
  <c r="X1229" i="49"/>
  <c r="X1230" i="49"/>
  <c r="X1231" i="49"/>
  <c r="X1232" i="49"/>
  <c r="X1219" i="49"/>
  <c r="X1220" i="49"/>
  <c r="X1221" i="49"/>
  <c r="X1222" i="49"/>
  <c r="X1223" i="49"/>
  <c r="X1224" i="49"/>
  <c r="X1225" i="49"/>
  <c r="X1226" i="49"/>
  <c r="X1227" i="49"/>
  <c r="X1228" i="49"/>
  <c r="X1208" i="49"/>
  <c r="X1209" i="49"/>
  <c r="X1210" i="49"/>
  <c r="X1211" i="49"/>
  <c r="X1212" i="49"/>
  <c r="X1213" i="49"/>
  <c r="X1214" i="49"/>
  <c r="X1215" i="49"/>
  <c r="X1216" i="49"/>
  <c r="X1217" i="49"/>
  <c r="Z617" i="49"/>
  <c r="X882" i="49"/>
  <c r="X615" i="49"/>
  <c r="X116" i="49"/>
  <c r="X616" i="49"/>
  <c r="X621" i="49"/>
  <c r="X617" i="49"/>
  <c r="X618" i="49"/>
  <c r="X619" i="49"/>
  <c r="X620" i="49"/>
  <c r="X622" i="49"/>
  <c r="X623" i="49"/>
  <c r="X114" i="49"/>
  <c r="X156" i="49"/>
  <c r="X115" i="49"/>
  <c r="X903" i="49"/>
  <c r="AA616" i="49"/>
  <c r="Z622" i="49"/>
  <c r="Z619" i="49"/>
  <c r="Z620" i="49"/>
  <c r="AA618" i="49"/>
  <c r="Z621" i="49"/>
  <c r="Y155" i="49"/>
  <c r="AA155" i="49" s="1"/>
  <c r="Z623" i="49"/>
  <c r="X799" i="49"/>
  <c r="X787" i="49"/>
  <c r="X776" i="49"/>
  <c r="X775" i="49"/>
  <c r="X777" i="49"/>
  <c r="X809" i="49"/>
  <c r="X810" i="49"/>
  <c r="X788" i="49"/>
  <c r="X929" i="49"/>
  <c r="X983" i="49"/>
  <c r="X930" i="49"/>
  <c r="X455" i="49"/>
  <c r="X984" i="49"/>
  <c r="X968" i="49"/>
  <c r="Y30" i="49"/>
  <c r="Z30" i="49" s="1"/>
  <c r="X530" i="49"/>
  <c r="X531" i="49"/>
  <c r="X532" i="49"/>
  <c r="X533" i="49"/>
  <c r="X534" i="49"/>
  <c r="X535" i="49"/>
  <c r="X536" i="49"/>
  <c r="X537" i="49"/>
  <c r="X538" i="49"/>
  <c r="X539" i="49"/>
  <c r="X540" i="49"/>
  <c r="X541" i="49"/>
  <c r="X542" i="49"/>
  <c r="X543" i="49"/>
  <c r="X544" i="49"/>
  <c r="X507" i="49"/>
  <c r="X508" i="49"/>
  <c r="X509" i="49"/>
  <c r="X510" i="49"/>
  <c r="X511" i="49"/>
  <c r="X512" i="49"/>
  <c r="X513" i="49"/>
  <c r="X514" i="49"/>
  <c r="X515" i="49"/>
  <c r="X516" i="49"/>
  <c r="X517" i="49"/>
  <c r="X518" i="49"/>
  <c r="X519" i="49"/>
  <c r="X520" i="49"/>
  <c r="X521" i="49"/>
  <c r="X522" i="49"/>
  <c r="X523" i="49"/>
  <c r="X524" i="49"/>
  <c r="X525" i="49"/>
  <c r="X526" i="49"/>
  <c r="X487" i="49"/>
  <c r="X488" i="49"/>
  <c r="X489" i="49"/>
  <c r="X490" i="49"/>
  <c r="X491" i="49"/>
  <c r="X492" i="49"/>
  <c r="X493" i="49"/>
  <c r="X494" i="49"/>
  <c r="X495" i="49"/>
  <c r="X496" i="49"/>
  <c r="X484" i="49"/>
  <c r="X485" i="49"/>
  <c r="X486" i="49"/>
  <c r="X497" i="49"/>
  <c r="X498" i="49"/>
  <c r="X499" i="49"/>
  <c r="X500" i="49"/>
  <c r="X501" i="49"/>
  <c r="X502" i="49"/>
  <c r="X503" i="49"/>
  <c r="X504" i="49"/>
  <c r="X505" i="49"/>
  <c r="X506" i="49"/>
  <c r="X527" i="49"/>
  <c r="X528" i="49"/>
  <c r="X529" i="49"/>
  <c r="X545" i="49"/>
  <c r="X869" i="49"/>
  <c r="X870" i="49"/>
  <c r="X365" i="49"/>
  <c r="X364" i="49"/>
  <c r="X363" i="49"/>
  <c r="X362" i="49"/>
  <c r="X361" i="49"/>
  <c r="X360" i="49"/>
  <c r="X359" i="49"/>
  <c r="X358" i="49"/>
  <c r="X357" i="49"/>
  <c r="X356" i="49"/>
  <c r="X355" i="49"/>
  <c r="X354" i="49"/>
  <c r="X353" i="49"/>
  <c r="X352" i="49"/>
  <c r="X351" i="49"/>
  <c r="X350" i="49"/>
  <c r="X349" i="49"/>
  <c r="X348" i="49"/>
  <c r="X347" i="49"/>
  <c r="X346" i="49"/>
  <c r="X345" i="49"/>
  <c r="X341" i="49"/>
  <c r="X340" i="49"/>
  <c r="X339" i="49"/>
  <c r="X338" i="49"/>
  <c r="X337" i="49"/>
  <c r="X336" i="49"/>
  <c r="X335" i="49"/>
  <c r="X334" i="49"/>
  <c r="X328" i="49"/>
  <c r="X329" i="49"/>
  <c r="X330" i="49"/>
  <c r="X331" i="49"/>
  <c r="X332" i="49"/>
  <c r="X333" i="49"/>
  <c r="X342" i="49"/>
  <c r="X343" i="49"/>
  <c r="X344" i="49"/>
  <c r="X366" i="49"/>
  <c r="X367" i="49"/>
  <c r="X368" i="49"/>
  <c r="X369" i="49"/>
  <c r="X370" i="49"/>
  <c r="X371" i="49"/>
  <c r="X372" i="49"/>
  <c r="X373" i="49"/>
  <c r="X374" i="49"/>
  <c r="X375" i="49"/>
  <c r="X376" i="49"/>
  <c r="X377" i="49"/>
  <c r="X378" i="49"/>
  <c r="X379" i="49"/>
  <c r="X380" i="49"/>
  <c r="X381" i="49"/>
  <c r="X382" i="49"/>
  <c r="X383" i="49"/>
  <c r="X384" i="49"/>
  <c r="X385" i="49"/>
  <c r="X386" i="49"/>
  <c r="X387" i="49"/>
  <c r="X388" i="49"/>
  <c r="X389" i="49"/>
  <c r="X390" i="49"/>
  <c r="X391" i="49"/>
  <c r="X392" i="49"/>
  <c r="X394" i="49"/>
  <c r="X395" i="49"/>
  <c r="X396" i="49"/>
  <c r="X397" i="49"/>
  <c r="X398" i="49"/>
  <c r="X399" i="49"/>
  <c r="X400" i="49"/>
  <c r="X401" i="49"/>
  <c r="X402" i="49"/>
  <c r="X403" i="49"/>
  <c r="X404" i="49"/>
  <c r="X405" i="49"/>
  <c r="X406" i="49"/>
  <c r="X407" i="49"/>
  <c r="X408" i="49"/>
  <c r="X409" i="49"/>
  <c r="X410" i="49"/>
  <c r="X411" i="49"/>
  <c r="X412" i="49"/>
  <c r="X414" i="49"/>
  <c r="X415" i="49"/>
  <c r="X416" i="49"/>
  <c r="X417" i="49"/>
  <c r="X418" i="49"/>
  <c r="X327" i="49"/>
  <c r="X326" i="49"/>
  <c r="X325" i="49"/>
  <c r="X324" i="49"/>
  <c r="X323" i="49"/>
  <c r="X322" i="49"/>
  <c r="X321" i="49"/>
  <c r="X320" i="49"/>
  <c r="X292" i="49"/>
  <c r="X291" i="49"/>
  <c r="X290" i="49"/>
  <c r="X303" i="49"/>
  <c r="X302" i="49"/>
  <c r="X300" i="49"/>
  <c r="X298" i="49"/>
  <c r="X297" i="49"/>
  <c r="X296" i="49"/>
  <c r="X295" i="49"/>
  <c r="X294" i="49"/>
  <c r="X293" i="49"/>
  <c r="X289" i="49"/>
  <c r="X299" i="49"/>
  <c r="X301" i="49"/>
  <c r="X304" i="49"/>
  <c r="X306" i="49"/>
  <c r="X307" i="49"/>
  <c r="X319" i="49"/>
  <c r="X318" i="49"/>
  <c r="X317" i="49"/>
  <c r="X316" i="49"/>
  <c r="X315" i="49"/>
  <c r="X314" i="49"/>
  <c r="X313" i="49"/>
  <c r="X312" i="49"/>
  <c r="X311" i="49"/>
  <c r="X310" i="49"/>
  <c r="X309" i="49"/>
  <c r="X308" i="49"/>
  <c r="X305" i="49"/>
  <c r="X288" i="49"/>
  <c r="Z188" i="49"/>
  <c r="AA661" i="49"/>
  <c r="G578" i="49"/>
  <c r="AA576" i="49"/>
  <c r="Z831" i="49"/>
  <c r="AA141" i="49"/>
  <c r="Z153" i="49"/>
  <c r="Z177" i="49"/>
  <c r="Z843" i="49"/>
  <c r="Z663" i="49"/>
  <c r="AA1026" i="49"/>
  <c r="Z1001" i="49"/>
  <c r="Z139" i="49"/>
  <c r="Z679" i="49"/>
  <c r="Z147" i="49"/>
  <c r="Z154" i="49"/>
  <c r="Z1188" i="49"/>
  <c r="AA1188" i="49"/>
  <c r="Z25" i="49"/>
  <c r="AA1199" i="49"/>
  <c r="AA1159" i="49"/>
  <c r="AA676" i="49"/>
  <c r="Z673" i="49"/>
  <c r="AA1006" i="49"/>
  <c r="Z194" i="49"/>
  <c r="Z1204" i="49"/>
  <c r="AA210" i="49"/>
  <c r="AA835" i="49"/>
  <c r="G575" i="49"/>
  <c r="AA773" i="49"/>
  <c r="AA201" i="49"/>
  <c r="AA1170" i="49"/>
  <c r="Z205" i="49"/>
  <c r="Z570" i="49"/>
  <c r="Z668" i="49"/>
  <c r="AA183" i="49"/>
  <c r="AA683" i="49"/>
  <c r="Z1168" i="49"/>
  <c r="AA192" i="49"/>
  <c r="Z569" i="49"/>
  <c r="Z1183" i="49"/>
  <c r="Z1163" i="49"/>
  <c r="AA180" i="49"/>
  <c r="AA612" i="49"/>
  <c r="Z612" i="49"/>
  <c r="AA185" i="49"/>
  <c r="Z185" i="49"/>
  <c r="Z659" i="49"/>
  <c r="AA659" i="49"/>
  <c r="Z956" i="49"/>
  <c r="AA955" i="49"/>
  <c r="AA998" i="49"/>
  <c r="AA672" i="49"/>
  <c r="Z967" i="49"/>
  <c r="AA675" i="49"/>
  <c r="AA1156" i="49"/>
  <c r="AA686" i="49"/>
  <c r="AA200" i="49"/>
  <c r="Z138" i="49"/>
  <c r="Z192" i="49"/>
  <c r="AA197" i="49"/>
  <c r="AA1025" i="49"/>
  <c r="AA653" i="49"/>
  <c r="AA40" i="49"/>
  <c r="Z180" i="49"/>
  <c r="AA578" i="49"/>
  <c r="Z676" i="49"/>
  <c r="AA179" i="49"/>
  <c r="AA140" i="49"/>
  <c r="AA1013" i="49"/>
  <c r="AA575" i="49"/>
  <c r="AA948" i="49"/>
  <c r="AA736" i="49"/>
  <c r="AA1179" i="49"/>
  <c r="Z1167" i="49"/>
  <c r="AA962" i="49"/>
  <c r="AA680" i="49"/>
  <c r="AA668" i="49"/>
  <c r="AA207" i="49"/>
  <c r="Z837" i="49"/>
  <c r="AA206" i="49"/>
  <c r="Z847" i="49"/>
  <c r="AA847" i="49"/>
  <c r="Z845" i="49"/>
  <c r="AA845" i="49"/>
  <c r="Z23" i="49"/>
  <c r="AA573" i="49"/>
  <c r="AA1174" i="49"/>
  <c r="Z672" i="49"/>
  <c r="Z675" i="49"/>
  <c r="Z686" i="49"/>
  <c r="AA957" i="49"/>
  <c r="AA688" i="49"/>
  <c r="AA182" i="49"/>
  <c r="AA574" i="49"/>
  <c r="AA945" i="49"/>
  <c r="AA190" i="49"/>
  <c r="AA999" i="49"/>
  <c r="AA1011" i="49"/>
  <c r="AA1166" i="49"/>
  <c r="Z151" i="49"/>
  <c r="AA1206" i="49"/>
  <c r="AA1000" i="49"/>
  <c r="Z136" i="49"/>
  <c r="AA808" i="49"/>
  <c r="Z1187" i="49"/>
  <c r="AA1187" i="49"/>
  <c r="AA964" i="49"/>
  <c r="Z964" i="49"/>
  <c r="Z662" i="49"/>
  <c r="Z1157" i="49"/>
  <c r="Z1158" i="49"/>
  <c r="AA1158" i="49"/>
  <c r="Z1014" i="49"/>
  <c r="AA1014" i="49"/>
  <c r="Z1022" i="49"/>
  <c r="AA1022" i="49"/>
  <c r="Z961" i="49"/>
  <c r="AA961" i="49"/>
  <c r="G573" i="49"/>
  <c r="AA685" i="49"/>
  <c r="AA1173" i="49"/>
  <c r="AA658" i="49"/>
  <c r="AA1186" i="49"/>
  <c r="AA953" i="49"/>
  <c r="AA1198" i="49"/>
  <c r="AA176" i="49"/>
  <c r="AA1181" i="49"/>
  <c r="AA733" i="49"/>
  <c r="Z688" i="49"/>
  <c r="AA1184" i="49"/>
  <c r="G574" i="49"/>
  <c r="AA726" i="49"/>
  <c r="AA204" i="49"/>
  <c r="AA1201" i="49"/>
  <c r="AA1165" i="49"/>
  <c r="AA153" i="49"/>
  <c r="AA611" i="49"/>
  <c r="AA1182" i="49"/>
  <c r="Z19" i="49"/>
  <c r="AA1190" i="49"/>
  <c r="AA704" i="49"/>
  <c r="AA850" i="49"/>
  <c r="AA952" i="49"/>
  <c r="Z144" i="49"/>
  <c r="Z571" i="49"/>
  <c r="G571" i="49"/>
  <c r="AA571" i="49"/>
  <c r="Z21" i="49"/>
  <c r="Z685" i="49"/>
  <c r="AA1176" i="49"/>
  <c r="AA902" i="49"/>
  <c r="AA1023" i="49"/>
  <c r="AA1197" i="49"/>
  <c r="AA786" i="49"/>
  <c r="AA1185" i="49"/>
  <c r="AA202" i="49"/>
  <c r="AA944" i="49"/>
  <c r="AA768" i="49"/>
  <c r="AA667" i="49"/>
  <c r="G576" i="49"/>
  <c r="AA181" i="49"/>
  <c r="AA732" i="49"/>
  <c r="AA1002" i="49"/>
  <c r="AA1027" i="49"/>
  <c r="AA1012" i="49"/>
  <c r="AA652" i="49"/>
  <c r="AA144" i="49"/>
  <c r="AA649" i="49"/>
  <c r="Z649" i="49"/>
  <c r="Z846" i="49"/>
  <c r="AA846" i="49"/>
  <c r="Z1169" i="49"/>
  <c r="AA1169" i="49"/>
  <c r="Z868" i="49"/>
  <c r="AA868" i="49"/>
  <c r="Z208" i="49"/>
  <c r="AA208" i="49"/>
  <c r="Z959" i="49"/>
  <c r="AA959" i="49"/>
  <c r="AA1160" i="49"/>
  <c r="AA1200" i="49"/>
  <c r="AA1195" i="49"/>
  <c r="AA613" i="49"/>
  <c r="AA836" i="49"/>
  <c r="AA212" i="49"/>
  <c r="AA199" i="49"/>
  <c r="AA1007" i="49"/>
  <c r="AA195" i="49"/>
  <c r="AA178" i="49"/>
  <c r="AA770" i="49"/>
  <c r="Z667" i="49"/>
  <c r="AA1194" i="49"/>
  <c r="AA211" i="49"/>
  <c r="AA928" i="49"/>
  <c r="AA1021" i="49"/>
  <c r="AA1192" i="49"/>
  <c r="AA769" i="49"/>
  <c r="Z648" i="49"/>
  <c r="AA136" i="49"/>
  <c r="AA142" i="49"/>
  <c r="AA184" i="49"/>
  <c r="AA143" i="49"/>
  <c r="AA958" i="49"/>
  <c r="AA16" i="49"/>
  <c r="Z16" i="49"/>
  <c r="Z572" i="49"/>
  <c r="G572" i="49"/>
  <c r="AA572" i="49"/>
  <c r="Z15" i="49"/>
  <c r="AA137" i="49"/>
  <c r="AA1172" i="49"/>
  <c r="AA189" i="49"/>
  <c r="AA684" i="49"/>
  <c r="AA39" i="49"/>
  <c r="AA1005" i="49"/>
  <c r="AA699" i="49"/>
  <c r="AA1017" i="49"/>
  <c r="AA849" i="49"/>
  <c r="AA677" i="49"/>
  <c r="AA767" i="49"/>
  <c r="AA1162" i="49"/>
  <c r="AA772" i="49"/>
  <c r="AA951" i="49"/>
  <c r="AA175" i="49"/>
  <c r="AA960" i="49"/>
  <c r="Z1020" i="49"/>
  <c r="AA1018" i="49"/>
  <c r="Z848" i="49"/>
  <c r="AA832" i="49"/>
  <c r="Z840" i="49"/>
  <c r="AA838" i="49"/>
  <c r="AA666" i="49"/>
  <c r="Z684" i="49"/>
  <c r="AA1175" i="49"/>
  <c r="AA660" i="49"/>
  <c r="AA149" i="49"/>
  <c r="AA1008" i="49"/>
  <c r="AA839" i="49"/>
  <c r="AA954" i="49"/>
  <c r="AA1024" i="49"/>
  <c r="Z677" i="49"/>
  <c r="AA1010" i="49"/>
  <c r="AA577" i="49"/>
  <c r="AA1161" i="49"/>
  <c r="Z678" i="49"/>
  <c r="AA187" i="49"/>
  <c r="AA570" i="49"/>
  <c r="AA198" i="49"/>
  <c r="AA774" i="49"/>
  <c r="Z150" i="49"/>
  <c r="AA150" i="49"/>
  <c r="Z22" i="49"/>
  <c r="AA191" i="49"/>
  <c r="AA213" i="49"/>
  <c r="AA966" i="49"/>
  <c r="AA145" i="49"/>
  <c r="Z666" i="49"/>
  <c r="AA1015" i="49"/>
  <c r="AA965" i="49"/>
  <c r="AA841" i="49"/>
  <c r="AA647" i="49"/>
  <c r="AA842" i="49"/>
  <c r="Z1155" i="49"/>
  <c r="AA1019" i="49"/>
  <c r="AA1180" i="49"/>
  <c r="AA193" i="49"/>
  <c r="G577" i="49"/>
  <c r="AA41" i="49"/>
  <c r="AA681" i="49"/>
  <c r="AA947" i="49"/>
  <c r="AA853" i="49"/>
  <c r="AA152" i="49"/>
  <c r="AA946" i="49"/>
  <c r="Z24" i="49"/>
  <c r="AA650" i="49"/>
  <c r="Z698" i="49"/>
  <c r="AA1178" i="49"/>
  <c r="Z671" i="49"/>
  <c r="AA17" i="49"/>
  <c r="Z17" i="49"/>
  <c r="Z1164" i="49"/>
  <c r="AA1164" i="49"/>
  <c r="X901" i="49"/>
  <c r="X1203" i="49"/>
  <c r="X958" i="49"/>
  <c r="X1178" i="49"/>
  <c r="X965" i="49"/>
  <c r="X572" i="49"/>
  <c r="X1188" i="49"/>
  <c r="X210" i="49"/>
  <c r="X42" i="49"/>
  <c r="X677" i="49"/>
  <c r="X184" i="49"/>
  <c r="X1205" i="49"/>
  <c r="X209" i="49"/>
  <c r="X950" i="49"/>
  <c r="X46" i="49"/>
  <c r="X145" i="49"/>
  <c r="X684" i="49"/>
  <c r="X1015" i="49"/>
  <c r="X136" i="49"/>
  <c r="X178" i="49"/>
  <c r="X842" i="49"/>
  <c r="X1016" i="49"/>
  <c r="X148" i="49"/>
  <c r="X843" i="49"/>
  <c r="X1025" i="49"/>
  <c r="X54" i="49"/>
  <c r="X1026" i="49"/>
  <c r="X22" i="49"/>
  <c r="X928" i="49"/>
  <c r="X1161" i="49"/>
  <c r="X683" i="49"/>
  <c r="X191" i="49"/>
  <c r="X646" i="49"/>
  <c r="X956" i="49"/>
  <c r="X1174" i="49"/>
  <c r="X1200" i="49"/>
  <c r="X1191" i="49"/>
  <c r="X774" i="49"/>
  <c r="X1189" i="49"/>
  <c r="X202" i="49"/>
  <c r="X1007" i="49"/>
  <c r="X736" i="49"/>
  <c r="X1022" i="49"/>
  <c r="X1011" i="49"/>
  <c r="X1154" i="49"/>
  <c r="X1005" i="49"/>
  <c r="X60" i="49"/>
  <c r="X835" i="49"/>
  <c r="X25" i="49"/>
  <c r="X948" i="49"/>
  <c r="X153" i="49"/>
  <c r="X206" i="49"/>
  <c r="X18" i="49"/>
  <c r="X52" i="49"/>
  <c r="X849" i="49"/>
  <c r="X838" i="49"/>
  <c r="X47" i="49"/>
  <c r="X21" i="49"/>
  <c r="X200" i="49"/>
  <c r="X578" i="49"/>
  <c r="X954" i="49"/>
  <c r="X665" i="49"/>
  <c r="X659" i="49"/>
  <c r="X198" i="49"/>
  <c r="X688" i="49"/>
  <c r="X137" i="49"/>
  <c r="X1180" i="49"/>
  <c r="X850" i="49"/>
  <c r="X188" i="49"/>
  <c r="X841" i="49"/>
  <c r="X1159" i="49"/>
  <c r="X201" i="49"/>
  <c r="X1190" i="49"/>
  <c r="X661" i="49"/>
  <c r="X769" i="49"/>
  <c r="X143" i="49"/>
  <c r="X186" i="49"/>
  <c r="X185" i="49"/>
  <c r="X576" i="49"/>
  <c r="X1006" i="49"/>
  <c r="X44" i="49"/>
  <c r="X150" i="49"/>
  <c r="X151" i="49"/>
  <c r="X1004" i="49"/>
  <c r="X155" i="49"/>
  <c r="X612" i="49"/>
  <c r="X176" i="49"/>
  <c r="X726" i="49"/>
  <c r="X1023" i="49"/>
  <c r="X837" i="49"/>
  <c r="X190" i="49"/>
  <c r="X569" i="49"/>
  <c r="X770" i="49"/>
  <c r="X1024" i="49"/>
  <c r="X949" i="49"/>
  <c r="X179" i="49"/>
  <c r="X614" i="49"/>
  <c r="X944" i="49"/>
  <c r="X1162" i="49"/>
  <c r="X689" i="49"/>
  <c r="X1176" i="49"/>
  <c r="X56" i="49"/>
  <c r="X212" i="49"/>
  <c r="X673" i="49"/>
  <c r="X1158" i="49"/>
  <c r="X831" i="49"/>
  <c r="X17" i="49"/>
  <c r="X698" i="49"/>
  <c r="X154" i="49"/>
  <c r="X1013" i="49"/>
  <c r="X1167" i="49"/>
  <c r="X671" i="49"/>
  <c r="X732" i="49"/>
  <c r="X1027" i="49"/>
  <c r="X45" i="49"/>
  <c r="X1194" i="49"/>
  <c r="X1166" i="49"/>
  <c r="X699" i="49"/>
  <c r="X138" i="49"/>
  <c r="X772" i="49"/>
  <c r="X41" i="49"/>
  <c r="X1002" i="49"/>
  <c r="X175" i="49"/>
  <c r="X678" i="49"/>
  <c r="X207" i="49"/>
  <c r="X208" i="49"/>
  <c r="X183" i="49"/>
  <c r="X680" i="49"/>
  <c r="X1179" i="49"/>
  <c r="X952" i="49"/>
  <c r="X966" i="49"/>
  <c r="X647" i="49"/>
  <c r="X1165" i="49"/>
  <c r="X840" i="49"/>
  <c r="X142" i="49"/>
  <c r="X187" i="49"/>
  <c r="X669" i="49"/>
  <c r="X773" i="49"/>
  <c r="X964" i="49"/>
  <c r="X650" i="49"/>
  <c r="X1170" i="49"/>
  <c r="X1163" i="49"/>
  <c r="X658" i="49"/>
  <c r="X848" i="49"/>
  <c r="X1169" i="49"/>
  <c r="X1156" i="49"/>
  <c r="X704" i="49"/>
  <c r="X20" i="49"/>
  <c r="X199" i="49"/>
  <c r="X577" i="49"/>
  <c r="X853" i="49"/>
  <c r="X1171" i="49"/>
  <c r="X57" i="49"/>
  <c r="X213" i="49"/>
  <c r="X662" i="49"/>
  <c r="X955" i="49"/>
  <c r="X1173" i="49"/>
  <c r="X23" i="49"/>
  <c r="X214" i="49"/>
  <c r="X663" i="49"/>
  <c r="X998" i="49"/>
  <c r="X1186" i="49"/>
  <c r="X149" i="49"/>
  <c r="X144" i="49"/>
  <c r="X1182" i="49"/>
  <c r="X1196" i="49"/>
  <c r="X1187" i="49"/>
  <c r="X845" i="49"/>
  <c r="X847" i="49"/>
  <c r="X668" i="49"/>
  <c r="X204" i="49"/>
  <c r="X574" i="49"/>
  <c r="X1001" i="49"/>
  <c r="X182" i="49"/>
  <c r="X50" i="49"/>
  <c r="X667" i="49"/>
  <c r="X959" i="49"/>
  <c r="X1204" i="49"/>
  <c r="X1193" i="49"/>
  <c r="X1157" i="49"/>
  <c r="X962" i="49"/>
  <c r="X146" i="49"/>
  <c r="X1172" i="49"/>
  <c r="X180" i="49"/>
  <c r="X613" i="49"/>
  <c r="X945" i="49"/>
  <c r="X1175" i="49"/>
  <c r="X189" i="49"/>
  <c r="X203" i="49"/>
  <c r="X999" i="49"/>
  <c r="X960" i="49"/>
  <c r="X649" i="49"/>
  <c r="X1000" i="49"/>
  <c r="X49" i="49"/>
  <c r="X685" i="49"/>
  <c r="X1206" i="49"/>
  <c r="X571" i="49"/>
  <c r="X1014" i="49"/>
  <c r="X808" i="49"/>
  <c r="X1010" i="49"/>
  <c r="X573" i="49"/>
  <c r="X59" i="49"/>
  <c r="X16" i="49"/>
  <c r="X682" i="49"/>
  <c r="X1168" i="49"/>
  <c r="X205" i="49"/>
  <c r="X1021" i="49"/>
  <c r="X55" i="49"/>
  <c r="X211" i="49"/>
  <c r="X660" i="49"/>
  <c r="X881" i="49"/>
  <c r="X1183" i="49"/>
  <c r="X40" i="49"/>
  <c r="X674" i="49"/>
  <c r="X967" i="49"/>
  <c r="X1185" i="49"/>
  <c r="X58" i="49"/>
  <c r="X675" i="49"/>
  <c r="X1009" i="49"/>
  <c r="X1198" i="49"/>
  <c r="X48" i="49"/>
  <c r="X147" i="49"/>
  <c r="X686" i="49"/>
  <c r="X39" i="49"/>
  <c r="X687" i="49"/>
  <c r="X1017" i="49"/>
  <c r="X963" i="49"/>
  <c r="X43" i="49"/>
  <c r="X946" i="49"/>
  <c r="X1202" i="49"/>
  <c r="X733" i="49"/>
  <c r="X648" i="49"/>
  <c r="X846" i="49"/>
  <c r="X19" i="49"/>
  <c r="X1020" i="49"/>
  <c r="X961" i="49"/>
  <c r="X575" i="49"/>
  <c r="X1164" i="49"/>
  <c r="X1019" i="49"/>
  <c r="X194" i="49"/>
  <c r="X140" i="49"/>
  <c r="X679" i="49"/>
  <c r="X51" i="49"/>
  <c r="X1192" i="49"/>
  <c r="X196" i="49"/>
  <c r="X1181" i="49"/>
  <c r="X1177" i="49"/>
  <c r="X177" i="49"/>
  <c r="X771" i="49"/>
  <c r="X1184" i="49"/>
  <c r="X192" i="49"/>
  <c r="X664" i="49"/>
  <c r="X957" i="49"/>
  <c r="X1199" i="49"/>
  <c r="X839" i="49"/>
  <c r="X61" i="49"/>
  <c r="X681" i="49"/>
  <c r="X53" i="49"/>
  <c r="X672" i="49"/>
  <c r="X953" i="49"/>
  <c r="X1195" i="49"/>
  <c r="X670" i="49"/>
  <c r="X1197" i="49"/>
  <c r="X832" i="49"/>
  <c r="X1018" i="49"/>
  <c r="X24" i="49"/>
  <c r="X725" i="49"/>
  <c r="X570" i="49"/>
  <c r="X768" i="49"/>
  <c r="X786" i="49"/>
  <c r="X706" i="49"/>
  <c r="X666" i="49"/>
  <c r="X1201" i="49"/>
  <c r="X195" i="49"/>
  <c r="X141" i="49"/>
  <c r="X951" i="49"/>
  <c r="X197" i="49"/>
  <c r="X152" i="49"/>
  <c r="X902" i="49"/>
  <c r="X676" i="49"/>
  <c r="X1012" i="49"/>
  <c r="X652" i="49"/>
  <c r="X868" i="49"/>
  <c r="X193" i="49"/>
  <c r="X1155" i="49"/>
  <c r="X767" i="49"/>
  <c r="X181" i="49"/>
  <c r="X139" i="49"/>
  <c r="X836" i="49"/>
  <c r="X653" i="49"/>
  <c r="X947" i="49"/>
  <c r="X15" i="49"/>
  <c r="X697" i="49"/>
  <c r="X1003" i="49"/>
  <c r="X844" i="49"/>
  <c r="X1160" i="49"/>
  <c r="X611" i="49"/>
  <c r="X1008" i="49"/>
  <c r="AA214" i="49"/>
  <c r="AA771" i="49"/>
  <c r="AA687" i="49"/>
  <c r="AA1016" i="49"/>
  <c r="AA881" i="49"/>
  <c r="AA844" i="49"/>
  <c r="AA148" i="49"/>
  <c r="AA682" i="49"/>
  <c r="Z681" i="49"/>
  <c r="AA950" i="49"/>
  <c r="AA678" i="49"/>
  <c r="AA61" i="49"/>
  <c r="AA205" i="49"/>
  <c r="AA689" i="49"/>
  <c r="AA1191" i="49"/>
  <c r="Z1193" i="49"/>
  <c r="AA1193" i="49"/>
  <c r="Z1003" i="49"/>
  <c r="AA1003" i="49"/>
  <c r="Z1177" i="49"/>
  <c r="AA1177" i="49"/>
  <c r="AA18" i="49"/>
  <c r="Z18" i="49"/>
  <c r="G669" i="49"/>
  <c r="Z669" i="49"/>
  <c r="AA669" i="49"/>
  <c r="Z20" i="49"/>
  <c r="AA146" i="49"/>
  <c r="AA646" i="49"/>
  <c r="AA177" i="49"/>
  <c r="AA674" i="49"/>
  <c r="Z687" i="49"/>
  <c r="AA188" i="49"/>
  <c r="AA1205" i="49"/>
  <c r="AA569" i="49"/>
  <c r="AA614" i="49"/>
  <c r="AA1004" i="49"/>
  <c r="AA1009" i="49"/>
  <c r="AA196" i="49"/>
  <c r="AA1196" i="49"/>
  <c r="AA664" i="49"/>
  <c r="AA203" i="49"/>
  <c r="AA706" i="49"/>
  <c r="AA154" i="49"/>
  <c r="Z682" i="49"/>
  <c r="AA725" i="49"/>
  <c r="AA1154" i="49"/>
  <c r="AA139" i="49"/>
  <c r="AA1171" i="49"/>
  <c r="AA671" i="49"/>
  <c r="AA209" i="49"/>
  <c r="AA670" i="49"/>
  <c r="Z680" i="49"/>
  <c r="AA1203" i="49"/>
  <c r="AA963" i="49"/>
  <c r="Z949" i="49"/>
  <c r="AA949" i="49"/>
  <c r="Z1202" i="49"/>
  <c r="AA1202" i="49"/>
  <c r="Z665" i="49"/>
  <c r="AA665" i="49"/>
  <c r="Z1189" i="49"/>
  <c r="AA1189" i="49"/>
  <c r="Z674" i="49"/>
  <c r="AA679" i="49"/>
  <c r="AA673" i="49"/>
  <c r="AA186" i="49"/>
  <c r="G670" i="49"/>
  <c r="AA697" i="49"/>
  <c r="Z683" i="49"/>
  <c r="Z1037" i="49"/>
  <c r="AA1037" i="49"/>
  <c r="Z121" i="49"/>
  <c r="AA121" i="49"/>
  <c r="Z112" i="49"/>
  <c r="AA112" i="49"/>
  <c r="Z994" i="49"/>
  <c r="AA994" i="49"/>
  <c r="Z257" i="49"/>
  <c r="AA257" i="49"/>
  <c r="Z827" i="49"/>
  <c r="AA827" i="49"/>
  <c r="Z548" i="49"/>
  <c r="AA548" i="49"/>
  <c r="Z744" i="49"/>
  <c r="AA744" i="49"/>
  <c r="Z607" i="49"/>
  <c r="AA607" i="49"/>
  <c r="Z1112" i="49"/>
  <c r="AA1112" i="49"/>
  <c r="Z441" i="49"/>
  <c r="AA441" i="49"/>
  <c r="Z7" i="49"/>
  <c r="AA7" i="49"/>
  <c r="Z113" i="49"/>
  <c r="AA113" i="49"/>
  <c r="Z925" i="49"/>
  <c r="AA925" i="49"/>
  <c r="Z735" i="49"/>
  <c r="AA735" i="49"/>
  <c r="Z549" i="49"/>
  <c r="AA549" i="49"/>
  <c r="Z780" i="49"/>
  <c r="AA780" i="49"/>
  <c r="Z1050" i="49"/>
  <c r="AA1050" i="49"/>
  <c r="Z442" i="49"/>
  <c r="AA442" i="49"/>
  <c r="Z91" i="49"/>
  <c r="AA91" i="49"/>
  <c r="Z873" i="49"/>
  <c r="AA873" i="49"/>
  <c r="Z1030" i="49"/>
  <c r="AA1030" i="49"/>
  <c r="Z247" i="49"/>
  <c r="AA247" i="49"/>
  <c r="Z721" i="49"/>
  <c r="AA721" i="49"/>
  <c r="Z694" i="49"/>
  <c r="AA694" i="49"/>
  <c r="Z781" i="49"/>
  <c r="AA781" i="49"/>
  <c r="Z1063" i="49"/>
  <c r="AA1063" i="49"/>
  <c r="Z169" i="49"/>
  <c r="AA169" i="49"/>
  <c r="Z986" i="49"/>
  <c r="AA986" i="49"/>
  <c r="Z272" i="49"/>
  <c r="AA272" i="49"/>
  <c r="Z722" i="49"/>
  <c r="AA722" i="49"/>
  <c r="Z635" i="49"/>
  <c r="AA635" i="49"/>
  <c r="Z813" i="49"/>
  <c r="AA813" i="49"/>
  <c r="Z1079" i="49"/>
  <c r="AA1079" i="49"/>
  <c r="Z35" i="49"/>
  <c r="AA35" i="49"/>
  <c r="Z170" i="49"/>
  <c r="AA170" i="49"/>
  <c r="Z904" i="49"/>
  <c r="AA904" i="49"/>
  <c r="Z285" i="49"/>
  <c r="AA285" i="49"/>
  <c r="Z466" i="49"/>
  <c r="AA466" i="49"/>
  <c r="Z783" i="49"/>
  <c r="AA783" i="49"/>
  <c r="Z822" i="49"/>
  <c r="AA822" i="49"/>
  <c r="Z1128" i="49"/>
  <c r="AA1128" i="49"/>
  <c r="Z1034" i="49"/>
  <c r="AA1034" i="49"/>
  <c r="Z28" i="49"/>
  <c r="AA28" i="49"/>
  <c r="Z3" i="49"/>
  <c r="AA3" i="49"/>
  <c r="Z62" i="49"/>
  <c r="AA62" i="49"/>
  <c r="Z74" i="49"/>
  <c r="AA74" i="49"/>
  <c r="Z86" i="49"/>
  <c r="AA86" i="49"/>
  <c r="Z885" i="49"/>
  <c r="AA885" i="49"/>
  <c r="Z897" i="49"/>
  <c r="AA897" i="49"/>
  <c r="Z880" i="49"/>
  <c r="AA880" i="49"/>
  <c r="Z130" i="49"/>
  <c r="AA130" i="49"/>
  <c r="Z163" i="49"/>
  <c r="AA163" i="49"/>
  <c r="Z215" i="49"/>
  <c r="AA215" i="49"/>
  <c r="Z227" i="49"/>
  <c r="AA227" i="49"/>
  <c r="Z109" i="49"/>
  <c r="AA109" i="49"/>
  <c r="Z101" i="49"/>
  <c r="AA101" i="49"/>
  <c r="Z1152" i="49"/>
  <c r="AA1152" i="49"/>
  <c r="Z941" i="49"/>
  <c r="AA941" i="49"/>
  <c r="Z978" i="49"/>
  <c r="AA978" i="49"/>
  <c r="Z991" i="49"/>
  <c r="AA991" i="49"/>
  <c r="Z909" i="49"/>
  <c r="AA909" i="49"/>
  <c r="Z921" i="49"/>
  <c r="AA921" i="49"/>
  <c r="Z242" i="49"/>
  <c r="AA242" i="49"/>
  <c r="Z254" i="49"/>
  <c r="AA254" i="49"/>
  <c r="Z266" i="49"/>
  <c r="AA266" i="49"/>
  <c r="Z278" i="49"/>
  <c r="AA278" i="49"/>
  <c r="Z453" i="49"/>
  <c r="AA453" i="49"/>
  <c r="Z644" i="49"/>
  <c r="AA644" i="49"/>
  <c r="Z711" i="49"/>
  <c r="AA711" i="49"/>
  <c r="Z655" i="49"/>
  <c r="AA655" i="49"/>
  <c r="Z830" i="49"/>
  <c r="AA830" i="49"/>
  <c r="Z459" i="49"/>
  <c r="AA459" i="49"/>
  <c r="Z471" i="49"/>
  <c r="AA471" i="49"/>
  <c r="Z483" i="49"/>
  <c r="AA483" i="49"/>
  <c r="Z629" i="49"/>
  <c r="AA629" i="49"/>
  <c r="Z641" i="49"/>
  <c r="AA641" i="49"/>
  <c r="Z563" i="49"/>
  <c r="AA563" i="49"/>
  <c r="Z860" i="49"/>
  <c r="AA860" i="49"/>
  <c r="Z741" i="49"/>
  <c r="AA741" i="49"/>
  <c r="Z753" i="49"/>
  <c r="AA753" i="49"/>
  <c r="Z765" i="49"/>
  <c r="AA765" i="49"/>
  <c r="Z791" i="49"/>
  <c r="AA791" i="49"/>
  <c r="Z804" i="49"/>
  <c r="AA804" i="49"/>
  <c r="Z819" i="49"/>
  <c r="AA819" i="49"/>
  <c r="Z592" i="49"/>
  <c r="AA592" i="49"/>
  <c r="Z604" i="49"/>
  <c r="AA604" i="49"/>
  <c r="Z1058" i="49"/>
  <c r="AA1058" i="49"/>
  <c r="Z1046" i="49"/>
  <c r="AA1046" i="49"/>
  <c r="Z1074" i="49"/>
  <c r="AA1074" i="49"/>
  <c r="Z1085" i="49"/>
  <c r="AA1085" i="49"/>
  <c r="Z1097" i="49"/>
  <c r="AA1097" i="49"/>
  <c r="Z1109" i="49"/>
  <c r="AA1109" i="49"/>
  <c r="Z1121" i="49"/>
  <c r="AA1121" i="49"/>
  <c r="Z1133" i="49"/>
  <c r="AA1133" i="49"/>
  <c r="Z438" i="49"/>
  <c r="AA438" i="49"/>
  <c r="Z426" i="49"/>
  <c r="AA426" i="49"/>
  <c r="Z566" i="49"/>
  <c r="AA566" i="49"/>
  <c r="Z807" i="49"/>
  <c r="AA807" i="49"/>
  <c r="Z1088" i="49"/>
  <c r="AA1088" i="49"/>
  <c r="Z66" i="49"/>
  <c r="AA66" i="49"/>
  <c r="Z134" i="49"/>
  <c r="AA134" i="49"/>
  <c r="Z933" i="49"/>
  <c r="AA933" i="49"/>
  <c r="Z270" i="49"/>
  <c r="AA270" i="49"/>
  <c r="Z475" i="49"/>
  <c r="AA475" i="49"/>
  <c r="Z757" i="49"/>
  <c r="AA757" i="49"/>
  <c r="Z1062" i="49"/>
  <c r="AA1062" i="49"/>
  <c r="Z1125" i="49"/>
  <c r="AA1125" i="49"/>
  <c r="Z67" i="49"/>
  <c r="AA67" i="49"/>
  <c r="Z890" i="49"/>
  <c r="AA890" i="49"/>
  <c r="Z94" i="49"/>
  <c r="AA94" i="49"/>
  <c r="Z914" i="49"/>
  <c r="AA914" i="49"/>
  <c r="Z734" i="49"/>
  <c r="AA734" i="49"/>
  <c r="Z556" i="49"/>
  <c r="AA556" i="49"/>
  <c r="Z585" i="49"/>
  <c r="AA585" i="49"/>
  <c r="Z1102" i="49"/>
  <c r="AA1102" i="49"/>
  <c r="Z431" i="49"/>
  <c r="AA431" i="49"/>
  <c r="Z9" i="49"/>
  <c r="AA9" i="49"/>
  <c r="Z221" i="49"/>
  <c r="AA221" i="49"/>
  <c r="Z997" i="49"/>
  <c r="AA997" i="49"/>
  <c r="Z284" i="49"/>
  <c r="AA284" i="49"/>
  <c r="Z465" i="49"/>
  <c r="AA465" i="49"/>
  <c r="Z854" i="49"/>
  <c r="AA854" i="49"/>
  <c r="Z586" i="49"/>
  <c r="AA586" i="49"/>
  <c r="Z1091" i="49"/>
  <c r="AA1091" i="49"/>
  <c r="Z158" i="49"/>
  <c r="AA158" i="49"/>
  <c r="Z973" i="49"/>
  <c r="AA973" i="49"/>
  <c r="Z249" i="49"/>
  <c r="AA249" i="49"/>
  <c r="Z852" i="49"/>
  <c r="AA852" i="49"/>
  <c r="Z855" i="49"/>
  <c r="AA855" i="49"/>
  <c r="Z587" i="49"/>
  <c r="AA587" i="49"/>
  <c r="Z1053" i="49"/>
  <c r="AA1053" i="49"/>
  <c r="Z1035" i="49"/>
  <c r="AA1035" i="49"/>
  <c r="Z31" i="49"/>
  <c r="AA31" i="49"/>
  <c r="Z4" i="49"/>
  <c r="AA4" i="49"/>
  <c r="Z63" i="49"/>
  <c r="AA63" i="49"/>
  <c r="Z75" i="49"/>
  <c r="AA75" i="49"/>
  <c r="Z87" i="49"/>
  <c r="AA87" i="49"/>
  <c r="Z886" i="49"/>
  <c r="AA886" i="49"/>
  <c r="Z898" i="49"/>
  <c r="AA898" i="49"/>
  <c r="Z119" i="49"/>
  <c r="AA119" i="49"/>
  <c r="Z131" i="49"/>
  <c r="AA131" i="49"/>
  <c r="Z164" i="49"/>
  <c r="AA164" i="49"/>
  <c r="Z216" i="49"/>
  <c r="AA216" i="49"/>
  <c r="Z228" i="49"/>
  <c r="AA228" i="49"/>
  <c r="Z110" i="49"/>
  <c r="AA110" i="49"/>
  <c r="Z102" i="49"/>
  <c r="AA102" i="49"/>
  <c r="Z1153" i="49"/>
  <c r="AA1153" i="49"/>
  <c r="Z942" i="49"/>
  <c r="AA942" i="49"/>
  <c r="Z979" i="49"/>
  <c r="AA979" i="49"/>
  <c r="Z992" i="49"/>
  <c r="AA992" i="49"/>
  <c r="Z910" i="49"/>
  <c r="AA910" i="49"/>
  <c r="Z922" i="49"/>
  <c r="AA922" i="49"/>
  <c r="Z243" i="49"/>
  <c r="AA243" i="49"/>
  <c r="Z255" i="49"/>
  <c r="AA255" i="49"/>
  <c r="Z267" i="49"/>
  <c r="AA267" i="49"/>
  <c r="Z279" i="49"/>
  <c r="AA279" i="49"/>
  <c r="Z454" i="49"/>
  <c r="AA454" i="49"/>
  <c r="Z642" i="49"/>
  <c r="AA642" i="49"/>
  <c r="Z713" i="49"/>
  <c r="AA713" i="49"/>
  <c r="Z645" i="49"/>
  <c r="AA645" i="49"/>
  <c r="Z731" i="49"/>
  <c r="AA731" i="49"/>
  <c r="Z460" i="49"/>
  <c r="AA460" i="49"/>
  <c r="Z472" i="49"/>
  <c r="AA472" i="49"/>
  <c r="Z546" i="49"/>
  <c r="AA546" i="49"/>
  <c r="Z630" i="49"/>
  <c r="AA630" i="49"/>
  <c r="Z552" i="49"/>
  <c r="AA552" i="49"/>
  <c r="Z564" i="49"/>
  <c r="AA564" i="49"/>
  <c r="Z861" i="49"/>
  <c r="AA861" i="49"/>
  <c r="Z742" i="49"/>
  <c r="AA742" i="49"/>
  <c r="Z754" i="49"/>
  <c r="AA754" i="49"/>
  <c r="Z766" i="49"/>
  <c r="AA766" i="49"/>
  <c r="Z792" i="49"/>
  <c r="AA792" i="49"/>
  <c r="Z805" i="49"/>
  <c r="AA805" i="49"/>
  <c r="Z820" i="49"/>
  <c r="AA820" i="49"/>
  <c r="Z593" i="49"/>
  <c r="AA593" i="49"/>
  <c r="Z605" i="49"/>
  <c r="AA605" i="49"/>
  <c r="Z1059" i="49"/>
  <c r="AA1059" i="49"/>
  <c r="Z1047" i="49"/>
  <c r="AA1047" i="49"/>
  <c r="Z1073" i="49"/>
  <c r="AA1073" i="49"/>
  <c r="Z1086" i="49"/>
  <c r="AA1086" i="49"/>
  <c r="Z1098" i="49"/>
  <c r="AA1098" i="49"/>
  <c r="Z1110" i="49"/>
  <c r="AA1110" i="49"/>
  <c r="Z1122" i="49"/>
  <c r="AA1122" i="49"/>
  <c r="Z1139" i="49"/>
  <c r="AA1139" i="49"/>
  <c r="Z439" i="49"/>
  <c r="AA439" i="49"/>
  <c r="Z427" i="49"/>
  <c r="AA427" i="49"/>
  <c r="Z133" i="49"/>
  <c r="AA133" i="49"/>
  <c r="Z932" i="49"/>
  <c r="AA932" i="49"/>
  <c r="Z912" i="49"/>
  <c r="AA912" i="49"/>
  <c r="Z281" i="49"/>
  <c r="AA281" i="49"/>
  <c r="Z703" i="49"/>
  <c r="AA703" i="49"/>
  <c r="Z554" i="49"/>
  <c r="AA554" i="49"/>
  <c r="Z779" i="49"/>
  <c r="AA779" i="49"/>
  <c r="Z1061" i="49"/>
  <c r="AA1061" i="49"/>
  <c r="Z1124" i="49"/>
  <c r="AA1124" i="49"/>
  <c r="Z429" i="49"/>
  <c r="AA429" i="49"/>
  <c r="Z78" i="49"/>
  <c r="AA78" i="49"/>
  <c r="Z122" i="49"/>
  <c r="AA122" i="49"/>
  <c r="Z970" i="49"/>
  <c r="AA970" i="49"/>
  <c r="Z246" i="49"/>
  <c r="AA246" i="49"/>
  <c r="Z692" i="49"/>
  <c r="AA692" i="49"/>
  <c r="Z555" i="49"/>
  <c r="AA555" i="49"/>
  <c r="Z811" i="49"/>
  <c r="AA811" i="49"/>
  <c r="Z1089" i="49"/>
  <c r="AA1089" i="49"/>
  <c r="Z79" i="49"/>
  <c r="AA79" i="49"/>
  <c r="Z123" i="49"/>
  <c r="AA123" i="49"/>
  <c r="Z934" i="49"/>
  <c r="AA934" i="49"/>
  <c r="Z237" i="49"/>
  <c r="AA237" i="49"/>
  <c r="Z715" i="49"/>
  <c r="AA715" i="49"/>
  <c r="Z550" i="49"/>
  <c r="AA550" i="49"/>
  <c r="Z746" i="49"/>
  <c r="AA746" i="49"/>
  <c r="Z609" i="49"/>
  <c r="AA609" i="49"/>
  <c r="Z1126" i="49"/>
  <c r="AA1126" i="49"/>
  <c r="Z419" i="49"/>
  <c r="AA419" i="49"/>
  <c r="Z92" i="49"/>
  <c r="AA92" i="49"/>
  <c r="Z124" i="49"/>
  <c r="AA124" i="49"/>
  <c r="Z935" i="49"/>
  <c r="AA935" i="49"/>
  <c r="Z248" i="49"/>
  <c r="AA248" i="49"/>
  <c r="Z712" i="49"/>
  <c r="AA712" i="49"/>
  <c r="Z866" i="49"/>
  <c r="AA866" i="49"/>
  <c r="Z1064" i="49"/>
  <c r="AA1064" i="49"/>
  <c r="Z1115" i="49"/>
  <c r="AA1115" i="49"/>
  <c r="Z420" i="49"/>
  <c r="AA420" i="49"/>
  <c r="Z93" i="49"/>
  <c r="AA93" i="49"/>
  <c r="Z875" i="49"/>
  <c r="AA875" i="49"/>
  <c r="Z96" i="49"/>
  <c r="AA96" i="49"/>
  <c r="Z916" i="49"/>
  <c r="AA916" i="49"/>
  <c r="Z448" i="49"/>
  <c r="AA448" i="49"/>
  <c r="Z478" i="49"/>
  <c r="AA478" i="49"/>
  <c r="Z760" i="49"/>
  <c r="AA760" i="49"/>
  <c r="Z1080" i="49"/>
  <c r="AA1080" i="49"/>
  <c r="Z1036" i="49"/>
  <c r="AA1036" i="49"/>
  <c r="Z29" i="49"/>
  <c r="AA29" i="49"/>
  <c r="Z5" i="49"/>
  <c r="AA5" i="49"/>
  <c r="Z64" i="49"/>
  <c r="AA64" i="49"/>
  <c r="Z76" i="49"/>
  <c r="AA76" i="49"/>
  <c r="Z88" i="49"/>
  <c r="AA88" i="49"/>
  <c r="Z887" i="49"/>
  <c r="AA887" i="49"/>
  <c r="Z899" i="49"/>
  <c r="AA899" i="49"/>
  <c r="Z120" i="49"/>
  <c r="AA120" i="49"/>
  <c r="Z132" i="49"/>
  <c r="AA132" i="49"/>
  <c r="Z165" i="49"/>
  <c r="AA165" i="49"/>
  <c r="Z217" i="49"/>
  <c r="AA217" i="49"/>
  <c r="Z229" i="49"/>
  <c r="AA229" i="49"/>
  <c r="Z111" i="49"/>
  <c r="AA111" i="49"/>
  <c r="Z103" i="49"/>
  <c r="AA103" i="49"/>
  <c r="Z931" i="49"/>
  <c r="AA931" i="49"/>
  <c r="Z943" i="49"/>
  <c r="AA943" i="49"/>
  <c r="Z980" i="49"/>
  <c r="AA980" i="49"/>
  <c r="Z993" i="49"/>
  <c r="AA993" i="49"/>
  <c r="Z911" i="49"/>
  <c r="AA911" i="49"/>
  <c r="Z923" i="49"/>
  <c r="AA923" i="49"/>
  <c r="Z244" i="49"/>
  <c r="AA244" i="49"/>
  <c r="Z256" i="49"/>
  <c r="AA256" i="49"/>
  <c r="Z268" i="49"/>
  <c r="AA268" i="49"/>
  <c r="Z280" i="49"/>
  <c r="AA280" i="49"/>
  <c r="Z826" i="49"/>
  <c r="AA826" i="49"/>
  <c r="Z702" i="49"/>
  <c r="AA702" i="49"/>
  <c r="Z695" i="49"/>
  <c r="AA695" i="49"/>
  <c r="Z643" i="49"/>
  <c r="AA643" i="49"/>
  <c r="Z834" i="49"/>
  <c r="AA834" i="49"/>
  <c r="Z461" i="49"/>
  <c r="AA461" i="49"/>
  <c r="Z473" i="49"/>
  <c r="AA473" i="49"/>
  <c r="Z547" i="49"/>
  <c r="AA547" i="49"/>
  <c r="Z631" i="49"/>
  <c r="AA631" i="49"/>
  <c r="Z553" i="49"/>
  <c r="AA553" i="49"/>
  <c r="Z565" i="49"/>
  <c r="AA565" i="49"/>
  <c r="Z862" i="49"/>
  <c r="AA862" i="49"/>
  <c r="Z743" i="49"/>
  <c r="AA743" i="49"/>
  <c r="Z755" i="49"/>
  <c r="AA755" i="49"/>
  <c r="Z778" i="49"/>
  <c r="AA778" i="49"/>
  <c r="Z793" i="49"/>
  <c r="AA793" i="49"/>
  <c r="Z806" i="49"/>
  <c r="AA806" i="49"/>
  <c r="Z821" i="49"/>
  <c r="AA821" i="49"/>
  <c r="Z594" i="49"/>
  <c r="AA594" i="49"/>
  <c r="Z606" i="49"/>
  <c r="AA606" i="49"/>
  <c r="Z1060" i="49"/>
  <c r="AA1060" i="49"/>
  <c r="Z1048" i="49"/>
  <c r="AA1048" i="49"/>
  <c r="Z1075" i="49"/>
  <c r="AA1075" i="49"/>
  <c r="Z1087" i="49"/>
  <c r="AA1087" i="49"/>
  <c r="Z1099" i="49"/>
  <c r="AA1099" i="49"/>
  <c r="Z1111" i="49"/>
  <c r="AA1111" i="49"/>
  <c r="Z1123" i="49"/>
  <c r="AA1123" i="49"/>
  <c r="Z1140" i="49"/>
  <c r="AA1140" i="49"/>
  <c r="Z440" i="49"/>
  <c r="AA440" i="49"/>
  <c r="Z428" i="49"/>
  <c r="AA428" i="49"/>
  <c r="Z421" i="49"/>
  <c r="AA421" i="49"/>
  <c r="Z89" i="49"/>
  <c r="AA89" i="49"/>
  <c r="Z1038" i="49"/>
  <c r="AA1038" i="49"/>
  <c r="Z167" i="49"/>
  <c r="AA167" i="49"/>
  <c r="Z105" i="49"/>
  <c r="AA105" i="49"/>
  <c r="Z236" i="49"/>
  <c r="AA236" i="49"/>
  <c r="Z829" i="49"/>
  <c r="AA829" i="49"/>
  <c r="Z567" i="49"/>
  <c r="AA567" i="49"/>
  <c r="Z584" i="49"/>
  <c r="AA584" i="49"/>
  <c r="Z1142" i="49"/>
  <c r="AA1142" i="49"/>
  <c r="Z1039" i="49"/>
  <c r="AA1039" i="49"/>
  <c r="Z220" i="49"/>
  <c r="AA220" i="49"/>
  <c r="Z985" i="49"/>
  <c r="AA985" i="49"/>
  <c r="Z271" i="49"/>
  <c r="AA271" i="49"/>
  <c r="Z464" i="49"/>
  <c r="AA464" i="49"/>
  <c r="Z758" i="49"/>
  <c r="AA758" i="49"/>
  <c r="Z1051" i="49"/>
  <c r="AA1051" i="49"/>
  <c r="Z1040" i="49"/>
  <c r="AA1040" i="49"/>
  <c r="Z233" i="49"/>
  <c r="AA233" i="49"/>
  <c r="Z927" i="49"/>
  <c r="AA927" i="49"/>
  <c r="Z851" i="49"/>
  <c r="AA851" i="49"/>
  <c r="Z551" i="49"/>
  <c r="AA551" i="49"/>
  <c r="Z782" i="49"/>
  <c r="AA782" i="49"/>
  <c r="Z1052" i="49"/>
  <c r="AA1052" i="49"/>
  <c r="Z1041" i="49"/>
  <c r="AA1041" i="49"/>
  <c r="Z222" i="49"/>
  <c r="AA222" i="49"/>
  <c r="Z987" i="49"/>
  <c r="AA987" i="49"/>
  <c r="Z261" i="49"/>
  <c r="AA261" i="49"/>
  <c r="Z730" i="49"/>
  <c r="AA730" i="49"/>
  <c r="Z558" i="49"/>
  <c r="AA558" i="49"/>
  <c r="Z814" i="49"/>
  <c r="AA814" i="49"/>
  <c r="Z1104" i="49"/>
  <c r="AA1104" i="49"/>
  <c r="Z1042" i="49"/>
  <c r="AA1042" i="49"/>
  <c r="Z36" i="49"/>
  <c r="AA36" i="49"/>
  <c r="Z11" i="49"/>
  <c r="AA11" i="49"/>
  <c r="Z70" i="49"/>
  <c r="AA70" i="49"/>
  <c r="Z82" i="49"/>
  <c r="AA82" i="49"/>
  <c r="Z893" i="49"/>
  <c r="AA893" i="49"/>
  <c r="Z876" i="49"/>
  <c r="AA876" i="49"/>
  <c r="Z126" i="49"/>
  <c r="AA126" i="49"/>
  <c r="Z159" i="49"/>
  <c r="AA159" i="49"/>
  <c r="Z171" i="49"/>
  <c r="AA171" i="49"/>
  <c r="Z223" i="49"/>
  <c r="AA223" i="49"/>
  <c r="Z235" i="49"/>
  <c r="AA235" i="49"/>
  <c r="Z97" i="49"/>
  <c r="AA97" i="49"/>
  <c r="Z1033" i="49"/>
  <c r="AA1033" i="49"/>
  <c r="Z937" i="49"/>
  <c r="AA937" i="49"/>
  <c r="Z974" i="49"/>
  <c r="AA974" i="49"/>
  <c r="Z988" i="49"/>
  <c r="AA988" i="49"/>
  <c r="Z905" i="49"/>
  <c r="AA905" i="49"/>
  <c r="Z917" i="49"/>
  <c r="AA917" i="49"/>
  <c r="Z240" i="49"/>
  <c r="AA240" i="49"/>
  <c r="Z250" i="49"/>
  <c r="AA250" i="49"/>
  <c r="Z262" i="49"/>
  <c r="AA262" i="49"/>
  <c r="Z274" i="49"/>
  <c r="AA274" i="49"/>
  <c r="Z286" i="49"/>
  <c r="AA286" i="49"/>
  <c r="Z449" i="49"/>
  <c r="AA449" i="49"/>
  <c r="Z719" i="49"/>
  <c r="AA719" i="49"/>
  <c r="Z709" i="49"/>
  <c r="AA709" i="49"/>
  <c r="Z724" i="49"/>
  <c r="AA724" i="49"/>
  <c r="Z728" i="49"/>
  <c r="AA728" i="49"/>
  <c r="Z696" i="49"/>
  <c r="AA696" i="49"/>
  <c r="Z467" i="49"/>
  <c r="AA467" i="49"/>
  <c r="Z479" i="49"/>
  <c r="AA479" i="49"/>
  <c r="Z625" i="49"/>
  <c r="AA625" i="49"/>
  <c r="Z637" i="49"/>
  <c r="AA637" i="49"/>
  <c r="Z559" i="49"/>
  <c r="AA559" i="49"/>
  <c r="Z856" i="49"/>
  <c r="AA856" i="49"/>
  <c r="Z737" i="49"/>
  <c r="AA737" i="49"/>
  <c r="Z749" i="49"/>
  <c r="AA749" i="49"/>
  <c r="Z761" i="49"/>
  <c r="AA761" i="49"/>
  <c r="Z784" i="49"/>
  <c r="AA784" i="49"/>
  <c r="Z800" i="49"/>
  <c r="AA800" i="49"/>
  <c r="Z815" i="49"/>
  <c r="AA815" i="49"/>
  <c r="Z588" i="49"/>
  <c r="AA588" i="49"/>
  <c r="Z600" i="49"/>
  <c r="AA600" i="49"/>
  <c r="Z823" i="49"/>
  <c r="AA823" i="49"/>
  <c r="Z1066" i="49"/>
  <c r="AA1066" i="49"/>
  <c r="Z1054" i="49"/>
  <c r="AA1054" i="49"/>
  <c r="Z1081" i="49"/>
  <c r="AA1081" i="49"/>
  <c r="Z1093" i="49"/>
  <c r="AA1093" i="49"/>
  <c r="Z1105" i="49"/>
  <c r="AA1105" i="49"/>
  <c r="Z1117" i="49"/>
  <c r="AA1117" i="49"/>
  <c r="Z1129" i="49"/>
  <c r="AA1129" i="49"/>
  <c r="Z1146" i="49"/>
  <c r="AA1146" i="49"/>
  <c r="Z422" i="49"/>
  <c r="AA422" i="49"/>
  <c r="Z77" i="49"/>
  <c r="AA77" i="49"/>
  <c r="Z900" i="49"/>
  <c r="AA900" i="49"/>
  <c r="Z230" i="49"/>
  <c r="AA230" i="49"/>
  <c r="Z981" i="49"/>
  <c r="AA981" i="49"/>
  <c r="Z245" i="49"/>
  <c r="AA245" i="49"/>
  <c r="Z828" i="49"/>
  <c r="AA828" i="49"/>
  <c r="Z462" i="49"/>
  <c r="AA462" i="49"/>
  <c r="Z863" i="49"/>
  <c r="AA863" i="49"/>
  <c r="Z583" i="49"/>
  <c r="AA583" i="49"/>
  <c r="Z1076" i="49"/>
  <c r="AA1076" i="49"/>
  <c r="Z219" i="49"/>
  <c r="AA219" i="49"/>
  <c r="Z995" i="49"/>
  <c r="AA995" i="49"/>
  <c r="Z282" i="49"/>
  <c r="AA282" i="49"/>
  <c r="Z701" i="49"/>
  <c r="AA701" i="49"/>
  <c r="Z864" i="49"/>
  <c r="AA864" i="49"/>
  <c r="Z608" i="49"/>
  <c r="AA608" i="49"/>
  <c r="Z1113" i="49"/>
  <c r="AA1113" i="49"/>
  <c r="Z430" i="49"/>
  <c r="AA430" i="49"/>
  <c r="Z168" i="49"/>
  <c r="AA168" i="49"/>
  <c r="Z996" i="49"/>
  <c r="AA996" i="49"/>
  <c r="Z283" i="49"/>
  <c r="AA283" i="49"/>
  <c r="Z634" i="49"/>
  <c r="AA634" i="49"/>
  <c r="Z796" i="49"/>
  <c r="AA796" i="49"/>
  <c r="Z1078" i="49"/>
  <c r="AA1078" i="49"/>
  <c r="Z1143" i="49"/>
  <c r="AA1143" i="49"/>
  <c r="Z68" i="49"/>
  <c r="AA68" i="49"/>
  <c r="Z157" i="49"/>
  <c r="AA157" i="49"/>
  <c r="Z972" i="49"/>
  <c r="AA972" i="49"/>
  <c r="Z260" i="49"/>
  <c r="AA260" i="49"/>
  <c r="Z729" i="49"/>
  <c r="AA729" i="49"/>
  <c r="Z557" i="49"/>
  <c r="AA557" i="49"/>
  <c r="Z797" i="49"/>
  <c r="AA797" i="49"/>
  <c r="Z1103" i="49"/>
  <c r="AA1103" i="49"/>
  <c r="Z10" i="49"/>
  <c r="AA10" i="49"/>
  <c r="Z892" i="49"/>
  <c r="AA892" i="49"/>
  <c r="Z1032" i="49"/>
  <c r="AA1032" i="49"/>
  <c r="Z239" i="49"/>
  <c r="AA239" i="49"/>
  <c r="Z723" i="49"/>
  <c r="AA723" i="49"/>
  <c r="Z624" i="49"/>
  <c r="AA624" i="49"/>
  <c r="Z798" i="49"/>
  <c r="AA798" i="49"/>
  <c r="Z1092" i="49"/>
  <c r="AA1092" i="49"/>
  <c r="Z1043" i="49"/>
  <c r="AA1043" i="49"/>
  <c r="Z37" i="49"/>
  <c r="AA37" i="49"/>
  <c r="Z12" i="49"/>
  <c r="AA12" i="49"/>
  <c r="Z71" i="49"/>
  <c r="AA71" i="49"/>
  <c r="Z83" i="49"/>
  <c r="AA83" i="49"/>
  <c r="Z894" i="49"/>
  <c r="AA894" i="49"/>
  <c r="Z877" i="49"/>
  <c r="AA877" i="49"/>
  <c r="Z127" i="49"/>
  <c r="AA127" i="49"/>
  <c r="Z160" i="49"/>
  <c r="AA160" i="49"/>
  <c r="Z172" i="49"/>
  <c r="AA172" i="49"/>
  <c r="Z224" i="49"/>
  <c r="AA224" i="49"/>
  <c r="Z106" i="49"/>
  <c r="AA106" i="49"/>
  <c r="Z98" i="49"/>
  <c r="AA98" i="49"/>
  <c r="Z1149" i="49"/>
  <c r="AA1149" i="49"/>
  <c r="Z938" i="49"/>
  <c r="AA938" i="49"/>
  <c r="Z975" i="49"/>
  <c r="AA975" i="49"/>
  <c r="Z989" i="49"/>
  <c r="AA989" i="49"/>
  <c r="Z906" i="49"/>
  <c r="AA906" i="49"/>
  <c r="Z918" i="49"/>
  <c r="AA918" i="49"/>
  <c r="AA251" i="49"/>
  <c r="Z263" i="49"/>
  <c r="AA263" i="49"/>
  <c r="Z275" i="49"/>
  <c r="AA275" i="49"/>
  <c r="Z287" i="49"/>
  <c r="AA287" i="49"/>
  <c r="Z450" i="49"/>
  <c r="AA450" i="49"/>
  <c r="Z690" i="49"/>
  <c r="AA690" i="49"/>
  <c r="Z707" i="49"/>
  <c r="AA707" i="49"/>
  <c r="Z651" i="49"/>
  <c r="AA651" i="49"/>
  <c r="Z710" i="49"/>
  <c r="AA710" i="49"/>
  <c r="Z456" i="49"/>
  <c r="AA456" i="49"/>
  <c r="Z468" i="49"/>
  <c r="AA468" i="49"/>
  <c r="Z480" i="49"/>
  <c r="AA480" i="49"/>
  <c r="Z626" i="49"/>
  <c r="AA626" i="49"/>
  <c r="Z638" i="49"/>
  <c r="AA638" i="49"/>
  <c r="Z560" i="49"/>
  <c r="AA560" i="49"/>
  <c r="Z857" i="49"/>
  <c r="AA857" i="49"/>
  <c r="Z738" i="49"/>
  <c r="AA738" i="49"/>
  <c r="Z750" i="49"/>
  <c r="AA750" i="49"/>
  <c r="Z762" i="49"/>
  <c r="AA762" i="49"/>
  <c r="Z785" i="49"/>
  <c r="AA785" i="49"/>
  <c r="Z801" i="49"/>
  <c r="AA801" i="49"/>
  <c r="Z816" i="49"/>
  <c r="AA816" i="49"/>
  <c r="Z589" i="49"/>
  <c r="AA589" i="49"/>
  <c r="Z601" i="49"/>
  <c r="AA601" i="49"/>
  <c r="Z1055" i="49"/>
  <c r="AA1055" i="49"/>
  <c r="Z1067" i="49"/>
  <c r="AA1067" i="49"/>
  <c r="Z1070" i="49"/>
  <c r="AA1070" i="49"/>
  <c r="Z1082" i="49"/>
  <c r="AA1082" i="49"/>
  <c r="Z1094" i="49"/>
  <c r="AA1094" i="49"/>
  <c r="Z1106" i="49"/>
  <c r="AA1106" i="49"/>
  <c r="Z1118" i="49"/>
  <c r="AA1118" i="49"/>
  <c r="Z1130" i="49"/>
  <c r="AA1130" i="49"/>
  <c r="Z1147" i="49"/>
  <c r="AA1147" i="49"/>
  <c r="Z435" i="49"/>
  <c r="AA435" i="49"/>
  <c r="Z423" i="49"/>
  <c r="AA423" i="49"/>
  <c r="Z6" i="49"/>
  <c r="AA6" i="49"/>
  <c r="Z166" i="49"/>
  <c r="AA166" i="49"/>
  <c r="Z104" i="49"/>
  <c r="AA104" i="49"/>
  <c r="Z924" i="49"/>
  <c r="AA924" i="49"/>
  <c r="Z269" i="49"/>
  <c r="AA269" i="49"/>
  <c r="Z700" i="49"/>
  <c r="AA700" i="49"/>
  <c r="Z474" i="49"/>
  <c r="AA474" i="49"/>
  <c r="Z756" i="49"/>
  <c r="AA756" i="49"/>
  <c r="Z595" i="49"/>
  <c r="AA595" i="49"/>
  <c r="Z1100" i="49"/>
  <c r="AA1100" i="49"/>
  <c r="Z32" i="49"/>
  <c r="AA32" i="49"/>
  <c r="Z889" i="49"/>
  <c r="AA889" i="49"/>
  <c r="Z231" i="49"/>
  <c r="AA231" i="49"/>
  <c r="Z913" i="49"/>
  <c r="AA913" i="49"/>
  <c r="Z445" i="49"/>
  <c r="AA445" i="49"/>
  <c r="Z463" i="49"/>
  <c r="AA463" i="49"/>
  <c r="Z745" i="49"/>
  <c r="AA745" i="49"/>
  <c r="Z596" i="49"/>
  <c r="AA596" i="49"/>
  <c r="Z1101" i="49"/>
  <c r="AA1101" i="49"/>
  <c r="Z33" i="49"/>
  <c r="AA33" i="49"/>
  <c r="Z232" i="49"/>
  <c r="AA232" i="49"/>
  <c r="Z926" i="49"/>
  <c r="AA926" i="49"/>
  <c r="Z446" i="49"/>
  <c r="AA446" i="49"/>
  <c r="Z476" i="49"/>
  <c r="AA476" i="49"/>
  <c r="Z865" i="49"/>
  <c r="AA865" i="49"/>
  <c r="Z812" i="49"/>
  <c r="AA812" i="49"/>
  <c r="Z1090" i="49"/>
  <c r="AA1090" i="49"/>
  <c r="Z34" i="49"/>
  <c r="AA34" i="49"/>
  <c r="Z891" i="49"/>
  <c r="AA891" i="49"/>
  <c r="Z95" i="49"/>
  <c r="AA95" i="49"/>
  <c r="Z915" i="49"/>
  <c r="AA915" i="49"/>
  <c r="Z447" i="49"/>
  <c r="AA447" i="49"/>
  <c r="Z477" i="49"/>
  <c r="AA477" i="49"/>
  <c r="Z747" i="49"/>
  <c r="AA747" i="49"/>
  <c r="Z598" i="49"/>
  <c r="AA598" i="49"/>
  <c r="Z1127" i="49"/>
  <c r="AA1127" i="49"/>
  <c r="Z81" i="49"/>
  <c r="AA81" i="49"/>
  <c r="Z125" i="49"/>
  <c r="AA125" i="49"/>
  <c r="Z936" i="49"/>
  <c r="AA936" i="49"/>
  <c r="Z273" i="49"/>
  <c r="AA273" i="49"/>
  <c r="Z714" i="49"/>
  <c r="AA714" i="49"/>
  <c r="Z867" i="49"/>
  <c r="AA867" i="49"/>
  <c r="Z599" i="49"/>
  <c r="AA599" i="49"/>
  <c r="Z1116" i="49"/>
  <c r="AA1116" i="49"/>
  <c r="Z1044" i="49"/>
  <c r="AA1044" i="49"/>
  <c r="Z38" i="49"/>
  <c r="AA38" i="49"/>
  <c r="Z13" i="49"/>
  <c r="AA13" i="49"/>
  <c r="Z72" i="49"/>
  <c r="AA72" i="49"/>
  <c r="Z84" i="49"/>
  <c r="AA84" i="49"/>
  <c r="Z883" i="49"/>
  <c r="AA883" i="49"/>
  <c r="Z895" i="49"/>
  <c r="AA895" i="49"/>
  <c r="Z878" i="49"/>
  <c r="AA878" i="49"/>
  <c r="Z128" i="49"/>
  <c r="AA128" i="49"/>
  <c r="Z161" i="49"/>
  <c r="AA161" i="49"/>
  <c r="Z173" i="49"/>
  <c r="AA173" i="49"/>
  <c r="Z225" i="49"/>
  <c r="AA225" i="49"/>
  <c r="Z107" i="49"/>
  <c r="AA107" i="49"/>
  <c r="Z99" i="49"/>
  <c r="AA99" i="49"/>
  <c r="Z1150" i="49"/>
  <c r="AA1150" i="49"/>
  <c r="Z939" i="49"/>
  <c r="AA939" i="49"/>
  <c r="Z976" i="49"/>
  <c r="AA976" i="49"/>
  <c r="Z990" i="49"/>
  <c r="AA990" i="49"/>
  <c r="Z907" i="49"/>
  <c r="AA907" i="49"/>
  <c r="Z919" i="49"/>
  <c r="AA919" i="49"/>
  <c r="Z252" i="49"/>
  <c r="AA252" i="49"/>
  <c r="Z264" i="49"/>
  <c r="AA264" i="49"/>
  <c r="Z276" i="49"/>
  <c r="AA276" i="49"/>
  <c r="Z451" i="49"/>
  <c r="AA451" i="49"/>
  <c r="Z656" i="49"/>
  <c r="AA656" i="49"/>
  <c r="Z691" i="49"/>
  <c r="AA691" i="49"/>
  <c r="Z720" i="49"/>
  <c r="AA720" i="49"/>
  <c r="Z708" i="49"/>
  <c r="AA708" i="49"/>
  <c r="Z457" i="49"/>
  <c r="AA457" i="49"/>
  <c r="Z469" i="49"/>
  <c r="AA469" i="49"/>
  <c r="Z481" i="49"/>
  <c r="AA481" i="49"/>
  <c r="Z627" i="49"/>
  <c r="AA627" i="49"/>
  <c r="Z639" i="49"/>
  <c r="AA639" i="49"/>
  <c r="Z561" i="49"/>
  <c r="AA561" i="49"/>
  <c r="Z858" i="49"/>
  <c r="AA858" i="49"/>
  <c r="Z740" i="49"/>
  <c r="AA740" i="49"/>
  <c r="Z751" i="49"/>
  <c r="AA751" i="49"/>
  <c r="Z763" i="49"/>
  <c r="AA763" i="49"/>
  <c r="Z789" i="49"/>
  <c r="AA789" i="49"/>
  <c r="Z802" i="49"/>
  <c r="AA802" i="49"/>
  <c r="Z817" i="49"/>
  <c r="AA817" i="49"/>
  <c r="Z590" i="49"/>
  <c r="AA590" i="49"/>
  <c r="Z602" i="49"/>
  <c r="AA602" i="49"/>
  <c r="Z1056" i="49"/>
  <c r="AA1056" i="49"/>
  <c r="Z1068" i="49"/>
  <c r="AA1068" i="49"/>
  <c r="Z1071" i="49"/>
  <c r="AA1071" i="49"/>
  <c r="Z1083" i="49"/>
  <c r="AA1083" i="49"/>
  <c r="Z1095" i="49"/>
  <c r="AA1095" i="49"/>
  <c r="Z1107" i="49"/>
  <c r="AA1107" i="49"/>
  <c r="Z1119" i="49"/>
  <c r="AA1119" i="49"/>
  <c r="Z1131" i="49"/>
  <c r="AA1131" i="49"/>
  <c r="Z1148" i="49"/>
  <c r="AA1148" i="49"/>
  <c r="Z436" i="49"/>
  <c r="AA436" i="49"/>
  <c r="Z424" i="49"/>
  <c r="AA424" i="49"/>
  <c r="Z65" i="49"/>
  <c r="AA65" i="49"/>
  <c r="Z888" i="49"/>
  <c r="AA888" i="49"/>
  <c r="Z218" i="49"/>
  <c r="AA218" i="49"/>
  <c r="Z969" i="49"/>
  <c r="AA969" i="49"/>
  <c r="Z444" i="49"/>
  <c r="AA444" i="49"/>
  <c r="Z833" i="49"/>
  <c r="AA833" i="49"/>
  <c r="Z632" i="49"/>
  <c r="AA632" i="49"/>
  <c r="Z794" i="49"/>
  <c r="AA794" i="49"/>
  <c r="Z1049" i="49"/>
  <c r="AA1049" i="49"/>
  <c r="Z1141" i="49"/>
  <c r="AA1141" i="49"/>
  <c r="Z90" i="49"/>
  <c r="AA90" i="49"/>
  <c r="Z872" i="49"/>
  <c r="AA872" i="49"/>
  <c r="Z982" i="49"/>
  <c r="AA982" i="49"/>
  <c r="Z258" i="49"/>
  <c r="AA258" i="49"/>
  <c r="Z717" i="49"/>
  <c r="AA717" i="49"/>
  <c r="Z633" i="49"/>
  <c r="AA633" i="49"/>
  <c r="Z795" i="49"/>
  <c r="AA795" i="49"/>
  <c r="Z1077" i="49"/>
  <c r="AA1077" i="49"/>
  <c r="Z8" i="49"/>
  <c r="AA8" i="49"/>
  <c r="Z135" i="49"/>
  <c r="AA135" i="49"/>
  <c r="Z971" i="49"/>
  <c r="AA971" i="49"/>
  <c r="Z259" i="49"/>
  <c r="AA259" i="49"/>
  <c r="Z718" i="49"/>
  <c r="AA718" i="49"/>
  <c r="Z568" i="49"/>
  <c r="AA568" i="49"/>
  <c r="Z597" i="49"/>
  <c r="AA597" i="49"/>
  <c r="Z1114" i="49"/>
  <c r="AA1114" i="49"/>
  <c r="Z80" i="49"/>
  <c r="AA80" i="49"/>
  <c r="Z874" i="49"/>
  <c r="AA874" i="49"/>
  <c r="Z1031" i="49"/>
  <c r="AA1031" i="49"/>
  <c r="Z238" i="49"/>
  <c r="AA238" i="49"/>
  <c r="Z716" i="49"/>
  <c r="AA716" i="49"/>
  <c r="Z759" i="49"/>
  <c r="AA759" i="49"/>
  <c r="Z610" i="49"/>
  <c r="AA610" i="49"/>
  <c r="Z1144" i="49"/>
  <c r="AA1144" i="49"/>
  <c r="Z432" i="49"/>
  <c r="AA432" i="49"/>
  <c r="Z69" i="49"/>
  <c r="AA69" i="49"/>
  <c r="Z234" i="49"/>
  <c r="AA234" i="49"/>
  <c r="Z727" i="49"/>
  <c r="AA727" i="49"/>
  <c r="Z636" i="49"/>
  <c r="AA636" i="49"/>
  <c r="Z748" i="49"/>
  <c r="AA748" i="49"/>
  <c r="Z1065" i="49"/>
  <c r="AA1065" i="49"/>
  <c r="Z1145" i="49"/>
  <c r="AA1145" i="49"/>
  <c r="Z27" i="49"/>
  <c r="AA27" i="49"/>
  <c r="Z2" i="49"/>
  <c r="AA2" i="49"/>
  <c r="Z14" i="49"/>
  <c r="AA14" i="49"/>
  <c r="Z73" i="49"/>
  <c r="AA73" i="49"/>
  <c r="Z85" i="49"/>
  <c r="AA85" i="49"/>
  <c r="Z884" i="49"/>
  <c r="AA884" i="49"/>
  <c r="Z896" i="49"/>
  <c r="AA896" i="49"/>
  <c r="Z879" i="49"/>
  <c r="AA879" i="49"/>
  <c r="Z129" i="49"/>
  <c r="AA129" i="49"/>
  <c r="Z162" i="49"/>
  <c r="AA162" i="49"/>
  <c r="Z174" i="49"/>
  <c r="AA174" i="49"/>
  <c r="Z226" i="49"/>
  <c r="AA226" i="49"/>
  <c r="Z108" i="49"/>
  <c r="AA108" i="49"/>
  <c r="Z100" i="49"/>
  <c r="AA100" i="49"/>
  <c r="Z1151" i="49"/>
  <c r="AA1151" i="49"/>
  <c r="Z940" i="49"/>
  <c r="AA940" i="49"/>
  <c r="Z977" i="49"/>
  <c r="AA977" i="49"/>
  <c r="Z908" i="49"/>
  <c r="AA908" i="49"/>
  <c r="Z920" i="49"/>
  <c r="AA920" i="49"/>
  <c r="Z241" i="49"/>
  <c r="AA241" i="49"/>
  <c r="Z253" i="49"/>
  <c r="AA253" i="49"/>
  <c r="Z265" i="49"/>
  <c r="AA265" i="49"/>
  <c r="Z277" i="49"/>
  <c r="AA277" i="49"/>
  <c r="Z452" i="49"/>
  <c r="AA452" i="49"/>
  <c r="Z654" i="49"/>
  <c r="AA654" i="49"/>
  <c r="Z693" i="49"/>
  <c r="AA693" i="49"/>
  <c r="Z657" i="49"/>
  <c r="AA657" i="49"/>
  <c r="Z705" i="49"/>
  <c r="AA705" i="49"/>
  <c r="Z458" i="49"/>
  <c r="AA458" i="49"/>
  <c r="Z470" i="49"/>
  <c r="AA470" i="49"/>
  <c r="Z482" i="49"/>
  <c r="AA482" i="49"/>
  <c r="Z628" i="49"/>
  <c r="AA628" i="49"/>
  <c r="Z640" i="49"/>
  <c r="AA640" i="49"/>
  <c r="Z562" i="49"/>
  <c r="AA562" i="49"/>
  <c r="Z859" i="49"/>
  <c r="AA859" i="49"/>
  <c r="Z739" i="49"/>
  <c r="AA739" i="49"/>
  <c r="Z752" i="49"/>
  <c r="AA752" i="49"/>
  <c r="Z764" i="49"/>
  <c r="AA764" i="49"/>
  <c r="Z790" i="49"/>
  <c r="AA790" i="49"/>
  <c r="Z803" i="49"/>
  <c r="AA803" i="49"/>
  <c r="Z818" i="49"/>
  <c r="AA818" i="49"/>
  <c r="Z591" i="49"/>
  <c r="AA591" i="49"/>
  <c r="Z603" i="49"/>
  <c r="AA603" i="49"/>
  <c r="Z1057" i="49"/>
  <c r="AA1057" i="49"/>
  <c r="Z1045" i="49"/>
  <c r="AA1045" i="49"/>
  <c r="Z1072" i="49"/>
  <c r="AA1072" i="49"/>
  <c r="Z1084" i="49"/>
  <c r="AA1084" i="49"/>
  <c r="Z1096" i="49"/>
  <c r="AA1096" i="49"/>
  <c r="Z1108" i="49"/>
  <c r="AA1108" i="49"/>
  <c r="Z1120" i="49"/>
  <c r="AA1120" i="49"/>
  <c r="Z1132" i="49"/>
  <c r="AA1132" i="49"/>
  <c r="Z437" i="49"/>
  <c r="AA437" i="49"/>
  <c r="Z425" i="49"/>
  <c r="AA425" i="49"/>
  <c r="Q251" i="52"/>
  <c r="Q878" i="52"/>
  <c r="Q119" i="52"/>
  <c r="Q330" i="52"/>
  <c r="Q563" i="52"/>
  <c r="Q552" i="52"/>
  <c r="Q529" i="52"/>
  <c r="Q494" i="52"/>
  <c r="Q445" i="52"/>
  <c r="Q1026" i="52"/>
  <c r="Q87" i="52"/>
  <c r="Q159" i="52"/>
  <c r="Q301" i="52"/>
  <c r="Q104" i="52"/>
  <c r="Q8" i="52"/>
  <c r="Q40" i="52"/>
  <c r="Q56" i="52"/>
  <c r="Q34" i="52"/>
  <c r="Q318" i="52"/>
  <c r="Q176" i="52"/>
  <c r="Q10" i="52"/>
  <c r="Q356" i="52"/>
  <c r="Q13" i="52"/>
  <c r="Q186" i="52"/>
  <c r="Q144" i="52"/>
  <c r="Q353" i="52"/>
  <c r="Q133" i="52"/>
  <c r="Q383" i="52"/>
  <c r="Q396" i="52"/>
  <c r="Q336" i="52"/>
  <c r="Q147" i="52"/>
  <c r="Q313" i="52"/>
  <c r="Q219" i="52"/>
  <c r="Q67" i="52"/>
  <c r="Q423" i="52"/>
  <c r="Q559" i="52"/>
  <c r="Q702" i="52"/>
  <c r="Q846" i="52"/>
  <c r="Q989" i="52"/>
  <c r="Q479" i="52"/>
  <c r="Q619" i="52"/>
  <c r="Q763" i="52"/>
  <c r="Q906" i="52"/>
  <c r="Q1061" i="52"/>
  <c r="Q184" i="52"/>
  <c r="Q326" i="52"/>
  <c r="Q480" i="52"/>
  <c r="Q620" i="52"/>
  <c r="Q764" i="52"/>
  <c r="Q907" i="52"/>
  <c r="Q1062" i="52"/>
  <c r="Q197" i="52"/>
  <c r="Q338" i="52"/>
  <c r="Q493" i="52"/>
  <c r="Q633" i="52"/>
  <c r="Q777" i="52"/>
  <c r="Q920" i="52"/>
  <c r="Q1063" i="52"/>
  <c r="Q634" i="52"/>
  <c r="Q778" i="52"/>
  <c r="Q921" i="52"/>
  <c r="Q1064" i="52"/>
  <c r="Q199" i="52"/>
  <c r="Q340" i="52"/>
  <c r="Q483" i="52"/>
  <c r="Q671" i="52"/>
  <c r="Q815" i="52"/>
  <c r="Q958" i="52"/>
  <c r="Q460" i="52"/>
  <c r="Q600" i="52"/>
  <c r="Q744" i="52"/>
  <c r="Q887" i="52"/>
  <c r="Q1030" i="52"/>
  <c r="Q154" i="52"/>
  <c r="Q296" i="52"/>
  <c r="Q99" i="52"/>
  <c r="Q257" i="52"/>
  <c r="Q46" i="52"/>
  <c r="Q139" i="52"/>
  <c r="Q188" i="52"/>
  <c r="Q12" i="52"/>
  <c r="Q368" i="52"/>
  <c r="Q25" i="52"/>
  <c r="Q234" i="52"/>
  <c r="Q156" i="52"/>
  <c r="Q413" i="52"/>
  <c r="Q145" i="52"/>
  <c r="Q395" i="52"/>
  <c r="Q420" i="52"/>
  <c r="Q348" i="52"/>
  <c r="Q170" i="52"/>
  <c r="Q325" i="52"/>
  <c r="Q231" i="52"/>
  <c r="Q79" i="52"/>
  <c r="Q435" i="52"/>
  <c r="Q570" i="52"/>
  <c r="Q714" i="52"/>
  <c r="Q858" i="52"/>
  <c r="Q1001" i="52"/>
  <c r="Q491" i="52"/>
  <c r="Q631" i="52"/>
  <c r="Q775" i="52"/>
  <c r="Q918" i="52"/>
  <c r="Q1073" i="52"/>
  <c r="Q196" i="52"/>
  <c r="Q337" i="52"/>
  <c r="Q492" i="52"/>
  <c r="Q632" i="52"/>
  <c r="Q776" i="52"/>
  <c r="Q919" i="52"/>
  <c r="Q1074" i="52"/>
  <c r="Q209" i="52"/>
  <c r="Q350" i="52"/>
  <c r="Q30" i="52"/>
  <c r="Q269" i="52"/>
  <c r="Q58" i="52"/>
  <c r="Q365" i="52"/>
  <c r="Q200" i="52"/>
  <c r="Q36" i="52"/>
  <c r="Q380" i="52"/>
  <c r="Q37" i="52"/>
  <c r="Q377" i="52"/>
  <c r="Q167" i="52"/>
  <c r="Q4" i="52"/>
  <c r="Q157" i="52"/>
  <c r="Q407" i="52"/>
  <c r="Q33" i="52"/>
  <c r="Q372" i="52"/>
  <c r="Q182" i="52"/>
  <c r="Q16" i="52"/>
  <c r="Q243" i="52"/>
  <c r="Q90" i="52"/>
  <c r="Q443" i="52"/>
  <c r="Q582" i="52"/>
  <c r="Q726" i="52"/>
  <c r="Q870" i="52"/>
  <c r="Q1013" i="52"/>
  <c r="Q502" i="52"/>
  <c r="Q643" i="52"/>
  <c r="Q787" i="52"/>
  <c r="Q930" i="52"/>
  <c r="Q68" i="52"/>
  <c r="Q208" i="52"/>
  <c r="Q349" i="52"/>
  <c r="Q503" i="52"/>
  <c r="Q644" i="52"/>
  <c r="Q788" i="52"/>
  <c r="Q931" i="52"/>
  <c r="Q69" i="52"/>
  <c r="Q221" i="52"/>
  <c r="Q362" i="52"/>
  <c r="Q516" i="52"/>
  <c r="Q657" i="52"/>
  <c r="Q801" i="52"/>
  <c r="Q944" i="52"/>
  <c r="Q54" i="52"/>
  <c r="Q281" i="52"/>
  <c r="Q70" i="52"/>
  <c r="Q23" i="52"/>
  <c r="Q212" i="52"/>
  <c r="Q48" i="52"/>
  <c r="Q392" i="52"/>
  <c r="Q49" i="52"/>
  <c r="Q425" i="52"/>
  <c r="Q179" i="52"/>
  <c r="Q15" i="52"/>
  <c r="Q168" i="52"/>
  <c r="Q419" i="52"/>
  <c r="Q162" i="52"/>
  <c r="Q408" i="52"/>
  <c r="Q194" i="52"/>
  <c r="Q64" i="52"/>
  <c r="Q446" i="52"/>
  <c r="Q102" i="52"/>
  <c r="Q454" i="52"/>
  <c r="Q594" i="52"/>
  <c r="Q738" i="52"/>
  <c r="Q881" i="52"/>
  <c r="Q1025" i="52"/>
  <c r="Q514" i="52"/>
  <c r="Q655" i="52"/>
  <c r="Q799" i="52"/>
  <c r="Q942" i="52"/>
  <c r="Q80" i="52"/>
  <c r="Q220" i="52"/>
  <c r="Q361" i="52"/>
  <c r="Q515" i="52"/>
  <c r="Q656" i="52"/>
  <c r="Q800" i="52"/>
  <c r="Q943" i="52"/>
  <c r="Q81" i="52"/>
  <c r="Q89" i="52"/>
  <c r="Q293" i="52"/>
  <c r="Q82" i="52"/>
  <c r="Q35" i="52"/>
  <c r="Q224" i="52"/>
  <c r="Q60" i="52"/>
  <c r="Q404" i="52"/>
  <c r="Q262" i="52"/>
  <c r="Q24" i="52"/>
  <c r="Q191" i="52"/>
  <c r="Q27" i="52"/>
  <c r="Q180" i="52"/>
  <c r="Q431" i="52"/>
  <c r="Q210" i="52"/>
  <c r="Q6" i="52"/>
  <c r="Q206" i="52"/>
  <c r="Q7" i="52"/>
  <c r="Q458" i="52"/>
  <c r="Q113" i="52"/>
  <c r="Q466" i="52"/>
  <c r="Q606" i="52"/>
  <c r="Q750" i="52"/>
  <c r="Q893" i="52"/>
  <c r="Q1036" i="52"/>
  <c r="Q526" i="52"/>
  <c r="Q667" i="52"/>
  <c r="Q811" i="52"/>
  <c r="Q954" i="52"/>
  <c r="Q91" i="52"/>
  <c r="Q232" i="52"/>
  <c r="Q373" i="52"/>
  <c r="Q527" i="52"/>
  <c r="Q668" i="52"/>
  <c r="Q812" i="52"/>
  <c r="Q955" i="52"/>
  <c r="Q92" i="52"/>
  <c r="Q245" i="52"/>
  <c r="Q386" i="52"/>
  <c r="Q101" i="52"/>
  <c r="Q304" i="52"/>
  <c r="Q93" i="52"/>
  <c r="Q47" i="52"/>
  <c r="Q236" i="52"/>
  <c r="Q72" i="52"/>
  <c r="Q416" i="52"/>
  <c r="Q274" i="52"/>
  <c r="Q3" i="52"/>
  <c r="Q203" i="52"/>
  <c r="Q39" i="52"/>
  <c r="Q192" i="52"/>
  <c r="Q57" i="52"/>
  <c r="Q341" i="52"/>
  <c r="Q17" i="52"/>
  <c r="Q218" i="52"/>
  <c r="Q42" i="52"/>
  <c r="Q28" i="52"/>
  <c r="Q339" i="52"/>
  <c r="Q478" i="52"/>
  <c r="Q618" i="52"/>
  <c r="Q762" i="52"/>
  <c r="Q905" i="52"/>
  <c r="Q1048" i="52"/>
  <c r="Q537" i="52"/>
  <c r="Q679" i="52"/>
  <c r="Q823" i="52"/>
  <c r="Q966" i="52"/>
  <c r="Q103" i="52"/>
  <c r="Q244" i="52"/>
  <c r="Q385" i="52"/>
  <c r="Q538" i="52"/>
  <c r="Q680" i="52"/>
  <c r="Q824" i="52"/>
  <c r="Q967" i="52"/>
  <c r="Q115" i="52"/>
  <c r="Q256" i="52"/>
  <c r="Q398" i="52"/>
  <c r="Q551" i="52"/>
  <c r="Q693" i="52"/>
  <c r="Q837" i="52"/>
  <c r="Q980" i="52"/>
  <c r="Q517" i="52"/>
  <c r="Q694" i="52"/>
  <c r="Q838" i="52"/>
  <c r="Q981" i="52"/>
  <c r="Q117" i="52"/>
  <c r="Q258" i="52"/>
  <c r="Q400" i="52"/>
  <c r="Q587" i="52"/>
  <c r="Q731" i="52"/>
  <c r="Q875" i="52"/>
  <c r="Q1018" i="52"/>
  <c r="Q519" i="52"/>
  <c r="Q660" i="52"/>
  <c r="Q804" i="52"/>
  <c r="Q947" i="52"/>
  <c r="Q61" i="52"/>
  <c r="Q213" i="52"/>
  <c r="Q366" i="52"/>
  <c r="Q508" i="52"/>
  <c r="Q649" i="52"/>
  <c r="Q793" i="52"/>
  <c r="Q936" i="52"/>
  <c r="Q62" i="52"/>
  <c r="Q214" i="52"/>
  <c r="Q355" i="52"/>
  <c r="Q497" i="52"/>
  <c r="Q638" i="52"/>
  <c r="Q782" i="52"/>
  <c r="Q937" i="52"/>
  <c r="Q487" i="52"/>
  <c r="Q627" i="52"/>
  <c r="Q771" i="52"/>
  <c r="Q926" i="52"/>
  <c r="Q1069" i="52"/>
  <c r="Q369" i="52"/>
  <c r="Q511" i="52"/>
  <c r="Q652" i="52"/>
  <c r="Q796" i="52"/>
  <c r="Q939" i="52"/>
  <c r="Q77" i="52"/>
  <c r="Q217" i="52"/>
  <c r="Q358" i="52"/>
  <c r="Q500" i="52"/>
  <c r="Q124" i="52"/>
  <c r="Q316" i="52"/>
  <c r="Q116" i="52"/>
  <c r="Q59" i="52"/>
  <c r="Q248" i="52"/>
  <c r="Q84" i="52"/>
  <c r="Q428" i="52"/>
  <c r="Q286" i="52"/>
  <c r="Q14" i="52"/>
  <c r="Q215" i="52"/>
  <c r="Q51" i="52"/>
  <c r="Q204" i="52"/>
  <c r="Q76" i="52"/>
  <c r="Q5" i="52"/>
  <c r="Q29" i="52"/>
  <c r="Q230" i="52"/>
  <c r="Q78" i="52"/>
  <c r="Q18" i="52"/>
  <c r="Q351" i="52"/>
  <c r="Q490" i="52"/>
  <c r="Q630" i="52"/>
  <c r="Q774" i="52"/>
  <c r="Q917" i="52"/>
  <c r="Q1060" i="52"/>
  <c r="Q549" i="52"/>
  <c r="Q691" i="52"/>
  <c r="Q835" i="52"/>
  <c r="Q978" i="52"/>
  <c r="Q114" i="52"/>
  <c r="Q255" i="52"/>
  <c r="Q397" i="52"/>
  <c r="Q550" i="52"/>
  <c r="Q692" i="52"/>
  <c r="Q836" i="52"/>
  <c r="Q979" i="52"/>
  <c r="Q126" i="52"/>
  <c r="Q268" i="52"/>
  <c r="Q410" i="52"/>
  <c r="Q562" i="52"/>
  <c r="Q705" i="52"/>
  <c r="Q849" i="52"/>
  <c r="Q992" i="52"/>
  <c r="Q540" i="52"/>
  <c r="Q706" i="52"/>
  <c r="Q850" i="52"/>
  <c r="Q993" i="52"/>
  <c r="Q128" i="52"/>
  <c r="Q270" i="52"/>
  <c r="Q412" i="52"/>
  <c r="Q599" i="52"/>
  <c r="Q743" i="52"/>
  <c r="Q886" i="52"/>
  <c r="Q1029" i="52"/>
  <c r="Q530" i="52"/>
  <c r="Q672" i="52"/>
  <c r="Q816" i="52"/>
  <c r="Q959" i="52"/>
  <c r="Q73" i="52"/>
  <c r="Q225" i="52"/>
  <c r="Q378" i="52"/>
  <c r="Q520" i="52"/>
  <c r="Q661" i="52"/>
  <c r="Q805" i="52"/>
  <c r="Q948" i="52"/>
  <c r="Q74" i="52"/>
  <c r="Q226" i="52"/>
  <c r="Q367" i="52"/>
  <c r="Q509" i="52"/>
  <c r="Q650" i="52"/>
  <c r="Q794" i="52"/>
  <c r="Q949" i="52"/>
  <c r="Q498" i="52"/>
  <c r="Q639" i="52"/>
  <c r="Q783" i="52"/>
  <c r="Q938" i="52"/>
  <c r="Q228" i="52"/>
  <c r="Q381" i="52"/>
  <c r="Q523" i="52"/>
  <c r="Q664" i="52"/>
  <c r="Q808" i="52"/>
  <c r="Q951" i="52"/>
  <c r="Q88" i="52"/>
  <c r="Q148" i="52"/>
  <c r="Q328" i="52"/>
  <c r="Q259" i="52"/>
  <c r="Q71" i="52"/>
  <c r="Q451" i="52"/>
  <c r="Q95" i="52"/>
  <c r="Q440" i="52"/>
  <c r="Q298" i="52"/>
  <c r="Q26" i="52"/>
  <c r="Q227" i="52"/>
  <c r="Q63" i="52"/>
  <c r="Q216" i="52"/>
  <c r="Q265" i="52"/>
  <c r="Q52" i="52"/>
  <c r="Q41" i="52"/>
  <c r="Q242" i="52"/>
  <c r="Q112" i="52"/>
  <c r="Q66" i="52"/>
  <c r="Q363" i="52"/>
  <c r="Q501" i="52"/>
  <c r="Q642" i="52"/>
  <c r="Q786" i="52"/>
  <c r="Q929" i="52"/>
  <c r="Q1072" i="52"/>
  <c r="Q560" i="52"/>
  <c r="Q703" i="52"/>
  <c r="Q847" i="52"/>
  <c r="Q990" i="52"/>
  <c r="Q125" i="52"/>
  <c r="Q267" i="52"/>
  <c r="Q409" i="52"/>
  <c r="Q561" i="52"/>
  <c r="Q704" i="52"/>
  <c r="Q848" i="52"/>
  <c r="Q991" i="52"/>
  <c r="Q138" i="52"/>
  <c r="Q280" i="52"/>
  <c r="Q422" i="52"/>
  <c r="Q573" i="52"/>
  <c r="Q717" i="52"/>
  <c r="Q861" i="52"/>
  <c r="Q1004" i="52"/>
  <c r="Q574" i="52"/>
  <c r="Q718" i="52"/>
  <c r="Q862" i="52"/>
  <c r="Q1005" i="52"/>
  <c r="Q140" i="52"/>
  <c r="Q282" i="52"/>
  <c r="Q424" i="52"/>
  <c r="Q611" i="52"/>
  <c r="Q755" i="52"/>
  <c r="Q898" i="52"/>
  <c r="Q1041" i="52"/>
  <c r="Q542" i="52"/>
  <c r="Q684" i="52"/>
  <c r="Q828" i="52"/>
  <c r="Q971" i="52"/>
  <c r="Q85" i="52"/>
  <c r="Q237" i="52"/>
  <c r="Q390" i="52"/>
  <c r="Q531" i="52"/>
  <c r="Q673" i="52"/>
  <c r="Q817" i="52"/>
  <c r="Q960" i="52"/>
  <c r="Q86" i="52"/>
  <c r="Q238" i="52"/>
  <c r="Q379" i="52"/>
  <c r="Q521" i="52"/>
  <c r="Q662" i="52"/>
  <c r="Q806" i="52"/>
  <c r="Q961" i="52"/>
  <c r="Q183" i="52"/>
  <c r="Q45" i="52"/>
  <c r="Q271" i="52"/>
  <c r="Q129" i="52"/>
  <c r="Q463" i="52"/>
  <c r="Q106" i="52"/>
  <c r="Q174" i="52"/>
  <c r="Q309" i="52"/>
  <c r="Q38" i="52"/>
  <c r="Q239" i="52"/>
  <c r="Q75" i="52"/>
  <c r="Q335" i="52"/>
  <c r="Q289" i="52"/>
  <c r="Q110" i="52"/>
  <c r="Q53" i="52"/>
  <c r="Q254" i="52"/>
  <c r="Q136" i="52"/>
  <c r="Q19" i="52"/>
  <c r="Q375" i="52"/>
  <c r="Q513" i="52"/>
  <c r="Q654" i="52"/>
  <c r="Q798" i="52"/>
  <c r="Q941" i="52"/>
  <c r="Q432" i="52"/>
  <c r="Q571" i="52"/>
  <c r="Q715" i="52"/>
  <c r="Q859" i="52"/>
  <c r="Q1002" i="52"/>
  <c r="Q137" i="52"/>
  <c r="Q279" i="52"/>
  <c r="Q421" i="52"/>
  <c r="Q572" i="52"/>
  <c r="Q716" i="52"/>
  <c r="Q860" i="52"/>
  <c r="Q1003" i="52"/>
  <c r="Q150" i="52"/>
  <c r="Q292" i="52"/>
  <c r="Q434" i="52"/>
  <c r="Q585" i="52"/>
  <c r="Q729" i="52"/>
  <c r="Q873" i="52"/>
  <c r="Q1016" i="52"/>
  <c r="Q586" i="52"/>
  <c r="Q730" i="52"/>
  <c r="Q874" i="52"/>
  <c r="Q1017" i="52"/>
  <c r="Q152" i="52"/>
  <c r="Q294" i="52"/>
  <c r="Q436" i="52"/>
  <c r="Q623" i="52"/>
  <c r="Q767" i="52"/>
  <c r="Q910" i="52"/>
  <c r="Q1053" i="52"/>
  <c r="Q553" i="52"/>
  <c r="Q696" i="52"/>
  <c r="Q840" i="52"/>
  <c r="Q983" i="52"/>
  <c r="Q96" i="52"/>
  <c r="Q249" i="52"/>
  <c r="Q402" i="52"/>
  <c r="Q543" i="52"/>
  <c r="Q685" i="52"/>
  <c r="Q829" i="52"/>
  <c r="Q972" i="52"/>
  <c r="Q97" i="52"/>
  <c r="Q250" i="52"/>
  <c r="Q391" i="52"/>
  <c r="Q532" i="52"/>
  <c r="Q674" i="52"/>
  <c r="Q818" i="52"/>
  <c r="Q973" i="52"/>
  <c r="Q20" i="52"/>
  <c r="Q222" i="52"/>
  <c r="Q283" i="52"/>
  <c r="Q141" i="52"/>
  <c r="Q475" i="52"/>
  <c r="Q118" i="52"/>
  <c r="Q401" i="52"/>
  <c r="Q321" i="52"/>
  <c r="Q50" i="52"/>
  <c r="Q21" i="52"/>
  <c r="Q98" i="52"/>
  <c r="Q347" i="52"/>
  <c r="Q324" i="52"/>
  <c r="Q253" i="52"/>
  <c r="Q65" i="52"/>
  <c r="Q266" i="52"/>
  <c r="Q171" i="52"/>
  <c r="Q31" i="52"/>
  <c r="Q387" i="52"/>
  <c r="Q525" i="52"/>
  <c r="Q666" i="52"/>
  <c r="Q810" i="52"/>
  <c r="Q953" i="52"/>
  <c r="Q444" i="52"/>
  <c r="Q583" i="52"/>
  <c r="Q727" i="52"/>
  <c r="Q871" i="52"/>
  <c r="Q1014" i="52"/>
  <c r="Q149" i="52"/>
  <c r="Q291" i="52"/>
  <c r="Q433" i="52"/>
  <c r="Q584" i="52"/>
  <c r="Q728" i="52"/>
  <c r="Q872" i="52"/>
  <c r="Q1015" i="52"/>
  <c r="Q161" i="52"/>
  <c r="Q303" i="52"/>
  <c r="Q457" i="52"/>
  <c r="Q597" i="52"/>
  <c r="Q741" i="52"/>
  <c r="Q884" i="52"/>
  <c r="Q1027" i="52"/>
  <c r="Q598" i="52"/>
  <c r="Q742" i="52"/>
  <c r="Q885" i="52"/>
  <c r="Q1028" i="52"/>
  <c r="Q163" i="52"/>
  <c r="Q305" i="52"/>
  <c r="Q447" i="52"/>
  <c r="Q635" i="52"/>
  <c r="Q779" i="52"/>
  <c r="Q922" i="52"/>
  <c r="Q1065" i="52"/>
  <c r="Q564" i="52"/>
  <c r="Q708" i="52"/>
  <c r="Q852" i="52"/>
  <c r="Q995" i="52"/>
  <c r="Q107" i="52"/>
  <c r="Q260" i="52"/>
  <c r="Q414" i="52"/>
  <c r="Q554" i="52"/>
  <c r="Q697" i="52"/>
  <c r="Q841" i="52"/>
  <c r="Q984" i="52"/>
  <c r="Q108" i="52"/>
  <c r="Q261" i="52"/>
  <c r="Q403" i="52"/>
  <c r="Q544" i="52"/>
  <c r="Q686" i="52"/>
  <c r="Q830" i="52"/>
  <c r="Q985" i="52"/>
  <c r="Q533" i="52"/>
  <c r="Q675" i="52"/>
  <c r="Q819" i="52"/>
  <c r="Q974" i="52"/>
  <c r="Q275" i="52"/>
  <c r="Q417" i="52"/>
  <c r="Q557" i="52"/>
  <c r="Q700" i="52"/>
  <c r="Q844" i="52"/>
  <c r="Q987" i="52"/>
  <c r="Q122" i="52"/>
  <c r="Q264" i="52"/>
  <c r="Q406" i="52"/>
  <c r="Q547" i="52"/>
  <c r="Q44" i="52"/>
  <c r="Q22" i="52"/>
  <c r="Q306" i="52"/>
  <c r="Q164" i="52"/>
  <c r="Q437" i="52"/>
  <c r="Q344" i="52"/>
  <c r="Q2" i="52"/>
  <c r="Q127" i="52"/>
  <c r="Q132" i="52"/>
  <c r="Q246" i="52"/>
  <c r="Q121" i="52"/>
  <c r="Q371" i="52"/>
  <c r="Q384" i="52"/>
  <c r="Q312" i="52"/>
  <c r="Q135" i="52"/>
  <c r="Q290" i="52"/>
  <c r="Q207" i="52"/>
  <c r="Q55" i="52"/>
  <c r="Q411" i="52"/>
  <c r="Q548" i="52"/>
  <c r="Q690" i="52"/>
  <c r="Q834" i="52"/>
  <c r="Q977" i="52"/>
  <c r="Q467" i="52"/>
  <c r="Q607" i="52"/>
  <c r="Q751" i="52"/>
  <c r="Q894" i="52"/>
  <c r="Q1049" i="52"/>
  <c r="Q172" i="52"/>
  <c r="Q314" i="52"/>
  <c r="Q468" i="52"/>
  <c r="Q608" i="52"/>
  <c r="Q752" i="52"/>
  <c r="Q895" i="52"/>
  <c r="Q1050" i="52"/>
  <c r="Q185" i="52"/>
  <c r="Q327" i="52"/>
  <c r="Q481" i="52"/>
  <c r="Q621" i="52"/>
  <c r="Q765" i="52"/>
  <c r="Q908" i="52"/>
  <c r="Q1051" i="52"/>
  <c r="Q622" i="52"/>
  <c r="Q766" i="52"/>
  <c r="Q909" i="52"/>
  <c r="Q1052" i="52"/>
  <c r="Q187" i="52"/>
  <c r="Q329" i="52"/>
  <c r="Q471" i="52"/>
  <c r="Q659" i="52"/>
  <c r="Q803" i="52"/>
  <c r="Q946" i="52"/>
  <c r="Q448" i="52"/>
  <c r="Q588" i="52"/>
  <c r="Q732" i="52"/>
  <c r="Q876" i="52"/>
  <c r="Q1019" i="52"/>
  <c r="Q32" i="52"/>
  <c r="Q360" i="52"/>
  <c r="Q595" i="52"/>
  <c r="Q233" i="52"/>
  <c r="Q789" i="52"/>
  <c r="Q610" i="52"/>
  <c r="Q945" i="52"/>
  <c r="Q247" i="52"/>
  <c r="Q683" i="52"/>
  <c r="Q994" i="52"/>
  <c r="Q720" i="52"/>
  <c r="Q1054" i="52"/>
  <c r="Q319" i="52"/>
  <c r="Q589" i="52"/>
  <c r="Q853" i="52"/>
  <c r="Q1055" i="52"/>
  <c r="Q308" i="52"/>
  <c r="Q566" i="52"/>
  <c r="Q770" i="52"/>
  <c r="Q1044" i="52"/>
  <c r="Q651" i="52"/>
  <c r="Q843" i="52"/>
  <c r="Q1033" i="52"/>
  <c r="Q393" i="52"/>
  <c r="Q580" i="52"/>
  <c r="Q760" i="52"/>
  <c r="Q963" i="52"/>
  <c r="Q146" i="52"/>
  <c r="Q311" i="52"/>
  <c r="Q477" i="52"/>
  <c r="Q641" i="52"/>
  <c r="Q785" i="52"/>
  <c r="Q928" i="52"/>
  <c r="Q1071" i="52"/>
  <c r="Q389" i="52"/>
  <c r="Q277" i="52"/>
  <c r="Q739" i="52"/>
  <c r="Q315" i="52"/>
  <c r="Q813" i="52"/>
  <c r="Q646" i="52"/>
  <c r="Q957" i="52"/>
  <c r="Q317" i="52"/>
  <c r="Q695" i="52"/>
  <c r="Q1006" i="52"/>
  <c r="Q756" i="52"/>
  <c r="Q1066" i="52"/>
  <c r="Q342" i="52"/>
  <c r="Q601" i="52"/>
  <c r="Q865" i="52"/>
  <c r="Q1067" i="52"/>
  <c r="Q320" i="52"/>
  <c r="Q578" i="52"/>
  <c r="Q842" i="52"/>
  <c r="Q1056" i="52"/>
  <c r="Q663" i="52"/>
  <c r="Q855" i="52"/>
  <c r="Q1045" i="52"/>
  <c r="Q405" i="52"/>
  <c r="Q592" i="52"/>
  <c r="Q772" i="52"/>
  <c r="Q975" i="52"/>
  <c r="Q158" i="52"/>
  <c r="Q323" i="52"/>
  <c r="Q489" i="52"/>
  <c r="Q653" i="52"/>
  <c r="Q797" i="52"/>
  <c r="Q940" i="52"/>
  <c r="Q295" i="52"/>
  <c r="Q123" i="52"/>
  <c r="Q882" i="52"/>
  <c r="Q374" i="52"/>
  <c r="Q825" i="52"/>
  <c r="Q658" i="52"/>
  <c r="Q969" i="52"/>
  <c r="Q352" i="52"/>
  <c r="Q707" i="52"/>
  <c r="Q1077" i="52"/>
  <c r="Q768" i="52"/>
  <c r="Q1078" i="52"/>
  <c r="Q354" i="52"/>
  <c r="Q613" i="52"/>
  <c r="Q877" i="52"/>
  <c r="Q131" i="52"/>
  <c r="Q331" i="52"/>
  <c r="Q590" i="52"/>
  <c r="Q854" i="52"/>
  <c r="Q1068" i="52"/>
  <c r="Q687" i="52"/>
  <c r="Q867" i="52"/>
  <c r="Q1057" i="52"/>
  <c r="Q429" i="52"/>
  <c r="Q604" i="52"/>
  <c r="Q784" i="52"/>
  <c r="Q999" i="52"/>
  <c r="Q169" i="52"/>
  <c r="Q334" i="52"/>
  <c r="Q512" i="52"/>
  <c r="Q665" i="52"/>
  <c r="Q809" i="52"/>
  <c r="Q952" i="52"/>
  <c r="Q153" i="52"/>
  <c r="Q278" i="52"/>
  <c r="Q1037" i="52"/>
  <c r="Q469" i="52"/>
  <c r="Q896" i="52"/>
  <c r="Q670" i="52"/>
  <c r="Q1040" i="52"/>
  <c r="Q364" i="52"/>
  <c r="Q719" i="52"/>
  <c r="Q472" i="52"/>
  <c r="Q780" i="52"/>
  <c r="Q130" i="52"/>
  <c r="Q426" i="52"/>
  <c r="Q625" i="52"/>
  <c r="Q888" i="52"/>
  <c r="Q143" i="52"/>
  <c r="Q343" i="52"/>
  <c r="Q602" i="52"/>
  <c r="Q866" i="52"/>
  <c r="Q510" i="52"/>
  <c r="Q699" i="52"/>
  <c r="Q890" i="52"/>
  <c r="Q240" i="52"/>
  <c r="Q441" i="52"/>
  <c r="Q616" i="52"/>
  <c r="Q820" i="52"/>
  <c r="Q1011" i="52"/>
  <c r="Q181" i="52"/>
  <c r="Q346" i="52"/>
  <c r="Q524" i="52"/>
  <c r="Q677" i="52"/>
  <c r="Q821" i="52"/>
  <c r="Q964" i="52"/>
  <c r="Q198" i="52"/>
  <c r="Q195" i="52"/>
  <c r="Q160" i="52"/>
  <c r="Q504" i="52"/>
  <c r="Q932" i="52"/>
  <c r="Q682" i="52"/>
  <c r="Q1076" i="52"/>
  <c r="Q376" i="52"/>
  <c r="Q791" i="52"/>
  <c r="Q484" i="52"/>
  <c r="Q792" i="52"/>
  <c r="Q142" i="52"/>
  <c r="Q438" i="52"/>
  <c r="Q637" i="52"/>
  <c r="Q900" i="52"/>
  <c r="Q155" i="52"/>
  <c r="Q415" i="52"/>
  <c r="Q614" i="52"/>
  <c r="Q889" i="52"/>
  <c r="Q522" i="52"/>
  <c r="Q711" i="52"/>
  <c r="Q902" i="52"/>
  <c r="Q263" i="52"/>
  <c r="Q452" i="52"/>
  <c r="Q628" i="52"/>
  <c r="Q832" i="52"/>
  <c r="Q1023" i="52"/>
  <c r="Q193" i="52"/>
  <c r="Q370" i="52"/>
  <c r="Q535" i="52"/>
  <c r="Q689" i="52"/>
  <c r="Q833" i="52"/>
  <c r="Q976" i="52"/>
  <c r="Q332" i="52"/>
  <c r="Q43" i="52"/>
  <c r="Q302" i="52"/>
  <c r="Q528" i="52"/>
  <c r="Q956" i="52"/>
  <c r="Q754" i="52"/>
  <c r="Q83" i="52"/>
  <c r="Q388" i="52"/>
  <c r="Q827" i="52"/>
  <c r="Q495" i="52"/>
  <c r="Q864" i="52"/>
  <c r="Q165" i="52"/>
  <c r="Q449" i="52"/>
  <c r="Q709" i="52"/>
  <c r="Q912" i="52"/>
  <c r="Q166" i="52"/>
  <c r="Q427" i="52"/>
  <c r="Q626" i="52"/>
  <c r="Q901" i="52"/>
  <c r="Q545" i="52"/>
  <c r="Q723" i="52"/>
  <c r="Q914" i="52"/>
  <c r="Q287" i="52"/>
  <c r="Q464" i="52"/>
  <c r="Q640" i="52"/>
  <c r="Q856" i="52"/>
  <c r="Q1034" i="52"/>
  <c r="Q205" i="52"/>
  <c r="Q382" i="52"/>
  <c r="Q558" i="52"/>
  <c r="Q701" i="52"/>
  <c r="Q845" i="52"/>
  <c r="Q988" i="52"/>
  <c r="Q11" i="52"/>
  <c r="Q399" i="52"/>
  <c r="Q456" i="52"/>
  <c r="Q539" i="52"/>
  <c r="Q968" i="52"/>
  <c r="Q790" i="52"/>
  <c r="Q94" i="52"/>
  <c r="Q459" i="52"/>
  <c r="Q839" i="52"/>
  <c r="Q507" i="52"/>
  <c r="Q899" i="52"/>
  <c r="Q177" i="52"/>
  <c r="Q461" i="52"/>
  <c r="Q721" i="52"/>
  <c r="Q924" i="52"/>
  <c r="Q178" i="52"/>
  <c r="Q439" i="52"/>
  <c r="Q698" i="52"/>
  <c r="Q913" i="52"/>
  <c r="Q556" i="52"/>
  <c r="Q735" i="52"/>
  <c r="Q950" i="52"/>
  <c r="Q299" i="52"/>
  <c r="Q476" i="52"/>
  <c r="Q676" i="52"/>
  <c r="Q868" i="52"/>
  <c r="Q1046" i="52"/>
  <c r="Q229" i="52"/>
  <c r="Q394" i="52"/>
  <c r="Q569" i="52"/>
  <c r="Q713" i="52"/>
  <c r="Q857" i="52"/>
  <c r="Q1000" i="52"/>
  <c r="Q9" i="52"/>
  <c r="Q536" i="52"/>
  <c r="Q596" i="52"/>
  <c r="Q609" i="52"/>
  <c r="Q1039" i="52"/>
  <c r="Q802" i="52"/>
  <c r="Q105" i="52"/>
  <c r="Q506" i="52"/>
  <c r="Q851" i="52"/>
  <c r="Q576" i="52"/>
  <c r="Q911" i="52"/>
  <c r="Q189" i="52"/>
  <c r="Q473" i="52"/>
  <c r="Q733" i="52"/>
  <c r="Q996" i="52"/>
  <c r="Q190" i="52"/>
  <c r="Q450" i="52"/>
  <c r="Q710" i="52"/>
  <c r="Q925" i="52"/>
  <c r="Q567" i="52"/>
  <c r="Q747" i="52"/>
  <c r="Q962" i="52"/>
  <c r="Q310" i="52"/>
  <c r="Q488" i="52"/>
  <c r="Q688" i="52"/>
  <c r="Q879" i="52"/>
  <c r="Q1058" i="52"/>
  <c r="Q241" i="52"/>
  <c r="Q418" i="52"/>
  <c r="Q581" i="52"/>
  <c r="Q725" i="52"/>
  <c r="Q869" i="52"/>
  <c r="Q1012" i="52"/>
  <c r="Q120" i="52"/>
  <c r="Q678" i="52"/>
  <c r="Q740" i="52"/>
  <c r="Q645" i="52"/>
  <c r="Q1075" i="52"/>
  <c r="Q814" i="52"/>
  <c r="Q175" i="52"/>
  <c r="Q518" i="52"/>
  <c r="Q863" i="52"/>
  <c r="Q612" i="52"/>
  <c r="Q923" i="52"/>
  <c r="Q201" i="52"/>
  <c r="Q485" i="52"/>
  <c r="Q745" i="52"/>
  <c r="Q1008" i="52"/>
  <c r="Q202" i="52"/>
  <c r="Q462" i="52"/>
  <c r="Q722" i="52"/>
  <c r="Q997" i="52"/>
  <c r="Q579" i="52"/>
  <c r="Q759" i="52"/>
  <c r="Q986" i="52"/>
  <c r="Q322" i="52"/>
  <c r="Q499" i="52"/>
  <c r="Q712" i="52"/>
  <c r="Q891" i="52"/>
  <c r="Q1070" i="52"/>
  <c r="Q252" i="52"/>
  <c r="Q430" i="52"/>
  <c r="Q593" i="52"/>
  <c r="Q737" i="52"/>
  <c r="Q880" i="52"/>
  <c r="Q1024" i="52"/>
  <c r="Q151" i="52"/>
  <c r="Q822" i="52"/>
  <c r="Q883" i="52"/>
  <c r="Q669" i="52"/>
  <c r="Q470" i="52"/>
  <c r="Q826" i="52"/>
  <c r="Q211" i="52"/>
  <c r="Q541" i="52"/>
  <c r="Q934" i="52"/>
  <c r="Q624" i="52"/>
  <c r="Q935" i="52"/>
  <c r="Q272" i="52"/>
  <c r="Q496" i="52"/>
  <c r="Q757" i="52"/>
  <c r="Q1020" i="52"/>
  <c r="Q273" i="52"/>
  <c r="Q474" i="52"/>
  <c r="Q734" i="52"/>
  <c r="Q1009" i="52"/>
  <c r="Q591" i="52"/>
  <c r="Q795" i="52"/>
  <c r="Q998" i="52"/>
  <c r="Q333" i="52"/>
  <c r="Q534" i="52"/>
  <c r="Q724" i="52"/>
  <c r="Q903" i="52"/>
  <c r="Q100" i="52"/>
  <c r="Q276" i="52"/>
  <c r="Q442" i="52"/>
  <c r="Q605" i="52"/>
  <c r="Q749" i="52"/>
  <c r="Q892" i="52"/>
  <c r="Q1035" i="52"/>
  <c r="Q109" i="52"/>
  <c r="Q965" i="52"/>
  <c r="Q1038" i="52"/>
  <c r="Q681" i="52"/>
  <c r="Q482" i="52"/>
  <c r="Q897" i="52"/>
  <c r="Q223" i="52"/>
  <c r="Q575" i="52"/>
  <c r="Q970" i="52"/>
  <c r="Q636" i="52"/>
  <c r="Q1007" i="52"/>
  <c r="Q284" i="52"/>
  <c r="Q565" i="52"/>
  <c r="Q769" i="52"/>
  <c r="Q1031" i="52"/>
  <c r="Q285" i="52"/>
  <c r="Q486" i="52"/>
  <c r="Q746" i="52"/>
  <c r="Q1021" i="52"/>
  <c r="Q603" i="52"/>
  <c r="Q807" i="52"/>
  <c r="Q1010" i="52"/>
  <c r="Q345" i="52"/>
  <c r="Q546" i="52"/>
  <c r="Q736" i="52"/>
  <c r="Q915" i="52"/>
  <c r="Q111" i="52"/>
  <c r="Q288" i="52"/>
  <c r="Q453" i="52"/>
  <c r="Q617" i="52"/>
  <c r="Q761" i="52"/>
  <c r="Q904" i="52"/>
  <c r="Q1047" i="52"/>
  <c r="Q359" i="52"/>
  <c r="Q455" i="52"/>
  <c r="Q173" i="52"/>
  <c r="Q753" i="52"/>
  <c r="Q505" i="52"/>
  <c r="Q933" i="52"/>
  <c r="Q235" i="52"/>
  <c r="Q647" i="52"/>
  <c r="Q982" i="52"/>
  <c r="Q648" i="52"/>
  <c r="Q1042" i="52"/>
  <c r="Q307" i="52"/>
  <c r="Q577" i="52"/>
  <c r="Q781" i="52"/>
  <c r="Q1043" i="52"/>
  <c r="Q297" i="52"/>
  <c r="Q555" i="52"/>
  <c r="Q758" i="52"/>
  <c r="Q1032" i="52"/>
  <c r="Q615" i="52"/>
  <c r="Q831" i="52"/>
  <c r="Q1022" i="52"/>
  <c r="Q357" i="52"/>
  <c r="Q568" i="52"/>
  <c r="Q748" i="52"/>
  <c r="Q927" i="52"/>
  <c r="Q134" i="52"/>
  <c r="Q300" i="52"/>
  <c r="Q465" i="52"/>
  <c r="Q629" i="52"/>
  <c r="Q773" i="52"/>
  <c r="Q916" i="52"/>
  <c r="Q1059" i="52"/>
  <c r="Q260" i="2"/>
  <c r="Q265" i="2"/>
  <c r="Q116" i="2"/>
  <c r="Q20" i="2"/>
  <c r="Q57" i="2"/>
  <c r="Q93" i="2"/>
  <c r="Q129" i="2"/>
  <c r="Q165" i="2"/>
  <c r="Q201" i="2"/>
  <c r="Q237" i="2"/>
  <c r="Q274" i="2"/>
  <c r="Q9" i="2"/>
  <c r="Q21" i="2"/>
  <c r="Q33" i="2"/>
  <c r="Q46" i="2"/>
  <c r="Q58" i="2"/>
  <c r="Q70" i="2"/>
  <c r="Q82" i="2"/>
  <c r="Q94" i="2"/>
  <c r="Q106" i="2"/>
  <c r="Q118" i="2"/>
  <c r="Q130" i="2"/>
  <c r="Q142" i="2"/>
  <c r="Q154" i="2"/>
  <c r="Q202" i="2"/>
  <c r="Q214" i="2"/>
  <c r="Q226" i="2"/>
  <c r="Q238" i="2"/>
  <c r="Q250" i="2"/>
  <c r="Q262" i="2"/>
  <c r="Q10" i="2"/>
  <c r="Q22" i="2"/>
  <c r="Q34" i="2"/>
  <c r="Q47" i="2"/>
  <c r="Q59" i="2"/>
  <c r="Q71" i="2"/>
  <c r="Q83" i="2"/>
  <c r="Q95" i="2"/>
  <c r="Q107" i="2"/>
  <c r="Q119" i="2"/>
  <c r="Q131" i="2"/>
  <c r="Q143" i="2"/>
  <c r="Q155" i="2"/>
  <c r="Q167" i="2"/>
  <c r="Q179" i="2"/>
  <c r="Q191" i="2"/>
  <c r="Q203" i="2"/>
  <c r="Q215" i="2"/>
  <c r="Q227" i="2"/>
  <c r="Q239" i="2"/>
  <c r="Q251" i="2"/>
  <c r="Q263" i="2"/>
  <c r="Q92" i="2"/>
  <c r="Q166" i="2"/>
  <c r="Q11" i="2"/>
  <c r="Q23" i="2"/>
  <c r="Q35" i="2"/>
  <c r="Q48" i="2"/>
  <c r="Q60" i="2"/>
  <c r="Q72" i="2"/>
  <c r="Q84" i="2"/>
  <c r="Q96" i="2"/>
  <c r="Q108" i="2"/>
  <c r="Q120" i="2"/>
  <c r="Q132" i="2"/>
  <c r="Q144" i="2"/>
  <c r="Q156" i="2"/>
  <c r="Q168" i="2"/>
  <c r="Q180" i="2"/>
  <c r="Q192" i="2"/>
  <c r="Q204" i="2"/>
  <c r="Q216" i="2"/>
  <c r="Q228" i="2"/>
  <c r="Q240" i="2"/>
  <c r="Q252" i="2"/>
  <c r="Q264" i="2"/>
  <c r="Q80" i="2"/>
  <c r="Q8" i="2"/>
  <c r="Q45" i="2"/>
  <c r="Q81" i="2"/>
  <c r="Q117" i="2"/>
  <c r="Q153" i="2"/>
  <c r="Q189" i="2"/>
  <c r="Q225" i="2"/>
  <c r="Q261" i="2"/>
  <c r="Q178" i="2"/>
  <c r="Q12" i="2"/>
  <c r="Q24" i="2"/>
  <c r="Q36" i="2"/>
  <c r="Q49" i="2"/>
  <c r="Q61" i="2"/>
  <c r="Q73" i="2"/>
  <c r="Q85" i="2"/>
  <c r="Q97" i="2"/>
  <c r="Q109" i="2"/>
  <c r="Q121" i="2"/>
  <c r="Q133" i="2"/>
  <c r="Q145" i="2"/>
  <c r="Q157" i="2"/>
  <c r="Q169" i="2"/>
  <c r="Q181" i="2"/>
  <c r="Q193" i="2"/>
  <c r="Q205" i="2"/>
  <c r="Q217" i="2"/>
  <c r="Q229" i="2"/>
  <c r="Q241" i="2"/>
  <c r="Q253" i="2"/>
  <c r="Q56" i="2"/>
  <c r="Q1075" i="2"/>
  <c r="Q1063" i="2"/>
  <c r="Q1051" i="2"/>
  <c r="Q1039" i="2"/>
  <c r="Q1027" i="2"/>
  <c r="Q1015" i="2"/>
  <c r="Q1003" i="2"/>
  <c r="Q991" i="2"/>
  <c r="Q979" i="2"/>
  <c r="Q967" i="2"/>
  <c r="Q955" i="2"/>
  <c r="Q943" i="2"/>
  <c r="Q931" i="2"/>
  <c r="Q919" i="2"/>
  <c r="Q907" i="2"/>
  <c r="Q895" i="2"/>
  <c r="Q883" i="2"/>
  <c r="Q871" i="2"/>
  <c r="Q859" i="2"/>
  <c r="Q847" i="2"/>
  <c r="Q835" i="2"/>
  <c r="Q823" i="2"/>
  <c r="Q811" i="2"/>
  <c r="Q799" i="2"/>
  <c r="Q787" i="2"/>
  <c r="Q775" i="2"/>
  <c r="Q763" i="2"/>
  <c r="Q751" i="2"/>
  <c r="Q739" i="2"/>
  <c r="Q727" i="2"/>
  <c r="Q715" i="2"/>
  <c r="Q703" i="2"/>
  <c r="Q691" i="2"/>
  <c r="Q679" i="2"/>
  <c r="Q667" i="2"/>
  <c r="Q655" i="2"/>
  <c r="Q643" i="2"/>
  <c r="Q631" i="2"/>
  <c r="Q619" i="2"/>
  <c r="Q607" i="2"/>
  <c r="Q595" i="2"/>
  <c r="Q583" i="2"/>
  <c r="Q571" i="2"/>
  <c r="Q559" i="2"/>
  <c r="Q547" i="2"/>
  <c r="Q535" i="2"/>
  <c r="Q523" i="2"/>
  <c r="Q511" i="2"/>
  <c r="Q499" i="2"/>
  <c r="Q487" i="2"/>
  <c r="Q475" i="2"/>
  <c r="Q463" i="2"/>
  <c r="Q451" i="2"/>
  <c r="Q439" i="2"/>
  <c r="Q427" i="2"/>
  <c r="Q415" i="2"/>
  <c r="Q403" i="2"/>
  <c r="Q391" i="2"/>
  <c r="Q379" i="2"/>
  <c r="Q367" i="2"/>
  <c r="Q355" i="2"/>
  <c r="Q343" i="2"/>
  <c r="Q331" i="2"/>
  <c r="Q319" i="2"/>
  <c r="Q307" i="2"/>
  <c r="Q295" i="2"/>
  <c r="Q283" i="2"/>
  <c r="Q1074" i="2"/>
  <c r="Q1062" i="2"/>
  <c r="Q1050" i="2"/>
  <c r="Q1038" i="2"/>
  <c r="Q1026" i="2"/>
  <c r="Q1014" i="2"/>
  <c r="Q1002" i="2"/>
  <c r="Q990" i="2"/>
  <c r="Q978" i="2"/>
  <c r="Q966" i="2"/>
  <c r="Q954" i="2"/>
  <c r="Q942" i="2"/>
  <c r="Q930" i="2"/>
  <c r="Q918" i="2"/>
  <c r="Q906" i="2"/>
  <c r="Q894" i="2"/>
  <c r="Q882" i="2"/>
  <c r="Q870" i="2"/>
  <c r="Q858" i="2"/>
  <c r="Q846" i="2"/>
  <c r="Q834" i="2"/>
  <c r="Q822" i="2"/>
  <c r="Q810" i="2"/>
  <c r="Q798" i="2"/>
  <c r="Q786" i="2"/>
  <c r="Q774" i="2"/>
  <c r="Q762" i="2"/>
  <c r="Q750" i="2"/>
  <c r="Q738" i="2"/>
  <c r="Q726" i="2"/>
  <c r="Q714" i="2"/>
  <c r="Q702" i="2"/>
  <c r="Q690" i="2"/>
  <c r="Q678" i="2"/>
  <c r="Q666" i="2"/>
  <c r="Q654" i="2"/>
  <c r="Q642" i="2"/>
  <c r="Q630" i="2"/>
  <c r="Q618" i="2"/>
  <c r="Q606" i="2"/>
  <c r="Q594" i="2"/>
  <c r="Q582" i="2"/>
  <c r="Q570" i="2"/>
  <c r="Q558" i="2"/>
  <c r="Q546" i="2"/>
  <c r="Q534" i="2"/>
  <c r="Q522" i="2"/>
  <c r="Q510" i="2"/>
  <c r="Q498" i="2"/>
  <c r="Q486" i="2"/>
  <c r="Q474" i="2"/>
  <c r="Q462" i="2"/>
  <c r="Q450" i="2"/>
  <c r="Q438" i="2"/>
  <c r="Q426" i="2"/>
  <c r="Q414" i="2"/>
  <c r="Q402" i="2"/>
  <c r="Q390" i="2"/>
  <c r="Q378" i="2"/>
  <c r="Q366" i="2"/>
  <c r="Q354" i="2"/>
  <c r="Q342" i="2"/>
  <c r="Q330" i="2"/>
  <c r="Q318" i="2"/>
  <c r="Q306" i="2"/>
  <c r="Q294" i="2"/>
  <c r="Q282" i="2"/>
  <c r="Q270" i="2"/>
  <c r="Q1073" i="2"/>
  <c r="Q1061" i="2"/>
  <c r="Q1049" i="2"/>
  <c r="Q1037" i="2"/>
  <c r="Q1025" i="2"/>
  <c r="Q1013" i="2"/>
  <c r="Q1001" i="2"/>
  <c r="Q989" i="2"/>
  <c r="Q977" i="2"/>
  <c r="Q965" i="2"/>
  <c r="Q953" i="2"/>
  <c r="Q941" i="2"/>
  <c r="Q929" i="2"/>
  <c r="Q917" i="2"/>
  <c r="Q905" i="2"/>
  <c r="Q893" i="2"/>
  <c r="Q881" i="2"/>
  <c r="Q869" i="2"/>
  <c r="Q857" i="2"/>
  <c r="Q845" i="2"/>
  <c r="Q833" i="2"/>
  <c r="Q821" i="2"/>
  <c r="Q809" i="2"/>
  <c r="Q797" i="2"/>
  <c r="Q785" i="2"/>
  <c r="Q773" i="2"/>
  <c r="Q761" i="2"/>
  <c r="Q749" i="2"/>
  <c r="Q737" i="2"/>
  <c r="Q725" i="2"/>
  <c r="Q713" i="2"/>
  <c r="Q701" i="2"/>
  <c r="Q689" i="2"/>
  <c r="Q677" i="2"/>
  <c r="Q665" i="2"/>
  <c r="Q653" i="2"/>
  <c r="Q641" i="2"/>
  <c r="Q629" i="2"/>
  <c r="Q617" i="2"/>
  <c r="Q605" i="2"/>
  <c r="Q593" i="2"/>
  <c r="Q581" i="2"/>
  <c r="Q569" i="2"/>
  <c r="Q557" i="2"/>
  <c r="Q545" i="2"/>
  <c r="Q533" i="2"/>
  <c r="Q521" i="2"/>
  <c r="Q509" i="2"/>
  <c r="Q497" i="2"/>
  <c r="Q485" i="2"/>
  <c r="Q473" i="2"/>
  <c r="Q461" i="2"/>
  <c r="Q449" i="2"/>
  <c r="Q437" i="2"/>
  <c r="Q425" i="2"/>
  <c r="Q413" i="2"/>
  <c r="Q401" i="2"/>
  <c r="Q389" i="2"/>
  <c r="Q377" i="2"/>
  <c r="Q365" i="2"/>
  <c r="Q353" i="2"/>
  <c r="Q341" i="2"/>
  <c r="Q329" i="2"/>
  <c r="Q317" i="2"/>
  <c r="Q305" i="2"/>
  <c r="Q293" i="2"/>
  <c r="Q281" i="2"/>
  <c r="Q1072" i="2"/>
  <c r="Q1060" i="2"/>
  <c r="Q1048" i="2"/>
  <c r="Q1036" i="2"/>
  <c r="Q1024" i="2"/>
  <c r="Q1012" i="2"/>
  <c r="Q1000" i="2"/>
  <c r="Q988" i="2"/>
  <c r="Q976" i="2"/>
  <c r="Q964" i="2"/>
  <c r="Q952" i="2"/>
  <c r="Q940" i="2"/>
  <c r="Q928" i="2"/>
  <c r="Q916" i="2"/>
  <c r="Q904" i="2"/>
  <c r="Q892" i="2"/>
  <c r="Q880" i="2"/>
  <c r="Q868" i="2"/>
  <c r="Q856" i="2"/>
  <c r="Q844" i="2"/>
  <c r="Q832" i="2"/>
  <c r="Q820" i="2"/>
  <c r="Q808" i="2"/>
  <c r="Q796" i="2"/>
  <c r="Q784" i="2"/>
  <c r="Q772" i="2"/>
  <c r="Q760" i="2"/>
  <c r="Q748" i="2"/>
  <c r="Q736" i="2"/>
  <c r="Q724" i="2"/>
  <c r="Q712" i="2"/>
  <c r="Q700" i="2"/>
  <c r="Q688" i="2"/>
  <c r="Q676" i="2"/>
  <c r="Q664" i="2"/>
  <c r="Q652" i="2"/>
  <c r="Q640" i="2"/>
  <c r="Q628" i="2"/>
  <c r="Q616" i="2"/>
  <c r="Q604" i="2"/>
  <c r="Q592" i="2"/>
  <c r="Q580" i="2"/>
  <c r="Q568" i="2"/>
  <c r="Q556" i="2"/>
  <c r="Q544" i="2"/>
  <c r="Q532" i="2"/>
  <c r="Q520" i="2"/>
  <c r="Q508" i="2"/>
  <c r="Q496" i="2"/>
  <c r="Q484" i="2"/>
  <c r="Q472" i="2"/>
  <c r="Q460" i="2"/>
  <c r="Q448" i="2"/>
  <c r="Q436" i="2"/>
  <c r="Q424" i="2"/>
  <c r="Q412" i="2"/>
  <c r="Q400" i="2"/>
  <c r="Q388" i="2"/>
  <c r="Q376" i="2"/>
  <c r="Q364" i="2"/>
  <c r="Q352" i="2"/>
  <c r="Q340" i="2"/>
  <c r="Q328" i="2"/>
  <c r="Q316" i="2"/>
  <c r="Q304" i="2"/>
  <c r="Q292" i="2"/>
  <c r="Q280" i="2"/>
  <c r="Q1071" i="2"/>
  <c r="Q1059" i="2"/>
  <c r="Q1047" i="2"/>
  <c r="Q1035" i="2"/>
  <c r="Q1023" i="2"/>
  <c r="Q1011" i="2"/>
  <c r="Q999" i="2"/>
  <c r="Q987" i="2"/>
  <c r="Q975" i="2"/>
  <c r="Q963" i="2"/>
  <c r="Q951" i="2"/>
  <c r="Q939" i="2"/>
  <c r="Q927" i="2"/>
  <c r="Q915" i="2"/>
  <c r="Q903" i="2"/>
  <c r="Q891" i="2"/>
  <c r="Q879" i="2"/>
  <c r="Q867" i="2"/>
  <c r="Q855" i="2"/>
  <c r="Q843" i="2"/>
  <c r="Q831" i="2"/>
  <c r="Q819" i="2"/>
  <c r="Q807" i="2"/>
  <c r="Q795" i="2"/>
  <c r="Q783" i="2"/>
  <c r="Q771" i="2"/>
  <c r="Q759" i="2"/>
  <c r="Q747" i="2"/>
  <c r="Q735" i="2"/>
  <c r="Q723" i="2"/>
  <c r="Q711" i="2"/>
  <c r="Q699" i="2"/>
  <c r="Q687" i="2"/>
  <c r="Q675" i="2"/>
  <c r="Q663" i="2"/>
  <c r="Q651" i="2"/>
  <c r="Q639" i="2"/>
  <c r="Q627" i="2"/>
  <c r="Q615" i="2"/>
  <c r="Q603" i="2"/>
  <c r="Q591" i="2"/>
  <c r="Q579" i="2"/>
  <c r="Q567" i="2"/>
  <c r="Q555" i="2"/>
  <c r="Q543" i="2"/>
  <c r="Q531" i="2"/>
  <c r="Q519" i="2"/>
  <c r="Q507" i="2"/>
  <c r="Q495" i="2"/>
  <c r="Q483" i="2"/>
  <c r="Q471" i="2"/>
  <c r="Q459" i="2"/>
  <c r="Q447" i="2"/>
  <c r="Q435" i="2"/>
  <c r="Q423" i="2"/>
  <c r="Q411" i="2"/>
  <c r="Q399" i="2"/>
  <c r="Q387" i="2"/>
  <c r="Q375" i="2"/>
  <c r="Q363" i="2"/>
  <c r="Q351" i="2"/>
  <c r="Q339" i="2"/>
  <c r="Q327" i="2"/>
  <c r="Q315" i="2"/>
  <c r="Q303" i="2"/>
  <c r="Q291" i="2"/>
  <c r="Q279" i="2"/>
  <c r="Q1070" i="2"/>
  <c r="Q1058" i="2"/>
  <c r="Q1046" i="2"/>
  <c r="Q1034" i="2"/>
  <c r="Q1022" i="2"/>
  <c r="Q1010" i="2"/>
  <c r="Q998" i="2"/>
  <c r="Q986" i="2"/>
  <c r="Q974" i="2"/>
  <c r="Q962" i="2"/>
  <c r="Q950" i="2"/>
  <c r="Q938" i="2"/>
  <c r="Q926" i="2"/>
  <c r="Q914" i="2"/>
  <c r="Q902" i="2"/>
  <c r="Q890" i="2"/>
  <c r="Q878" i="2"/>
  <c r="Q866" i="2"/>
  <c r="Q854" i="2"/>
  <c r="Q842" i="2"/>
  <c r="Q830" i="2"/>
  <c r="Q818" i="2"/>
  <c r="Q806" i="2"/>
  <c r="Q794" i="2"/>
  <c r="Q782" i="2"/>
  <c r="Q770" i="2"/>
  <c r="Q758" i="2"/>
  <c r="Q746" i="2"/>
  <c r="Q734" i="2"/>
  <c r="Q722" i="2"/>
  <c r="Q710" i="2"/>
  <c r="Q698" i="2"/>
  <c r="Q686" i="2"/>
  <c r="Q674" i="2"/>
  <c r="Q662" i="2"/>
  <c r="Q650" i="2"/>
  <c r="Q638" i="2"/>
  <c r="Q626" i="2"/>
  <c r="Q614" i="2"/>
  <c r="Q602" i="2"/>
  <c r="Q590" i="2"/>
  <c r="Q578" i="2"/>
  <c r="Q566" i="2"/>
  <c r="Q554" i="2"/>
  <c r="Q542" i="2"/>
  <c r="Q530" i="2"/>
  <c r="Q518" i="2"/>
  <c r="Q506" i="2"/>
  <c r="Q494" i="2"/>
  <c r="Q482" i="2"/>
  <c r="Q470" i="2"/>
  <c r="Q458" i="2"/>
  <c r="Q446" i="2"/>
  <c r="Q434" i="2"/>
  <c r="Q422" i="2"/>
  <c r="Q410" i="2"/>
  <c r="Q398" i="2"/>
  <c r="Q386" i="2"/>
  <c r="Q374" i="2"/>
  <c r="Q362" i="2"/>
  <c r="Q350" i="2"/>
  <c r="Q338" i="2"/>
  <c r="Q326" i="2"/>
  <c r="Q314" i="2"/>
  <c r="Q302" i="2"/>
  <c r="Q290" i="2"/>
  <c r="Q278" i="2"/>
  <c r="Q1069" i="2"/>
  <c r="Q1057" i="2"/>
  <c r="Q1045" i="2"/>
  <c r="Q1033" i="2"/>
  <c r="Q1021" i="2"/>
  <c r="Q1009" i="2"/>
  <c r="Q997" i="2"/>
  <c r="Q985" i="2"/>
  <c r="Q973" i="2"/>
  <c r="Q961" i="2"/>
  <c r="Q949" i="2"/>
  <c r="Q937" i="2"/>
  <c r="Q925" i="2"/>
  <c r="Q913" i="2"/>
  <c r="Q901" i="2"/>
  <c r="Q889" i="2"/>
  <c r="Q877" i="2"/>
  <c r="Q865" i="2"/>
  <c r="Q853" i="2"/>
  <c r="Q841" i="2"/>
  <c r="Q829" i="2"/>
  <c r="Q817" i="2"/>
  <c r="Q805" i="2"/>
  <c r="Q793" i="2"/>
  <c r="Q781" i="2"/>
  <c r="Q769" i="2"/>
  <c r="Q757" i="2"/>
  <c r="Q745" i="2"/>
  <c r="Q733" i="2"/>
  <c r="Q721" i="2"/>
  <c r="Q709" i="2"/>
  <c r="Q697" i="2"/>
  <c r="Q685" i="2"/>
  <c r="Q673" i="2"/>
  <c r="Q661" i="2"/>
  <c r="Q649" i="2"/>
  <c r="Q637" i="2"/>
  <c r="Q625" i="2"/>
  <c r="Q613" i="2"/>
  <c r="Q601" i="2"/>
  <c r="Q589" i="2"/>
  <c r="Q577" i="2"/>
  <c r="Q565" i="2"/>
  <c r="Q553" i="2"/>
  <c r="Q541" i="2"/>
  <c r="Q529" i="2"/>
  <c r="Q517" i="2"/>
  <c r="Q505" i="2"/>
  <c r="Q493" i="2"/>
  <c r="Q481" i="2"/>
  <c r="Q469" i="2"/>
  <c r="Q457" i="2"/>
  <c r="Q445" i="2"/>
  <c r="Q433" i="2"/>
  <c r="Q421" i="2"/>
  <c r="Q409" i="2"/>
  <c r="Q397" i="2"/>
  <c r="Q385" i="2"/>
  <c r="Q373" i="2"/>
  <c r="Q361" i="2"/>
  <c r="Q349" i="2"/>
  <c r="Q337" i="2"/>
  <c r="Q325" i="2"/>
  <c r="Q313" i="2"/>
  <c r="Q301" i="2"/>
  <c r="Q289" i="2"/>
  <c r="Q277" i="2"/>
  <c r="Q1068" i="2"/>
  <c r="Q1056" i="2"/>
  <c r="Q1044" i="2"/>
  <c r="Q1032" i="2"/>
  <c r="Q1020" i="2"/>
  <c r="Q1008" i="2"/>
  <c r="Q996" i="2"/>
  <c r="Q984" i="2"/>
  <c r="Q972" i="2"/>
  <c r="Q960" i="2"/>
  <c r="Q948" i="2"/>
  <c r="Q936" i="2"/>
  <c r="Q924" i="2"/>
  <c r="Q912" i="2"/>
  <c r="Q900" i="2"/>
  <c r="Q888" i="2"/>
  <c r="Q876" i="2"/>
  <c r="Q864" i="2"/>
  <c r="Q852" i="2"/>
  <c r="Q840" i="2"/>
  <c r="Q828" i="2"/>
  <c r="Q816" i="2"/>
  <c r="Q804" i="2"/>
  <c r="Q792" i="2"/>
  <c r="Q780" i="2"/>
  <c r="Q768" i="2"/>
  <c r="Q756" i="2"/>
  <c r="Q744" i="2"/>
  <c r="Q732" i="2"/>
  <c r="Q720" i="2"/>
  <c r="Q708" i="2"/>
  <c r="Q696" i="2"/>
  <c r="Q684" i="2"/>
  <c r="Q672" i="2"/>
  <c r="Q660" i="2"/>
  <c r="Q648" i="2"/>
  <c r="Q636" i="2"/>
  <c r="Q624" i="2"/>
  <c r="Q612" i="2"/>
  <c r="Q600" i="2"/>
  <c r="Q588" i="2"/>
  <c r="Q576" i="2"/>
  <c r="Q564" i="2"/>
  <c r="Q552" i="2"/>
  <c r="Q540" i="2"/>
  <c r="Q528" i="2"/>
  <c r="Q516" i="2"/>
  <c r="Q504" i="2"/>
  <c r="Q492" i="2"/>
  <c r="Q480" i="2"/>
  <c r="Q468" i="2"/>
  <c r="Q456" i="2"/>
  <c r="Q444" i="2"/>
  <c r="Q432" i="2"/>
  <c r="Q420" i="2"/>
  <c r="Q408" i="2"/>
  <c r="Q396" i="2"/>
  <c r="Q384" i="2"/>
  <c r="Q372" i="2"/>
  <c r="Q360" i="2"/>
  <c r="Q348" i="2"/>
  <c r="Q336" i="2"/>
  <c r="Q324" i="2"/>
  <c r="Q312" i="2"/>
  <c r="Q300" i="2"/>
  <c r="Q288" i="2"/>
  <c r="Q276" i="2"/>
  <c r="Q1067" i="2"/>
  <c r="Q1055" i="2"/>
  <c r="Q1043" i="2"/>
  <c r="Q1031" i="2"/>
  <c r="Q1019" i="2"/>
  <c r="Q1007" i="2"/>
  <c r="Q995" i="2"/>
  <c r="Q983" i="2"/>
  <c r="Q971" i="2"/>
  <c r="Q959" i="2"/>
  <c r="Q947" i="2"/>
  <c r="Q935" i="2"/>
  <c r="Q923" i="2"/>
  <c r="Q911" i="2"/>
  <c r="Q899" i="2"/>
  <c r="Q887" i="2"/>
  <c r="Q875" i="2"/>
  <c r="Q863" i="2"/>
  <c r="Q851" i="2"/>
  <c r="Q839" i="2"/>
  <c r="Q827" i="2"/>
  <c r="Q815" i="2"/>
  <c r="Q803" i="2"/>
  <c r="Q791" i="2"/>
  <c r="Q779" i="2"/>
  <c r="Q767" i="2"/>
  <c r="Q755" i="2"/>
  <c r="Q743" i="2"/>
  <c r="Q731" i="2"/>
  <c r="Q719" i="2"/>
  <c r="Q707" i="2"/>
  <c r="Q695" i="2"/>
  <c r="Q683" i="2"/>
  <c r="Q671" i="2"/>
  <c r="Q659" i="2"/>
  <c r="Q647" i="2"/>
  <c r="Q635" i="2"/>
  <c r="Q623" i="2"/>
  <c r="Q611" i="2"/>
  <c r="Q599" i="2"/>
  <c r="Q587" i="2"/>
  <c r="Q575" i="2"/>
  <c r="Q563" i="2"/>
  <c r="Q551" i="2"/>
  <c r="Q539" i="2"/>
  <c r="Q527" i="2"/>
  <c r="Q515" i="2"/>
  <c r="Q503" i="2"/>
  <c r="Q491" i="2"/>
  <c r="Q479" i="2"/>
  <c r="Q467" i="2"/>
  <c r="Q455" i="2"/>
  <c r="Q443" i="2"/>
  <c r="Q431" i="2"/>
  <c r="Q419" i="2"/>
  <c r="Q407" i="2"/>
  <c r="Q395" i="2"/>
  <c r="Q383" i="2"/>
  <c r="Q371" i="2"/>
  <c r="Q359" i="2"/>
  <c r="Q347" i="2"/>
  <c r="Q335" i="2"/>
  <c r="Q323" i="2"/>
  <c r="Q311" i="2"/>
  <c r="Q299" i="2"/>
  <c r="Q287" i="2"/>
  <c r="Q275" i="2"/>
  <c r="Q1078" i="2"/>
  <c r="Q1066" i="2"/>
  <c r="Q1054" i="2"/>
  <c r="Q1042" i="2"/>
  <c r="Q1030" i="2"/>
  <c r="Q1018" i="2"/>
  <c r="Q1006" i="2"/>
  <c r="Q994" i="2"/>
  <c r="Q982" i="2"/>
  <c r="Q970" i="2"/>
  <c r="Q958" i="2"/>
  <c r="Q946" i="2"/>
  <c r="Q934" i="2"/>
  <c r="Q922" i="2"/>
  <c r="Q910" i="2"/>
  <c r="Q898" i="2"/>
  <c r="Q886" i="2"/>
  <c r="Q874" i="2"/>
  <c r="Q862" i="2"/>
  <c r="Q850" i="2"/>
  <c r="Q838" i="2"/>
  <c r="Q826" i="2"/>
  <c r="Q814" i="2"/>
  <c r="Q802" i="2"/>
  <c r="Q790" i="2"/>
  <c r="Q778" i="2"/>
  <c r="Q766" i="2"/>
  <c r="Q754" i="2"/>
  <c r="Q742" i="2"/>
  <c r="Q730" i="2"/>
  <c r="Q718" i="2"/>
  <c r="Q706" i="2"/>
  <c r="Q694" i="2"/>
  <c r="Q682" i="2"/>
  <c r="Q670" i="2"/>
  <c r="Q658" i="2"/>
  <c r="Q646" i="2"/>
  <c r="Q634" i="2"/>
  <c r="Q622" i="2"/>
  <c r="Q610" i="2"/>
  <c r="Q598" i="2"/>
  <c r="Q586" i="2"/>
  <c r="Q574" i="2"/>
  <c r="Q562" i="2"/>
  <c r="Q550" i="2"/>
  <c r="Q538" i="2"/>
  <c r="Q526" i="2"/>
  <c r="Q514" i="2"/>
  <c r="Q502" i="2"/>
  <c r="Q490" i="2"/>
  <c r="Q478" i="2"/>
  <c r="Q466" i="2"/>
  <c r="Q454" i="2"/>
  <c r="Q442" i="2"/>
  <c r="Q430" i="2"/>
  <c r="Q418" i="2"/>
  <c r="Q406" i="2"/>
  <c r="Q394" i="2"/>
  <c r="Q382" i="2"/>
  <c r="Q370" i="2"/>
  <c r="Q358" i="2"/>
  <c r="Q346" i="2"/>
  <c r="Q334" i="2"/>
  <c r="Q322" i="2"/>
  <c r="Q310" i="2"/>
  <c r="Q298" i="2"/>
  <c r="Q286" i="2"/>
  <c r="Q1077" i="2"/>
  <c r="Q1065" i="2"/>
  <c r="Q1053" i="2"/>
  <c r="Q1041" i="2"/>
  <c r="Q1029" i="2"/>
  <c r="Q1017" i="2"/>
  <c r="Q1005" i="2"/>
  <c r="Q993" i="2"/>
  <c r="Q981" i="2"/>
  <c r="Q969" i="2"/>
  <c r="Q957" i="2"/>
  <c r="Q945" i="2"/>
  <c r="Q933" i="2"/>
  <c r="Q921" i="2"/>
  <c r="Q909" i="2"/>
  <c r="Q897" i="2"/>
  <c r="Q885" i="2"/>
  <c r="Q873" i="2"/>
  <c r="Q861" i="2"/>
  <c r="Q849" i="2"/>
  <c r="Q837" i="2"/>
  <c r="Q825" i="2"/>
  <c r="Q813" i="2"/>
  <c r="Q801" i="2"/>
  <c r="Q789" i="2"/>
  <c r="Q777" i="2"/>
  <c r="Q765" i="2"/>
  <c r="Q753" i="2"/>
  <c r="Q741" i="2"/>
  <c r="Q729" i="2"/>
  <c r="Q717" i="2"/>
  <c r="Q705" i="2"/>
  <c r="Q693" i="2"/>
  <c r="Q681" i="2"/>
  <c r="Q669" i="2"/>
  <c r="Q657" i="2"/>
  <c r="Q645" i="2"/>
  <c r="Q633" i="2"/>
  <c r="Q621" i="2"/>
  <c r="Q609" i="2"/>
  <c r="Q597" i="2"/>
  <c r="Q585" i="2"/>
  <c r="Q573" i="2"/>
  <c r="Q561" i="2"/>
  <c r="Q549" i="2"/>
  <c r="Q537" i="2"/>
  <c r="Q525" i="2"/>
  <c r="Q513" i="2"/>
  <c r="Q501" i="2"/>
  <c r="Q489" i="2"/>
  <c r="Q477" i="2"/>
  <c r="Q465" i="2"/>
  <c r="Q453" i="2"/>
  <c r="Q441" i="2"/>
  <c r="Q429" i="2"/>
  <c r="Q417" i="2"/>
  <c r="Q405" i="2"/>
  <c r="Q393" i="2"/>
  <c r="Q381" i="2"/>
  <c r="Q369" i="2"/>
  <c r="Q357" i="2"/>
  <c r="Q345" i="2"/>
  <c r="Q333" i="2"/>
  <c r="Q321" i="2"/>
  <c r="Q309" i="2"/>
  <c r="Q297" i="2"/>
  <c r="Q285" i="2"/>
  <c r="Q1076" i="2"/>
  <c r="Q1064" i="2"/>
  <c r="Q1052" i="2"/>
  <c r="Q1040" i="2"/>
  <c r="Q1028" i="2"/>
  <c r="Q1016" i="2"/>
  <c r="Q1004" i="2"/>
  <c r="Q992" i="2"/>
  <c r="Q980" i="2"/>
  <c r="Q968" i="2"/>
  <c r="Q956" i="2"/>
  <c r="Q944" i="2"/>
  <c r="Q932" i="2"/>
  <c r="Q920" i="2"/>
  <c r="Q908" i="2"/>
  <c r="Q896" i="2"/>
  <c r="Q884" i="2"/>
  <c r="Q872" i="2"/>
  <c r="Q860" i="2"/>
  <c r="Q848" i="2"/>
  <c r="Q836" i="2"/>
  <c r="Q824" i="2"/>
  <c r="Q812" i="2"/>
  <c r="Q800" i="2"/>
  <c r="Q788" i="2"/>
  <c r="Q776" i="2"/>
  <c r="Q764" i="2"/>
  <c r="Q752" i="2"/>
  <c r="Q740" i="2"/>
  <c r="Q728" i="2"/>
  <c r="Q716" i="2"/>
  <c r="Q704" i="2"/>
  <c r="Q692" i="2"/>
  <c r="Q680" i="2"/>
  <c r="Q668" i="2"/>
  <c r="Q656" i="2"/>
  <c r="Q644" i="2"/>
  <c r="Q632" i="2"/>
  <c r="Q620" i="2"/>
  <c r="Q608" i="2"/>
  <c r="Q596" i="2"/>
  <c r="Q584" i="2"/>
  <c r="Q572" i="2"/>
  <c r="Q560" i="2"/>
  <c r="Q548" i="2"/>
  <c r="Q536" i="2"/>
  <c r="Q524" i="2"/>
  <c r="Q512" i="2"/>
  <c r="Q500" i="2"/>
  <c r="Q488" i="2"/>
  <c r="Q476" i="2"/>
  <c r="Q464" i="2"/>
  <c r="Q452" i="2"/>
  <c r="Q440" i="2"/>
  <c r="Q428" i="2"/>
  <c r="Q416" i="2"/>
  <c r="Q404" i="2"/>
  <c r="Q392" i="2"/>
  <c r="Q380" i="2"/>
  <c r="Q368" i="2"/>
  <c r="Q356" i="2"/>
  <c r="Q344" i="2"/>
  <c r="Q332" i="2"/>
  <c r="Q320" i="2"/>
  <c r="Q308" i="2"/>
  <c r="Q296" i="2"/>
  <c r="Q284" i="2"/>
  <c r="Q32" i="2"/>
  <c r="Q69" i="2"/>
  <c r="Q105" i="2"/>
  <c r="Q141" i="2"/>
  <c r="Q177" i="2"/>
  <c r="Q213" i="2"/>
  <c r="Q249" i="2"/>
  <c r="Q190" i="2"/>
  <c r="Q2" i="2"/>
  <c r="Q13" i="2"/>
  <c r="Q25" i="2"/>
  <c r="Q37" i="2"/>
  <c r="Q50" i="2"/>
  <c r="Q62" i="2"/>
  <c r="Q74" i="2"/>
  <c r="Q86" i="2"/>
  <c r="Q98" i="2"/>
  <c r="Q110" i="2"/>
  <c r="Q122" i="2"/>
  <c r="Q134" i="2"/>
  <c r="Q146" i="2"/>
  <c r="Q158" i="2"/>
  <c r="Q170" i="2"/>
  <c r="Q182" i="2"/>
  <c r="Q194" i="2"/>
  <c r="Q206" i="2"/>
  <c r="Q218" i="2"/>
  <c r="Q230" i="2"/>
  <c r="Q242" i="2"/>
  <c r="Q254" i="2"/>
  <c r="Q266" i="2"/>
  <c r="Q68" i="2"/>
  <c r="Q44" i="2"/>
  <c r="Q63" i="2"/>
  <c r="Q43" i="2"/>
  <c r="Q16" i="2"/>
  <c r="Q28" i="2"/>
  <c r="Q40" i="2"/>
  <c r="Q53" i="2"/>
  <c r="Q65" i="2"/>
  <c r="Q77" i="2"/>
  <c r="Q89" i="2"/>
  <c r="Q101" i="2"/>
  <c r="Q113" i="2"/>
  <c r="Q125" i="2"/>
  <c r="Q137" i="2"/>
  <c r="Q149" i="2"/>
  <c r="Q161" i="2"/>
  <c r="Q173" i="2"/>
  <c r="Q185" i="2"/>
  <c r="Q197" i="2"/>
  <c r="Q209" i="2"/>
  <c r="Q221" i="2"/>
  <c r="Q233" i="2"/>
  <c r="Q245" i="2"/>
  <c r="Q257" i="2"/>
  <c r="Q269" i="2"/>
  <c r="Q7" i="2"/>
  <c r="Q31" i="2"/>
  <c r="Q128" i="2"/>
  <c r="Q152" i="2"/>
  <c r="Q164" i="2"/>
  <c r="Q188" i="2"/>
  <c r="Q212" i="2"/>
  <c r="Q248" i="2"/>
  <c r="Q273" i="2"/>
  <c r="Q14" i="2"/>
  <c r="Q26" i="2"/>
  <c r="Q51" i="2"/>
  <c r="Q87" i="2"/>
  <c r="Q111" i="2"/>
  <c r="Q135" i="2"/>
  <c r="Q159" i="2"/>
  <c r="Q171" i="2"/>
  <c r="Q195" i="2"/>
  <c r="Q219" i="2"/>
  <c r="Q243" i="2"/>
  <c r="Q267" i="2"/>
  <c r="X740" i="49"/>
  <c r="X630" i="49"/>
  <c r="X833" i="49"/>
  <c r="X703" i="49"/>
  <c r="X827" i="49"/>
  <c r="X700" i="49"/>
  <c r="X828" i="49"/>
  <c r="X444" i="49"/>
  <c r="X908" i="49"/>
  <c r="X977" i="49"/>
  <c r="X940" i="49"/>
  <c r="X127" i="49"/>
  <c r="X83" i="49"/>
  <c r="X71" i="49"/>
  <c r="X12" i="49"/>
  <c r="X37" i="49"/>
  <c r="X1044" i="49"/>
  <c r="X641" i="49"/>
  <c r="X629" i="49"/>
  <c r="X834" i="49"/>
  <c r="X643" i="49"/>
  <c r="X695" i="49"/>
  <c r="X702" i="49"/>
  <c r="X826" i="49"/>
  <c r="X252" i="49"/>
  <c r="X907" i="49"/>
  <c r="X990" i="49"/>
  <c r="X976" i="49"/>
  <c r="X939" i="49"/>
  <c r="X126" i="49"/>
  <c r="X82" i="49"/>
  <c r="X70" i="49"/>
  <c r="X11" i="49"/>
  <c r="X36" i="49"/>
  <c r="X803" i="49"/>
  <c r="X640" i="49"/>
  <c r="X628" i="49"/>
  <c r="X731" i="49"/>
  <c r="X645" i="49"/>
  <c r="X713" i="49"/>
  <c r="X642" i="49"/>
  <c r="X454" i="49"/>
  <c r="X251" i="49"/>
  <c r="X906" i="49"/>
  <c r="X989" i="49"/>
  <c r="X975" i="49"/>
  <c r="X938" i="49"/>
  <c r="X93" i="49"/>
  <c r="X81" i="49"/>
  <c r="X69" i="49"/>
  <c r="X10" i="49"/>
  <c r="X35" i="49"/>
  <c r="X766" i="49"/>
  <c r="X639" i="49"/>
  <c r="X627" i="49"/>
  <c r="X830" i="49"/>
  <c r="X655" i="49"/>
  <c r="X711" i="49"/>
  <c r="X644" i="49"/>
  <c r="X453" i="49"/>
  <c r="X927" i="49"/>
  <c r="X905" i="49"/>
  <c r="X988" i="49"/>
  <c r="X974" i="49"/>
  <c r="X937" i="49"/>
  <c r="X92" i="49"/>
  <c r="X80" i="49"/>
  <c r="X68" i="49"/>
  <c r="X9" i="49"/>
  <c r="X34" i="49"/>
  <c r="X761" i="49"/>
  <c r="X638" i="49"/>
  <c r="X626" i="49"/>
  <c r="X705" i="49"/>
  <c r="X657" i="49"/>
  <c r="X693" i="49"/>
  <c r="X654" i="49"/>
  <c r="X452" i="49"/>
  <c r="X926" i="49"/>
  <c r="X904" i="49"/>
  <c r="X987" i="49"/>
  <c r="X973" i="49"/>
  <c r="X936" i="49"/>
  <c r="X91" i="49"/>
  <c r="X79" i="49"/>
  <c r="X67" i="49"/>
  <c r="X8" i="49"/>
  <c r="X33" i="49"/>
  <c r="X748" i="49"/>
  <c r="X637" i="49"/>
  <c r="X625" i="49"/>
  <c r="X708" i="49"/>
  <c r="X720" i="49"/>
  <c r="X691" i="49"/>
  <c r="X656" i="49"/>
  <c r="X451" i="49"/>
  <c r="X925" i="49"/>
  <c r="X997" i="49"/>
  <c r="X986" i="49"/>
  <c r="X972" i="49"/>
  <c r="X935" i="49"/>
  <c r="X90" i="49"/>
  <c r="X78" i="49"/>
  <c r="X66" i="49"/>
  <c r="X7" i="49"/>
  <c r="X32" i="49"/>
  <c r="X745" i="49"/>
  <c r="X636" i="49"/>
  <c r="X624" i="49"/>
  <c r="X710" i="49"/>
  <c r="X651" i="49"/>
  <c r="X707" i="49"/>
  <c r="X690" i="49"/>
  <c r="X450" i="49"/>
  <c r="X924" i="49"/>
  <c r="X996" i="49"/>
  <c r="X985" i="49"/>
  <c r="X971" i="49"/>
  <c r="X934" i="49"/>
  <c r="X89" i="49"/>
  <c r="X77" i="49"/>
  <c r="X65" i="49"/>
  <c r="X6" i="49"/>
  <c r="X30" i="49"/>
  <c r="X744" i="49"/>
  <c r="X635" i="49"/>
  <c r="X696" i="49"/>
  <c r="X728" i="49"/>
  <c r="X724" i="49"/>
  <c r="X709" i="49"/>
  <c r="X719" i="49"/>
  <c r="X449" i="49"/>
  <c r="X913" i="49"/>
  <c r="X995" i="49"/>
  <c r="X982" i="49"/>
  <c r="X970" i="49"/>
  <c r="X933" i="49"/>
  <c r="X88" i="49"/>
  <c r="X76" i="49"/>
  <c r="X64" i="49"/>
  <c r="X5" i="49"/>
  <c r="X29" i="49"/>
  <c r="X743" i="49"/>
  <c r="X634" i="49"/>
  <c r="X714" i="49"/>
  <c r="X730" i="49"/>
  <c r="X852" i="49"/>
  <c r="X727" i="49"/>
  <c r="X723" i="49"/>
  <c r="X448" i="49"/>
  <c r="X912" i="49"/>
  <c r="X994" i="49"/>
  <c r="X981" i="49"/>
  <c r="X969" i="49"/>
  <c r="X932" i="49"/>
  <c r="X87" i="49"/>
  <c r="X75" i="49"/>
  <c r="X63" i="49"/>
  <c r="X4" i="49"/>
  <c r="X31" i="49"/>
  <c r="X742" i="49"/>
  <c r="X633" i="49"/>
  <c r="X712" i="49"/>
  <c r="X716" i="49"/>
  <c r="X722" i="49"/>
  <c r="X729" i="49"/>
  <c r="X851" i="49"/>
  <c r="X447" i="49"/>
  <c r="X911" i="49"/>
  <c r="X993" i="49"/>
  <c r="X980" i="49"/>
  <c r="X943" i="49"/>
  <c r="X931" i="49"/>
  <c r="X86" i="49"/>
  <c r="X74" i="49"/>
  <c r="X62" i="49"/>
  <c r="X3" i="49"/>
  <c r="X28" i="49"/>
  <c r="X741" i="49"/>
  <c r="X632" i="49"/>
  <c r="X694" i="49"/>
  <c r="X718" i="49"/>
  <c r="X734" i="49"/>
  <c r="X715" i="49"/>
  <c r="X721" i="49"/>
  <c r="X446" i="49"/>
  <c r="X910" i="49"/>
  <c r="X992" i="49"/>
  <c r="X979" i="49"/>
  <c r="X942" i="49"/>
  <c r="X224" i="49"/>
  <c r="X85" i="49"/>
  <c r="X73" i="49"/>
  <c r="X14" i="49"/>
  <c r="X2" i="49"/>
  <c r="X27" i="49"/>
  <c r="X739" i="49"/>
  <c r="X631" i="49"/>
  <c r="X692" i="49"/>
  <c r="X701" i="49"/>
  <c r="X829" i="49"/>
  <c r="X717" i="49"/>
  <c r="X735" i="49"/>
  <c r="X445" i="49"/>
  <c r="X909" i="49"/>
  <c r="X991" i="49"/>
  <c r="X978" i="49"/>
  <c r="X941" i="49"/>
  <c r="X223" i="49"/>
  <c r="X84" i="49"/>
  <c r="X72" i="49"/>
  <c r="X13" i="49"/>
  <c r="X38" i="49"/>
  <c r="X26" i="49"/>
  <c r="Q15" i="2"/>
  <c r="Q27" i="2"/>
  <c r="Q52" i="2"/>
  <c r="Q76" i="2"/>
  <c r="Q100" i="2"/>
  <c r="Q112" i="2"/>
  <c r="Q136" i="2"/>
  <c r="Q160" i="2"/>
  <c r="Q184" i="2"/>
  <c r="Q208" i="2"/>
  <c r="Q232" i="2"/>
  <c r="Q268" i="2"/>
  <c r="Q5" i="2"/>
  <c r="Q17" i="2"/>
  <c r="Q29" i="2"/>
  <c r="Q41" i="2"/>
  <c r="Q54" i="2"/>
  <c r="Q66" i="2"/>
  <c r="Q78" i="2"/>
  <c r="Q90" i="2"/>
  <c r="Q102" i="2"/>
  <c r="Q114" i="2"/>
  <c r="Q126" i="2"/>
  <c r="Q138" i="2"/>
  <c r="Q150" i="2"/>
  <c r="Q162" i="2"/>
  <c r="Q174" i="2"/>
  <c r="Q186" i="2"/>
  <c r="Q198" i="2"/>
  <c r="Q210" i="2"/>
  <c r="Q222" i="2"/>
  <c r="Q234" i="2"/>
  <c r="Q246" i="2"/>
  <c r="Q258" i="2"/>
  <c r="Q271" i="2"/>
  <c r="Q19" i="2"/>
  <c r="Q104" i="2"/>
  <c r="Q140" i="2"/>
  <c r="Q176" i="2"/>
  <c r="Q200" i="2"/>
  <c r="Q224" i="2"/>
  <c r="Q236" i="2"/>
  <c r="Q3" i="2"/>
  <c r="Q38" i="2"/>
  <c r="Q75" i="2"/>
  <c r="Q99" i="2"/>
  <c r="Q123" i="2"/>
  <c r="Q147" i="2"/>
  <c r="Q183" i="2"/>
  <c r="Q207" i="2"/>
  <c r="Q231" i="2"/>
  <c r="Q255" i="2"/>
  <c r="Q4" i="2"/>
  <c r="Q39" i="2"/>
  <c r="Q64" i="2"/>
  <c r="Q88" i="2"/>
  <c r="Q124" i="2"/>
  <c r="Q148" i="2"/>
  <c r="Q172" i="2"/>
  <c r="Q196" i="2"/>
  <c r="Q220" i="2"/>
  <c r="Q244" i="2"/>
  <c r="Q256" i="2"/>
  <c r="X1147" i="49"/>
  <c r="Q6" i="2"/>
  <c r="Q18" i="2"/>
  <c r="Q30" i="2"/>
  <c r="Q42" i="2"/>
  <c r="Q55" i="2"/>
  <c r="Q67" i="2"/>
  <c r="Q79" i="2"/>
  <c r="Q91" i="2"/>
  <c r="Q103" i="2"/>
  <c r="Q115" i="2"/>
  <c r="Q127" i="2"/>
  <c r="Q139" i="2"/>
  <c r="Q151" i="2"/>
  <c r="Q163" i="2"/>
  <c r="Q175" i="2"/>
  <c r="Q187" i="2"/>
  <c r="Q199" i="2"/>
  <c r="Q211" i="2"/>
  <c r="Q223" i="2"/>
  <c r="Q235" i="2"/>
  <c r="Q247" i="2"/>
  <c r="Q259" i="2"/>
  <c r="Q272" i="2"/>
  <c r="X1033" i="49"/>
  <c r="X1149" i="49"/>
  <c r="X423" i="49"/>
  <c r="X1043" i="49"/>
  <c r="X467" i="49"/>
  <c r="X287" i="49"/>
  <c r="X1055" i="49"/>
  <c r="X1094" i="49"/>
  <c r="X432" i="49"/>
  <c r="X1039" i="49"/>
  <c r="X879" i="49"/>
  <c r="X174" i="49"/>
  <c r="X100" i="49"/>
  <c r="X250" i="49"/>
  <c r="X286" i="49"/>
  <c r="X458" i="49"/>
  <c r="X738" i="49"/>
  <c r="X752" i="49"/>
  <c r="X802" i="49"/>
  <c r="X823" i="49"/>
  <c r="X1093" i="49"/>
  <c r="X1146" i="49"/>
  <c r="X883" i="49"/>
  <c r="X128" i="49"/>
  <c r="X225" i="49"/>
  <c r="X1150" i="49"/>
  <c r="X253" i="49"/>
  <c r="X469" i="49"/>
  <c r="X559" i="49"/>
  <c r="X763" i="49"/>
  <c r="X816" i="49"/>
  <c r="X1066" i="49"/>
  <c r="X1105" i="49"/>
  <c r="X1095" i="49"/>
  <c r="X884" i="49"/>
  <c r="X129" i="49"/>
  <c r="X226" i="49"/>
  <c r="X1151" i="49"/>
  <c r="X262" i="49"/>
  <c r="X470" i="49"/>
  <c r="X560" i="49"/>
  <c r="X764" i="49"/>
  <c r="X817" i="49"/>
  <c r="X1067" i="49"/>
  <c r="X1106" i="49"/>
  <c r="X893" i="49"/>
  <c r="X159" i="49"/>
  <c r="X235" i="49"/>
  <c r="X263" i="49"/>
  <c r="X479" i="49"/>
  <c r="X561" i="49"/>
  <c r="X818" i="49"/>
  <c r="X1068" i="49"/>
  <c r="X1107" i="49"/>
  <c r="X435" i="49"/>
  <c r="X894" i="49"/>
  <c r="X160" i="49"/>
  <c r="X106" i="49"/>
  <c r="X264" i="49"/>
  <c r="X480" i="49"/>
  <c r="X562" i="49"/>
  <c r="X784" i="49"/>
  <c r="X588" i="49"/>
  <c r="X1054" i="49"/>
  <c r="X1117" i="49"/>
  <c r="X468" i="49"/>
  <c r="X1056" i="49"/>
  <c r="X895" i="49"/>
  <c r="X161" i="49"/>
  <c r="X107" i="49"/>
  <c r="X265" i="49"/>
  <c r="X481" i="49"/>
  <c r="X856" i="49"/>
  <c r="X785" i="49"/>
  <c r="X589" i="49"/>
  <c r="X1070" i="49"/>
  <c r="X1118" i="49"/>
  <c r="X815" i="49"/>
  <c r="X896" i="49"/>
  <c r="X162" i="49"/>
  <c r="X108" i="49"/>
  <c r="X917" i="49"/>
  <c r="X240" i="49"/>
  <c r="X274" i="49"/>
  <c r="X482" i="49"/>
  <c r="X857" i="49"/>
  <c r="X789" i="49"/>
  <c r="X590" i="49"/>
  <c r="X1071" i="49"/>
  <c r="X1119" i="49"/>
  <c r="X762" i="49"/>
  <c r="X876" i="49"/>
  <c r="X171" i="49"/>
  <c r="X97" i="49"/>
  <c r="X918" i="49"/>
  <c r="X275" i="49"/>
  <c r="X858" i="49"/>
  <c r="X749" i="49"/>
  <c r="X790" i="49"/>
  <c r="X600" i="49"/>
  <c r="X1081" i="49"/>
  <c r="X1129" i="49"/>
  <c r="X1034" i="49"/>
  <c r="X877" i="49"/>
  <c r="X172" i="49"/>
  <c r="X98" i="49"/>
  <c r="X919" i="49"/>
  <c r="X276" i="49"/>
  <c r="X456" i="49"/>
  <c r="X859" i="49"/>
  <c r="X750" i="49"/>
  <c r="X800" i="49"/>
  <c r="X601" i="49"/>
  <c r="X1082" i="49"/>
  <c r="X1130" i="49"/>
  <c r="X422" i="49"/>
  <c r="X1036" i="49"/>
  <c r="X878" i="49"/>
  <c r="X173" i="49"/>
  <c r="X99" i="49"/>
  <c r="X920" i="49"/>
  <c r="X241" i="49"/>
  <c r="X277" i="49"/>
  <c r="X457" i="49"/>
  <c r="X737" i="49"/>
  <c r="X751" i="49"/>
  <c r="X801" i="49"/>
  <c r="X602" i="49"/>
  <c r="X1083" i="49"/>
  <c r="X1131" i="49"/>
  <c r="X1042" i="49"/>
  <c r="X892" i="49"/>
  <c r="X875" i="49"/>
  <c r="X125" i="49"/>
  <c r="X158" i="49"/>
  <c r="X170" i="49"/>
  <c r="X222" i="49"/>
  <c r="X234" i="49"/>
  <c r="X96" i="49"/>
  <c r="X1032" i="49"/>
  <c r="X916" i="49"/>
  <c r="X239" i="49"/>
  <c r="X249" i="49"/>
  <c r="X261" i="49"/>
  <c r="X273" i="49"/>
  <c r="X285" i="49"/>
  <c r="X466" i="49"/>
  <c r="X478" i="49"/>
  <c r="X558" i="49"/>
  <c r="X855" i="49"/>
  <c r="X867" i="49"/>
  <c r="X760" i="49"/>
  <c r="X783" i="49"/>
  <c r="X798" i="49"/>
  <c r="X814" i="49"/>
  <c r="X587" i="49"/>
  <c r="X599" i="49"/>
  <c r="X822" i="49"/>
  <c r="X1065" i="49"/>
  <c r="X1053" i="49"/>
  <c r="X1080" i="49"/>
  <c r="X1092" i="49"/>
  <c r="X1104" i="49"/>
  <c r="X1116" i="49"/>
  <c r="X1128" i="49"/>
  <c r="X1145" i="49"/>
  <c r="X421" i="49"/>
  <c r="X1148" i="49"/>
  <c r="X436" i="49"/>
  <c r="X424" i="49"/>
  <c r="X603" i="49"/>
  <c r="X1045" i="49"/>
  <c r="X1084" i="49"/>
  <c r="X1108" i="49"/>
  <c r="X1132" i="49"/>
  <c r="X437" i="49"/>
  <c r="X425" i="49"/>
  <c r="X591" i="49"/>
  <c r="X1057" i="49"/>
  <c r="X1072" i="49"/>
  <c r="X1096" i="49"/>
  <c r="X1120" i="49"/>
  <c r="X1035" i="49"/>
  <c r="X885" i="49"/>
  <c r="X897" i="49"/>
  <c r="X880" i="49"/>
  <c r="X130" i="49"/>
  <c r="X163" i="49"/>
  <c r="X215" i="49"/>
  <c r="X227" i="49"/>
  <c r="X109" i="49"/>
  <c r="X101" i="49"/>
  <c r="X1152" i="49"/>
  <c r="X921" i="49"/>
  <c r="X242" i="49"/>
  <c r="X254" i="49"/>
  <c r="X266" i="49"/>
  <c r="X278" i="49"/>
  <c r="X459" i="49"/>
  <c r="X471" i="49"/>
  <c r="X483" i="49"/>
  <c r="X563" i="49"/>
  <c r="X860" i="49"/>
  <c r="X753" i="49"/>
  <c r="X765" i="49"/>
  <c r="X791" i="49"/>
  <c r="X804" i="49"/>
  <c r="X819" i="49"/>
  <c r="X592" i="49"/>
  <c r="X604" i="49"/>
  <c r="X1058" i="49"/>
  <c r="X1046" i="49"/>
  <c r="X1074" i="49"/>
  <c r="X1085" i="49"/>
  <c r="X1097" i="49"/>
  <c r="X1109" i="49"/>
  <c r="X1121" i="49"/>
  <c r="X1133" i="49"/>
  <c r="X438" i="49"/>
  <c r="X426" i="49"/>
  <c r="X886" i="49"/>
  <c r="X898" i="49"/>
  <c r="X119" i="49"/>
  <c r="X131" i="49"/>
  <c r="X164" i="49"/>
  <c r="X216" i="49"/>
  <c r="X228" i="49"/>
  <c r="X110" i="49"/>
  <c r="X102" i="49"/>
  <c r="X1153" i="49"/>
  <c r="X922" i="49"/>
  <c r="X243" i="49"/>
  <c r="X255" i="49"/>
  <c r="X267" i="49"/>
  <c r="X279" i="49"/>
  <c r="X460" i="49"/>
  <c r="X472" i="49"/>
  <c r="X546" i="49"/>
  <c r="X552" i="49"/>
  <c r="X564" i="49"/>
  <c r="X861" i="49"/>
  <c r="X754" i="49"/>
  <c r="X792" i="49"/>
  <c r="X805" i="49"/>
  <c r="X820" i="49"/>
  <c r="X593" i="49"/>
  <c r="X605" i="49"/>
  <c r="X1059" i="49"/>
  <c r="X1047" i="49"/>
  <c r="X1073" i="49"/>
  <c r="X1086" i="49"/>
  <c r="X1098" i="49"/>
  <c r="X1110" i="49"/>
  <c r="X1122" i="49"/>
  <c r="X1139" i="49"/>
  <c r="X439" i="49"/>
  <c r="X427" i="49"/>
  <c r="X1037" i="49"/>
  <c r="X887" i="49"/>
  <c r="X899" i="49"/>
  <c r="X120" i="49"/>
  <c r="X132" i="49"/>
  <c r="X165" i="49"/>
  <c r="X217" i="49"/>
  <c r="X229" i="49"/>
  <c r="X111" i="49"/>
  <c r="X103" i="49"/>
  <c r="X923" i="49"/>
  <c r="X244" i="49"/>
  <c r="X256" i="49"/>
  <c r="X268" i="49"/>
  <c r="X280" i="49"/>
  <c r="X461" i="49"/>
  <c r="X473" i="49"/>
  <c r="X547" i="49"/>
  <c r="X553" i="49"/>
  <c r="X565" i="49"/>
  <c r="X862" i="49"/>
  <c r="X755" i="49"/>
  <c r="X778" i="49"/>
  <c r="X793" i="49"/>
  <c r="X806" i="49"/>
  <c r="X821" i="49"/>
  <c r="X594" i="49"/>
  <c r="X606" i="49"/>
  <c r="X1060" i="49"/>
  <c r="X1048" i="49"/>
  <c r="X1075" i="49"/>
  <c r="X1087" i="49"/>
  <c r="X1099" i="49"/>
  <c r="X1111" i="49"/>
  <c r="X1123" i="49"/>
  <c r="X1140" i="49"/>
  <c r="X440" i="49"/>
  <c r="X428" i="49"/>
  <c r="X1038" i="49"/>
  <c r="X888" i="49"/>
  <c r="X900" i="49"/>
  <c r="X121" i="49"/>
  <c r="X133" i="49"/>
  <c r="X166" i="49"/>
  <c r="X218" i="49"/>
  <c r="X230" i="49"/>
  <c r="X112" i="49"/>
  <c r="X104" i="49"/>
  <c r="X245" i="49"/>
  <c r="X257" i="49"/>
  <c r="X269" i="49"/>
  <c r="X281" i="49"/>
  <c r="X462" i="49"/>
  <c r="X474" i="49"/>
  <c r="X548" i="49"/>
  <c r="X554" i="49"/>
  <c r="X566" i="49"/>
  <c r="X863" i="49"/>
  <c r="X756" i="49"/>
  <c r="X779" i="49"/>
  <c r="X794" i="49"/>
  <c r="X807" i="49"/>
  <c r="X583" i="49"/>
  <c r="X595" i="49"/>
  <c r="X607" i="49"/>
  <c r="X1061" i="49"/>
  <c r="X1049" i="49"/>
  <c r="X1076" i="49"/>
  <c r="X1088" i="49"/>
  <c r="X1100" i="49"/>
  <c r="X1112" i="49"/>
  <c r="X1124" i="49"/>
  <c r="X1141" i="49"/>
  <c r="X441" i="49"/>
  <c r="X429" i="49"/>
  <c r="X889" i="49"/>
  <c r="X872" i="49"/>
  <c r="X122" i="49"/>
  <c r="X134" i="49"/>
  <c r="X167" i="49"/>
  <c r="X219" i="49"/>
  <c r="X231" i="49"/>
  <c r="X113" i="49"/>
  <c r="X105" i="49"/>
  <c r="X236" i="49"/>
  <c r="X246" i="49"/>
  <c r="X258" i="49"/>
  <c r="X270" i="49"/>
  <c r="X282" i="49"/>
  <c r="X463" i="49"/>
  <c r="X475" i="49"/>
  <c r="X549" i="49"/>
  <c r="X555" i="49"/>
  <c r="X567" i="49"/>
  <c r="X864" i="49"/>
  <c r="X757" i="49"/>
  <c r="X780" i="49"/>
  <c r="X795" i="49"/>
  <c r="X811" i="49"/>
  <c r="X584" i="49"/>
  <c r="X596" i="49"/>
  <c r="X608" i="49"/>
  <c r="X1062" i="49"/>
  <c r="X1050" i="49"/>
  <c r="X1077" i="49"/>
  <c r="X1089" i="49"/>
  <c r="X1101" i="49"/>
  <c r="X1113" i="49"/>
  <c r="X1125" i="49"/>
  <c r="X1142" i="49"/>
  <c r="X442" i="49"/>
  <c r="X430" i="49"/>
  <c r="X1040" i="49"/>
  <c r="X890" i="49"/>
  <c r="X873" i="49"/>
  <c r="X123" i="49"/>
  <c r="X135" i="49"/>
  <c r="X168" i="49"/>
  <c r="X220" i="49"/>
  <c r="X232" i="49"/>
  <c r="X94" i="49"/>
  <c r="X1030" i="49"/>
  <c r="X914" i="49"/>
  <c r="X237" i="49"/>
  <c r="X247" i="49"/>
  <c r="X259" i="49"/>
  <c r="X271" i="49"/>
  <c r="X283" i="49"/>
  <c r="X464" i="49"/>
  <c r="X476" i="49"/>
  <c r="X550" i="49"/>
  <c r="X556" i="49"/>
  <c r="X568" i="49"/>
  <c r="X865" i="49"/>
  <c r="X746" i="49"/>
  <c r="X758" i="49"/>
  <c r="X781" i="49"/>
  <c r="X796" i="49"/>
  <c r="X812" i="49"/>
  <c r="X585" i="49"/>
  <c r="X597" i="49"/>
  <c r="X609" i="49"/>
  <c r="X1063" i="49"/>
  <c r="X1051" i="49"/>
  <c r="X1078" i="49"/>
  <c r="X1090" i="49"/>
  <c r="X1102" i="49"/>
  <c r="X1114" i="49"/>
  <c r="X1126" i="49"/>
  <c r="X1143" i="49"/>
  <c r="X419" i="49"/>
  <c r="X431" i="49"/>
  <c r="X1041" i="49"/>
  <c r="X891" i="49"/>
  <c r="X874" i="49"/>
  <c r="X124" i="49"/>
  <c r="X157" i="49"/>
  <c r="X169" i="49"/>
  <c r="X221" i="49"/>
  <c r="X233" i="49"/>
  <c r="X95" i="49"/>
  <c r="X1031" i="49"/>
  <c r="X915" i="49"/>
  <c r="X238" i="49"/>
  <c r="X248" i="49"/>
  <c r="X260" i="49"/>
  <c r="X272" i="49"/>
  <c r="X284" i="49"/>
  <c r="X465" i="49"/>
  <c r="X477" i="49"/>
  <c r="X551" i="49"/>
  <c r="X557" i="49"/>
  <c r="X854" i="49"/>
  <c r="X866" i="49"/>
  <c r="X747" i="49"/>
  <c r="X759" i="49"/>
  <c r="X782" i="49"/>
  <c r="X797" i="49"/>
  <c r="X813" i="49"/>
  <c r="X586" i="49"/>
  <c r="X598" i="49"/>
  <c r="X610" i="49"/>
  <c r="X1064" i="49"/>
  <c r="X1052" i="49"/>
  <c r="X1079" i="49"/>
  <c r="X1091" i="49"/>
  <c r="X1103" i="49"/>
  <c r="X1115" i="49"/>
  <c r="X1127" i="49"/>
  <c r="X1144" i="49"/>
  <c r="X420" i="49"/>
  <c r="Z155" i="49" l="1"/>
  <c r="AA30" i="49"/>
</calcChain>
</file>

<file path=xl/sharedStrings.xml><?xml version="1.0" encoding="utf-8"?>
<sst xmlns="http://schemas.openxmlformats.org/spreadsheetml/2006/main" count="26307" uniqueCount="2624">
  <si>
    <t>DOMAIN</t>
  </si>
  <si>
    <t>TABLE_NAME</t>
  </si>
  <si>
    <t>COLUMN_NAME</t>
  </si>
  <si>
    <t>COLUMN_ORDER</t>
  </si>
  <si>
    <t>DATA_TYPE</t>
  </si>
  <si>
    <t>SQL_DATA_TYPE</t>
  </si>
  <si>
    <t>DATA_LENGTH</t>
  </si>
  <si>
    <t>SCALE</t>
  </si>
  <si>
    <t>NOT_NULL</t>
  </si>
  <si>
    <t>DEFAULT</t>
  </si>
  <si>
    <t>PRIMARY_KEY</t>
  </si>
  <si>
    <t>NATURAL_KEY</t>
  </si>
  <si>
    <t>FKEY_TABLE</t>
  </si>
  <si>
    <t>FKEY_COLUMN</t>
  </si>
  <si>
    <t>FKEY_CARDINALITY</t>
  </si>
  <si>
    <t>DESCRIPTION</t>
  </si>
  <si>
    <t>JAVA_PROPERTY_NAME</t>
  </si>
  <si>
    <t>JAVA_DATA_TYPE</t>
  </si>
  <si>
    <t>COLUMN_FLAGS</t>
  </si>
  <si>
    <t>TABLE_DESCRIPTION</t>
  </si>
  <si>
    <t>TABLE_FLAGS</t>
  </si>
  <si>
    <t>COMMENTS</t>
  </si>
  <si>
    <t>Table.Column</t>
  </si>
  <si>
    <t>Found in Mapping?</t>
  </si>
  <si>
    <t>Old Table.Column</t>
  </si>
  <si>
    <t>Old Data Type</t>
  </si>
  <si>
    <t>Old Data Length</t>
  </si>
  <si>
    <t>Migrate from Cobra DeskTop Table</t>
  </si>
  <si>
    <t>Codes</t>
  </si>
  <si>
    <t>CODE</t>
  </si>
  <si>
    <t>ROW_UID</t>
  </si>
  <si>
    <t>GUID</t>
  </si>
  <si>
    <t>Y</t>
  </si>
  <si>
    <t>Unique Code Identifier.</t>
  </si>
  <si>
    <t>uid</t>
  </si>
  <si>
    <t>SEQUENCE</t>
  </si>
  <si>
    <t>LONGINT</t>
  </si>
  <si>
    <t>Concurrency Control Identifier.</t>
  </si>
  <si>
    <t>sequence</t>
  </si>
  <si>
    <t>CODE_FILE_UID</t>
  </si>
  <si>
    <t>CODE_FILE</t>
  </si>
  <si>
    <t>1:N</t>
  </si>
  <si>
    <t>Unique Identifier of the Code File record.</t>
  </si>
  <si>
    <t>codeFile</t>
  </si>
  <si>
    <t>PARENT_CODE_UID</t>
  </si>
  <si>
    <t>Unique Identifier of the Parent Code record.</t>
  </si>
  <si>
    <t>parentCode</t>
  </si>
  <si>
    <t>NAME</t>
  </si>
  <si>
    <t>NTEXT</t>
  </si>
  <si>
    <t>Code Name.</t>
  </si>
  <si>
    <t>name</t>
  </si>
  <si>
    <t>CODE_LEVEL</t>
  </si>
  <si>
    <t>SHORTINT</t>
  </si>
  <si>
    <t>Code hierarchy level.</t>
  </si>
  <si>
    <t>codeLevel</t>
  </si>
  <si>
    <t>CHILD_COUNT</t>
  </si>
  <si>
    <t>Parent Code child count.</t>
  </si>
  <si>
    <t>childCount</t>
  </si>
  <si>
    <t>CHILD_POS</t>
  </si>
  <si>
    <t>Child Code position.</t>
  </si>
  <si>
    <t>childPos</t>
  </si>
  <si>
    <t>CREATED_BY_USER_UID</t>
  </si>
  <si>
    <t>The User that created the Code.</t>
  </si>
  <si>
    <t>createdBy</t>
  </si>
  <si>
    <t>CREATED_DATE</t>
  </si>
  <si>
    <t>TIMESTAMP</t>
  </si>
  <si>
    <t>Date the Code was created.</t>
  </si>
  <si>
    <t>createdDate</t>
  </si>
  <si>
    <t>LAST_MODIFIED_BY_USER_UID</t>
  </si>
  <si>
    <t>The User that last changed the Code.</t>
  </si>
  <si>
    <t>lastModifiedBy</t>
  </si>
  <si>
    <t>LAST_MODIFIED_DATE</t>
  </si>
  <si>
    <t>Date the last change was made to the Code.</t>
  </si>
  <si>
    <t>lastModifiedDate</t>
  </si>
  <si>
    <t>Code Description.</t>
  </si>
  <si>
    <t>description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</si>
  <si>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</si>
  <si>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</si>
  <si>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</si>
  <si>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</si>
  <si>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</si>
  <si>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</si>
  <si>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</si>
  <si>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</si>
  <si>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</si>
  <si>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TAG</t>
  </si>
  <si>
    <t>TEXT</t>
  </si>
  <si>
    <t>BREAKFILE</t>
  </si>
  <si>
    <t>Unique Code File Identifier.</t>
  </si>
  <si>
    <t>Code File Name.</t>
  </si>
  <si>
    <t>CODE_TYPE</t>
  </si>
  <si>
    <t>Code File Code Type. Supported values are P or N.</t>
  </si>
  <si>
    <t>codeType</t>
  </si>
  <si>
    <t>TH_FLAGS</t>
  </si>
  <si>
    <t>''NNNNNNNNNN''</t>
  </si>
  <si>
    <t>Flags to enable Code Threshold Variance options.</t>
  </si>
  <si>
    <t>thresholdFlags</t>
  </si>
  <si>
    <t>Code File Description.</t>
  </si>
  <si>
    <t>FIELD_NAME</t>
  </si>
  <si>
    <t>Default User Field Name when this Code File is assigned to a User Define Field.</t>
  </si>
  <si>
    <t>fieldName</t>
  </si>
  <si>
    <t>FIELD_DESCRIPTION</t>
  </si>
  <si>
    <t>Default Field Description when this Code File is assigned to a User Define Field.</t>
  </si>
  <si>
    <t>fieldDescription</t>
  </si>
  <si>
    <t>OWNER_USER_UID</t>
  </si>
  <si>
    <t>The User that owns the Code File.</t>
  </si>
  <si>
    <t>owner</t>
  </si>
  <si>
    <t>The User that created the Code File.</t>
  </si>
  <si>
    <t>Date the Code File was created.</t>
  </si>
  <si>
    <t>The User that last changed the Code File.</t>
  </si>
  <si>
    <t>Date the last change was made to the Code File.</t>
  </si>
  <si>
    <t>PAD_CHAR</t>
  </si>
  <si>
    <t>Padding Character</t>
  </si>
  <si>
    <t>MAX_LEVEL</t>
  </si>
  <si>
    <t>Maximum Level</t>
  </si>
  <si>
    <t>LEVEL1</t>
  </si>
  <si>
    <t>Level 1</t>
  </si>
  <si>
    <t>LEVEL2</t>
  </si>
  <si>
    <t>Level 2</t>
  </si>
  <si>
    <t>LEVEL3</t>
  </si>
  <si>
    <t>Level 3</t>
  </si>
  <si>
    <t>LEVEL4</t>
  </si>
  <si>
    <t>Level 4</t>
  </si>
  <si>
    <t>LEVEL5</t>
  </si>
  <si>
    <t>Level 5</t>
  </si>
  <si>
    <t>LEVEL6</t>
  </si>
  <si>
    <t>Level 6</t>
  </si>
  <si>
    <t>LEVEL7</t>
  </si>
  <si>
    <t>Level 7</t>
  </si>
  <si>
    <t>LEVEL8</t>
  </si>
  <si>
    <t>Level 8</t>
  </si>
  <si>
    <t>LEVEL9</t>
  </si>
  <si>
    <t>Level 9</t>
  </si>
  <si>
    <t>LEVEL10</t>
  </si>
  <si>
    <t>Level 10</t>
  </si>
  <si>
    <t>LEVEL11</t>
  </si>
  <si>
    <t>Level 11</t>
  </si>
  <si>
    <t>LEVEL12</t>
  </si>
  <si>
    <t>Level 12</t>
  </si>
  <si>
    <t>LEVEL13</t>
  </si>
  <si>
    <t>Level 13</t>
  </si>
  <si>
    <t>LEVEL14</t>
  </si>
  <si>
    <t>Level 14</t>
  </si>
  <si>
    <t>LEVEL15</t>
  </si>
  <si>
    <t>Level 15</t>
  </si>
  <si>
    <t>LEVEL16</t>
  </si>
  <si>
    <t>Level 16</t>
  </si>
  <si>
    <t>LEVEL17</t>
  </si>
  <si>
    <t>Level 17</t>
  </si>
  <si>
    <t>LEVEL18</t>
  </si>
  <si>
    <t>Level 18</t>
  </si>
  <si>
    <t>LEVEL19</t>
  </si>
  <si>
    <t>Level 19</t>
  </si>
  <si>
    <t>LEVEL20</t>
  </si>
  <si>
    <t>Level 20</t>
  </si>
  <si>
    <t>CODELENGTH</t>
  </si>
  <si>
    <t>Code Length</t>
  </si>
  <si>
    <t>CODE_THRESHOLD</t>
  </si>
  <si>
    <t>1: 0..1</t>
  </si>
  <si>
    <t>Unique Code Threshold Identifier.</t>
  </si>
  <si>
    <t>SPVF</t>
  </si>
  <si>
    <t>DECIMAL</t>
  </si>
  <si>
    <t>Threshold SV Value Current Period Favorable</t>
  </si>
  <si>
    <t>scheduleVarianceCurrentPeriodFavorableValue</t>
  </si>
  <si>
    <t>SPVU</t>
  </si>
  <si>
    <t>Threshold SV Value Current Period Unfavorable</t>
  </si>
  <si>
    <t>scheduleVarianceCurrentPeriodUnfavorableValue</t>
  </si>
  <si>
    <t>SPPF</t>
  </si>
  <si>
    <t>PERCENT</t>
  </si>
  <si>
    <t>Threshold SV % Current Period Favorable</t>
  </si>
  <si>
    <t>scheduleVarianceCurrentPeriodFavorablePercentage</t>
  </si>
  <si>
    <t>SPPU</t>
  </si>
  <si>
    <t>Threshold SV % Current Period Unfavorable</t>
  </si>
  <si>
    <t>scheduleVarianceCurrentPeriodUnfavorablePercentage</t>
  </si>
  <si>
    <t>SCVF</t>
  </si>
  <si>
    <t>Threshold SV Value Cumulative Favorable</t>
  </si>
  <si>
    <t>scheduleVarianceCumulativeFavorableValue</t>
  </si>
  <si>
    <t>SCVU</t>
  </si>
  <si>
    <t>Threshold SV Value Cumulative Unfavorable</t>
  </si>
  <si>
    <t>scheduleVarianceCumulativeUnfavorableValue</t>
  </si>
  <si>
    <t>SCPF</t>
  </si>
  <si>
    <t>Threshold SV % Cumulative Favorable</t>
  </si>
  <si>
    <t>scheduleVarianceCumulativeFavorablePercentage</t>
  </si>
  <si>
    <t>SCPU</t>
  </si>
  <si>
    <t>Threshold SV % Cumulative Unfavorable</t>
  </si>
  <si>
    <t>scheduleVarianceCumulativeUnfavorablePercentage</t>
  </si>
  <si>
    <t>CPVF</t>
  </si>
  <si>
    <t>Threshold CV Value Current Period Favorable</t>
  </si>
  <si>
    <t>costVarianceCurrentPeriodFavorableValue</t>
  </si>
  <si>
    <t>CPVU</t>
  </si>
  <si>
    <t>Threshold CV Value Current Period Unfavorable</t>
  </si>
  <si>
    <t>costVarianceCurrentPeriodUnfavorableValue</t>
  </si>
  <si>
    <t>CPPF</t>
  </si>
  <si>
    <t>Threshold CV % Current Period Favorable</t>
  </si>
  <si>
    <t>costVarianceCurrentPeriodFavorablePercentage</t>
  </si>
  <si>
    <t>CPPU</t>
  </si>
  <si>
    <t>Threshold CV % Current Period Unfavorable</t>
  </si>
  <si>
    <t>costVarianceCurrentPeriodUnfavorablePercentage</t>
  </si>
  <si>
    <t>CCVF</t>
  </si>
  <si>
    <t>Threshold CV Value Cumulative Favorable</t>
  </si>
  <si>
    <t>costVarianceCumulativeFavorableValue</t>
  </si>
  <si>
    <t>CCVU</t>
  </si>
  <si>
    <t>Threshold CV Value Cumulative Unfavorable</t>
  </si>
  <si>
    <t>costVarianceCumulativeUnfavorableValue</t>
  </si>
  <si>
    <t>CCPF</t>
  </si>
  <si>
    <t>Threshold CV % Cumulative Favorable</t>
  </si>
  <si>
    <t>costVarianceCumulativeFavorablePercentage</t>
  </si>
  <si>
    <t>CCPU</t>
  </si>
  <si>
    <t>Threshold CV % Cumulative Unfavorable</t>
  </si>
  <si>
    <t>costVarianceCumulativeUnfavorablePercentage</t>
  </si>
  <si>
    <t>CAVF</t>
  </si>
  <si>
    <t>Threshold CV Value At Complete Favorable</t>
  </si>
  <si>
    <t>costVarianceAtCompleteFavorableValue</t>
  </si>
  <si>
    <t>CAVU</t>
  </si>
  <si>
    <t>Threshold CV Value At Complete Unfavorable</t>
  </si>
  <si>
    <t>costVarianceAtCompleteUnfavorableValue</t>
  </si>
  <si>
    <t>CAPF</t>
  </si>
  <si>
    <t>Threshold CV % At Complete Favorable</t>
  </si>
  <si>
    <t>costVarianceAtCompleteFavorablePercentage</t>
  </si>
  <si>
    <t>CAPU</t>
  </si>
  <si>
    <t>Threshold CV % At Complete Unfavorable</t>
  </si>
  <si>
    <t>costVarianceAtCompleteUnfavorablePercentage</t>
  </si>
  <si>
    <t>SPF_TL</t>
  </si>
  <si>
    <t>Threshold Logic SV Current Period Favorable</t>
  </si>
  <si>
    <t>scheduleVarianceCurrentPeriodFavorableOperator</t>
  </si>
  <si>
    <t>SPU_TL</t>
  </si>
  <si>
    <t>Threshold Logic SV Current Period Unfavorable</t>
  </si>
  <si>
    <t>scheduleVarianceCurrentPeriodUnfavorableOperator</t>
  </si>
  <si>
    <t>SCF_TL</t>
  </si>
  <si>
    <t>Threshold Logic SV Cumulative Favorable</t>
  </si>
  <si>
    <t>scheduleVarianceCumulativeFavorableOperator</t>
  </si>
  <si>
    <t>SCU_TL</t>
  </si>
  <si>
    <t>Threshold Logic SV Cumulative Unfavorable</t>
  </si>
  <si>
    <t>scheduleVarianceCumulativeUnfavorableOperator</t>
  </si>
  <si>
    <t>CPF_TL</t>
  </si>
  <si>
    <t>Threshold Logic CV Current Period Favorable</t>
  </si>
  <si>
    <t>costVarianceCurrentPeriodFavorableOperator</t>
  </si>
  <si>
    <t>CPU_TL</t>
  </si>
  <si>
    <t>Threshold Logic CV Current Period Unfavorable</t>
  </si>
  <si>
    <t>costVarianceCurrentPeriodUnfavorableOperator</t>
  </si>
  <si>
    <t>CCF_TL</t>
  </si>
  <si>
    <t>Threshold Logic CV Cumulative Favorable</t>
  </si>
  <si>
    <t>costVarianceCumulativeFavorableOperator</t>
  </si>
  <si>
    <t>CCU_TL</t>
  </si>
  <si>
    <t>Threshold Logic CV Cumulative Unfavorable</t>
  </si>
  <si>
    <t>costVarianceCumulativeUnfavorableOperator</t>
  </si>
  <si>
    <t>CAF_TL</t>
  </si>
  <si>
    <t>Threshold Logic CV At Complete Favorable</t>
  </si>
  <si>
    <t>costVarianceAtCompleteFavorableOperator</t>
  </si>
  <si>
    <t>CAU_TL</t>
  </si>
  <si>
    <t>Threshold Logic CV At Complete Unfavorable</t>
  </si>
  <si>
    <t>costVarianceAtCompleteUnfavorableOperator</t>
  </si>
  <si>
    <t>Common</t>
  </si>
  <si>
    <t>PRODUCT_CONFIG</t>
  </si>
  <si>
    <t>Unique Product Setting  Identifier.</t>
  </si>
  <si>
    <t>PRODUCT_ID</t>
  </si>
  <si>
    <t>Product ID that the Product Setting is associate with. 0 If Product Setting is not Product specific.</t>
  </si>
  <si>
    <t>productId</t>
  </si>
  <si>
    <t>TYPE</t>
  </si>
  <si>
    <t>Config Type</t>
  </si>
  <si>
    <t>type</t>
  </si>
  <si>
    <t>? Are identical names allow for differernt settings distunguished by a setting type?</t>
  </si>
  <si>
    <t>Product Setting Name</t>
  </si>
  <si>
    <t>The User that owns the Product Config.</t>
  </si>
  <si>
    <t>? I don't think we need an owner for a setting unless we also want to add ACL. But we currently don't support this.</t>
  </si>
  <si>
    <t>The User that created the Product Config.</t>
  </si>
  <si>
    <t>Date the Product Config was created.</t>
  </si>
  <si>
    <t>The User that last changed the Product Config.</t>
  </si>
  <si>
    <t>Date the last change was made to the Product Config.</t>
  </si>
  <si>
    <t>Product Setting Description.</t>
  </si>
  <si>
    <t>DATA</t>
  </si>
  <si>
    <t>MEMO</t>
  </si>
  <si>
    <t>Product Setting data value.</t>
  </si>
  <si>
    <t>data</t>
  </si>
  <si>
    <t>PRODUCT_PREFERENCE</t>
  </si>
  <si>
    <t>Unique Preferences Identifier.</t>
  </si>
  <si>
    <t>Product ID that the Product Preference is associate with. 0 If preference is not Product specific.</t>
  </si>
  <si>
    <t>For Product Specific Preferences</t>
  </si>
  <si>
    <t>PRIMARY_ENTITY_UID</t>
  </si>
  <si>
    <t>Unique Identifier for the Root Parent Entity  the Product Preference is associated with. NULL if preference is not associated with a Primary Entity.</t>
  </si>
  <si>
    <t>primaryEntityUid</t>
  </si>
  <si>
    <t>For File Specific Preferences. Foreign Key to the DIRECTORY table. We don't expect to version preferences.</t>
  </si>
  <si>
    <t>User that the Product preference is associated with. NULL if the preference is not User specific.</t>
  </si>
  <si>
    <t>user</t>
  </si>
  <si>
    <t>For User Specific Preferences</t>
  </si>
  <si>
    <t>Product Preference Name.</t>
  </si>
  <si>
    <t xml:space="preserve"> Product Preference data value.</t>
  </si>
  <si>
    <t>SECURE</t>
  </si>
  <si>
    <t>BOOLEAN</t>
  </si>
  <si>
    <t>Identifies if the Product Preference Value is encrypted.</t>
  </si>
  <si>
    <t>secure</t>
  </si>
  <si>
    <t>Date the last change was made to the Product preference.</t>
  </si>
  <si>
    <t>Product preference Description.</t>
  </si>
  <si>
    <t>Fiscal Calendars</t>
  </si>
  <si>
    <t>FISCAL_CALENDAR</t>
  </si>
  <si>
    <t>Unique Fiscal Calendar Identifier.</t>
  </si>
  <si>
    <t>Fiscal Calendar Name.</t>
  </si>
  <si>
    <t>Fiscal Calendar Description.</t>
  </si>
  <si>
    <t>HOURS_MONDAY</t>
  </si>
  <si>
    <t>HOURS</t>
  </si>
  <si>
    <t>Working Hours for Monday.</t>
  </si>
  <si>
    <t>hoursMonday</t>
  </si>
  <si>
    <t>HOURS_TUESDAY</t>
  </si>
  <si>
    <t>Working Hours for Tuesday.</t>
  </si>
  <si>
    <t>hoursTuesday</t>
  </si>
  <si>
    <t>HOURS_WEDNESDAY</t>
  </si>
  <si>
    <t>Working Hours for Wednesday.</t>
  </si>
  <si>
    <t>hoursWednesday</t>
  </si>
  <si>
    <t>HOURS_THURSDAY</t>
  </si>
  <si>
    <t>Working Hours for Thursday.</t>
  </si>
  <si>
    <t>hoursThursday</t>
  </si>
  <si>
    <t>HOURS_FRIDAY</t>
  </si>
  <si>
    <t>Working Hours for Friday.</t>
  </si>
  <si>
    <t>hoursFriday</t>
  </si>
  <si>
    <t>HOURS_SATURDAY</t>
  </si>
  <si>
    <t>Working Hours for Saturday.</t>
  </si>
  <si>
    <t>hoursSaturday</t>
  </si>
  <si>
    <t>HOURS_SUNDAY</t>
  </si>
  <si>
    <t>Working Hours for Sunday.</t>
  </si>
  <si>
    <t>hoursSunday</t>
  </si>
  <si>
    <t>PATTERN</t>
  </si>
  <si>
    <t>Pattern definition for generating Fiscal Calendar Periods.</t>
  </si>
  <si>
    <t>pattern</t>
  </si>
  <si>
    <t>The User that owns the Fiscal Calendar.</t>
  </si>
  <si>
    <t>The User that created the Fiscal Calendar.</t>
  </si>
  <si>
    <t>Date the Fiscal Calendar was created.</t>
  </si>
  <si>
    <t>The User that last changed the Fiscal Calendar.</t>
  </si>
  <si>
    <t>Date the last change was made to the Fiscal Calendar.</t>
  </si>
  <si>
    <t>DOW_HOURS</t>
  </si>
  <si>
    <t>DESC00</t>
  </si>
  <si>
    <t>DESC01</t>
  </si>
  <si>
    <t>DESC02</t>
  </si>
  <si>
    <t>DESC03</t>
  </si>
  <si>
    <t>DESC04</t>
  </si>
  <si>
    <t>DESC05</t>
  </si>
  <si>
    <t>DESC06</t>
  </si>
  <si>
    <t>DESC07</t>
  </si>
  <si>
    <t>DESC08</t>
  </si>
  <si>
    <t>DESC09</t>
  </si>
  <si>
    <t>DESC10</t>
  </si>
  <si>
    <t>DESC11</t>
  </si>
  <si>
    <t>DESC12</t>
  </si>
  <si>
    <t>DESC13</t>
  </si>
  <si>
    <t>DESC14</t>
  </si>
  <si>
    <t>DESC15</t>
  </si>
  <si>
    <t>DESC16</t>
  </si>
  <si>
    <t>DESC17</t>
  </si>
  <si>
    <t>DESC18</t>
  </si>
  <si>
    <t>DESC19</t>
  </si>
  <si>
    <t>VARCHAR2</t>
  </si>
  <si>
    <t>FISCAL.DESC19</t>
  </si>
  <si>
    <t>FISCAL_CALENDAR_HOLIDAY</t>
  </si>
  <si>
    <t>Unique Fiscal Holiday Identifier.</t>
  </si>
  <si>
    <t>FISCAL_CALENDAR_UID</t>
  </si>
  <si>
    <t>fiscalCalendar</t>
  </si>
  <si>
    <t>HOLIDAY_DATE</t>
  </si>
  <si>
    <t>DATE</t>
  </si>
  <si>
    <t>Fiscal Calendar Holiday Date.</t>
  </si>
  <si>
    <t>holidayDate</t>
  </si>
  <si>
    <t>The User that created the Fiscal Calendar Holiday.</t>
  </si>
  <si>
    <t>Date the Fiscal Calendar Holiday was created.</t>
  </si>
  <si>
    <t>The User that last changed the Fiscal Calendar Holiday.</t>
  </si>
  <si>
    <t>Date the last change was made to the Fiscal Calendar Holiday.</t>
  </si>
  <si>
    <t>Fiscal Holiday Entity Description.</t>
  </si>
  <si>
    <t>FISCAL_CALENDAR_PERIOD</t>
  </si>
  <si>
    <t>Unique Fiscal Period Identifier.</t>
  </si>
  <si>
    <t>END_DATE</t>
  </si>
  <si>
    <t>Fiscal Calendar Period End date.</t>
  </si>
  <si>
    <t>endDate</t>
  </si>
  <si>
    <t>Working hours in Fiscal Calendar Period.</t>
  </si>
  <si>
    <t>hours</t>
  </si>
  <si>
    <t>The User that created the Fiscal Calendar Period.</t>
  </si>
  <si>
    <t>Date the Fiscal Calendar Period was created.</t>
  </si>
  <si>
    <t>The User that last changed the Fiscal Calendar Period.</t>
  </si>
  <si>
    <t>Date the last change was made to the Fiscal Calendar Period.</t>
  </si>
  <si>
    <t>FISCFILE</t>
  </si>
  <si>
    <t>FIELD00</t>
  </si>
  <si>
    <t>FIELD01</t>
  </si>
  <si>
    <t>FIELD02</t>
  </si>
  <si>
    <t>FIELD03</t>
  </si>
  <si>
    <t>FIELD04</t>
  </si>
  <si>
    <t>FIELD05</t>
  </si>
  <si>
    <t>FIELD06</t>
  </si>
  <si>
    <t>FIELD07</t>
  </si>
  <si>
    <t>FIELD08</t>
  </si>
  <si>
    <t>FIELD09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</si>
  <si>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</si>
  <si>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</si>
  <si>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</si>
  <si>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</si>
  <si>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</si>
  <si>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</si>
  <si>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</si>
  <si>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</si>
  <si>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</si>
  <si>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</si>
  <si>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FLAG01</t>
  </si>
  <si>
    <t>FLAG02</t>
  </si>
  <si>
    <t>FLAG03</t>
  </si>
  <si>
    <t>FLAG04</t>
  </si>
  <si>
    <t>FLAG05</t>
  </si>
  <si>
    <t>FLAG06</t>
  </si>
  <si>
    <t>FLAG07</t>
  </si>
  <si>
    <t>FLAG08</t>
  </si>
  <si>
    <t>FLAG09</t>
  </si>
  <si>
    <t>FLAG10</t>
  </si>
  <si>
    <t>FLAG11</t>
  </si>
  <si>
    <t>FLAG12</t>
  </si>
  <si>
    <t>FLAG13</t>
  </si>
  <si>
    <t>FLAG14</t>
  </si>
  <si>
    <t>FLAG15</t>
  </si>
  <si>
    <t>FLAG16</t>
  </si>
  <si>
    <t>FLAG17</t>
  </si>
  <si>
    <t>FLAG18</t>
  </si>
  <si>
    <t>FLAG19</t>
  </si>
  <si>
    <t>FISCAL_CALENDAR_SET</t>
  </si>
  <si>
    <t>Unique Fiscal Calendar Set Identifier.</t>
  </si>
  <si>
    <t>SET_ID</t>
  </si>
  <si>
    <t>System generated Fiscal Calendar Set name.</t>
  </si>
  <si>
    <t>setId</t>
  </si>
  <si>
    <t>TODO (Rethink ID Naming conventions)</t>
  </si>
  <si>
    <t>LABEL_FORMAT</t>
  </si>
  <si>
    <t>''MM/dd/yy''</t>
  </si>
  <si>
    <t>Fiscal Calendar Label Format</t>
  </si>
  <si>
    <t>labelFormat</t>
  </si>
  <si>
    <t>LABEL_VALUE</t>
  </si>
  <si>
    <t>Fiscal Calendar Label Value for Label Format of Counter.</t>
  </si>
  <si>
    <t>labelValue</t>
  </si>
  <si>
    <t>The User that created the Fiscal Calendar Set.</t>
  </si>
  <si>
    <t>Date the Fiscal Calendar Set was created.</t>
  </si>
  <si>
    <t>The User that last changed the Fiscal Calendar Set.</t>
  </si>
  <si>
    <t>Date the last change was made to the Fiscal Calendar Set.</t>
  </si>
  <si>
    <t>Fiscal Calendar Set Description.</t>
  </si>
  <si>
    <t>FISCAL_CALENDAR_SET_LABEL</t>
  </si>
  <si>
    <t>Unique Fiscal Calendar Set Label Identifier.</t>
  </si>
  <si>
    <t>FISCAL_CALENDAR_SET_UID</t>
  </si>
  <si>
    <t>fiscalCalendarSet</t>
  </si>
  <si>
    <t>FISCAL_CALENDAR_PERIOD_UID</t>
  </si>
  <si>
    <t>Unique Fiscal Calendar Period Identifier.</t>
  </si>
  <si>
    <t>fiscalCalendarPeriod</t>
  </si>
  <si>
    <t>LABEL</t>
  </si>
  <si>
    <t>User entered label for a Fiscal Set Period.</t>
  </si>
  <si>
    <t>label</t>
  </si>
  <si>
    <t>FLAG</t>
  </si>
  <si>
    <t>Identifies if a Fiscal Set Period  is Floating or Fixed.</t>
  </si>
  <si>
    <t>flag</t>
  </si>
  <si>
    <t>The User that created the Fiscal Calendar Set Label.</t>
  </si>
  <si>
    <t>Date the Fiscal Calendar Set Label was created.</t>
  </si>
  <si>
    <t>The User that last changed the Fiscal Calendar Set Label.</t>
  </si>
  <si>
    <t>Date the last change was made to the Fiscal Calendar Set Label.</t>
  </si>
  <si>
    <t>Projects</t>
  </si>
  <si>
    <t>PROJECT</t>
  </si>
  <si>
    <t>Unique Project Identifier.</t>
  </si>
  <si>
    <t>INACTIVE</t>
  </si>
  <si>
    <t>Project is inactive and not show in lists by default.</t>
  </si>
  <si>
    <t>inactive</t>
  </si>
  <si>
    <t>Project Name.</t>
  </si>
  <si>
    <t>Project Description.</t>
  </si>
  <si>
    <t>WBS_CODE_FILE_UID</t>
  </si>
  <si>
    <t>Unique WBS Code File Identifier.</t>
  </si>
  <si>
    <t>wbsCodeFile</t>
  </si>
  <si>
    <t>OBS_CODE_FILE_UID</t>
  </si>
  <si>
    <t>Unique OBS Code File Identifier.</t>
  </si>
  <si>
    <t>obsCodeFile</t>
  </si>
  <si>
    <t>CHANGE_NUMBER_CODE_FILE_UID</t>
  </si>
  <si>
    <t>Unique Change Number Code File Identifier.</t>
  </si>
  <si>
    <t>changeNumberCodeFile</t>
  </si>
  <si>
    <t>CLIN_CODE_FILE_UID</t>
  </si>
  <si>
    <t>Unique CLIN Code File Identifier.</t>
  </si>
  <si>
    <t>clinCodeFile</t>
  </si>
  <si>
    <t>fiscalCalendarFile</t>
  </si>
  <si>
    <t>RESOURCE_FILE_UID</t>
  </si>
  <si>
    <t>RESOURCE_FILE</t>
  </si>
  <si>
    <t>Unique Resource File Identifier.</t>
  </si>
  <si>
    <t>resourceFile</t>
  </si>
  <si>
    <t>RATE_FILE_UID</t>
  </si>
  <si>
    <t>RATE_FILE</t>
  </si>
  <si>
    <t>Unique Rate File Identifier.</t>
  </si>
  <si>
    <t>rateFile</t>
  </si>
  <si>
    <t>RW_FISCAL_CALENDAR_UID</t>
  </si>
  <si>
    <t>Unique Rolling Wave Fiscal Calendar Identifier.</t>
  </si>
  <si>
    <t>rollingWaveFiscalCalendar</t>
  </si>
  <si>
    <t>? Obsolete based on revised calendar definition discussion?</t>
  </si>
  <si>
    <t>PERIOD_START</t>
  </si>
  <si>
    <t>Period Start Date.</t>
  </si>
  <si>
    <t>periodStart</t>
  </si>
  <si>
    <t>PERIOD_END</t>
  </si>
  <si>
    <t>Period End Date.</t>
  </si>
  <si>
    <t>periodEnd</t>
  </si>
  <si>
    <t>SPTYPE</t>
  </si>
  <si>
    <t>Spread Weight Method.</t>
  </si>
  <si>
    <t>spreadWeightType</t>
  </si>
  <si>
    <t>AUDIT_LOG_LEVEL</t>
  </si>
  <si>
    <t>Audit Log Level. (Control Account, Work Package, Both Control Account and Work Package)</t>
  </si>
  <si>
    <t>auditLogLevel</t>
  </si>
  <si>
    <t>SCALECAP</t>
  </si>
  <si>
    <t>Scale Caption.</t>
  </si>
  <si>
    <t>scaleFactorCaption</t>
  </si>
  <si>
    <t>BASELINE_START</t>
  </si>
  <si>
    <t>Baseline Start Date.</t>
  </si>
  <si>
    <t>baselineStart</t>
  </si>
  <si>
    <t>BASELINE_FINISH</t>
  </si>
  <si>
    <t>Baseline Finish Date.</t>
  </si>
  <si>
    <t>baselineFinish</t>
  </si>
  <si>
    <t>FORECAST_FINISH</t>
  </si>
  <si>
    <t>Forecast Finish Date.</t>
  </si>
  <si>
    <t>forecastFinish</t>
  </si>
  <si>
    <t>SCALEFAC</t>
  </si>
  <si>
    <t>Scale Factor.</t>
  </si>
  <si>
    <t>scaleFactor</t>
  </si>
  <si>
    <t>FEE_PRCENT</t>
  </si>
  <si>
    <t>Fee Percent.</t>
  </si>
  <si>
    <t>feePercent</t>
  </si>
  <si>
    <t>CTC</t>
  </si>
  <si>
    <t>Negotiated Cost.</t>
  </si>
  <si>
    <t>ctc</t>
  </si>
  <si>
    <t>AUW</t>
  </si>
  <si>
    <t>Authorized Unpriced Work.</t>
  </si>
  <si>
    <t>auw</t>
  </si>
  <si>
    <t>OTC</t>
  </si>
  <si>
    <t>Original Negotiated Cost.</t>
  </si>
  <si>
    <t>otc</t>
  </si>
  <si>
    <t>CBB</t>
  </si>
  <si>
    <t>Contract Budget Base.</t>
  </si>
  <si>
    <t>cbb</t>
  </si>
  <si>
    <t>FEE</t>
  </si>
  <si>
    <t>Fee.</t>
  </si>
  <si>
    <t>fee</t>
  </si>
  <si>
    <t>MR</t>
  </si>
  <si>
    <t>Management Reserve.</t>
  </si>
  <si>
    <t>mr</t>
  </si>
  <si>
    <t>UB</t>
  </si>
  <si>
    <t>Undistributed Budget.</t>
  </si>
  <si>
    <t>ub</t>
  </si>
  <si>
    <t>CEILING</t>
  </si>
  <si>
    <t>Contract Price Ceiling.</t>
  </si>
  <si>
    <t>ceiling</t>
  </si>
  <si>
    <t>LRE</t>
  </si>
  <si>
    <t>Forecast</t>
  </si>
  <si>
    <t>latestRevisedEstimate</t>
  </si>
  <si>
    <t>ESTCEILING</t>
  </si>
  <si>
    <t>Estimated Ceiling.</t>
  </si>
  <si>
    <t>estimatedCeiling</t>
  </si>
  <si>
    <t>ESTMR</t>
  </si>
  <si>
    <t>Estimated Management Reserve.</t>
  </si>
  <si>
    <t>estimatedMr</t>
  </si>
  <si>
    <t>ESTUB</t>
  </si>
  <si>
    <t>Estimated Undistributed Budget.</t>
  </si>
  <si>
    <t>estimatedUb</t>
  </si>
  <si>
    <t>BASELINED</t>
  </si>
  <si>
    <t>Is a Baseline Set.</t>
  </si>
  <si>
    <t>baselined</t>
  </si>
  <si>
    <t>OTB</t>
  </si>
  <si>
    <t>otb</t>
  </si>
  <si>
    <t>CCN_USEBDN</t>
  </si>
  <si>
    <t>Is Change Number Code File Used.</t>
  </si>
  <si>
    <t>changeNumberUsesCodeFile</t>
  </si>
  <si>
    <t>CCN_REQUIRED</t>
  </si>
  <si>
    <t>Is Change Number Code Required.</t>
  </si>
  <si>
    <t>ccnRequired</t>
  </si>
  <si>
    <t>CAM_REQUIRED</t>
  </si>
  <si>
    <t>Control Account Manager value is required for a Control Account.</t>
  </si>
  <si>
    <t>camRequired</t>
  </si>
  <si>
    <t>CLASSIFICATION</t>
  </si>
  <si>
    <t>Classification.</t>
  </si>
  <si>
    <t>classification</t>
  </si>
  <si>
    <t>EVMS_ACCEPTANCE</t>
  </si>
  <si>
    <t>INTEGER</t>
  </si>
  <si>
    <t>EVMS Acceptance.</t>
  </si>
  <si>
    <t>evmsAcceptance</t>
  </si>
  <si>
    <t>EVMS_ACCEPTANCE_DATE</t>
  </si>
  <si>
    <t>EVMS Acceptance Date.</t>
  </si>
  <si>
    <t>evmsAcceptanceDate</t>
  </si>
  <si>
    <t>OTB_DATE</t>
  </si>
  <si>
    <t>Over Target Baseline Date.</t>
  </si>
  <si>
    <t>otbDate</t>
  </si>
  <si>
    <t>EAC_BEST</t>
  </si>
  <si>
    <t>Best Case Forecast.</t>
  </si>
  <si>
    <t>eacBest</t>
  </si>
  <si>
    <t>EAC_WORST</t>
  </si>
  <si>
    <t>Worst Case Forecast.</t>
  </si>
  <si>
    <t>eacWorst</t>
  </si>
  <si>
    <t>COMPLETE</t>
  </si>
  <si>
    <t>Complete.</t>
  </si>
  <si>
    <t>complete</t>
  </si>
  <si>
    <t>DEFINITE</t>
  </si>
  <si>
    <t>Definitized.</t>
  </si>
  <si>
    <t>definitized</t>
  </si>
  <si>
    <t>CURRENCY_SYMBOL</t>
  </si>
  <si>
    <t>Currency Symbol.</t>
  </si>
  <si>
    <t>currencySymbol</t>
  </si>
  <si>
    <t>CURRENCY_SYMBOL_RIGHT</t>
  </si>
  <si>
    <t>Show Currency Symbol on right.</t>
  </si>
  <si>
    <t>currencySymbolRight</t>
  </si>
  <si>
    <t>ESTPRICE</t>
  </si>
  <si>
    <t>Estimated Price.</t>
  </si>
  <si>
    <t>estimatedPrice</t>
  </si>
  <si>
    <t>OTB_MR</t>
  </si>
  <si>
    <t>The OTB MR adjustment totals.</t>
  </si>
  <si>
    <t>otbMr</t>
  </si>
  <si>
    <t>ACWP</t>
  </si>
  <si>
    <t>Actual Cost of Work Performed</t>
  </si>
  <si>
    <t>ACWP_HRS</t>
  </si>
  <si>
    <t xml:space="preserve"> Actual Cost of Work Performed Hours</t>
  </si>
  <si>
    <t>ADDRESS</t>
  </si>
  <si>
    <t>'' ''</t>
  </si>
  <si>
    <t>Address</t>
  </si>
  <si>
    <t>BAC</t>
  </si>
  <si>
    <t>Budget at Completion</t>
  </si>
  <si>
    <t>BAC_HRS</t>
  </si>
  <si>
    <t>Budget at Completion Hours</t>
  </si>
  <si>
    <t>BATCHNO</t>
  </si>
  <si>
    <t>Batch Number</t>
  </si>
  <si>
    <t>BCWP</t>
  </si>
  <si>
    <t>Budgeted Cost of Work Performed</t>
  </si>
  <si>
    <t>BCWP_HRS</t>
  </si>
  <si>
    <t>Budgeted Cost of Work Performed Hours</t>
  </si>
  <si>
    <t>BCWS</t>
  </si>
  <si>
    <t>Budgeted Cost of Work Scheduled</t>
  </si>
  <si>
    <t>BCWS_HRS</t>
  </si>
  <si>
    <t>Budgeted Cost of Work Scheduled Hours</t>
  </si>
  <si>
    <t>CA_ACTUAL</t>
  </si>
  <si>
    <t>Control Account Actual</t>
  </si>
  <si>
    <t>CA_BD1</t>
  </si>
  <si>
    <t>Control Account Breakdown 1</t>
  </si>
  <si>
    <t>CA_BD2</t>
  </si>
  <si>
    <t>Control Account Breakdown 2</t>
  </si>
  <si>
    <t>CA_BD3</t>
  </si>
  <si>
    <t>Control Account Breakdown 3</t>
  </si>
  <si>
    <t>CA_ID1</t>
  </si>
  <si>
    <t>Control Account Identifier 1</t>
  </si>
  <si>
    <t>CA_ID2</t>
  </si>
  <si>
    <t>Control Account Identifier 2</t>
  </si>
  <si>
    <t>CA_ID3</t>
  </si>
  <si>
    <t>Control Account Identifier 3</t>
  </si>
  <si>
    <t>CALC_FILE</t>
  </si>
  <si>
    <t>Calculation File</t>
  </si>
  <si>
    <t>CAMCODE</t>
  </si>
  <si>
    <t>Control Account Manager Code</t>
  </si>
  <si>
    <t>CCN_BDN</t>
  </si>
  <si>
    <t>Change Control Number Breakdown</t>
  </si>
  <si>
    <t>CE_BDN</t>
  </si>
  <si>
    <t>Cost Element Breakdown</t>
  </si>
  <si>
    <t>CE_ID</t>
  </si>
  <si>
    <t>Cost Element ID</t>
  </si>
  <si>
    <t>CITY</t>
  </si>
  <si>
    <t>City</t>
  </si>
  <si>
    <t>CLC_PROMPT</t>
  </si>
  <si>
    <t>Calculation Prompt</t>
  </si>
  <si>
    <t>CLIN_CODE</t>
  </si>
  <si>
    <t>Contract Line Item Number Code</t>
  </si>
  <si>
    <t>CONT_FLAG</t>
  </si>
  <si>
    <t>Contract Flag</t>
  </si>
  <si>
    <t>CONT_IDCODE</t>
  </si>
  <si>
    <t>Contract ID Code</t>
  </si>
  <si>
    <t>CONT_IDTYPE</t>
  </si>
  <si>
    <t>Contract ID Type</t>
  </si>
  <si>
    <t>CONT_LOC</t>
  </si>
  <si>
    <t>Contract Location</t>
  </si>
  <si>
    <t>CONT_NAME</t>
  </si>
  <si>
    <t>Contract Name</t>
  </si>
  <si>
    <t>CONT_NO</t>
  </si>
  <si>
    <t>Contract Number</t>
  </si>
  <si>
    <t>CONT_PHASE</t>
  </si>
  <si>
    <t>Contract Phase</t>
  </si>
  <si>
    <t>CONT_PROGRAM</t>
  </si>
  <si>
    <t>Contract Program</t>
  </si>
  <si>
    <t>CONT_PROGTYPE</t>
  </si>
  <si>
    <t>''D''</t>
  </si>
  <si>
    <t>Contract Program Type</t>
  </si>
  <si>
    <t>CONT_REPEMAIL</t>
  </si>
  <si>
    <t>Contract Representative Email</t>
  </si>
  <si>
    <t>CONT_REPN</t>
  </si>
  <si>
    <t>Contract Representative Name</t>
  </si>
  <si>
    <t>CONT_REPPHONE</t>
  </si>
  <si>
    <t>Contract Representative Phone</t>
  </si>
  <si>
    <t>CONT_REPT</t>
  </si>
  <si>
    <t>Contract Report Type</t>
  </si>
  <si>
    <t>CONT_STATEMENT</t>
  </si>
  <si>
    <t>NCLOB</t>
  </si>
  <si>
    <t>Contract Statement</t>
  </si>
  <si>
    <t>String</t>
  </si>
  <si>
    <t>CONT_TASK</t>
  </si>
  <si>
    <t>Contract Task</t>
  </si>
  <si>
    <t>CONT_TYPE</t>
  </si>
  <si>
    <t>Contract Type</t>
  </si>
  <si>
    <t>CONTRACT</t>
  </si>
  <si>
    <t>Contract</t>
  </si>
  <si>
    <t>COUNTRY</t>
  </si>
  <si>
    <t>Country</t>
  </si>
  <si>
    <t>EAC</t>
  </si>
  <si>
    <t>Estimate at Completion</t>
  </si>
  <si>
    <t>EAC_HRS</t>
  </si>
  <si>
    <t>Estimate at Completion Hours</t>
  </si>
  <si>
    <t>FC_TYPE1</t>
  </si>
  <si>
    <t>Forecast Type 1</t>
  </si>
  <si>
    <t>FC_TYPE2</t>
  </si>
  <si>
    <t>Forecast Type 2</t>
  </si>
  <si>
    <t>FC_TYPE3</t>
  </si>
  <si>
    <t>Forecast Type 3</t>
  </si>
  <si>
    <t>FC_TYPE4</t>
  </si>
  <si>
    <t>Forecast Type 4</t>
  </si>
  <si>
    <t>FISC_FILE</t>
  </si>
  <si>
    <t>Fiscal File</t>
  </si>
  <si>
    <t>FISC_RW</t>
  </si>
  <si>
    <t>Fiscal Rolling Wave</t>
  </si>
  <si>
    <t>IPMR2_CODE</t>
  </si>
  <si>
    <t>Integrated Program Management Report Code</t>
  </si>
  <si>
    <t>ISMASTER</t>
  </si>
  <si>
    <t>Is Master</t>
  </si>
  <si>
    <t>MGRFILE</t>
  </si>
  <si>
    <t>Manager File</t>
  </si>
  <si>
    <t>MGRTYPE</t>
  </si>
  <si>
    <t>Manager Type</t>
  </si>
  <si>
    <t>MPSCODE</t>
  </si>
  <si>
    <t>Material Procurement Status Code</t>
  </si>
  <si>
    <t>OPP_PROJ</t>
  </si>
  <si>
    <t>Opportunity Project</t>
  </si>
  <si>
    <t>P1</t>
  </si>
  <si>
    <t>Period 1</t>
  </si>
  <si>
    <t>P2</t>
  </si>
  <si>
    <t>Period 2</t>
  </si>
  <si>
    <t>P3</t>
  </si>
  <si>
    <t>Period 3</t>
  </si>
  <si>
    <t>P4</t>
  </si>
  <si>
    <t>Period 4</t>
  </si>
  <si>
    <t>P5</t>
  </si>
  <si>
    <t>Period 5</t>
  </si>
  <si>
    <t>P6</t>
  </si>
  <si>
    <t>Period 6</t>
  </si>
  <si>
    <t>P7</t>
  </si>
  <si>
    <t>Period 7</t>
  </si>
  <si>
    <t>P8</t>
  </si>
  <si>
    <t>Period 8</t>
  </si>
  <si>
    <t>P9</t>
  </si>
  <si>
    <t>Period 9</t>
  </si>
  <si>
    <t>PERCENT1</t>
  </si>
  <si>
    <t>Percent 1</t>
  </si>
  <si>
    <t>PERCENT2</t>
  </si>
  <si>
    <t>Percent 2</t>
  </si>
  <si>
    <t>PERCENT3</t>
  </si>
  <si>
    <t>Percent 3</t>
  </si>
  <si>
    <t>PRODVIS</t>
  </si>
  <si>
    <t>Product Visibility</t>
  </si>
  <si>
    <t>PROGRAM</t>
  </si>
  <si>
    <t>Program</t>
  </si>
  <si>
    <t>QUANTITY</t>
  </si>
  <si>
    <t>Quantity</t>
  </si>
  <si>
    <t>Rate File</t>
  </si>
  <si>
    <t>SHARERATIO</t>
  </si>
  <si>
    <t>Share Ratio</t>
  </si>
  <si>
    <t>STATE</t>
  </si>
  <si>
    <t>State</t>
  </si>
  <si>
    <t>WP_BDN</t>
  </si>
  <si>
    <t>Work Package Breakdown</t>
  </si>
  <si>
    <t>WP_ID</t>
  </si>
  <si>
    <t>Work Package ID</t>
  </si>
  <si>
    <t>ZIP</t>
  </si>
  <si>
    <t>ZIP Code</t>
  </si>
  <si>
    <t>The User that owns the Project</t>
  </si>
  <si>
    <t>The User that created the Project.</t>
  </si>
  <si>
    <t>Date the Project was created.</t>
  </si>
  <si>
    <t>The User that last changed the Project.</t>
  </si>
  <si>
    <t>Date the last change was made to the Project.</t>
  </si>
  <si>
    <t>PROJECT_AUDIT_LOG</t>
  </si>
  <si>
    <t>RAW(16)</t>
  </si>
  <si>
    <t>Unique project audit log Identifier.</t>
  </si>
  <si>
    <t>java.util.UUID</t>
  </si>
  <si>
    <t>NUMBER(19,0)</t>
  </si>
  <si>
    <t>Long</t>
  </si>
  <si>
    <t>PROJECT_UID</t>
  </si>
  <si>
    <t>project</t>
  </si>
  <si>
    <t>PROJECT_CONTROL_ACCOUNT_NAME</t>
  </si>
  <si>
    <t>NVARCHAR2</t>
  </si>
  <si>
    <t>Name of the control account</t>
  </si>
  <si>
    <t>PROJECT_WORK_PACKAGE_NAME</t>
  </si>
  <si>
    <t>Name of the work package</t>
  </si>
  <si>
    <t>PROJECT_CAWP_RESOURCE_NAME</t>
  </si>
  <si>
    <t>Name of the resource</t>
  </si>
  <si>
    <t>End date of tphase</t>
  </si>
  <si>
    <t>java.time.Instant</t>
  </si>
  <si>
    <t>REFERENCE_NUMBER</t>
  </si>
  <si>
    <t>NUMBER(10,0)</t>
  </si>
  <si>
    <t>Batch number of Project</t>
  </si>
  <si>
    <t>referenceNo</t>
  </si>
  <si>
    <t>TRANSACTION_UID</t>
  </si>
  <si>
    <t>Capture same transactionid of different changes in CA or WP or Resources</t>
  </si>
  <si>
    <t>transactionUid</t>
  </si>
  <si>
    <t>DEBIT</t>
  </si>
  <si>
    <t>NUMBER(1,0)</t>
  </si>
  <si>
    <t>debit</t>
  </si>
  <si>
    <t>Boolean</t>
  </si>
  <si>
    <t>CREDIT</t>
  </si>
  <si>
    <t>credit</t>
  </si>
  <si>
    <t>AMOUNT</t>
  </si>
  <si>
    <t>NUMBER(21,6)</t>
  </si>
  <si>
    <t>amount</t>
  </si>
  <si>
    <t>java.math.BigDecimal</t>
  </si>
  <si>
    <t>LOG_COMMENT</t>
  </si>
  <si>
    <t>logComment</t>
  </si>
  <si>
    <t>CPR3</t>
  </si>
  <si>
    <t>cpr3</t>
  </si>
  <si>
    <t>CHANGE_NUMBER</t>
  </si>
  <si>
    <t>contractChangeNo</t>
  </si>
  <si>
    <t>SIGNIFICANT_CHANGE</t>
  </si>
  <si>
    <t>significantChange</t>
  </si>
  <si>
    <t>NUMBER(6,2)</t>
  </si>
  <si>
    <t>CLIN_NAME</t>
  </si>
  <si>
    <t>clinName</t>
  </si>
  <si>
    <t>The User that created the project Audit log.</t>
  </si>
  <si>
    <t>Date the project Audit log was created.</t>
  </si>
  <si>
    <t>The User that last changed the project audit log</t>
  </si>
  <si>
    <t>Date the last change was made to the project audit log.</t>
  </si>
  <si>
    <t>The Program</t>
  </si>
  <si>
    <t>program</t>
  </si>
  <si>
    <t>PROJECT_AUDIT_LOG_ACCOUNTS</t>
  </si>
  <si>
    <t>Unique project audit log account Identifier.</t>
  </si>
  <si>
    <t>Represents the period end date for which totals were captured</t>
  </si>
  <si>
    <t>Label that identifies the period</t>
  </si>
  <si>
    <t>The Undistributed Budget</t>
  </si>
  <si>
    <t>The Management Reserve</t>
  </si>
  <si>
    <t>The Authorized Unpriced Work</t>
  </si>
  <si>
    <t>The Contract Target Cost</t>
  </si>
  <si>
    <t>DB</t>
  </si>
  <si>
    <t>The Distributed Budget</t>
  </si>
  <si>
    <t>db</t>
  </si>
  <si>
    <t>eac</t>
  </si>
  <si>
    <t>The User that created the project audit log account.</t>
  </si>
  <si>
    <t>Date the project audit log account was created.</t>
  </si>
  <si>
    <t>The User that last changed the project audit log account.</t>
  </si>
  <si>
    <t>Date the last change was made to the project audit log account.</t>
  </si>
  <si>
    <t>PROJECT_AUDIT_LOG_HISTORY</t>
  </si>
  <si>
    <t>Unique project audit log history Identifier.</t>
  </si>
  <si>
    <t>PROJECT_CAWP_UID</t>
  </si>
  <si>
    <t>Contains UID of control account or work package</t>
  </si>
  <si>
    <t>projectCawpUid</t>
  </si>
  <si>
    <t>bac</t>
  </si>
  <si>
    <t>bcws</t>
  </si>
  <si>
    <t>bcwp</t>
  </si>
  <si>
    <t>acwp</t>
  </si>
  <si>
    <t>bcwsHours</t>
  </si>
  <si>
    <t>bcwpHours</t>
  </si>
  <si>
    <t>acwpHours</t>
  </si>
  <si>
    <t>bacHours</t>
  </si>
  <si>
    <t>eacHours</t>
  </si>
  <si>
    <t>The User that created the project audit log history.</t>
  </si>
  <si>
    <t>Date the project audit log history was created.</t>
  </si>
  <si>
    <t>The User that last changed the project audit log history.</t>
  </si>
  <si>
    <t>Date the last change was made to the project audit log history.</t>
  </si>
  <si>
    <t>CAWP</t>
  </si>
  <si>
    <t>The Control Account Work Package Identifier</t>
  </si>
  <si>
    <t>cawp</t>
  </si>
  <si>
    <t>PROJECT_AUDIT_LOG_TPHASE</t>
  </si>
  <si>
    <t>Unique project audit log tphase Identifier.</t>
  </si>
  <si>
    <t>PROJECT_AUDIT_LOG_UID</t>
  </si>
  <si>
    <t>Unique Project Audit log  Identifier.</t>
  </si>
  <si>
    <t>projectAuditLog</t>
  </si>
  <si>
    <t>TPHASE_DATE</t>
  </si>
  <si>
    <t>tphaseDate</t>
  </si>
  <si>
    <t>PROJECT_CALC_RESULT</t>
  </si>
  <si>
    <t>Unique Calculated Result Identifier.</t>
  </si>
  <si>
    <t>Do we need calculated results to be defined at the project level? Do we allow both?</t>
  </si>
  <si>
    <t>RESULT_CODE</t>
  </si>
  <si>
    <t>Result Field Display Order</t>
  </si>
  <si>
    <t>resultCode</t>
  </si>
  <si>
    <t>RESULT</t>
  </si>
  <si>
    <t>Result Field Name</t>
  </si>
  <si>
    <t>result</t>
  </si>
  <si>
    <t>CURRENCY</t>
  </si>
  <si>
    <t>Is the calculated field result treated as a Currency value.</t>
  </si>
  <si>
    <t>currency</t>
  </si>
  <si>
    <t>The User that created the Project Calculated Result.</t>
  </si>
  <si>
    <t>Date the Project Calculated Result was created.</t>
  </si>
  <si>
    <t>The User that last changed the Project Calculated Result.</t>
  </si>
  <si>
    <t>Date the last change was made to the Project Calculated Result.</t>
  </si>
  <si>
    <t>EXPRESSION</t>
  </si>
  <si>
    <t>Calculated Field Expression</t>
  </si>
  <si>
    <t>expression</t>
  </si>
  <si>
    <t>Program which is converted to Project_UID</t>
  </si>
  <si>
    <t>PROJECT_CAWP</t>
  </si>
  <si>
    <t>Unique CAWP Identifier.</t>
  </si>
  <si>
    <t>Project CAWP Name</t>
  </si>
  <si>
    <t>OBS_CODE_UID</t>
  </si>
  <si>
    <t>Unique OBS Code Identifier.</t>
  </si>
  <si>
    <t>obsCode</t>
  </si>
  <si>
    <t>WBS_CODE_UID</t>
  </si>
  <si>
    <t>Unique WBS Code Identifier.</t>
  </si>
  <si>
    <t>wbsCode</t>
  </si>
  <si>
    <t>PARENT_PROJECT_CAWP_UID</t>
  </si>
  <si>
    <t>Unique Parent CAWP for a Work Package.</t>
  </si>
  <si>
    <t>parentProjectCawp</t>
  </si>
  <si>
    <t>CAM_CODE_UID</t>
  </si>
  <si>
    <t>Unique CAM Code Identifier.</t>
  </si>
  <si>
    <t>camCode</t>
  </si>
  <si>
    <t>CLIN_CODE_UID</t>
  </si>
  <si>
    <t>Unique CLIN Code Identifier.</t>
  </si>
  <si>
    <t>clinCode</t>
  </si>
  <si>
    <t>IS_WP</t>
  </si>
  <si>
    <t>Boolean value indicating if the record is a Control Account or a Work Package</t>
  </si>
  <si>
    <t>isWp</t>
  </si>
  <si>
    <t>Baseline Start Date</t>
  </si>
  <si>
    <t>Baseline Finish Date</t>
  </si>
  <si>
    <t>ACTUAL_START</t>
  </si>
  <si>
    <t>Actual Start  / Forecast Start Date</t>
  </si>
  <si>
    <t>actualStart</t>
  </si>
  <si>
    <t>ACTUAL_FINISH</t>
  </si>
  <si>
    <t>Actual Finish / Forecast Finish Date</t>
  </si>
  <si>
    <t>actualFinish</t>
  </si>
  <si>
    <t>EARLY_START</t>
  </si>
  <si>
    <t>Early Start Date</t>
  </si>
  <si>
    <t>earlyStart</t>
  </si>
  <si>
    <t>EARLY_FINISH</t>
  </si>
  <si>
    <t>Early Finish Date</t>
  </si>
  <si>
    <t>earlyFinish</t>
  </si>
  <si>
    <t>LATE_START</t>
  </si>
  <si>
    <t>Late Start Date</t>
  </si>
  <si>
    <t>lateStart</t>
  </si>
  <si>
    <t>LATE_FINISH</t>
  </si>
  <si>
    <t>Late Finish Date</t>
  </si>
  <si>
    <t>lateFinish</t>
  </si>
  <si>
    <t>PENDING_START</t>
  </si>
  <si>
    <t>Pending Start Date</t>
  </si>
  <si>
    <t>pendingStart</t>
  </si>
  <si>
    <t>PENDING_FINISH</t>
  </si>
  <si>
    <t>Pending Finish Date</t>
  </si>
  <si>
    <t>pendingFinish</t>
  </si>
  <si>
    <t>FORECAST_START</t>
  </si>
  <si>
    <t>Forecast Start Date</t>
  </si>
  <si>
    <t>forecastStart</t>
  </si>
  <si>
    <t>Forecast Finish Date</t>
  </si>
  <si>
    <t>STATUS</t>
  </si>
  <si>
    <t>Status</t>
  </si>
  <si>
    <t>status</t>
  </si>
  <si>
    <t>EVT</t>
  </si>
  <si>
    <t>Earned Value Performance Measurement Technique</t>
  </si>
  <si>
    <t>evt</t>
  </si>
  <si>
    <t>START_PERCENT</t>
  </si>
  <si>
    <t>Start Percent</t>
  </si>
  <si>
    <t>startPercent</t>
  </si>
  <si>
    <t>PERCENT_COMPLETE</t>
  </si>
  <si>
    <t>Percent Complete</t>
  </si>
  <si>
    <t>percentComplete</t>
  </si>
  <si>
    <t>UNITS_TO_DO</t>
  </si>
  <si>
    <t>Units To Do</t>
  </si>
  <si>
    <t>unitsToDo</t>
  </si>
  <si>
    <t>UNITS_COMPLETE</t>
  </si>
  <si>
    <t>Units Complete</t>
  </si>
  <si>
    <t>unitsComplete</t>
  </si>
  <si>
    <t>Actual Cost of Work Performed Hours</t>
  </si>
  <si>
    <t>ACWPCP</t>
  </si>
  <si>
    <t>Actual Cost of Work Performed Cumulative Previous</t>
  </si>
  <si>
    <t>ACWPCP_HRS</t>
  </si>
  <si>
    <t>Actual Cost of Work Performed Cumulative Previous Hours</t>
  </si>
  <si>
    <t>APPLINK</t>
  </si>
  <si>
    <t>Application Link</t>
  </si>
  <si>
    <t>BCWPCP</t>
  </si>
  <si>
    <t>Budgeted Cost of Work Performed Cumulative Previous</t>
  </si>
  <si>
    <t>BCWPCP_HRS</t>
  </si>
  <si>
    <t>Budgeted Cost of Work Performed Cumulative Previous Hours</t>
  </si>
  <si>
    <t>BCWSCP</t>
  </si>
  <si>
    <t>Budgeted Cost of Work Scheduled Cumulative Previous</t>
  </si>
  <si>
    <t>BCWSCP_HRS</t>
  </si>
  <si>
    <t>Budgeted Cost of Work Scheduled Cumulative Previous Hours</t>
  </si>
  <si>
    <t>C1</t>
  </si>
  <si>
    <t>Custom Field 1</t>
  </si>
  <si>
    <t>C10</t>
  </si>
  <si>
    <t>Custom Field 10</t>
  </si>
  <si>
    <t>C11</t>
  </si>
  <si>
    <t>Custom Field 11</t>
  </si>
  <si>
    <t>C12</t>
  </si>
  <si>
    <t>Custom Field 12</t>
  </si>
  <si>
    <t>C13</t>
  </si>
  <si>
    <t>Custom Field 13</t>
  </si>
  <si>
    <t>C14</t>
  </si>
  <si>
    <t>Custom Field 14</t>
  </si>
  <si>
    <t>C15</t>
  </si>
  <si>
    <t>Custom Field 15</t>
  </si>
  <si>
    <t>C16</t>
  </si>
  <si>
    <t>Custom Field 16</t>
  </si>
  <si>
    <t>C17</t>
  </si>
  <si>
    <t>Custom Field 17</t>
  </si>
  <si>
    <t>C18</t>
  </si>
  <si>
    <t>Custom Field 18</t>
  </si>
  <si>
    <t>C19</t>
  </si>
  <si>
    <t>Custom Field 19</t>
  </si>
  <si>
    <t>C2</t>
  </si>
  <si>
    <t>Custom Field 2</t>
  </si>
  <si>
    <t>C20</t>
  </si>
  <si>
    <t>Custom Field 20</t>
  </si>
  <si>
    <t>C3</t>
  </si>
  <si>
    <t>Custom Field 3</t>
  </si>
  <si>
    <t>C4</t>
  </si>
  <si>
    <t>Custom Field 4</t>
  </si>
  <si>
    <t>C5</t>
  </si>
  <si>
    <t>Custom Field 5</t>
  </si>
  <si>
    <t>C6</t>
  </si>
  <si>
    <t>Custom Field 6</t>
  </si>
  <si>
    <t>C7</t>
  </si>
  <si>
    <t>Custom Field 7</t>
  </si>
  <si>
    <t>C8</t>
  </si>
  <si>
    <t>Custom Field 8</t>
  </si>
  <si>
    <t>C9</t>
  </si>
  <si>
    <t>Custom Field 9</t>
  </si>
  <si>
    <t>CA1</t>
  </si>
  <si>
    <t>Control Account 1</t>
  </si>
  <si>
    <t>CA2</t>
  </si>
  <si>
    <t>Control Account 2</t>
  </si>
  <si>
    <t>CA3</t>
  </si>
  <si>
    <t>Control Account 3</t>
  </si>
  <si>
    <t>CAWPID</t>
  </si>
  <si>
    <t>Control Account Work Package ID</t>
  </si>
  <si>
    <t>CL_BATCH</t>
  </si>
  <si>
    <t>Closing Batch</t>
  </si>
  <si>
    <t>EAC_NONLAB</t>
  </si>
  <si>
    <t>Estimate at Completion Non-Labor</t>
  </si>
  <si>
    <t>EOC</t>
  </si>
  <si>
    <t>Element of Cost</t>
  </si>
  <si>
    <t>Flag</t>
  </si>
  <si>
    <t>OP_BATCH</t>
  </si>
  <si>
    <t>Opening Batch</t>
  </si>
  <si>
    <t>USER_CHR01</t>
  </si>
  <si>
    <t>User Character Field 01</t>
  </si>
  <si>
    <t>USER_CHR02</t>
  </si>
  <si>
    <t>User Character Field 02</t>
  </si>
  <si>
    <t>USER_CHR03</t>
  </si>
  <si>
    <t>User Character Field 03</t>
  </si>
  <si>
    <t>USER_CHR04</t>
  </si>
  <si>
    <t>User Character Field 04</t>
  </si>
  <si>
    <t>USER_CHR05</t>
  </si>
  <si>
    <t>User Character Field 05</t>
  </si>
  <si>
    <t>USER_DTE01</t>
  </si>
  <si>
    <t>User Date Field 01</t>
  </si>
  <si>
    <t>USER_DTE02</t>
  </si>
  <si>
    <t>User Date Field 02</t>
  </si>
  <si>
    <t>USER_DTE03</t>
  </si>
  <si>
    <t>User Date Field 03</t>
  </si>
  <si>
    <t>USER_DTE04</t>
  </si>
  <si>
    <t>User Date Field 04</t>
  </si>
  <si>
    <t>USER_DTE05</t>
  </si>
  <si>
    <t>User Date Field 05</t>
  </si>
  <si>
    <t xml:space="preserve">USER_NUM01 </t>
  </si>
  <si>
    <t>User Number Field 01-05</t>
  </si>
  <si>
    <t>USER_NUM02</t>
  </si>
  <si>
    <t>User Number Field 01</t>
  </si>
  <si>
    <t>USER_NUM03</t>
  </si>
  <si>
    <t>User Number Field 02</t>
  </si>
  <si>
    <t>USER_NUM04</t>
  </si>
  <si>
    <t>User Number Field 03</t>
  </si>
  <si>
    <t>USER_NUM05</t>
  </si>
  <si>
    <t>User Number Field 04</t>
  </si>
  <si>
    <t>User Number Field 05</t>
  </si>
  <si>
    <t>The User that created the Project CAWP.</t>
  </si>
  <si>
    <t>Date the Project CAWP was created.</t>
  </si>
  <si>
    <t>The User that last changed the Project CAWP.</t>
  </si>
  <si>
    <t>Date the last change was made to the Project CAWP.</t>
  </si>
  <si>
    <t>Project CAWP Description.</t>
  </si>
  <si>
    <t>RESERVED1</t>
  </si>
  <si>
    <t>Used internally to index data processing.</t>
  </si>
  <si>
    <t>reserved1</t>
  </si>
  <si>
    <t>PROJECT_CAWP_RESOURCE</t>
  </si>
  <si>
    <t>Unique Cost Element Identifier.</t>
  </si>
  <si>
    <t>Unique Project CAWP Identifier.</t>
  </si>
  <si>
    <t>projectCawp</t>
  </si>
  <si>
    <t>RESOURCES_UID</t>
  </si>
  <si>
    <t>RESOURCES</t>
  </si>
  <si>
    <t>Unique Resource Identifier.</t>
  </si>
  <si>
    <t>resource</t>
  </si>
  <si>
    <t>PROJECT_COST_CLASS_UID</t>
  </si>
  <si>
    <t>PROJECT_COST_CLASS</t>
  </si>
  <si>
    <t>Unique Cost Class Identifier.</t>
  </si>
  <si>
    <t>costClass</t>
  </si>
  <si>
    <t>SPREAD_CURVE_UID</t>
  </si>
  <si>
    <t>SPREAD_CURVE</t>
  </si>
  <si>
    <t>Unique Spread Curve Identifier.</t>
  </si>
  <si>
    <t>spreadCurve</t>
  </si>
  <si>
    <t>RSSTART</t>
  </si>
  <si>
    <t>Resource Assignment Start Date.</t>
  </si>
  <si>
    <t>resourceStart</t>
  </si>
  <si>
    <t>Added start/finish so we know where tphase should start and end, and we can remove zero value periods.</t>
  </si>
  <si>
    <t>RSFINISH</t>
  </si>
  <si>
    <t>Resource Assignment End Date.</t>
  </si>
  <si>
    <t>resourceFinish</t>
  </si>
  <si>
    <t>? Need differernt columns names START is an oracle keyword.</t>
  </si>
  <si>
    <t>Budget at Completion.</t>
  </si>
  <si>
    <t>ETC</t>
  </si>
  <si>
    <t>Estimate at Completion.</t>
  </si>
  <si>
    <t>etc</t>
  </si>
  <si>
    <t>Percent Complete.</t>
  </si>
  <si>
    <t>PF</t>
  </si>
  <si>
    <t>Performance Factor.</t>
  </si>
  <si>
    <t>performanceFactor</t>
  </si>
  <si>
    <t>GA_PF</t>
  </si>
  <si>
    <t>G&amp;A Performance Factor.</t>
  </si>
  <si>
    <t>gaPerformanceFactor</t>
  </si>
  <si>
    <t>The User that created the Project Cost Element.</t>
  </si>
  <si>
    <t>Date the Project Cost Element was created.</t>
  </si>
  <si>
    <t>The User that last changed the Project Cost Element.</t>
  </si>
  <si>
    <t>Date the last change was made to the Project Cost Element.</t>
  </si>
  <si>
    <t>CECODE</t>
  </si>
  <si>
    <t>cecode</t>
  </si>
  <si>
    <t>CLASS</t>
  </si>
  <si>
    <t>class</t>
  </si>
  <si>
    <t>SPREADNAME</t>
  </si>
  <si>
    <t>spreadName</t>
  </si>
  <si>
    <t>PROJECT_CAWP_RESOURCE_TPHASE</t>
  </si>
  <si>
    <t>Unique TPHASE Identifier.</t>
  </si>
  <si>
    <t>PROJECT_CAWP_RESOURCE_UID</t>
  </si>
  <si>
    <t>Unique Project Cost Element Identifier.</t>
  </si>
  <si>
    <t>projectCawpResource</t>
  </si>
  <si>
    <t>? Didn't we agree to link the TPHASE records back to the Cost Elemnt table UID.?</t>
  </si>
  <si>
    <t>Represents the date for the tphase period. Aligns with calendar period, except last period which will always align with Res Asg finish date.</t>
  </si>
  <si>
    <t>AalwaysDate</t>
  </si>
  <si>
    <t xml:space="preserve">? Is this needed anymore since we will be linking the the </t>
  </si>
  <si>
    <t>RESULT1</t>
  </si>
  <si>
    <t>Result 1 Value.</t>
  </si>
  <si>
    <t>result1</t>
  </si>
  <si>
    <t>First fixed RESULT field, up to 50. We will use a view to map burden name to result. E.g. HOURS maps to RESULT1. This allows queries to continue using burden in query.</t>
  </si>
  <si>
    <t>RESULT2</t>
  </si>
  <si>
    <t>Result 2 Value.</t>
  </si>
  <si>
    <t>result2</t>
  </si>
  <si>
    <t>RESULT3</t>
  </si>
  <si>
    <t>Result 3 Value.</t>
  </si>
  <si>
    <t>result3</t>
  </si>
  <si>
    <t>RESULT4</t>
  </si>
  <si>
    <t>Result 4 Value.</t>
  </si>
  <si>
    <t>result4</t>
  </si>
  <si>
    <t>RESULT5</t>
  </si>
  <si>
    <t>Result 5 Value.</t>
  </si>
  <si>
    <t>result5</t>
  </si>
  <si>
    <t>RESULT6</t>
  </si>
  <si>
    <t>Result 6 Value.</t>
  </si>
  <si>
    <t>result6</t>
  </si>
  <si>
    <t>RESULT7</t>
  </si>
  <si>
    <t>Result 7 Value.</t>
  </si>
  <si>
    <t>result7</t>
  </si>
  <si>
    <t>RESULT8</t>
  </si>
  <si>
    <t>Result 8 Value.</t>
  </si>
  <si>
    <t>result8</t>
  </si>
  <si>
    <t>RESULT9</t>
  </si>
  <si>
    <t>Result 9 Value.</t>
  </si>
  <si>
    <t>result9</t>
  </si>
  <si>
    <t>RESULT10</t>
  </si>
  <si>
    <t>Result 10 Value.</t>
  </si>
  <si>
    <t>result10</t>
  </si>
  <si>
    <t>RESULT11</t>
  </si>
  <si>
    <t>Result 11 Value.</t>
  </si>
  <si>
    <t>result11</t>
  </si>
  <si>
    <t>RESULT12</t>
  </si>
  <si>
    <t>Result 12 Value.</t>
  </si>
  <si>
    <t>result12</t>
  </si>
  <si>
    <t>RESULT13</t>
  </si>
  <si>
    <t>Result 13 Value.</t>
  </si>
  <si>
    <t>result13</t>
  </si>
  <si>
    <t>RESULT14</t>
  </si>
  <si>
    <t>Result 14 Value.</t>
  </si>
  <si>
    <t>result14</t>
  </si>
  <si>
    <t>RESULT15</t>
  </si>
  <si>
    <t>Result 15 Value.</t>
  </si>
  <si>
    <t>result15</t>
  </si>
  <si>
    <t>RESULT16</t>
  </si>
  <si>
    <t>Result 16 Value.</t>
  </si>
  <si>
    <t>result16</t>
  </si>
  <si>
    <t>RESULT17</t>
  </si>
  <si>
    <t>Result 17 Value.</t>
  </si>
  <si>
    <t>result17</t>
  </si>
  <si>
    <t>RESULT18</t>
  </si>
  <si>
    <t>Result 18 Value.</t>
  </si>
  <si>
    <t>result18</t>
  </si>
  <si>
    <t>RESULT19</t>
  </si>
  <si>
    <t>Result 19 Value.</t>
  </si>
  <si>
    <t>result19</t>
  </si>
  <si>
    <t>RESULT20</t>
  </si>
  <si>
    <t>Result 20 Value.</t>
  </si>
  <si>
    <t>result20</t>
  </si>
  <si>
    <t>The User that created the Project TPhase.</t>
  </si>
  <si>
    <t>Date the Project TPhase was created.</t>
  </si>
  <si>
    <t>The User that last changed the Project TPhase.</t>
  </si>
  <si>
    <t>Date the last change was made to the Project TPhase.</t>
  </si>
  <si>
    <t>Class</t>
  </si>
  <si>
    <t>Cost Element Code</t>
  </si>
  <si>
    <t>COM</t>
  </si>
  <si>
    <t>Commitment</t>
  </si>
  <si>
    <t>DIRECT</t>
  </si>
  <si>
    <t>Direct</t>
  </si>
  <si>
    <t>Fee</t>
  </si>
  <si>
    <t>FRINGE</t>
  </si>
  <si>
    <t>Fringe</t>
  </si>
  <si>
    <t>FTE</t>
  </si>
  <si>
    <t>Full Time Equivalent</t>
  </si>
  <si>
    <t>GANDA</t>
  </si>
  <si>
    <t>General and Administrative</t>
  </si>
  <si>
    <t>Hours</t>
  </si>
  <si>
    <t>OVERHEAD</t>
  </si>
  <si>
    <t>Overhead</t>
  </si>
  <si>
    <t>PROJECT_CAWP_TOTAL</t>
  </si>
  <si>
    <t>1:0..1</t>
  </si>
  <si>
    <t>Actual Cost</t>
  </si>
  <si>
    <t>Earned Cost</t>
  </si>
  <si>
    <t>Budget Cost</t>
  </si>
  <si>
    <t>Budget Cost At Completion</t>
  </si>
  <si>
    <t>Forecast or Estimated Cost at Completion</t>
  </si>
  <si>
    <t>Forecast or Estimated Non-Labor Cost at Completion</t>
  </si>
  <si>
    <t>eacNonLabor</t>
  </si>
  <si>
    <t xml:space="preserve"> Actual Hours</t>
  </si>
  <si>
    <t>Earned Hours</t>
  </si>
  <si>
    <t>Budget Hours</t>
  </si>
  <si>
    <t>Budget Hours At Completion</t>
  </si>
  <si>
    <t>Forecast or Estimated Hours at Completion</t>
  </si>
  <si>
    <t>Current Period Actual Cost</t>
  </si>
  <si>
    <t>acwpCp</t>
  </si>
  <si>
    <t>Current Period Earned Cost</t>
  </si>
  <si>
    <t>bcwpCp</t>
  </si>
  <si>
    <t>Current Period Budget Cost</t>
  </si>
  <si>
    <t>Current Period Actual Hours</t>
  </si>
  <si>
    <t>acwpCpHours</t>
  </si>
  <si>
    <t>Current Period Earned Hours</t>
  </si>
  <si>
    <t>bcwpCpHours</t>
  </si>
  <si>
    <t>Current Period Budget Hours</t>
  </si>
  <si>
    <t>PROJECT_CONTROL_ACCOUNT</t>
  </si>
  <si>
    <t>PROJECT_WORK_PACKAGE</t>
  </si>
  <si>
    <t>APPORTIONED_PROJECT_WP_UID</t>
  </si>
  <si>
    <t>Unique Apportioned Project Work Package Identifier.</t>
  </si>
  <si>
    <t>apportionedWorkPackageUid</t>
  </si>
  <si>
    <t>CONTRACT_CLIN_UID</t>
  </si>
  <si>
    <t>Unique Contract Line Item Identifier.</t>
  </si>
  <si>
    <t>The User that created the Project Control Account</t>
  </si>
  <si>
    <t>The User that created the Project Work Package.</t>
  </si>
  <si>
    <t>Date the Project Control Account was created.</t>
  </si>
  <si>
    <t>Date the Project Work Package was created.</t>
  </si>
  <si>
    <t>Project Control Account Description.</t>
  </si>
  <si>
    <t>Project Work Package Description.</t>
  </si>
  <si>
    <t>The User that last changed the Project Control Account.</t>
  </si>
  <si>
    <t>The User that last changed the Project Work Package.</t>
  </si>
  <si>
    <t>Date the last change was made to the Project Control Account</t>
  </si>
  <si>
    <t>Date the last change was made to the Project Work Package.</t>
  </si>
  <si>
    <t>MANAGER_USER_UID</t>
  </si>
  <si>
    <t>Unique Control  Account Manager User Identifier.</t>
  </si>
  <si>
    <t>manager</t>
  </si>
  <si>
    <t>Unique Work Package Manager User Identifier.</t>
  </si>
  <si>
    <t>Project Control Account Name</t>
  </si>
  <si>
    <t>Project Work Package Name</t>
  </si>
  <si>
    <t>PC_COMP</t>
  </si>
  <si>
    <t>PMT</t>
  </si>
  <si>
    <t>PROJECT_CONTROL_ACCOUNT_UID</t>
  </si>
  <si>
    <t>Unique Project Contol Account Identifier.</t>
  </si>
  <si>
    <t>projectControlAccount</t>
  </si>
  <si>
    <t>Classes are now defined at the application level and assigned at the project level.</t>
  </si>
  <si>
    <t>Class Name.</t>
  </si>
  <si>
    <t>We may change the way we manage rates</t>
  </si>
  <si>
    <t>COST_CLASS_TYPE</t>
  </si>
  <si>
    <t>Cost Class Type</t>
  </si>
  <si>
    <t>costClassType</t>
  </si>
  <si>
    <t>COST_CLASS_LEVEL</t>
  </si>
  <si>
    <t>Cost Class Level</t>
  </si>
  <si>
    <t>costClassLevel</t>
  </si>
  <si>
    <t>LEVEL is an Oracle keyword.</t>
  </si>
  <si>
    <t>REQUIRED</t>
  </si>
  <si>
    <t>Cost Class is System defined and cannot be deleted.</t>
  </si>
  <si>
    <t>required</t>
  </si>
  <si>
    <t>CALC_SOURCE_RESULTS</t>
  </si>
  <si>
    <t>Calculate Source Results</t>
  </si>
  <si>
    <t>calculateSourceResults</t>
  </si>
  <si>
    <t>DATE_SET</t>
  </si>
  <si>
    <t>Budget or Forecast Date Set</t>
  </si>
  <si>
    <t>dateSet</t>
  </si>
  <si>
    <t>BUDGET_SOURCE</t>
  </si>
  <si>
    <t>Budget Source Account used in the Project Audit Log</t>
  </si>
  <si>
    <t>budgetSource</t>
  </si>
  <si>
    <t>FCAST_METHOD</t>
  </si>
  <si>
    <t>Forecast Method</t>
  </si>
  <si>
    <t>forecastMethod</t>
  </si>
  <si>
    <t>FCAST_SCALE_EAC</t>
  </si>
  <si>
    <t>Scale EAC Values</t>
  </si>
  <si>
    <t>forecastScaleEAC</t>
  </si>
  <si>
    <t>FCAST_PERF_FACTOR_LEVEL</t>
  </si>
  <si>
    <t>Performance Factor Level</t>
  </si>
  <si>
    <t>performanceFactorLevel</t>
  </si>
  <si>
    <t>FCAST_PERF_FACTOR_CODE</t>
  </si>
  <si>
    <t>Performance Factor Code  when you choose a Performance Factor Level of Level1 - Level20</t>
  </si>
  <si>
    <t>performanceFactorCode</t>
  </si>
  <si>
    <t>FCAST_PERF_FACTOR_WEIGHT_A</t>
  </si>
  <si>
    <t>Performance Factor Weight A</t>
  </si>
  <si>
    <t>performanceFactorWeightA</t>
  </si>
  <si>
    <t>FCAST_PERF_FACTOR_WEIGHT_B</t>
  </si>
  <si>
    <t>Performance Factor Weight B</t>
  </si>
  <si>
    <t>performanceFactorWeightB</t>
  </si>
  <si>
    <t>FCAST_PCT_RANGE1_PERCENT</t>
  </si>
  <si>
    <t>Percent Complete Range 1 Percent</t>
  </si>
  <si>
    <t>percentRange1Percent</t>
  </si>
  <si>
    <t>FCAST_PCT_RANGE2_PERCENT</t>
  </si>
  <si>
    <t>Percent Complete Range 2 Percent</t>
  </si>
  <si>
    <t>percentRange2Percent</t>
  </si>
  <si>
    <t>FCAST_PCT_RANGE3_PERCENT</t>
  </si>
  <si>
    <t>Percent Complete Range 3 Percent</t>
  </si>
  <si>
    <t>percentRange3Percent</t>
  </si>
  <si>
    <t>FCAST_PCT_RANGE1_METHOD</t>
  </si>
  <si>
    <t>Percent Complete Range 1 Forecast Method</t>
  </si>
  <si>
    <t>percentRange1ForecastMethod</t>
  </si>
  <si>
    <t>FCAST_PCT_RANGE2_METHOD</t>
  </si>
  <si>
    <t>Percent Complete Range 2 Forecast Method</t>
  </si>
  <si>
    <t>percentRange2ForecastMethod</t>
  </si>
  <si>
    <t>FCAST_PCT_RANGE3_METHOD</t>
  </si>
  <si>
    <t>Percent Complete Range 3 Forecast Method</t>
  </si>
  <si>
    <t>percentRange3ForecastMethod</t>
  </si>
  <si>
    <t>FCAST_PCT_RANGE4_METHOD</t>
  </si>
  <si>
    <t>Percent Complete Range 4 Forecast Method</t>
  </si>
  <si>
    <t>percentRange4ForecastMethod</t>
  </si>
  <si>
    <t>The User that created the Cost Class.</t>
  </si>
  <si>
    <t>Date the Cost Class was created.</t>
  </si>
  <si>
    <t>The User that last changed the Cost Class.</t>
  </si>
  <si>
    <t>Date the last change was made to the Cost Class.</t>
  </si>
  <si>
    <t>Cost Class Description</t>
  </si>
  <si>
    <t>READONLY</t>
  </si>
  <si>
    <t>Read Only</t>
  </si>
  <si>
    <t>RANGE_FIELDID</t>
  </si>
  <si>
    <t>Range Field ID</t>
  </si>
  <si>
    <t>IS_BCWS</t>
  </si>
  <si>
    <t>Is Budgeted Cost of Work Scheduled</t>
  </si>
  <si>
    <t>IS_ACWP</t>
  </si>
  <si>
    <t>Is Actual Cost of Work Performed</t>
  </si>
  <si>
    <t>FC_DATESET</t>
  </si>
  <si>
    <t>Forecast Date Set</t>
  </si>
  <si>
    <t>PLUSPLUS</t>
  </si>
  <si>
    <t>Plus Plus</t>
  </si>
  <si>
    <t>MINUSPLUS</t>
  </si>
  <si>
    <t>Minus Plus</t>
  </si>
  <si>
    <t>MINUSMINUS</t>
  </si>
  <si>
    <t>Minus Minus</t>
  </si>
  <si>
    <t>CLASSCAL</t>
  </si>
  <si>
    <t>Class Calculation</t>
  </si>
  <si>
    <t>CLASSRATE</t>
  </si>
  <si>
    <t>Class Rate</t>
  </si>
  <si>
    <t>PROJECT_COST_CLASS_LINK</t>
  </si>
  <si>
    <t>Unique Project Cost Class Link Identifier.</t>
  </si>
  <si>
    <t>? Should this table be PROJECT_CLASS_LINK ?</t>
  </si>
  <si>
    <t>PARENT_PROJECT_COST_CLASS_UID</t>
  </si>
  <si>
    <t>Unique Identifier of the Parent Project Cost Class.</t>
  </si>
  <si>
    <t>parentProjectCostClassUiud</t>
  </si>
  <si>
    <t>Unique Identifier of the linked Project Cost Class.</t>
  </si>
  <si>
    <t>projectCostClassUid</t>
  </si>
  <si>
    <t>Unique Identifier of the User that created the Project Cost Class Link.</t>
  </si>
  <si>
    <t>Date the Project Cost Class Link was created.</t>
  </si>
  <si>
    <t>The User that last changed the Cost Class Link.</t>
  </si>
  <si>
    <t>Date the last change was made to the Cost Class Link.</t>
  </si>
  <si>
    <t>CONTAINEDCLASS</t>
  </si>
  <si>
    <t>Contained Class</t>
  </si>
  <si>
    <t>containedClass</t>
  </si>
  <si>
    <t>PROJECT_COST_SET</t>
  </si>
  <si>
    <t>Unique Cost Set Identifier.</t>
  </si>
  <si>
    <t>May not be needed if cost set at the system level.</t>
  </si>
  <si>
    <t>Cost Set Name</t>
  </si>
  <si>
    <t>Cost Set is System defined and cannot be deleted.</t>
  </si>
  <si>
    <t xml:space="preserve">required </t>
  </si>
  <si>
    <t>The User that created the Cost Set.</t>
  </si>
  <si>
    <t>Date the Cost Set was created.</t>
  </si>
  <si>
    <t>The User that last changed the Cost Set.</t>
  </si>
  <si>
    <t>Date the last change was made to the Cost Set.</t>
  </si>
  <si>
    <t>Cost Set Description.</t>
  </si>
  <si>
    <t>PROJECT_COST_SET_CLASS</t>
  </si>
  <si>
    <t>Unique Cost Set Class Identifier.</t>
  </si>
  <si>
    <t>PROJECT_COST_SET_UID</t>
  </si>
  <si>
    <t>Unique Project Cost Set Identifier.</t>
  </si>
  <si>
    <t>projectCostSet</t>
  </si>
  <si>
    <t>Unique Project Cost Class Identifier.</t>
  </si>
  <si>
    <t>projectCostClass</t>
  </si>
  <si>
    <t>The User that created the Cost Set Class.</t>
  </si>
  <si>
    <t>Date the Cost Set Class was created.</t>
  </si>
  <si>
    <t>The User that last changed the Cost Set Class.</t>
  </si>
  <si>
    <t>Date the last change was made to the Cost Set Class.</t>
  </si>
  <si>
    <t>COST</t>
  </si>
  <si>
    <t>Cost</t>
  </si>
  <si>
    <t>cost</t>
  </si>
  <si>
    <t>PROJECT_COST_TOTAL</t>
  </si>
  <si>
    <t>1 : 1 Relationship with the DIRECTORY table for ENTITY_TYPE  = PROJECT. Need to determine if this is a table or materialized view, etc. Calculated fields.</t>
  </si>
  <si>
    <t>Actuals.</t>
  </si>
  <si>
    <t>Sum of the costs for this type in the project</t>
  </si>
  <si>
    <t>Earned.</t>
  </si>
  <si>
    <t>Budget To Date.</t>
  </si>
  <si>
    <t>Forecast or Estimate at Complete.</t>
  </si>
  <si>
    <t>Hours Actual.</t>
  </si>
  <si>
    <t>Sum of the HOURS for this type in the project</t>
  </si>
  <si>
    <t>Hours Earned.</t>
  </si>
  <si>
    <t>Hours Budget to Date.</t>
  </si>
  <si>
    <t>Hours Budget.</t>
  </si>
  <si>
    <t>Forecast Hours.</t>
  </si>
  <si>
    <t>PROJECT_SUBPROJECT</t>
  </si>
  <si>
    <t>Unique Project record identifier of the Master Project.</t>
  </si>
  <si>
    <t>SUBPROJECT_UID</t>
  </si>
  <si>
    <t>Unique Project record identifier of the SubProject.</t>
  </si>
  <si>
    <t>subproject</t>
  </si>
  <si>
    <t>MASTER</t>
  </si>
  <si>
    <t>SUBPROGRAM</t>
  </si>
  <si>
    <t>Unique Project Control Account Identifier.</t>
  </si>
  <si>
    <t>Unique Project Work Package Identifier.</t>
  </si>
  <si>
    <t>STARTPC</t>
  </si>
  <si>
    <t>UNITS_COMP</t>
  </si>
  <si>
    <t>UNITSTODO</t>
  </si>
  <si>
    <t>USER_NUM01</t>
  </si>
  <si>
    <t>WP</t>
  </si>
  <si>
    <t>PROJECT_WP_MILESTONE</t>
  </si>
  <si>
    <t>Unique Project Work Package Milestone Identifier.</t>
  </si>
  <si>
    <t>PROJECT_WORK_PACKAGE_UID</t>
  </si>
  <si>
    <t>Project Work Package Milestone Name.</t>
  </si>
  <si>
    <t>Baseline Finish.</t>
  </si>
  <si>
    <t>Actual Finish.</t>
  </si>
  <si>
    <t>Status.</t>
  </si>
  <si>
    <t>WEIGHT</t>
  </si>
  <si>
    <t>Weight.</t>
  </si>
  <si>
    <t>weight</t>
  </si>
  <si>
    <t>The User that created the Project Work Package Milestone.</t>
  </si>
  <si>
    <t>Date the Project Work Package Milestone was created.</t>
  </si>
  <si>
    <t>The User that last changed the Project Work Package Milestone.</t>
  </si>
  <si>
    <t>Date the last change was made to the Project Work Package Milestone.</t>
  </si>
  <si>
    <t>Project Work Package Milestone Description.</t>
  </si>
  <si>
    <t>clBatch</t>
  </si>
  <si>
    <t>cawpId</t>
  </si>
  <si>
    <t>Rates</t>
  </si>
  <si>
    <t>RATE</t>
  </si>
  <si>
    <t>Unique Rate Identifier.</t>
  </si>
  <si>
    <t>RATE_SET_UID</t>
  </si>
  <si>
    <t>RATE_SET</t>
  </si>
  <si>
    <t>Unique Rate Set Identifier.</t>
  </si>
  <si>
    <t>rateSet</t>
  </si>
  <si>
    <t>RATE_DATE</t>
  </si>
  <si>
    <t>Effective Date of the Rate.</t>
  </si>
  <si>
    <t>rateDate</t>
  </si>
  <si>
    <t>RATE_VALUE</t>
  </si>
  <si>
    <t>Rate Value.</t>
  </si>
  <si>
    <t>rateValue</t>
  </si>
  <si>
    <t>The User that created the Rate.</t>
  </si>
  <si>
    <t>Date the Rate was created.</t>
  </si>
  <si>
    <t>The User that last changed the Rate.</t>
  </si>
  <si>
    <t>Date the last change was made to the Rate.</t>
  </si>
  <si>
    <t>RATEFILE</t>
  </si>
  <si>
    <t>RATE_TABLE</t>
  </si>
  <si>
    <t>Rate Table</t>
  </si>
  <si>
    <t>rateTable</t>
  </si>
  <si>
    <t>Rate File Name.</t>
  </si>
  <si>
    <t>Rate File Description.</t>
  </si>
  <si>
    <t>The User that owns the Rate File.</t>
  </si>
  <si>
    <t>The User that created the Rate File.</t>
  </si>
  <si>
    <t>Date the Rate File was created.</t>
  </si>
  <si>
    <t>The User that last changed the Rate File.</t>
  </si>
  <si>
    <t>Date the last change was made to the Rate File.</t>
  </si>
  <si>
    <t>Rate Set Name.</t>
  </si>
  <si>
    <t>The User that created the Rate Set.</t>
  </si>
  <si>
    <t>Date the Rate Set was created.</t>
  </si>
  <si>
    <t>The User that last changed the Rate Set.</t>
  </si>
  <si>
    <t>Date the last change was made to the Rate Set.</t>
  </si>
  <si>
    <t>Rate Set Description.</t>
  </si>
  <si>
    <t>('' '')</t>
  </si>
  <si>
    <t>Resources</t>
  </si>
  <si>
    <t>RESOURCE_COST_CALCULATION</t>
  </si>
  <si>
    <t>Unique Resource Result Identifier.</t>
  </si>
  <si>
    <t>LINE</t>
  </si>
  <si>
    <t>Line</t>
  </si>
  <si>
    <t>line</t>
  </si>
  <si>
    <t>RESULT_FIELD</t>
  </si>
  <si>
    <t>resultField</t>
  </si>
  <si>
    <t>RESULT_LABEL</t>
  </si>
  <si>
    <t>Display name of the Result Field.</t>
  </si>
  <si>
    <t>resultLabel</t>
  </si>
  <si>
    <t>Result Code.</t>
  </si>
  <si>
    <t>UNITS</t>
  </si>
  <si>
    <t>Units for Measure.</t>
  </si>
  <si>
    <t>units</t>
  </si>
  <si>
    <t>Result is a Currency Value.</t>
  </si>
  <si>
    <t>SOURCE1</t>
  </si>
  <si>
    <t>First Source Field.</t>
  </si>
  <si>
    <t>source1</t>
  </si>
  <si>
    <t>SOURCE2</t>
  </si>
  <si>
    <t>Second Source Field.</t>
  </si>
  <si>
    <t>source2</t>
  </si>
  <si>
    <t>SOURCE3</t>
  </si>
  <si>
    <t>Third Source Field.</t>
  </si>
  <si>
    <t>source3</t>
  </si>
  <si>
    <t>SOURCE4</t>
  </si>
  <si>
    <t>Fourth Source Field.</t>
  </si>
  <si>
    <t>source4</t>
  </si>
  <si>
    <t>SOURCE5</t>
  </si>
  <si>
    <t>Fifth Source Field.</t>
  </si>
  <si>
    <t>source5</t>
  </si>
  <si>
    <t>SOURCE6</t>
  </si>
  <si>
    <t>Sixth Source Field.</t>
  </si>
  <si>
    <t>source6</t>
  </si>
  <si>
    <t>SOURCE7</t>
  </si>
  <si>
    <t>Seventh Source Field.</t>
  </si>
  <si>
    <t>source7</t>
  </si>
  <si>
    <t>SOURCE8</t>
  </si>
  <si>
    <t>Eighth Source Field.</t>
  </si>
  <si>
    <t>source8</t>
  </si>
  <si>
    <t>SOURCE9</t>
  </si>
  <si>
    <t>Ninth Source Field.</t>
  </si>
  <si>
    <t>source9</t>
  </si>
  <si>
    <t>SOURCE10</t>
  </si>
  <si>
    <t>Tenth Source Field.</t>
  </si>
  <si>
    <t>source10</t>
  </si>
  <si>
    <t>The User that created the Resource Result.</t>
  </si>
  <si>
    <t>Date the Resource Result was created.</t>
  </si>
  <si>
    <t>The User that last changed the Resource Result.</t>
  </si>
  <si>
    <t>Date the last change was made to the Resource Result.</t>
  </si>
  <si>
    <t>CALCFILE</t>
  </si>
  <si>
    <t>calcFile</t>
  </si>
  <si>
    <t>Resource File Name.</t>
  </si>
  <si>
    <t>Resource File Description.</t>
  </si>
  <si>
    <t>Resource File Code Type. Supported values are P or N.</t>
  </si>
  <si>
    <t>1:1</t>
  </si>
  <si>
    <t>Add RATE_FILE_UID to Resource File.  Missing from Model.  Can't remember if intentional or accidental.</t>
  </si>
  <si>
    <t>RSLTALL</t>
  </si>
  <si>
    <t>Result List.</t>
  </si>
  <si>
    <t>resultsAll</t>
  </si>
  <si>
    <t>RSLTCURR</t>
  </si>
  <si>
    <t>Currency Results.</t>
  </si>
  <si>
    <t>resultsCurrency</t>
  </si>
  <si>
    <t>The User that owns the Resource File.</t>
  </si>
  <si>
    <t>The User that created the Resource File.</t>
  </si>
  <si>
    <t>Date the Resource File was created.</t>
  </si>
  <si>
    <t>The User that last changed the Resource File.</t>
  </si>
  <si>
    <t>Date the last change was made to the Resource File.</t>
  </si>
  <si>
    <t>Threshold Flags</t>
  </si>
  <si>
    <t>RESOURCE_FILE_COST_RESULT</t>
  </si>
  <si>
    <t>Unique Resource File Result Identifier.</t>
  </si>
  <si>
    <t>Result Code</t>
  </si>
  <si>
    <t>The User that created the Resource File Result.</t>
  </si>
  <si>
    <t>Date the Resource File Result was created.</t>
  </si>
  <si>
    <t>The User that last changed the Resource File Result.</t>
  </si>
  <si>
    <t>Date the last change was made to the Resource File Result.</t>
  </si>
  <si>
    <t>RATETABLE</t>
  </si>
  <si>
    <t>PARENT_RESOURCES_UID</t>
  </si>
  <si>
    <t>Unique Resource record identifier of the Resource records Parent Resource.</t>
  </si>
  <si>
    <t>parentResource</t>
  </si>
  <si>
    <t>Resource Name</t>
  </si>
  <si>
    <t>Resource hierarchy level.</t>
  </si>
  <si>
    <t>RESOURCE_LEVEL</t>
  </si>
  <si>
    <t>Child Resource position.</t>
  </si>
  <si>
    <t>resourceLevel</t>
  </si>
  <si>
    <t>elementOfCost</t>
  </si>
  <si>
    <t>The User that created the Resource.</t>
  </si>
  <si>
    <t>Date the Resource was created.</t>
  </si>
  <si>
    <t>The User that last changed the Resource.</t>
  </si>
  <si>
    <t>Date the last change was made to the Resource.</t>
  </si>
  <si>
    <t>Resource Description.</t>
  </si>
  <si>
    <t>Data Field 1</t>
  </si>
  <si>
    <t>Data Field 2</t>
  </si>
  <si>
    <t>Data Field 3</t>
  </si>
  <si>
    <t>Data Field 4</t>
  </si>
  <si>
    <t>Data Field 5</t>
  </si>
  <si>
    <t>Data Field 6</t>
  </si>
  <si>
    <t>Data Field 7</t>
  </si>
  <si>
    <t>Data Field 8</t>
  </si>
  <si>
    <t>Data Field 9</t>
  </si>
  <si>
    <t>Tag</t>
  </si>
  <si>
    <t>TH_CAPF</t>
  </si>
  <si>
    <t>Threshold Cost At Complete Percent Favorable</t>
  </si>
  <si>
    <t>TH_CAPU</t>
  </si>
  <si>
    <t>Threshold Cost At Complete Percent Unfavorable</t>
  </si>
  <si>
    <t>TH_CAVF</t>
  </si>
  <si>
    <t>Threshold Cost At Complete Variance Favorable</t>
  </si>
  <si>
    <t>TH_CAVU</t>
  </si>
  <si>
    <t>Threshold Cost At Complete Variance Unfavorable</t>
  </si>
  <si>
    <t>TH_CCPF</t>
  </si>
  <si>
    <t>Threshold Current Cost Percent Favorable</t>
  </si>
  <si>
    <t>TH_CCPU</t>
  </si>
  <si>
    <t>Threshold Current Cost Percent Unfavorable</t>
  </si>
  <si>
    <t>TH_CCVF</t>
  </si>
  <si>
    <t>Threshold Current Cost Variance Favorable</t>
  </si>
  <si>
    <t>TH_CCVU</t>
  </si>
  <si>
    <t>Threshold Current Cost Variance Unfavorable</t>
  </si>
  <si>
    <t>TH_CPPF</t>
  </si>
  <si>
    <t>Threshold Completion Percent Percent Favorable</t>
  </si>
  <si>
    <t>TH_CPPU</t>
  </si>
  <si>
    <t>Threshold Completion Percent Percent Unfavorable</t>
  </si>
  <si>
    <t>TH_CPVF</t>
  </si>
  <si>
    <t>Threshold Completion Percent Variance Favorable</t>
  </si>
  <si>
    <t>TH_CPVU</t>
  </si>
  <si>
    <t>Threshold Completion Percent Variance Unfavorable</t>
  </si>
  <si>
    <t>TH_SCPF</t>
  </si>
  <si>
    <t>Threshold Schedule Current Percent Favorable</t>
  </si>
  <si>
    <t>TH_SCPU</t>
  </si>
  <si>
    <t>Threshold Schedule Current Percent Unfavorable</t>
  </si>
  <si>
    <t>TH_SCVF</t>
  </si>
  <si>
    <t>Threshold Schedule Current Variance Favorable</t>
  </si>
  <si>
    <t>TH_SCVU</t>
  </si>
  <si>
    <t>Threshold Schedule Current Variance Unfavorable</t>
  </si>
  <si>
    <t>TH_SPPF</t>
  </si>
  <si>
    <t>Threshold Schedule Performance Percent Favorable</t>
  </si>
  <si>
    <t>TH_SPPU</t>
  </si>
  <si>
    <t>Threshold Schedule Performance Percent Unfavorable</t>
  </si>
  <si>
    <t>TH_SPVF</t>
  </si>
  <si>
    <t>Threshold Schedule Performance Variance Favorable</t>
  </si>
  <si>
    <t>TH_SPVU</t>
  </si>
  <si>
    <t>Threshold Schedule Performance Variance Unfavorable</t>
  </si>
  <si>
    <t>NUMBER(5,0)</t>
  </si>
  <si>
    <t>Parent Resource child count.</t>
  </si>
  <si>
    <t>Short</t>
  </si>
  <si>
    <t>Spread Curve Name.</t>
  </si>
  <si>
    <t>POINTS</t>
  </si>
  <si>
    <t>The number of Spread Points defined for the Spread Curve.</t>
  </si>
  <si>
    <t>points</t>
  </si>
  <si>
    <t>Shared</t>
  </si>
  <si>
    <t>ACCESS_CONTROL_ENTRY</t>
  </si>
  <si>
    <t>Unique Access Control Entry Identifier.</t>
  </si>
  <si>
    <t>ENTITY_UID</t>
  </si>
  <si>
    <t>Unique Identifier for the Entity that the Access Control Entry is associated with.</t>
  </si>
  <si>
    <t>entityUid</t>
  </si>
  <si>
    <t>USER_UID</t>
  </si>
  <si>
    <t>The User the Access Control Entry applies to. NULL if the entry applies to a Group.</t>
  </si>
  <si>
    <t>GROUP_UID</t>
  </si>
  <si>
    <t>The Group the Access Control Entry applies to. NULL if the entry applies to a User.</t>
  </si>
  <si>
    <t>group</t>
  </si>
  <si>
    <t>ROLE_UID</t>
  </si>
  <si>
    <t>The Role that is granted by the Access Control Entry.</t>
  </si>
  <si>
    <t>role</t>
  </si>
  <si>
    <t>VIEWONLY</t>
  </si>
  <si>
    <t>Restrict the User or Group to Read-Only access to the Entity.</t>
  </si>
  <si>
    <t>viewonly</t>
  </si>
  <si>
    <t>The User that created the Access Control Entry.</t>
  </si>
  <si>
    <t>Date the  Access Control Entry was created.</t>
  </si>
  <si>
    <t>The User that last changed the  Access Control Entry.</t>
  </si>
  <si>
    <t>Date the last change was made to the  Access Control Entry.</t>
  </si>
  <si>
    <t>USER_CODE_VALUE</t>
  </si>
  <si>
    <t>Unique User Code Value Identifier.</t>
  </si>
  <si>
    <t>Unique Identifier for the Root Entity  the User Code Value is associated with.</t>
  </si>
  <si>
    <t>Unique Identifier of the Entity the User Code Value is assigned to.</t>
  </si>
  <si>
    <t>The Field Name the User Code Value is assigned to.</t>
  </si>
  <si>
    <t>? Should this be a GUID to the USER_FIELD_DEFINITION table instead?</t>
  </si>
  <si>
    <t>CODE_UID</t>
  </si>
  <si>
    <t>Unique Identifier for the Code that is assigned to the field.</t>
  </si>
  <si>
    <t>code</t>
  </si>
  <si>
    <t>The User that created the User Code Value.</t>
  </si>
  <si>
    <t>Date the User Code Value was created.</t>
  </si>
  <si>
    <t>? Do we need to track who created or edited a note?</t>
  </si>
  <si>
    <t>The User that last changed the User Code Value.</t>
  </si>
  <si>
    <t>Date the last change was made to the User Code Value.</t>
  </si>
  <si>
    <t>USER_FIELD_DEFINITION</t>
  </si>
  <si>
    <t>Unique User Defined Field Identifier.</t>
  </si>
  <si>
    <t>Unique Identifier for the Entity  the Product Preference is associated with.</t>
  </si>
  <si>
    <t>?Can we have different definitions of user defined fields across versions?</t>
  </si>
  <si>
    <t>ENTITY_TYPE</t>
  </si>
  <si>
    <t>Table name for the Entity the User Field is associated with.</t>
  </si>
  <si>
    <t>entityType</t>
  </si>
  <si>
    <t>Name of the Field the User Field Definition is mapped to in the USER_FIELD_VALUE_TABLE.</t>
  </si>
  <si>
    <t>Maps the UDF to the physical field name on the USER_FIELD_VALUES tables.</t>
  </si>
  <si>
    <t>FIELD_LABEL</t>
  </si>
  <si>
    <t>Display name of the User Field Definition.</t>
  </si>
  <si>
    <t>fieldLabel</t>
  </si>
  <si>
    <t>FIELD_DATA_TYPE</t>
  </si>
  <si>
    <t>Data type of the User Defined Field. Enumerated Value of TEXT, NUMBER, DATE, FDATE, DURATION, CODE, MEMO</t>
  </si>
  <si>
    <t>dataType</t>
  </si>
  <si>
    <t>A value must be entered in this User Field.</t>
  </si>
  <si>
    <t>? Should this field be named REQUIRED to indicate that a value is required for the user defined field?</t>
  </si>
  <si>
    <t>The User that created the User Field Definition.</t>
  </si>
  <si>
    <t>Date the User Field Definition was created.</t>
  </si>
  <si>
    <t>The User that last changed the User Field Definition.</t>
  </si>
  <si>
    <t>Date the last change was made to the User Field Definition.</t>
  </si>
  <si>
    <t>USER_FIELD_VALUE</t>
  </si>
  <si>
    <t>Unique Identifier for the Root Entity  the User Field Value is associated with.</t>
  </si>
  <si>
    <t>Replaces individual [ENTITY]_USER_FIELD_VALUE tables with a single table for all user field value data.</t>
  </si>
  <si>
    <t>Unique Identifier of the Entity the User Field Value is assigned to.</t>
  </si>
  <si>
    <t>DATE1</t>
  </si>
  <si>
    <t>User entered DATE value for field mapped from USER_FIELD_DEFINITION table.</t>
  </si>
  <si>
    <t>date1</t>
  </si>
  <si>
    <t>We need to decide how we want to store code assignments.</t>
  </si>
  <si>
    <t>USER_FIELD_VALUES</t>
  </si>
  <si>
    <t>JSON</t>
  </si>
  <si>
    <t>JSON Array of the User Field Values.</t>
  </si>
  <si>
    <t>userFieldValues</t>
  </si>
  <si>
    <t>DATE2</t>
  </si>
  <si>
    <t>date2</t>
  </si>
  <si>
    <t>These will be more than 1-3 fields, doing this for brevity. Will be maybe 90 columns.</t>
  </si>
  <si>
    <t>DATE3</t>
  </si>
  <si>
    <t>date3</t>
  </si>
  <si>
    <t>DATE4</t>
  </si>
  <si>
    <t>date4</t>
  </si>
  <si>
    <t>DATE5</t>
  </si>
  <si>
    <t>date5</t>
  </si>
  <si>
    <t>DATE6</t>
  </si>
  <si>
    <t>date6</t>
  </si>
  <si>
    <t>DATE7</t>
  </si>
  <si>
    <t>date7</t>
  </si>
  <si>
    <t>DATE8</t>
  </si>
  <si>
    <t>date8</t>
  </si>
  <si>
    <t>DATE9</t>
  </si>
  <si>
    <t>date9</t>
  </si>
  <si>
    <t>DATE10</t>
  </si>
  <si>
    <t>date10</t>
  </si>
  <si>
    <t>DATE11</t>
  </si>
  <si>
    <t>date11</t>
  </si>
  <si>
    <t>DATE12</t>
  </si>
  <si>
    <t>date12</t>
  </si>
  <si>
    <t>DATE13</t>
  </si>
  <si>
    <t>date13</t>
  </si>
  <si>
    <t>DATE14</t>
  </si>
  <si>
    <t>date14</t>
  </si>
  <si>
    <t>DATE15</t>
  </si>
  <si>
    <t>date15</t>
  </si>
  <si>
    <t>DATE16</t>
  </si>
  <si>
    <t>date16</t>
  </si>
  <si>
    <t>DATE17</t>
  </si>
  <si>
    <t>date17</t>
  </si>
  <si>
    <t>DATE18</t>
  </si>
  <si>
    <t>date18</t>
  </si>
  <si>
    <t>DATE19</t>
  </si>
  <si>
    <t>date19</t>
  </si>
  <si>
    <t>DATE20</t>
  </si>
  <si>
    <t>date20</t>
  </si>
  <si>
    <t>NUMBER1</t>
  </si>
  <si>
    <t>User entered NUMBER value for field mapped from USER_FIELD_DEFINITION table.</t>
  </si>
  <si>
    <t>number1</t>
  </si>
  <si>
    <t>NUMBER2</t>
  </si>
  <si>
    <t>number2</t>
  </si>
  <si>
    <t>NUMBER3</t>
  </si>
  <si>
    <t>number3</t>
  </si>
  <si>
    <t>NUMBER4</t>
  </si>
  <si>
    <t>number4</t>
  </si>
  <si>
    <t>NUMBER5</t>
  </si>
  <si>
    <t>number5</t>
  </si>
  <si>
    <t>NUMBER6</t>
  </si>
  <si>
    <t>number6</t>
  </si>
  <si>
    <t>NUMBER7</t>
  </si>
  <si>
    <t>number7</t>
  </si>
  <si>
    <t>NUMBER8</t>
  </si>
  <si>
    <t>number8</t>
  </si>
  <si>
    <t>NUMBER9</t>
  </si>
  <si>
    <t>number9</t>
  </si>
  <si>
    <t>NUMBER10</t>
  </si>
  <si>
    <t>number10</t>
  </si>
  <si>
    <t>NUMBER11</t>
  </si>
  <si>
    <t>number11</t>
  </si>
  <si>
    <t>NUMBER12</t>
  </si>
  <si>
    <t>number12</t>
  </si>
  <si>
    <t>NUMBER13</t>
  </si>
  <si>
    <t>number13</t>
  </si>
  <si>
    <t>NUMBER14</t>
  </si>
  <si>
    <t>number14</t>
  </si>
  <si>
    <t>NUMBER15</t>
  </si>
  <si>
    <t>number15</t>
  </si>
  <si>
    <t>NUMBER16</t>
  </si>
  <si>
    <t>number16</t>
  </si>
  <si>
    <t>NUMBER17</t>
  </si>
  <si>
    <t>number17</t>
  </si>
  <si>
    <t>NUMBER18</t>
  </si>
  <si>
    <t>number18</t>
  </si>
  <si>
    <t>NUMBER19</t>
  </si>
  <si>
    <t>number19</t>
  </si>
  <si>
    <t>NUMBER20</t>
  </si>
  <si>
    <t>number20</t>
  </si>
  <si>
    <t>TEXT1</t>
  </si>
  <si>
    <t>User entered TEXT value for field mapped from USER_FIELD_DEFINITION table.</t>
  </si>
  <si>
    <t>text1</t>
  </si>
  <si>
    <t>TEXT2</t>
  </si>
  <si>
    <t>text2</t>
  </si>
  <si>
    <t>TEXT3</t>
  </si>
  <si>
    <t>text3</t>
  </si>
  <si>
    <t>TEXT4</t>
  </si>
  <si>
    <t>text4</t>
  </si>
  <si>
    <t>TEXT5</t>
  </si>
  <si>
    <t>text5</t>
  </si>
  <si>
    <t>TEXT6</t>
  </si>
  <si>
    <t>text6</t>
  </si>
  <si>
    <t>TEXT7</t>
  </si>
  <si>
    <t>text7</t>
  </si>
  <si>
    <t>TEXT8</t>
  </si>
  <si>
    <t>text8</t>
  </si>
  <si>
    <t>TEXT9</t>
  </si>
  <si>
    <t>text9</t>
  </si>
  <si>
    <t>TEXT10</t>
  </si>
  <si>
    <t>text10</t>
  </si>
  <si>
    <t>TEXT11</t>
  </si>
  <si>
    <t>text11</t>
  </si>
  <si>
    <t>TEXT12</t>
  </si>
  <si>
    <t>text12</t>
  </si>
  <si>
    <t>TEXT13</t>
  </si>
  <si>
    <t>text13</t>
  </si>
  <si>
    <t>TEXT14</t>
  </si>
  <si>
    <t>text14</t>
  </si>
  <si>
    <t>TEXT15</t>
  </si>
  <si>
    <t>text15</t>
  </si>
  <si>
    <t>TEXT16</t>
  </si>
  <si>
    <t>text16</t>
  </si>
  <si>
    <t>TEXT17</t>
  </si>
  <si>
    <t>text17</t>
  </si>
  <si>
    <t>TEXT18</t>
  </si>
  <si>
    <t>text18</t>
  </si>
  <si>
    <t>TEXT19</t>
  </si>
  <si>
    <t>text19</t>
  </si>
  <si>
    <t>TEXT20</t>
  </si>
  <si>
    <t>text20</t>
  </si>
  <si>
    <t>USER_NOTE_VALUE</t>
  </si>
  <si>
    <t>Unique Note Text Identifier.</t>
  </si>
  <si>
    <t>Unique Identifier for the Root Entity  the User Note Value is associated with.</t>
  </si>
  <si>
    <t>Unique Identifier of the Entity the User Note Value is assigned to.</t>
  </si>
  <si>
    <t>The User that created the User Note Value.</t>
  </si>
  <si>
    <t>Date the User Note Value was created.</t>
  </si>
  <si>
    <t>The User that last changed the User Note Value.</t>
  </si>
  <si>
    <t>Date the last change was made to the User Note Value.</t>
  </si>
  <si>
    <t>FIELD_VALUE</t>
  </si>
  <si>
    <t>User entered Note Text.</t>
  </si>
  <si>
    <t>fieldValue</t>
  </si>
  <si>
    <t>SpreadCurves</t>
  </si>
  <si>
    <t>POINT_VALUES</t>
  </si>
  <si>
    <t>Spread Curve Point Values in JSON format.</t>
  </si>
  <si>
    <t>values</t>
  </si>
  <si>
    <t>The User that created the Spread Curve.</t>
  </si>
  <si>
    <t>Date the Spread Curve was created.</t>
  </si>
  <si>
    <t>The User that last changed the Spread Curve.</t>
  </si>
  <si>
    <t>Date the last change was made to the Spread Curve.</t>
  </si>
  <si>
    <t>SP_F1</t>
  </si>
  <si>
    <t>Spread Field 1</t>
  </si>
  <si>
    <t>SP_F10</t>
  </si>
  <si>
    <t>Spread Field 10</t>
  </si>
  <si>
    <t>SP_F11</t>
  </si>
  <si>
    <t>Spread Field 11</t>
  </si>
  <si>
    <t>SP_F12</t>
  </si>
  <si>
    <t>Spread Field 12</t>
  </si>
  <si>
    <t>SP_F13</t>
  </si>
  <si>
    <t>Spread Field 13</t>
  </si>
  <si>
    <t>SP_F14</t>
  </si>
  <si>
    <t>Spread Field 14</t>
  </si>
  <si>
    <t>SP_F15</t>
  </si>
  <si>
    <t>Spread Field 15</t>
  </si>
  <si>
    <t>SP_F16</t>
  </si>
  <si>
    <t>Spread Field 16</t>
  </si>
  <si>
    <t>SP_F17</t>
  </si>
  <si>
    <t>Spread Field 17</t>
  </si>
  <si>
    <t>SP_F18</t>
  </si>
  <si>
    <t>Spread Field 18</t>
  </si>
  <si>
    <t>SP_F19</t>
  </si>
  <si>
    <t>Spread Field 19</t>
  </si>
  <si>
    <t>SP_F2</t>
  </si>
  <si>
    <t>Spread Field 2</t>
  </si>
  <si>
    <t>SP_F20</t>
  </si>
  <si>
    <t>Spread Field 20</t>
  </si>
  <si>
    <t>SP_F21</t>
  </si>
  <si>
    <t>Spread Field 21</t>
  </si>
  <si>
    <t>SP_F22</t>
  </si>
  <si>
    <t>Spread Field 22</t>
  </si>
  <si>
    <t>SP_F23</t>
  </si>
  <si>
    <t>Spread Field 23</t>
  </si>
  <si>
    <t>SP_F24</t>
  </si>
  <si>
    <t>Spread Field 24</t>
  </si>
  <si>
    <t>SP_F25</t>
  </si>
  <si>
    <t>Spread Field 25</t>
  </si>
  <si>
    <t>SP_F26</t>
  </si>
  <si>
    <t>Spread Field 26</t>
  </si>
  <si>
    <t>SP_F27</t>
  </si>
  <si>
    <t>Spread Field 27</t>
  </si>
  <si>
    <t>SP_F28</t>
  </si>
  <si>
    <t>Spread Field 28</t>
  </si>
  <si>
    <t>SP_F29</t>
  </si>
  <si>
    <t>Spread Field 29</t>
  </si>
  <si>
    <t>SP_F3</t>
  </si>
  <si>
    <t>Spread Field 3</t>
  </si>
  <si>
    <t>SP_F30</t>
  </si>
  <si>
    <t>Spread Field 30</t>
  </si>
  <si>
    <t>SP_F31</t>
  </si>
  <si>
    <t>Spread Field 31</t>
  </si>
  <si>
    <t>SP_F32</t>
  </si>
  <si>
    <t>Spread Field 32</t>
  </si>
  <si>
    <t>SP_F33</t>
  </si>
  <si>
    <t>Spread Field 33</t>
  </si>
  <si>
    <t>SP_F34</t>
  </si>
  <si>
    <t>Spread Field 34</t>
  </si>
  <si>
    <t>SP_F35</t>
  </si>
  <si>
    <t>Spread Field 35</t>
  </si>
  <si>
    <t>SP_F36</t>
  </si>
  <si>
    <t>Spread Field 36</t>
  </si>
  <si>
    <t>SP_F37</t>
  </si>
  <si>
    <t>Spread Field 37</t>
  </si>
  <si>
    <t>SP_F38</t>
  </si>
  <si>
    <t>Spread Field 38</t>
  </si>
  <si>
    <t>SP_F39</t>
  </si>
  <si>
    <t>Spread Field 39</t>
  </si>
  <si>
    <t>SP_F4</t>
  </si>
  <si>
    <t>Spread Field 4</t>
  </si>
  <si>
    <t>SP_F40</t>
  </si>
  <si>
    <t>Spread Field 40</t>
  </si>
  <si>
    <t>SP_F41</t>
  </si>
  <si>
    <t>Spread Field 41</t>
  </si>
  <si>
    <t>SP_F42</t>
  </si>
  <si>
    <t>Spread Field 42</t>
  </si>
  <si>
    <t>SP_F43</t>
  </si>
  <si>
    <t>Spread Field 43</t>
  </si>
  <si>
    <t>SP_F44</t>
  </si>
  <si>
    <t>Spread Field 44</t>
  </si>
  <si>
    <t>SP_F45</t>
  </si>
  <si>
    <t>Spread Field 45</t>
  </si>
  <si>
    <t>SP_F46</t>
  </si>
  <si>
    <t>Spread Field 46</t>
  </si>
  <si>
    <t>SP_F47</t>
  </si>
  <si>
    <t>Spread Field 47</t>
  </si>
  <si>
    <t>SP_F48</t>
  </si>
  <si>
    <t>Spread Field 48</t>
  </si>
  <si>
    <t>SP_F49</t>
  </si>
  <si>
    <t>Spread Field 49</t>
  </si>
  <si>
    <t>SP_F5</t>
  </si>
  <si>
    <t>Spread Field 5</t>
  </si>
  <si>
    <t>SP_F50</t>
  </si>
  <si>
    <t>Spread Field 50</t>
  </si>
  <si>
    <t>SP_F51</t>
  </si>
  <si>
    <t>Spread Field 51</t>
  </si>
  <si>
    <t>SP_F52</t>
  </si>
  <si>
    <t>Spread Field 52</t>
  </si>
  <si>
    <t>SP_F6</t>
  </si>
  <si>
    <t>Spread Field 6</t>
  </si>
  <si>
    <t>SP_F7</t>
  </si>
  <si>
    <t>Spread Field 7</t>
  </si>
  <si>
    <t>SP_F8</t>
  </si>
  <si>
    <t>Spread Field 8</t>
  </si>
  <si>
    <t>SP_F9</t>
  </si>
  <si>
    <t>Spread Field 9</t>
  </si>
  <si>
    <t>SPREADORD</t>
  </si>
  <si>
    <t>Spread Order</t>
  </si>
  <si>
    <t>ACCOUNTS</t>
  </si>
  <si>
    <t>1:M</t>
  </si>
  <si>
    <t>CHNG_REQST</t>
  </si>
  <si>
    <t>BFINISH</t>
  </si>
  <si>
    <t>BSTART</t>
  </si>
  <si>
    <t>CHNG_NUM</t>
  </si>
  <si>
    <t>PERIOD</t>
  </si>
  <si>
    <t>REQST_TYPE</t>
  </si>
  <si>
    <t>SOURCE_PROGRAM</t>
  </si>
  <si>
    <t>STAGE</t>
  </si>
  <si>
    <t>TITLE</t>
  </si>
  <si>
    <t>CHNG_REQST_PROGRAM</t>
  </si>
  <si>
    <t>changeNum</t>
  </si>
  <si>
    <t>PHASE</t>
  </si>
  <si>
    <t>CLASSRANGES</t>
  </si>
  <si>
    <t>FIELDNUM</t>
  </si>
  <si>
    <t>RANGE_KEY</t>
  </si>
  <si>
    <t>RANGE_VALUE</t>
  </si>
  <si>
    <t>CONNECTION</t>
  </si>
  <si>
    <t>CONN_ID</t>
  </si>
  <si>
    <t>CONN_TYPE</t>
  </si>
  <si>
    <t>CLOB</t>
  </si>
  <si>
    <t>GRP_ID</t>
  </si>
  <si>
    <t>OWNER_ID</t>
  </si>
  <si>
    <t>ownerId</t>
  </si>
  <si>
    <t>readOnly</t>
  </si>
  <si>
    <t>SHARED</t>
  </si>
  <si>
    <t>shared</t>
  </si>
  <si>
    <t>COSTDETL</t>
  </si>
  <si>
    <t>COSTSET</t>
  </si>
  <si>
    <t>INSTANCE</t>
  </si>
  <si>
    <t>ORD</t>
  </si>
  <si>
    <t>LINK</t>
  </si>
  <si>
    <t>EFDATE</t>
  </si>
  <si>
    <t>ESDATE</t>
  </si>
  <si>
    <t>FCSTCLASS</t>
  </si>
  <si>
    <t>FULLID</t>
  </si>
  <si>
    <t>LFDATE</t>
  </si>
  <si>
    <t>LSDATE</t>
  </si>
  <si>
    <t>MS_NO</t>
  </si>
  <si>
    <t>MSWEIGHT</t>
  </si>
  <si>
    <t>PFINISH</t>
  </si>
  <si>
    <t>PRJNAME</t>
  </si>
  <si>
    <t>PSTART</t>
  </si>
  <si>
    <t>SFDATE</t>
  </si>
  <si>
    <t>SSDATE</t>
  </si>
  <si>
    <t>VALID</t>
  </si>
  <si>
    <t>PROCESSLOG</t>
  </si>
  <si>
    <t>CONTEXT</t>
  </si>
  <si>
    <t>DIR_ID</t>
  </si>
  <si>
    <t>ERRORCOUNT</t>
  </si>
  <si>
    <t>FINISHTIME</t>
  </si>
  <si>
    <t>PROCESS_ID</t>
  </si>
  <si>
    <t>PROGRESS_PCT</t>
  </si>
  <si>
    <t>PROGRESS_TEXT</t>
  </si>
  <si>
    <t>STARTTIME</t>
  </si>
  <si>
    <t>startTime</t>
  </si>
  <si>
    <t>USR_ABORT</t>
  </si>
  <si>
    <t>usrAbort</t>
  </si>
  <si>
    <t>WARNINGCOUNT</t>
  </si>
  <si>
    <t>warningCount</t>
  </si>
  <si>
    <t>PROCESSLOGLINK</t>
  </si>
  <si>
    <t>BATCH_UID</t>
  </si>
  <si>
    <t>batchUid</t>
  </si>
  <si>
    <t>PROCESSLOG_UID</t>
  </si>
  <si>
    <t>processLogUid</t>
  </si>
  <si>
    <t>RCUTOFF</t>
  </si>
  <si>
    <t>instance</t>
  </si>
  <si>
    <t>PD_FINISH</t>
  </si>
  <si>
    <t>pdFinish</t>
  </si>
  <si>
    <t>PD_START</t>
  </si>
  <si>
    <t>pdStart</t>
  </si>
  <si>
    <t>TEMP_CAWPID</t>
  </si>
  <si>
    <t>projectCawpId</t>
  </si>
  <si>
    <t>projectUid</t>
  </si>
  <si>
    <t>TEMP_CHAR</t>
  </si>
  <si>
    <t>CHAR_VAL</t>
  </si>
  <si>
    <t>charVal</t>
  </si>
  <si>
    <t>TEMP_DIR</t>
  </si>
  <si>
    <t>dirId</t>
  </si>
  <si>
    <t>WST_LCK</t>
  </si>
  <si>
    <t>context</t>
  </si>
  <si>
    <t>CONTEXT_ID</t>
  </si>
  <si>
    <t>contextId</t>
  </si>
  <si>
    <t>DIR_UID</t>
  </si>
  <si>
    <t>dirUid</t>
  </si>
  <si>
    <t>LCK_UID</t>
  </si>
  <si>
    <t>LOCKMODE</t>
  </si>
  <si>
    <t>MACHINE_ID</t>
  </si>
  <si>
    <t>PRD_UID</t>
  </si>
  <si>
    <t>ULI_UID</t>
  </si>
  <si>
    <t>WST_DCT</t>
  </si>
  <si>
    <t>TABLE_TYPE</t>
  </si>
  <si>
    <t>FLD_NAME</t>
  </si>
  <si>
    <t>LENGTH</t>
  </si>
  <si>
    <t>COL_FLAGS</t>
  </si>
  <si>
    <t>SYS_NAME</t>
  </si>
  <si>
    <t>USR_NAME</t>
  </si>
  <si>
    <t>STRING_ID</t>
  </si>
  <si>
    <t>FKEY_FLD_NAME</t>
  </si>
  <si>
    <t>FKEY_REQUIRED</t>
  </si>
  <si>
    <t>FKEY_VIRTUAL</t>
  </si>
  <si>
    <t>DEL_FOREIGN_ACTION</t>
  </si>
  <si>
    <t>BATCH</t>
  </si>
  <si>
    <t>BATCHREP_ID</t>
  </si>
  <si>
    <t>FILTER_ID</t>
  </si>
  <si>
    <t>FILTER_SHARED</t>
  </si>
  <si>
    <t>Date the last change was made to the Batch.</t>
  </si>
  <si>
    <t>The user who own the batch</t>
  </si>
  <si>
    <t>REPORT_ID</t>
  </si>
  <si>
    <t>reportId</t>
  </si>
  <si>
    <t>SORT_ID</t>
  </si>
  <si>
    <t>sortId</t>
  </si>
  <si>
    <t>SORT_SHARED</t>
  </si>
  <si>
    <t>sortShared</t>
  </si>
  <si>
    <t>BATCHREP</t>
  </si>
  <si>
    <t>batchRepId</t>
  </si>
  <si>
    <t>BATCHREP_UID</t>
  </si>
  <si>
    <t>batchRepUid</t>
  </si>
  <si>
    <t>OUTPUT_LOC</t>
  </si>
  <si>
    <t>outputLoc</t>
  </si>
  <si>
    <t>OUTPUT_TYPE</t>
  </si>
  <si>
    <t>outputType</t>
  </si>
  <si>
    <t>The user who own the batch reporting</t>
  </si>
  <si>
    <t>SUB_FOLDER</t>
  </si>
  <si>
    <t>subFolder</t>
  </si>
  <si>
    <t>Dictionary_Type</t>
  </si>
  <si>
    <t>Oracle_Data_Type</t>
  </si>
  <si>
    <t>Java Type</t>
  </si>
  <si>
    <t>BOOL</t>
  </si>
  <si>
    <t>boolean</t>
  </si>
  <si>
    <t>ENUM</t>
  </si>
  <si>
    <t>NUMBER(3,0)</t>
  </si>
  <si>
    <t>enum</t>
  </si>
  <si>
    <t>Number length mappings fromhttps://docs.oracle.com/cd/E23095_01/ACI.93/ACIDataWarehouse/html/s0107keytocolumndatatypenames01.html</t>
  </si>
  <si>
    <t>Integer</t>
  </si>
  <si>
    <t>JSONO</t>
  </si>
  <si>
    <t>0 or 1</t>
  </si>
  <si>
    <t>Byte (0-255)  Java recommends Short for this.</t>
  </si>
  <si>
    <t>Short Integer  (-32768 | 32768)</t>
  </si>
  <si>
    <t>Long Integer (-2147483648 | 2147483648)</t>
  </si>
  <si>
    <t>NUMBER</t>
  </si>
  <si>
    <t>64Bit Integer (-9223372036854775808 | 9223372036854775808)</t>
  </si>
  <si>
    <t>NUMBER(5,2)</t>
  </si>
  <si>
    <t>JSON type for Oracle 21 and later.</t>
  </si>
  <si>
    <t>RAW</t>
  </si>
  <si>
    <t>byte</t>
  </si>
  <si>
    <t>JSON type for Oracle 20 and earlier.</t>
  </si>
  <si>
    <t>Work in Progress</t>
  </si>
  <si>
    <t>TINYINT</t>
  </si>
  <si>
    <t>Allows non-standard length and scale values to be specified.</t>
  </si>
  <si>
    <t>FLAG_NAME</t>
  </si>
  <si>
    <t>FLAG_VALUE</t>
  </si>
  <si>
    <t>USER_FIELDS</t>
  </si>
  <si>
    <t>0x00000001L</t>
  </si>
  <si>
    <t>Entity Supports User Defined Fields</t>
  </si>
  <si>
    <t>USER_NOTES</t>
  </si>
  <si>
    <t>0x00000002L</t>
  </si>
  <si>
    <t>Entity Supports User Defined Note Fields</t>
  </si>
  <si>
    <t>USER_CODES</t>
  </si>
  <si>
    <t>0x00000004L</t>
  </si>
  <si>
    <t>Entity Supports User Defined Code Fields</t>
  </si>
  <si>
    <t>ACCESS_CONTROL</t>
  </si>
  <si>
    <t>0x00000008L</t>
  </si>
  <si>
    <t>Entity Supports Access Control Entries</t>
  </si>
  <si>
    <t>CALCULATED_FIELDS</t>
  </si>
  <si>
    <t>0x00000010L</t>
  </si>
  <si>
    <t>Entity Supports User Defined Calculated Fields</t>
  </si>
  <si>
    <t>USER_VALIDATIONS</t>
  </si>
  <si>
    <t>0x00000020L</t>
  </si>
  <si>
    <t>Entity Supports User Defined Validations</t>
  </si>
  <si>
    <t>HIDDEN</t>
  </si>
  <si>
    <t>Column is not displayed in the UI.</t>
  </si>
  <si>
    <t>READ_ONLY</t>
  </si>
  <si>
    <t>Column is Read-Only.</t>
  </si>
  <si>
    <t>ALLOW_NEGATIVE_DURATION</t>
  </si>
  <si>
    <t>Duration column allows Negative Durations.</t>
  </si>
  <si>
    <t>ALLOW_PERCENT_DURATION</t>
  </si>
  <si>
    <t>Duration Column allows Percentage Durations.</t>
  </si>
  <si>
    <t>ALLOW_NEGATIVE_PERCENT</t>
  </si>
  <si>
    <t>Percentage column allows Negative  Percentage Values.</t>
  </si>
  <si>
    <t>USER_DEFINED_FIELD</t>
  </si>
  <si>
    <t>Column is a User defined Field Column.</t>
  </si>
  <si>
    <t>USER_DEFINED_NOTE_FIELD</t>
  </si>
  <si>
    <t>0x00000040L</t>
  </si>
  <si>
    <t>Column is a User defined Note Field Column.</t>
  </si>
  <si>
    <t>USER_DEFINED_CODE_FIELD</t>
  </si>
  <si>
    <t>0x00000080L</t>
  </si>
  <si>
    <t>Column is a User defined Code Field Column.</t>
  </si>
  <si>
    <t>CALCULATED_FIELD</t>
  </si>
  <si>
    <t>0x00000100L</t>
  </si>
  <si>
    <t>Column is a Calculated Field Column.</t>
  </si>
  <si>
    <t>Found In Mapping?</t>
  </si>
  <si>
    <t>ACCT</t>
  </si>
  <si>
    <t>ACCTDESC</t>
  </si>
  <si>
    <t>INTE</t>
  </si>
  <si>
    <t>APPBE</t>
  </si>
  <si>
    <t>CALCORDER</t>
  </si>
  <si>
    <t>LASTUPDATE</t>
  </si>
  <si>
    <t>USR_ID</t>
  </si>
  <si>
    <t>APPBEDTL</t>
  </si>
  <si>
    <t>SRC_CECODE</t>
  </si>
  <si>
    <t>APPMAPSC</t>
  </si>
  <si>
    <t>SRC_CAWP</t>
  </si>
  <si>
    <t>SRC_CAWPID</t>
  </si>
  <si>
    <t>SRC_PROG</t>
  </si>
  <si>
    <t>TRG_CAWPID</t>
  </si>
  <si>
    <t>TRG_PROG</t>
  </si>
  <si>
    <t>APPMAPTG</t>
  </si>
  <si>
    <t>TRG_CAWP</t>
  </si>
  <si>
    <t>BASEDETL</t>
  </si>
  <si>
    <t>DEC</t>
  </si>
  <si>
    <t>FSC_DATE</t>
  </si>
  <si>
    <t>TRANS_UID</t>
  </si>
  <si>
    <t>BASEHIST</t>
  </si>
  <si>
    <t>HIST_DATE</t>
  </si>
  <si>
    <t>BASELINE</t>
  </si>
  <si>
    <t>BASE_DATE</t>
  </si>
  <si>
    <t>BBLCOMMENT</t>
  </si>
  <si>
    <t>REFNO</t>
  </si>
  <si>
    <t>BASELOG</t>
  </si>
  <si>
    <t>BBL_DATE</t>
  </si>
  <si>
    <t>CCN</t>
  </si>
  <si>
    <t>CLIN</t>
  </si>
  <si>
    <t>LOGCOMMENT</t>
  </si>
  <si>
    <t>SIG</t>
  </si>
  <si>
    <t>STATUSDATE</t>
  </si>
  <si>
    <t>TSTAMP</t>
  </si>
  <si>
    <t>DESCRIP</t>
  </si>
  <si>
    <t>BDNDETL</t>
  </si>
  <si>
    <t>BDN_LEVEL</t>
  </si>
  <si>
    <t>CODEDESC</t>
  </si>
  <si>
    <t>NUMCHILD</t>
  </si>
  <si>
    <t>PARENT</t>
  </si>
  <si>
    <t>TH_CAF_TL</t>
  </si>
  <si>
    <t>TH_CAU_TL</t>
  </si>
  <si>
    <t>TH_CCF_TL</t>
  </si>
  <si>
    <t>TH_CCU_TL</t>
  </si>
  <si>
    <t>TH_CPF_TL</t>
  </si>
  <si>
    <t>TH_CPU_TL</t>
  </si>
  <si>
    <t>TH_SCF_TL</t>
  </si>
  <si>
    <t>TH_SCU_TL</t>
  </si>
  <si>
    <t>TH_SPF_TL</t>
  </si>
  <si>
    <t>TH_SPU_TL</t>
  </si>
  <si>
    <t>BREAKDWN</t>
  </si>
  <si>
    <t>BREAK_TYPE</t>
  </si>
  <si>
    <t>CALC</t>
  </si>
  <si>
    <t>CALCDESC</t>
  </si>
  <si>
    <t>CE_LEVEL</t>
  </si>
  <si>
    <t>CEDESC</t>
  </si>
  <si>
    <t>CALCDETL</t>
  </si>
  <si>
    <t>ALIAS</t>
  </si>
  <si>
    <t>CURRNCY</t>
  </si>
  <si>
    <t>SORT_CODE</t>
  </si>
  <si>
    <t>CALCEXPR</t>
  </si>
  <si>
    <t>CALCEXPR_ID</t>
  </si>
  <si>
    <t>CALCEXPR_UID</t>
  </si>
  <si>
    <t>FLAGS</t>
  </si>
  <si>
    <t>CALCFLDS</t>
  </si>
  <si>
    <t>CALCFIELD</t>
  </si>
  <si>
    <t>EXPR</t>
  </si>
  <si>
    <t>CALCRESULT</t>
  </si>
  <si>
    <t>AFD</t>
  </si>
  <si>
    <t>ASD</t>
  </si>
  <si>
    <t>EFD</t>
  </si>
  <si>
    <t>ESD</t>
  </si>
  <si>
    <t>LFD</t>
  </si>
  <si>
    <t>LSD</t>
  </si>
  <si>
    <t>MANAGER</t>
  </si>
  <si>
    <t>PFD</t>
  </si>
  <si>
    <t>PSD</t>
  </si>
  <si>
    <t>SFD</t>
  </si>
  <si>
    <t>SSD</t>
  </si>
  <si>
    <t>CLASSES</t>
  </si>
  <si>
    <t>BUDDATESET</t>
  </si>
  <si>
    <t>CLASSDESC</t>
  </si>
  <si>
    <t>CLASSLVL</t>
  </si>
  <si>
    <t>CLASSTYPE</t>
  </si>
  <si>
    <t>FACTA</t>
  </si>
  <si>
    <t>FACTB</t>
  </si>
  <si>
    <t>FC_TYPE</t>
  </si>
  <si>
    <t>FORWRDONLY</t>
  </si>
  <si>
    <t>PF_BDN</t>
  </si>
  <si>
    <t>PF_LEVEL</t>
  </si>
  <si>
    <t>PLUSMINUS</t>
  </si>
  <si>
    <t>CLASSESLINK</t>
  </si>
  <si>
    <t>COB_CAT</t>
  </si>
  <si>
    <t>CAT_ID</t>
  </si>
  <si>
    <t>ROW_ID</t>
  </si>
  <si>
    <t>COB_NTX</t>
  </si>
  <si>
    <t>CAT_UID</t>
  </si>
  <si>
    <t>FK_ID</t>
  </si>
  <si>
    <t>FK_ID_CHAR</t>
  </si>
  <si>
    <t>NOTE_TEXT</t>
  </si>
  <si>
    <t>CODEFIELD</t>
  </si>
  <si>
    <t>CODEFILE</t>
  </si>
  <si>
    <t>CODELEVEL</t>
  </si>
  <si>
    <t>CODEPROMPT</t>
  </si>
  <si>
    <t>CODEVALID</t>
  </si>
  <si>
    <t>FIELDID</t>
  </si>
  <si>
    <t>CONFIG</t>
  </si>
  <si>
    <t>CONFIG_ID</t>
  </si>
  <si>
    <t>CONFIG_TYPE</t>
  </si>
  <si>
    <t>CONFIG_UID</t>
  </si>
  <si>
    <t>COSTELEM</t>
  </si>
  <si>
    <t>FC_PC</t>
  </si>
  <si>
    <t>COSTREP</t>
  </si>
  <si>
    <t>COSTDESC</t>
  </si>
  <si>
    <t>COSTREPCLASS</t>
  </si>
  <si>
    <t>ENUMS</t>
  </si>
  <si>
    <t>ID</t>
  </si>
  <si>
    <t>FILTER</t>
  </si>
  <si>
    <t>FISCAL</t>
  </si>
  <si>
    <t>FISCDETL</t>
  </si>
  <si>
    <t>FLAG00</t>
  </si>
  <si>
    <t>FISCHOL</t>
  </si>
  <si>
    <t>HOLIDAY</t>
  </si>
  <si>
    <t>MILESTN</t>
  </si>
  <si>
    <t>MULTPROG</t>
  </si>
  <si>
    <t>NARRTEXT</t>
  </si>
  <si>
    <t>KEY_TYPE</t>
  </si>
  <si>
    <t>NARR_TEXT</t>
  </si>
  <si>
    <t>C_RIGHT</t>
  </si>
  <si>
    <t>C_SYMBOL</t>
  </si>
  <si>
    <t>CCN_VAL</t>
  </si>
  <si>
    <t>CLASSFCN</t>
  </si>
  <si>
    <t>EVMS_ACC</t>
  </si>
  <si>
    <t>EVMS_ADATE</t>
  </si>
  <si>
    <t>LOG</t>
  </si>
  <si>
    <t>MGRVALID</t>
  </si>
  <si>
    <t>RATEDESC</t>
  </si>
  <si>
    <t>RTDESC</t>
  </si>
  <si>
    <t>RATEDETL</t>
  </si>
  <si>
    <t>REPORT</t>
  </si>
  <si>
    <t>CATEGORY</t>
  </si>
  <si>
    <t>INFO</t>
  </si>
  <si>
    <t>PARAMETERS</t>
  </si>
  <si>
    <t>REPORT_TYPE</t>
  </si>
  <si>
    <t>REPORT_UID</t>
  </si>
  <si>
    <t>SAVED_REPORT</t>
  </si>
  <si>
    <t>RESTORE_RESULTS</t>
  </si>
  <si>
    <t>SETTING</t>
  </si>
  <si>
    <t>SORT</t>
  </si>
  <si>
    <t>SPREAD</t>
  </si>
  <si>
    <t>TPHASE</t>
  </si>
  <si>
    <t>DF_DATE</t>
  </si>
  <si>
    <t>USERTBLS</t>
  </si>
  <si>
    <t>KEYFIELD</t>
  </si>
  <si>
    <t>TABLENAME</t>
  </si>
  <si>
    <t>WST_ACL</t>
  </si>
  <si>
    <t>ACL</t>
  </si>
  <si>
    <t>ACL_UID</t>
  </si>
  <si>
    <t>ROL_ID</t>
  </si>
  <si>
    <t>WST_CDR</t>
  </si>
  <si>
    <t>CDR</t>
  </si>
  <si>
    <t>CDR_ID</t>
  </si>
  <si>
    <t>HIER</t>
  </si>
  <si>
    <t>CDR_UID</t>
  </si>
  <si>
    <t>COD</t>
  </si>
  <si>
    <t>INTEGRATION_ID</t>
  </si>
  <si>
    <t>POSITION_NUM</t>
  </si>
  <si>
    <t>SUPPRESS</t>
  </si>
  <si>
    <t>WST_CFG</t>
  </si>
  <si>
    <t>CFG</t>
  </si>
  <si>
    <t>CFG_ID</t>
  </si>
  <si>
    <t>CFG_TYPE</t>
  </si>
  <si>
    <t>CFG_UID</t>
  </si>
  <si>
    <t>WST_COD</t>
  </si>
  <si>
    <t>PROMPT_TEXT</t>
  </si>
  <si>
    <t>STARTVIEW</t>
  </si>
  <si>
    <t>WST_DIR</t>
  </si>
  <si>
    <t>DIR</t>
  </si>
  <si>
    <t>OPENMODE</t>
  </si>
  <si>
    <t>WST_GRP</t>
  </si>
  <si>
    <t>GRP</t>
  </si>
  <si>
    <t>LCK</t>
  </si>
  <si>
    <t>WST_NTX</t>
  </si>
  <si>
    <t>NTX</t>
  </si>
  <si>
    <t>FK_UID</t>
  </si>
  <si>
    <t>WST_ROL</t>
  </si>
  <si>
    <t>ROL</t>
  </si>
  <si>
    <t>WST_UDF</t>
  </si>
  <si>
    <t>UDF</t>
  </si>
  <si>
    <t>FIELD_TYPE</t>
  </si>
  <si>
    <t>LOOKUP_FIELD</t>
  </si>
  <si>
    <t>LOOKUP_TABLE_NAME</t>
  </si>
  <si>
    <t>LOOKUP_TABLE_TYPE</t>
  </si>
  <si>
    <t>UDF_UID</t>
  </si>
  <si>
    <t>WST_UDT</t>
  </si>
  <si>
    <t>UDT</t>
  </si>
  <si>
    <t>WST_UDU</t>
  </si>
  <si>
    <t>UDU</t>
  </si>
  <si>
    <t>DURA</t>
  </si>
  <si>
    <t>WST_ULI</t>
  </si>
  <si>
    <t>ULI</t>
  </si>
  <si>
    <t>LICENSEREVOKED</t>
  </si>
  <si>
    <t>LOGINTIME</t>
  </si>
  <si>
    <t>WST_UNM</t>
  </si>
  <si>
    <t>UNM</t>
  </si>
  <si>
    <t>DBLE</t>
  </si>
  <si>
    <t>WST_UPA</t>
  </si>
  <si>
    <t>UPA</t>
  </si>
  <si>
    <t>LICN_UID</t>
  </si>
  <si>
    <t>WST_USG</t>
  </si>
  <si>
    <t>USG</t>
  </si>
  <si>
    <t>USG_UID</t>
  </si>
  <si>
    <t>WST_USR</t>
  </si>
  <si>
    <t>USR</t>
  </si>
  <si>
    <t>ACT_COMPARE</t>
  </si>
  <si>
    <t>ACT_FIELD</t>
  </si>
  <si>
    <t>ACT_RULE</t>
  </si>
  <si>
    <t>ACT_VALUE</t>
  </si>
  <si>
    <t>ADDRESS1</t>
  </si>
  <si>
    <t>ADDRESS2</t>
  </si>
  <si>
    <t>ALTMANAGER</t>
  </si>
  <si>
    <t>DEPARTMENT</t>
  </si>
  <si>
    <t>EMAIL</t>
  </si>
  <si>
    <t>FAX</t>
  </si>
  <si>
    <t>FIRST_NAME</t>
  </si>
  <si>
    <t>LAST_NAME</t>
  </si>
  <si>
    <t>LOCATION</t>
  </si>
  <si>
    <t>PASSWD</t>
  </si>
  <si>
    <t>PHONE</t>
  </si>
  <si>
    <t>WST_UTX</t>
  </si>
  <si>
    <t>UTX</t>
  </si>
  <si>
    <t>NARRANALYSIS</t>
  </si>
  <si>
    <t>EXPLAN</t>
  </si>
  <si>
    <t>SCORE</t>
  </si>
  <si>
    <t>CREATE TABLE NARRANALYSIS(</t>
  </si>
  <si>
    <t xml:space="preserve">    PROGRAM       NVARCHAR2(22)    NOT NULL,</t>
  </si>
  <si>
    <t xml:space="preserve">    STATUSDATE    DATE             NOT NULL,</t>
  </si>
  <si>
    <t xml:space="preserve">    CAWPID        NUMBER(38, 0)    DEFAULT (0) NOT NULL,</t>
  </si>
  <si>
    <t xml:space="preserve">    CODE          NVARCHAR2(59)    DEFAULT ('' '') NOT NULL,</t>
  </si>
  <si>
    <t xml:space="preserve">    KEY_TYPE      NVARCHAR2(20)    DEFAULT ('' '') NOT NULL,</t>
  </si>
  <si>
    <t xml:space="preserve">    EXPLAN</t>
  </si>
  <si>
    <t xml:space="preserve">      NCLOB,</t>
  </si>
  <si>
    <t>SCORE         NUMBER(5, 2)     NOT NULL,</t>
  </si>
  <si>
    <t xml:space="preserve">    SEQUENCE      NUMBER(38, 0)    DEFAULT (0) NOT NULL,</t>
  </si>
  <si>
    <t xml:space="preserve">    LASTUPDATE    DATE             NOT NULL,</t>
  </si>
  <si>
    <t xml:space="preserve">    USR_ID        NVARCHAR2(20)    NOT NULL)</t>
  </si>
  <si>
    <t xml:space="preserve">    %TABLETABLESPACE%'</t>
  </si>
  <si>
    <t>Old Table Name</t>
  </si>
  <si>
    <t>New Table Name</t>
  </si>
  <si>
    <t>Migrate</t>
  </si>
  <si>
    <t>Comment</t>
  </si>
  <si>
    <t>VIEW - Creates view with OLD table name</t>
  </si>
  <si>
    <t>Legend</t>
  </si>
  <si>
    <t>Hybridization</t>
  </si>
  <si>
    <t>[ NONE ]</t>
  </si>
  <si>
    <t>Obsolete</t>
  </si>
  <si>
    <t>[ NONE ] = Table not created in Cobra Web.</t>
  </si>
  <si>
    <t>[ FUTURE ]</t>
  </si>
  <si>
    <t>Apportionment not planned for Cobra Web 1.0</t>
  </si>
  <si>
    <t>[ FUTURE ] = Table not needed for Cobra Web 1.0.</t>
  </si>
  <si>
    <t>Not Required</t>
  </si>
  <si>
    <t>[ TBD ] = We expect we'll need a table but have not yet determined what the table is or where the data might live</t>
  </si>
  <si>
    <t>This table holds the time phased detail that corresponds to a change logged in the Project_Audit_Log table</t>
  </si>
  <si>
    <t>This table represents the end of period snapshot of totals for Control Accounts and Work Packages only. Note: I think this table might eventually go away and instead we'll take a snapshot of the materialized view of totals at period end, which might end up in different tables. For now, however, we will still convert this table</t>
  </si>
  <si>
    <t>When a project's status date is advanced to the next period, we take a snapshot of the Project Account totals for the current period and store them in this table.</t>
  </si>
  <si>
    <t>Note 1: I think there was a situation where we got an entry added to this table other than when advancing the project status. Stewart will remember.</t>
  </si>
  <si>
    <t>Replaced by Reporting service</t>
  </si>
  <si>
    <t>TBD</t>
  </si>
  <si>
    <t>No</t>
  </si>
  <si>
    <t>This stores UI column expressions. These will change for the Web product.</t>
  </si>
  <si>
    <t>Change Requests not planned for Cobra Web 1.0</t>
  </si>
  <si>
    <t>Yes</t>
  </si>
  <si>
    <t>Class Ranges not planned for Cobra Web 1.0 per Jamie/Kathy email 13Mar2025. Feature not required by migrating table so we can migrate the process code without having to change logic.</t>
  </si>
  <si>
    <t>Connection details for 3rd party service integration. We need to have a discussion about integration strategy.</t>
  </si>
  <si>
    <t>Migrate as is initially.</t>
  </si>
  <si>
    <t>Obsolete.</t>
  </si>
  <si>
    <t>To be determined how we link CAWP to Schedule Tasks.</t>
  </si>
  <si>
    <t>This will be replaced by the new user note table</t>
  </si>
  <si>
    <t>Migrate as is initially. Will be replaced ultimately by Apollo or other logging service, but initially process logs will go to these tables.</t>
  </si>
  <si>
    <t>Obsolete.  Shared directory columns are now included in the relevant File tables.</t>
  </si>
  <si>
    <t>Obsolete. Groups are now part of UAM.</t>
  </si>
  <si>
    <t>File / Record Locks.</t>
  </si>
  <si>
    <t>Stores Note Text Values for fields defined in the USER_FIELD_DEFINITION table.</t>
  </si>
  <si>
    <t>Obsolete. Roles are now part of UAM.</t>
  </si>
  <si>
    <t>User Defined Field Definitions</t>
  </si>
  <si>
    <t>User Defined Date Field Values are now stored in the USER_FIELD_VALUE table.</t>
  </si>
  <si>
    <t>We are not using duration fields in Cobra</t>
  </si>
  <si>
    <t>Managed by service/session/UAM.</t>
  </si>
  <si>
    <t>User Defined Numeric Field Values are now stored in the USER_FIELD_VALUE table.</t>
  </si>
  <si>
    <t>User Product Mapping. Obsolete?  Is this now UAM functionality?</t>
  </si>
  <si>
    <t>WST_UPD</t>
  </si>
  <si>
    <t>Obsolete.  We no longer have default values for User Preferences.</t>
  </si>
  <si>
    <t>Obsolete. User Group Assignments are now part of UAM.</t>
  </si>
  <si>
    <t>Obsolete. Users  are now part of UAM.</t>
  </si>
  <si>
    <t>User Defined Text Field Values are now stored in the USER_FIELD_VALUE table.</t>
  </si>
  <si>
    <t>Domain</t>
  </si>
  <si>
    <t>Old Column Name</t>
  </si>
  <si>
    <t>New Column Name</t>
  </si>
  <si>
    <t>Comments</t>
  </si>
  <si>
    <t>New Table.Column</t>
  </si>
  <si>
    <t>Add Old Column to New Table?</t>
  </si>
  <si>
    <t>Add Column Name</t>
  </si>
  <si>
    <t>New Table.Old Column</t>
  </si>
  <si>
    <t>Tag no longer supported</t>
  </si>
  <si>
    <t>y</t>
  </si>
  <si>
    <t>NUM_CHILD</t>
  </si>
  <si>
    <t>Moved to USER_CODE_VALUE</t>
  </si>
  <si>
    <t>GrandParent key Code File Identifieer is no longer included on the CODE_THRESHOLD record.</t>
  </si>
  <si>
    <t>BREAKTYPE</t>
  </si>
  <si>
    <t>Fixed-format Codes no longer supported.</t>
  </si>
  <si>
    <t>Pad Character no longer supported since Fixed Format is not supported. Punctuated Codes will always use a period.</t>
  </si>
  <si>
    <t>CODE_FILE.TH_FLAGS</t>
  </si>
  <si>
    <t>1:1 Relationship with the CODE table.  Uses UID of the CODE table record.</t>
  </si>
  <si>
    <t>From WST_DIR</t>
  </si>
  <si>
    <t>FiscalCalendars</t>
  </si>
  <si>
    <t>Separated into individual Hours fields for each day.</t>
  </si>
  <si>
    <t>Calendar Set Descriptions are now stored rotated.</t>
  </si>
  <si>
    <t>FISC_DATE</t>
  </si>
  <si>
    <t>Rotated and stored in the FISCAL_SET_LABEL table.</t>
  </si>
  <si>
    <t>GrandParent key Fiscal Calendar File is no longer included on the FISCAL_CALENDAR_SET_LABEL record.</t>
  </si>
  <si>
    <t>Calendar Set Names are system generated and are now stored rotated.</t>
  </si>
  <si>
    <t>Holds the user entered value when the Label Format is 'Custom'</t>
  </si>
  <si>
    <t>PPM</t>
  </si>
  <si>
    <t xml:space="preserve">Name </t>
  </si>
  <si>
    <t>Configuration Type</t>
  </si>
  <si>
    <t xml:space="preserve">Owner. </t>
  </si>
  <si>
    <t>Description</t>
  </si>
  <si>
    <t>Data</t>
  </si>
  <si>
    <t>User</t>
  </si>
  <si>
    <t>Sequence</t>
  </si>
  <si>
    <t>Last Update</t>
  </si>
  <si>
    <t>OWNER_UID</t>
  </si>
  <si>
    <t>User that the setting belongs to,  blank if it is a shared setting.</t>
  </si>
  <si>
    <t>PPM Shared</t>
  </si>
  <si>
    <t>Entity Type the user defined field is defined for.</t>
  </si>
  <si>
    <t>Field name for the user defined field.</t>
  </si>
  <si>
    <t xml:space="preserve">COB_CAT </t>
  </si>
  <si>
    <t>Code File identifier for User defined Code Fields.</t>
  </si>
  <si>
    <t>CODE_PROMPT</t>
  </si>
  <si>
    <t>Obsolete. Field Name now served this purpose.</t>
  </si>
  <si>
    <t>CODE_VALID</t>
  </si>
  <si>
    <t>OPP_CRA</t>
  </si>
  <si>
    <t>GROUP_ID</t>
  </si>
  <si>
    <t>ROLE_ID</t>
  </si>
  <si>
    <t>1: 1 Relationship with the entities that use field values are associated with.</t>
  </si>
  <si>
    <t>1: 0..N Relationship with the entities that use note  values are associated with.</t>
  </si>
  <si>
    <t>WST_SCA</t>
  </si>
  <si>
    <t>File identified for File level user defined fields.</t>
  </si>
  <si>
    <t xml:space="preserve">Obsolete. </t>
  </si>
  <si>
    <t xml:space="preserve">Field names and field values are stored as JSON </t>
  </si>
  <si>
    <t>This represents the time phased period date</t>
  </si>
  <si>
    <t>This is always a pre-defined comment that is automatically added which says 'END OF PERIOD &lt;date&gt;'. See Note 1 above, there was a situation where the comment was associated with a log change but I am not sure that still exists. Stewart will know</t>
  </si>
  <si>
    <t>These 3 separate columns are now represented by ProjectControlAccountName</t>
  </si>
  <si>
    <t>In Cobra Desktop BBL_DATE and TSTAMP were always represented the date the entry was created, but TSTAMP also included time. Therefore BBL_DATE can be removed and the created_date can be used.</t>
  </si>
  <si>
    <t>Obsolete. CAWP now has a single column primary key.</t>
  </si>
  <si>
    <t>Obsolete. Work Packages are now in the PROJECT_WORK_PACKAGE table.</t>
  </si>
  <si>
    <t>PROJECT_CAWP_TOTALS</t>
  </si>
  <si>
    <t>Moved to PROJECT_CAWP_TOTALS</t>
  </si>
  <si>
    <t>Removed, will now be calculated propertuy named STATUS</t>
  </si>
  <si>
    <t>Removed. Not needed on Control Account Table</t>
  </si>
  <si>
    <t>Code Assignment Values are now in USER_CODE_VALUE</t>
  </si>
  <si>
    <t>Code Text Values are now in USER_FIELD_VALUE</t>
  </si>
  <si>
    <t xml:space="preserve">USER_DTE01 </t>
  </si>
  <si>
    <t>Obsolete. Used for MPM Migration.</t>
  </si>
  <si>
    <t>GrandParent key Project Identifieer is no longer included on the PROJECT_WORK_PACKJAGE record.</t>
  </si>
  <si>
    <t>ROWUID</t>
  </si>
  <si>
    <t>Removed. Per Ruthanne, Handling differently in Cobra Web</t>
  </si>
  <si>
    <t>Unused in Cobra Desktop as far as could be determined with Claude.</t>
  </si>
  <si>
    <t>Removed. Coded Ranges are not supported in Cobra Web v1.0</t>
  </si>
  <si>
    <t>Per Ruthanne, Now using single DATE_SET field for Budget Date Set and Forecast Date Set</t>
  </si>
  <si>
    <t>FORWARDONLY</t>
  </si>
  <si>
    <t>GrandParent key 'Project' Identifieer is no longer included on the PROJECT_COST_CLASS_LINK  record.</t>
  </si>
  <si>
    <t>GrandParent key 'Project' Identifieer is no longer included on the PROJECT_COST_ELEMENT  record.</t>
  </si>
  <si>
    <t>COST_CLASS_UID</t>
  </si>
  <si>
    <t>GrandParent key 'Project' Identifieer is no longer included on the PROJECT_COST_SET_CLASS  record.</t>
  </si>
  <si>
    <t>Obsolete? Not Documented</t>
  </si>
  <si>
    <t>Supported in V1?</t>
  </si>
  <si>
    <t>Project File Name</t>
  </si>
  <si>
    <t>Period End Date</t>
  </si>
  <si>
    <t>Period Start Date</t>
  </si>
  <si>
    <t>Fiscal Calendar File</t>
  </si>
  <si>
    <t>Resource File</t>
  </si>
  <si>
    <t>Obsolete. Marked as No longer used in the documentation</t>
  </si>
  <si>
    <t>Obsolete? Transaction Number</t>
  </si>
  <si>
    <t>Spread Weight Method</t>
  </si>
  <si>
    <t>Moved to the PROJECT_COST_CLASS table as FCAST_PCT_RANGE1_PERCENT</t>
  </si>
  <si>
    <t>Moved to the PROJECT_COST_CLASS table as FCAST_PCT_RANGE2_PERCENT</t>
  </si>
  <si>
    <t>Moved to the PROJECT_COST_CLASS table as FCAST_PCT_RANGE3_PERCENT</t>
  </si>
  <si>
    <t>Moved to the PROJECT_COST_CLASS table as FCAST_PCT_RANGE1_METHOD</t>
  </si>
  <si>
    <t>Moved to the PROJECT_COST_CLASS table as FCAST_PCT_RANGE2_METHOD</t>
  </si>
  <si>
    <t>Moved to the PROJECT_COST_CLASS table as FCAST_PCT_RANGE3_METHOD</t>
  </si>
  <si>
    <t>Moved to the PROJECT_COST_CLASS table as FCAST_PCT_RANGE4_METHOD</t>
  </si>
  <si>
    <t>Scale Caption</t>
  </si>
  <si>
    <t>Baseline Start</t>
  </si>
  <si>
    <t>Baseline Finish</t>
  </si>
  <si>
    <t>Forecast Finish</t>
  </si>
  <si>
    <t>Scale Factor</t>
  </si>
  <si>
    <t xml:space="preserve">Fee Percent. </t>
  </si>
  <si>
    <t>Negotiated Cost</t>
  </si>
  <si>
    <t>Authorized Unpriced Work</t>
  </si>
  <si>
    <t>Original Negotiated Cost</t>
  </si>
  <si>
    <t>Contract Budget Base</t>
  </si>
  <si>
    <t>Fee Percent</t>
  </si>
  <si>
    <t>Management Reserve</t>
  </si>
  <si>
    <t>Undistributed Budget</t>
  </si>
  <si>
    <t>Contract Ceiling</t>
  </si>
  <si>
    <t>Estimated Ceiling</t>
  </si>
  <si>
    <t>Estimated Managetment Reserve</t>
  </si>
  <si>
    <t>Estimated Undistributed Budget</t>
  </si>
  <si>
    <t>Baselined ? (Question mark in documentation)</t>
  </si>
  <si>
    <t>Over Target Baseline Amount</t>
  </si>
  <si>
    <t>Rolling Wave Calendar</t>
  </si>
  <si>
    <t>Is Change Number Code File Used</t>
  </si>
  <si>
    <t>Change Number Code File</t>
  </si>
  <si>
    <t>Is Change Number Code Required</t>
  </si>
  <si>
    <t>Documented as No Longer Used.</t>
  </si>
  <si>
    <t>CAM_CODE_FILE_UID</t>
  </si>
  <si>
    <t>Manager Code File</t>
  </si>
  <si>
    <t>Control Account Manager value is required for a Control Account</t>
  </si>
  <si>
    <t>Classification</t>
  </si>
  <si>
    <t>EVMS Acceptance</t>
  </si>
  <si>
    <t>EVMS Acceptance Date</t>
  </si>
  <si>
    <t>Over Target Baseline Date</t>
  </si>
  <si>
    <t>Best Case Forecast</t>
  </si>
  <si>
    <t>Worst Case Forecast</t>
  </si>
  <si>
    <t>Actual.  Moved to PROJECT_COST_TOTAL table.</t>
  </si>
  <si>
    <t>Actual Hours.  Moved to PROJECT_COST_TOTAL table.</t>
  </si>
  <si>
    <t>Earned.  Moved to PROJECT_COST_TOTAL table.</t>
  </si>
  <si>
    <t>Earned Hours.  Moved to PROJECT_COST_TOTAL table.</t>
  </si>
  <si>
    <t>Budget To Date.  Moved to PROJECT_COST_TOTAL table.</t>
  </si>
  <si>
    <t>Budget Hours To Date.  Moved toPROJECT_COST_TOTAL table.</t>
  </si>
  <si>
    <t>Budget.  Moved to PROJECT_COST_TOTAL table.</t>
  </si>
  <si>
    <t>Budget Hours.  Moved to PROJECT_COST_TOTAL table.</t>
  </si>
  <si>
    <t>Forecast.  Moved to PROJECT_COST_TOTAL table.</t>
  </si>
  <si>
    <t>Forecast Hours.  Moved to PROJECT_COST_TOTAL table.</t>
  </si>
  <si>
    <t>Complete</t>
  </si>
  <si>
    <t>Definite</t>
  </si>
  <si>
    <t>Currency Symbol</t>
  </si>
  <si>
    <t>Currency Symbol on Right ?  (Question mark in documentation)</t>
  </si>
  <si>
    <t>Obsolete. Master Project Flag</t>
  </si>
  <si>
    <t>Not Needed for 1.0. Reevaluate when PMC comes in.)</t>
  </si>
  <si>
    <t>Internal Concurrency Control ID.</t>
  </si>
  <si>
    <t>Date of Last Update</t>
  </si>
  <si>
    <t>User that perfromed last update.</t>
  </si>
  <si>
    <t>CONT_REPEMAIL </t>
  </si>
  <si>
    <t>CONT_STATEMENT </t>
  </si>
  <si>
    <t>CONT_TASK </t>
  </si>
  <si>
    <t>CONT_PROGTYPE </t>
  </si>
  <si>
    <t>CONT_TYPE </t>
  </si>
  <si>
    <t>The CA level code that contains the CLIN code field</t>
  </si>
  <si>
    <t>OTB_MR </t>
  </si>
  <si>
    <t>The OTB MR adjustment totals</t>
  </si>
  <si>
    <t>Actual.</t>
  </si>
  <si>
    <t>Actual Hours.</t>
  </si>
  <si>
    <t>Earned Hours.</t>
  </si>
  <si>
    <t>Budget Hours To Date.</t>
  </si>
  <si>
    <t>Budget.</t>
  </si>
  <si>
    <t>Budget Hours.</t>
  </si>
  <si>
    <t>Forecast.</t>
  </si>
  <si>
    <t>No longer stored.  Accessed via join to PROJECT_CAWP_RESOURCE using  PROJECT_CAWP_RESOURCE_UID</t>
  </si>
  <si>
    <t>No longer stored.  Accessed via join to  PROJECT_CAWP_RESOURCE using  PROJECT_CAWP_RESOURCE_UID</t>
  </si>
  <si>
    <t>Now stored in mapped RESULT columns.</t>
  </si>
  <si>
    <t>1:1 Relationship with the PROJECT_CAWP table. Uses UID of the PROJECT_CAWP table record.</t>
  </si>
  <si>
    <t>Moved from the PROGRAM table (PERCENT1)</t>
  </si>
  <si>
    <t>Moved from the PROGRAM table (PERCENT2)</t>
  </si>
  <si>
    <t>Moved from the PROGRAM table (PERCENT3)</t>
  </si>
  <si>
    <t>Moved from the PROGRAM table (FC_TYPE1)</t>
  </si>
  <si>
    <t>Moved from the PROGRAM table (FC_TYPE2)</t>
  </si>
  <si>
    <t>Moved from the PROGRAM table (FC_TYPE3)</t>
  </si>
  <si>
    <t>Moved from the PROGRAM table (FC_TYPE4)</t>
  </si>
  <si>
    <t xml:space="preserve">These will not be used and will delete in future </t>
  </si>
  <si>
    <t>These will not be used and will delete in future</t>
  </si>
  <si>
    <t>PROGRAM_UID</t>
  </si>
  <si>
    <t>CONTRACT_UID</t>
  </si>
  <si>
    <t>OBS_REQUIRED</t>
  </si>
  <si>
    <t>WBS_REQUIRED</t>
  </si>
  <si>
    <t>Actual Current Period</t>
  </si>
  <si>
    <t>Earned Current Period</t>
  </si>
  <si>
    <t>Budget Current Period</t>
  </si>
  <si>
    <t>Actual Hours Current Period</t>
  </si>
  <si>
    <t>Earned Hours Current Period</t>
  </si>
  <si>
    <t>Budget Hours Current Period</t>
  </si>
  <si>
    <t>Note: We do allow a log coomment to be edited on an existing log entry so the Last Modified and Sequence fields are applicable.</t>
  </si>
  <si>
    <t>References to PROJECT_AUDIT_LOG table</t>
  </si>
  <si>
    <t>User that performed last update.</t>
  </si>
  <si>
    <t>Rate Set</t>
  </si>
  <si>
    <t>Code Assignment Values are now in USER_CODE_VALUE. Does this use an 'Enterprise' code file or a user text field?</t>
  </si>
  <si>
    <t>GrandParent key Rate File identifieer is no longer included on the RATE record.</t>
  </si>
  <si>
    <t>RateEffective Date</t>
  </si>
  <si>
    <t>Rate Value</t>
  </si>
  <si>
    <t>Rate File Unique Identifier</t>
  </si>
  <si>
    <t>Rate Set Unique Identifier</t>
  </si>
  <si>
    <t>Rate Unique Identifier</t>
  </si>
  <si>
    <t>Thresholds removed from Resources.</t>
  </si>
  <si>
    <t>This column is not available in legacy table but it there is web schema so I added back</t>
  </si>
  <si>
    <t>GrandParent key Resource File Identifieer is no longer included on theRESOURCE_COST_CALCULATION record.</t>
  </si>
  <si>
    <t>SOURCE1 - SOURCE 10</t>
  </si>
  <si>
    <t>Order. Not used as far as I could tell, Names are always displayed alphabetically.</t>
  </si>
  <si>
    <t>Discrete Points fields are now stored in POINT_VALUES as JSON.</t>
  </si>
  <si>
    <t>CODE_NUMBER</t>
  </si>
  <si>
    <t>Obsolete. (Numeric Duplicate of  SCA_ID)</t>
  </si>
  <si>
    <t>SCOPE</t>
  </si>
  <si>
    <t>Idenfiy whether the field is enterprise or local</t>
  </si>
  <si>
    <t>scope</t>
  </si>
  <si>
    <t>The User that created the User Field Value.</t>
  </si>
  <si>
    <t>Date the User Field Value was created.</t>
  </si>
  <si>
    <t>The User that last changed the User Field Value.</t>
  </si>
  <si>
    <t>Date the last change was made to the User Field Value.</t>
  </si>
  <si>
    <t>Project Work Package Milestone forcast finish date.</t>
  </si>
  <si>
    <t>Element of Cost (null, L : Labor, M : Material, O:  ODC, S : Subcontract)</t>
  </si>
  <si>
    <t>PROJECT_CONTROL_ACCOUNT_TOTAL</t>
  </si>
  <si>
    <t>PROJECT_WORK_PACKAGE_TOTAL</t>
  </si>
  <si>
    <t>Unique Control Account Identifier</t>
  </si>
  <si>
    <t>Unique Work Package Identifier</t>
  </si>
  <si>
    <t>Unique CAWP Identifier. THIS TABLE IS DEPRECATED</t>
  </si>
  <si>
    <t>xyz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</si>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</sst>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 Unicode MS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rial"/>
      <family val="2"/>
    </font>
    <font>
      <strike/>
      <sz val="11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theme="8" tint="0.39997558519241921"/>
      <name val="Arial"/>
      <family val="2"/>
    </font>
    <font>
      <sz val="11"/>
      <color theme="8" tint="0.39997558519241921"/>
      <name val="Aptos Narrow"/>
      <family val="2"/>
      <scheme val="minor"/>
    </font>
    <font>
      <sz val="11"/>
      <color theme="8" tint="0.39997558519241921"/>
      <name val="Aptos"/>
      <family val="2"/>
    </font>
    <font>
      <sz val="11"/>
      <color theme="8" tint="0.39997558519241921"/>
      <name val="Aptos"/>
    </font>
    <font>
      <sz val="11"/>
      <color theme="8" tint="0.3999755851924192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  <xf numFmtId="20" fontId="0" fillId="0" borderId="0" xfId="0" applyNumberFormat="1"/>
    <xf numFmtId="0" fontId="0" fillId="4" borderId="0" xfId="0" applyFill="1"/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" fillId="5" borderId="0" xfId="0" applyFont="1" applyFill="1"/>
    <xf numFmtId="20" fontId="0" fillId="0" borderId="0" xfId="0" quotePrefix="1" applyNumberFormat="1"/>
    <xf numFmtId="0" fontId="0" fillId="6" borderId="0" xfId="0" applyFill="1"/>
    <xf numFmtId="0" fontId="6" fillId="0" borderId="0" xfId="0" applyFont="1"/>
    <xf numFmtId="0" fontId="0" fillId="7" borderId="0" xfId="0" applyFill="1"/>
    <xf numFmtId="0" fontId="7" fillId="0" borderId="0" xfId="0" applyFont="1"/>
    <xf numFmtId="0" fontId="8" fillId="0" borderId="0" xfId="0" applyFont="1"/>
    <xf numFmtId="0" fontId="0" fillId="8" borderId="0" xfId="0" applyFill="1"/>
    <xf numFmtId="0" fontId="9" fillId="0" borderId="0" xfId="0" applyFont="1"/>
    <xf numFmtId="0" fontId="7" fillId="0" borderId="0" xfId="0" applyFont="1" applyAlignment="1">
      <alignment wrapText="1"/>
    </xf>
    <xf numFmtId="0" fontId="10" fillId="0" borderId="0" xfId="0" applyFont="1"/>
    <xf numFmtId="0" fontId="7" fillId="6" borderId="0" xfId="0" applyFont="1" applyFill="1"/>
    <xf numFmtId="0" fontId="7" fillId="8" borderId="0" xfId="0" applyFont="1" applyFill="1"/>
    <xf numFmtId="0" fontId="7" fillId="4" borderId="0" xfId="0" applyFont="1" applyFill="1"/>
    <xf numFmtId="0" fontId="7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11" fillId="0" borderId="0" xfId="0" applyFont="1"/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0" fontId="12" fillId="6" borderId="0" xfId="0" applyFont="1" applyFill="1"/>
    <xf numFmtId="0" fontId="7" fillId="6" borderId="0" xfId="0" applyFont="1" applyFill="1" applyAlignment="1">
      <alignment horizontal="center" wrapText="1"/>
    </xf>
    <xf numFmtId="0" fontId="13" fillId="9" borderId="0" xfId="0" applyFont="1" applyFill="1"/>
    <xf numFmtId="0" fontId="13" fillId="10" borderId="0" xfId="0" applyFont="1" applyFill="1"/>
    <xf numFmtId="0" fontId="13" fillId="0" borderId="0" xfId="0" applyFont="1"/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7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1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3C147-3C19-484F-BAEB-8A5B547BF93B}" name="Table6" displayName="Table6" ref="A1:AB1439" totalsRowShown="0" headerRowDxfId="122">
  <autoFilter ref="A1:AB1439" xr:uid="{D663C147-3C19-484F-BAEB-8A5B547BF93B}">
    <filterColumn colId="1">
      <filters>
        <filter val="PROJECT_CAWP_TOTAL"/>
      </filters>
    </filterColumn>
  </autoFilter>
  <tableColumns count="28">
    <tableColumn id="1" xr3:uid="{CF305A62-B274-4B04-B994-91D0309446F5}" name="DOMAIN" dataDxfId="121"/>
    <tableColumn id="2" xr3:uid="{59C45EEB-6A7A-4FCB-9A5F-4282D8FEF0C4}" name="TABLE_NAME" dataDxfId="120"/>
    <tableColumn id="3" xr3:uid="{C4BBCB5B-824A-4F6D-90AD-346DE07A7355}" name="COLUMN_NAME" dataDxfId="119"/>
    <tableColumn id="4" xr3:uid="{DC23CC17-CE59-48F2-81DB-1D36D244C6A2}" name="COLUMN_ORDER" dataDxfId="118"/>
    <tableColumn id="5" xr3:uid="{10627F70-D3D6-47EA-80C7-425E68ED8B4D}" name="DATA_TYPE" dataDxfId="117"/>
    <tableColumn id="6" xr3:uid="{AC44D592-7AEF-4FD5-8532-EF799E531919}" name="SQL_DATA_TYPE" dataDxfId="116"/>
    <tableColumn id="7" xr3:uid="{4FFEDAD7-A852-43DB-BA5E-35425B6A4883}" name="DATA_LENGTH" dataDxfId="115"/>
    <tableColumn id="8" xr3:uid="{8F389407-ED37-4676-95EF-02F16E28D181}" name="SCALE" dataDxfId="114"/>
    <tableColumn id="9" xr3:uid="{EA9129F5-97CB-4E92-B7E1-15430B57A8AC}" name="NOT_NULL" dataDxfId="113"/>
    <tableColumn id="10" xr3:uid="{8B51A569-8CBA-4DB4-8B5A-72E83D76BCFF}" name="DEFAULT" dataDxfId="112"/>
    <tableColumn id="11" xr3:uid="{32AF623C-4D16-4818-B32C-A0AE87F0C82A}" name="PRIMARY_KEY" dataDxfId="111"/>
    <tableColumn id="12" xr3:uid="{29691E87-A173-4A3B-A5E7-E1E4642BC540}" name="NATURAL_KEY" dataDxfId="110"/>
    <tableColumn id="13" xr3:uid="{689A9CFA-01D6-49C1-A2BC-52FDDE67672F}" name="FKEY_TABLE" dataDxfId="109"/>
    <tableColumn id="14" xr3:uid="{A3212D94-6932-4EE4-AFE9-3B4E0DC4E986}" name="FKEY_COLUMN" dataDxfId="108"/>
    <tableColumn id="15" xr3:uid="{5AF4DEF8-9652-4A36-8168-FEA340BA3429}" name="FKEY_CARDINALITY" dataDxfId="107"/>
    <tableColumn id="16" xr3:uid="{C7C295C6-1471-48F2-8322-735462B00F43}" name="DESCRIPTION" dataDxfId="106"/>
    <tableColumn id="17" xr3:uid="{E8E20880-6CE2-4BC1-9BEF-CEFEF1323082}" name="JAVA_PROPERTY_NAME" dataDxfId="105"/>
    <tableColumn id="18" xr3:uid="{D99AED69-09F0-4382-93B6-7DB383173DD7}" name="JAVA_DATA_TYPE" dataDxfId="104"/>
    <tableColumn id="19" xr3:uid="{FAACD4EA-DAAA-4EA7-AFBA-6BBE5530E107}" name="COLUMN_FLAGS" dataDxfId="103"/>
    <tableColumn id="20" xr3:uid="{5DDFD45D-1037-4D1B-8CA0-27A9BEEA281F}" name="TABLE_DESCRIPTION"/>
    <tableColumn id="21" xr3:uid="{9BF7B55E-4041-4E63-AC57-24C82B21C895}" name="TABLE_FLAGS"/>
    <tableColumn id="22" xr3:uid="{FCAC7586-EF98-4896-B3EF-C5F914474DA4}" name="COMMENTS"/>
    <tableColumn id="23" xr3:uid="{1FED0DFF-0DC9-47E8-99C7-6F02ED36E8A2}" name="Table.Column">
      <calculatedColumnFormula>_xlfn.CONCAT(B2,".",C2)</calculatedColumnFormula>
    </tableColumn>
    <tableColumn id="24" xr3:uid="{AA0B5192-CAE9-457C-B616-6A6F7E6E9160}" name="Found in Mapping?">
      <calculatedColumnFormula>VLOOKUP(W2,ColumnMapping[New Table.Column],1,)</calculatedColumnFormula>
    </tableColumn>
    <tableColumn id="25" xr3:uid="{A3278E19-E911-4738-85F7-0D029AB24C98}" name="Old Table.Column" dataDxfId="102">
      <calculatedColumnFormula>_xlfn.XLOOKUP(Table6[[#This Row],[Table.Column]],ColumnMapping[Add Column Name],ColumnMapping[Old Table.Column],"",0,1)</calculatedColumnFormula>
    </tableColumn>
    <tableColumn id="26" xr3:uid="{EAD9FB20-A947-4A35-A367-F7CFE3398DF8}" name="Old Data Type" dataDxfId="101">
      <calculatedColumnFormula>_xlfn.XLOOKUP(Table6[[#This Row],[Old Table.Column]],Cobra8.6[Table.Column],Cobra8.6[TYPE],"",0,1)</calculatedColumnFormula>
    </tableColumn>
    <tableColumn id="27" xr3:uid="{8BA90139-1764-4511-960A-32AED174A599}" name="Old Data Length" dataDxfId="100">
      <calculatedColumnFormula>_xlfn.XLOOKUP(Table6[[#This Row],[Old Table.Column]],Cobra8.6[Table.Column],Cobra8.6[LENGTH],"",0,1)</calculatedColumnFormula>
    </tableColumn>
    <tableColumn id="28" xr3:uid="{CE6A8648-02C4-458D-9350-328B77036A2B}" name="Migrate from Cobra DeskTop Table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CF7EC-F584-4A8C-91ED-53D9DAEC7FA8}" name="DataTypes2" displayName="DataTypes2" ref="A1:C21" totalsRowShown="0" headerRowDxfId="98">
  <autoFilter ref="A1:C21" xr:uid="{716CF7EC-F584-4A8C-91ED-53D9DAEC7FA8}"/>
  <sortState xmlns:xlrd2="http://schemas.microsoft.com/office/spreadsheetml/2017/richdata2" ref="A2:C21">
    <sortCondition ref="A1:A21"/>
  </sortState>
  <tableColumns count="3">
    <tableColumn id="1" xr3:uid="{EA8295EC-B0BD-4484-B365-C06EC28D212C}" name="Dictionary_Type"/>
    <tableColumn id="2" xr3:uid="{497B9CD7-2168-41D9-8F9D-610E8A597240}" name="Oracle_Data_Type"/>
    <tableColumn id="5" xr3:uid="{0BE17B5A-097E-4CF6-86F5-6145C79A1EDA}" name="Java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933576-1848-4746-B0C6-D92EBE030D71}" name="Cobra8.5" displayName="Cobra8.5" ref="A1:P1078" totalsRowShown="0" headerRowDxfId="97" dataDxfId="96">
  <autoFilter ref="A1:P1078" xr:uid="{DA933576-1848-4746-B0C6-D92EBE030D71}">
    <filterColumn colId="0">
      <filters>
        <filter val="CLASSES"/>
      </filters>
    </filterColumn>
  </autoFilter>
  <tableColumns count="16">
    <tableColumn id="1" xr3:uid="{42288B76-2811-4055-A22F-4C2D3E85B8E9}" name="TABLE_NAME" dataDxfId="95"/>
    <tableColumn id="2" xr3:uid="{2585C216-FB8A-4C86-9B72-7E693F8AD0FE}" name="TABLE_FLAGS" dataDxfId="94"/>
    <tableColumn id="3" xr3:uid="{BE7DE83B-F453-4133-A2CD-D3F69906EA23}" name="TABLE_TYPE" dataDxfId="93"/>
    <tableColumn id="4" xr3:uid="{31479C2B-C165-4D3D-BBAA-59490BE6F0C2}" name="FLD_NAME" dataDxfId="92"/>
    <tableColumn id="5" xr3:uid="{59119030-A75B-45DA-B282-334D39878AD8}" name="TYPE" dataDxfId="91"/>
    <tableColumn id="6" xr3:uid="{D5ECB17D-8107-4224-AC62-DDE1C032F077}" name="LENGTH" dataDxfId="90"/>
    <tableColumn id="7" xr3:uid="{D2492136-E51E-44CA-B0C1-A42CABE56474}" name="SCALE" dataDxfId="89"/>
    <tableColumn id="8" xr3:uid="{03B89876-439C-4D11-BD2F-B273D88F7AC1}" name="COL_FLAGS" dataDxfId="88"/>
    <tableColumn id="9" xr3:uid="{B1B84E3C-A247-4D7B-B3A0-230339DC8E9D}" name="SYS_NAME" dataDxfId="87"/>
    <tableColumn id="10" xr3:uid="{24E0AE15-496C-4177-9700-664CBA1B293E}" name="USR_NAME" dataDxfId="86"/>
    <tableColumn id="11" xr3:uid="{D1D18307-9591-46D9-B1CC-910ED62C5223}" name="STRING_ID" dataDxfId="85"/>
    <tableColumn id="12" xr3:uid="{35568E45-7F61-4B38-8A48-A2705898CC21}" name="FKEY_TABLE" dataDxfId="84"/>
    <tableColumn id="13" xr3:uid="{AC475BA9-8DE6-493C-AB76-B0331441FD06}" name="FKEY_FLD_NAME" dataDxfId="83"/>
    <tableColumn id="14" xr3:uid="{FFD7C7B3-5DB0-4382-A122-236E7B66747E}" name="FKEY_REQUIRED" dataDxfId="82"/>
    <tableColumn id="15" xr3:uid="{9B4D59E5-5BCD-45A0-9D0F-ED8E45CB9363}" name="FKEY_VIRTUAL" dataDxfId="81"/>
    <tableColumn id="16" xr3:uid="{E891D62A-B99D-4DBE-B5B0-280BA023811A}" name="Table.Column" dataDxfId="80">
      <calculatedColumnFormula>_xlfn.CONCAT(A2,".",D2)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3A208-288E-403B-9137-82858078E600}" name="Cobra8.6" displayName="Cobra8.6" ref="A1:P1088" totalsRowShown="0" headerRowDxfId="79" dataDxfId="78">
  <autoFilter ref="A1:P1088" xr:uid="{DA933576-1848-4746-B0C6-D92EBE030D71}">
    <filterColumn colId="0">
      <filters>
        <filter val="COSTELEM"/>
      </filters>
    </filterColumn>
  </autoFilter>
  <tableColumns count="16">
    <tableColumn id="1" xr3:uid="{5311C672-24A3-44B4-BF4C-0379FA65B324}" name="TABLE_NAME" dataDxfId="77"/>
    <tableColumn id="2" xr3:uid="{D69812AF-63A1-41CD-96B4-1266517D7FF7}" name="TABLE_FLAGS" dataDxfId="76"/>
    <tableColumn id="3" xr3:uid="{29B2261E-C0A7-474B-9C88-45DAF74E78CE}" name="TABLE_TYPE" dataDxfId="75"/>
    <tableColumn id="4" xr3:uid="{CF64FE13-6830-4955-9193-292CAD6F9267}" name="FLD_NAME" dataDxfId="74"/>
    <tableColumn id="5" xr3:uid="{26074E19-7228-4991-A29E-1506CC287E65}" name="TYPE" dataDxfId="73"/>
    <tableColumn id="6" xr3:uid="{0E13A8E1-2DB8-40BC-A7C2-AAC2345BBD20}" name="LENGTH" dataDxfId="72"/>
    <tableColumn id="7" xr3:uid="{058AB617-83B1-437D-A5C8-91562298F02F}" name="SCALE" dataDxfId="71"/>
    <tableColumn id="8" xr3:uid="{427F9588-ED01-4E69-AFB2-D9DC8EC1E3C0}" name="COL_FLAGS" dataDxfId="70"/>
    <tableColumn id="9" xr3:uid="{5F3DFAD4-6CA8-40E9-9358-6E264FA6B1D4}" name="SYS_NAME" dataDxfId="69"/>
    <tableColumn id="10" xr3:uid="{72754E2E-AFAE-48B8-8DBF-37E9CEBBBB79}" name="USR_NAME" dataDxfId="68"/>
    <tableColumn id="11" xr3:uid="{EB37C244-6980-4FD1-838A-BCF9BF99AF65}" name="STRING_ID" dataDxfId="67"/>
    <tableColumn id="12" xr3:uid="{868D7207-C6AA-4CB9-853A-17385CA33DD8}" name="FKEY_TABLE" dataDxfId="66"/>
    <tableColumn id="13" xr3:uid="{37765F36-7EE2-4E62-8990-83ABBF43F504}" name="FKEY_FLD_NAME" dataDxfId="65"/>
    <tableColumn id="14" xr3:uid="{B00099DE-DC1B-49E2-BFF4-6156977A0793}" name="FKEY_REQUIRED" dataDxfId="64"/>
    <tableColumn id="15" xr3:uid="{C63CE80D-481A-4EEC-ACE2-3A0E38310F26}" name="FKEY_VIRTUAL" dataDxfId="63"/>
    <tableColumn id="16" xr3:uid="{6277170B-AB37-4157-AC46-1C98DE4F962D}" name="Table.Column" dataDxfId="62">
      <calculatedColumnFormula>_xlfn.CONCAT(A2,".",D2)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D0D46A-466F-4162-B7AE-CADF2A9331AF}" name="TableMapping" displayName="TableMapping" ref="A1:G90" totalsRowShown="0" headerRowDxfId="61">
  <autoFilter ref="A1:G90" xr:uid="{13D0D46A-466F-4162-B7AE-CADF2A9331AF}"/>
  <tableColumns count="7">
    <tableColumn id="1" xr3:uid="{55771529-BCA9-4AD8-B18B-87DD5C21F03B}" name="Old Table Name" dataDxfId="60"/>
    <tableColumn id="2" xr3:uid="{378E9CE9-F055-477A-A751-3BA5121EAC8E}" name="New Table Name"/>
    <tableColumn id="3" xr3:uid="{7D2C07A2-26BD-462F-86AB-1674BC163BD4}" name="Migrate"/>
    <tableColumn id="4" xr3:uid="{83DA6013-88F7-4852-849A-7674A66F3D95}" name="Comment"/>
    <tableColumn id="5" xr3:uid="{D65EB24B-435D-4CE3-B194-0F1CD9516EEF}" name="VIEW - Creates view with OLD table name" dataDxfId="59"/>
    <tableColumn id="6" xr3:uid="{FBF826BE-4BA6-4BA1-B771-E783DC97F624}" name="Legend"/>
    <tableColumn id="7" xr3:uid="{71D0C786-1F42-438A-A277-3C1AB515CE1A}" name="Hybridization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A5F5F-232B-4F1B-AC6B-CF8BDFB4B3F3}" name="ColumnMapping" displayName="ColumnMapping" ref="A1:K1479" totalsRowShown="0" headerRowDxfId="57" dataDxfId="56">
  <autoFilter ref="A1:K1479" xr:uid="{EE5A5F5F-232B-4F1B-AC6B-CF8BDFB4B3F3}">
    <filterColumn colId="3">
      <filters>
        <filter val="USER_CODE_VALUE"/>
        <filter val="USER_FIELD_DEFINITION"/>
        <filter val="USER_FIELD_VALUE"/>
        <filter val="USER_NOTE_VALUE"/>
      </filters>
    </filterColumn>
  </autoFilter>
  <tableColumns count="11">
    <tableColumn id="1" xr3:uid="{10D5E91B-E149-4A0E-A05E-ACB065B6CD0C}" name="Domain" dataDxfId="55"/>
    <tableColumn id="2" xr3:uid="{B5BEA7F1-206D-4E4F-A941-65D1FA1DFA97}" name="Old Table Name" dataDxfId="54"/>
    <tableColumn id="4" xr3:uid="{8AA6C27A-373C-489D-B028-98C193CF46DE}" name="Old Column Name" dataDxfId="53"/>
    <tableColumn id="3" xr3:uid="{DCEA92CC-389E-4C5C-A5E2-70D6FB958ED2}" name="New Table Name" dataDxfId="52"/>
    <tableColumn id="5" xr3:uid="{3183EADC-9F8D-4A85-A7C4-EFA8E02698BE}" name="New Column Name" dataDxfId="51"/>
    <tableColumn id="6" xr3:uid="{E38694DB-74AD-49A0-8103-B37DB80012D4}" name="Comments" dataDxfId="50"/>
    <tableColumn id="7" xr3:uid="{0C74B37A-A21F-476B-AE9C-284578E2C363}" name="Old Table.Column" dataDxfId="49">
      <calculatedColumnFormula>_xlfn.CONCAT(B2,".",C2)</calculatedColumnFormula>
    </tableColumn>
    <tableColumn id="8" xr3:uid="{D031C897-FF79-480A-8264-5E882BF484F9}" name="New Table.Column" dataDxfId="48">
      <calculatedColumnFormula>_xlfn.CONCAT(D2,".",E2)</calculatedColumnFormula>
    </tableColumn>
    <tableColumn id="10" xr3:uid="{12B73901-EA6E-47B2-9F59-EE6CFCB4CF6D}" name="Add Old Column to New Table?" dataDxfId="47"/>
    <tableColumn id="11" xr3:uid="{8DCE7768-C65D-4CD9-AF6A-CCCA13394A80}" name="Add Column Name" dataDxfId="46"/>
    <tableColumn id="12" xr3:uid="{D5B69F6B-8F14-4CAC-AC02-1E5C81E64285}" name="New Table.Old Column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F57-1EB5-4827-9FE0-2B64F4D35456}">
  <sheetPr>
    <tabColor theme="9" tint="0.39997558519241921"/>
  </sheetPr>
  <dimension ref="A1:AB1477"/>
  <sheetViews>
    <sheetView tabSelected="1" topLeftCell="A1457" zoomScale="85" zoomScaleNormal="85" workbookViewId="0">
      <selection activeCell="C1481" sqref="C1481"/>
    </sheetView>
  </sheetViews>
  <sheetFormatPr baseColWidth="10" defaultColWidth="19.1640625" defaultRowHeight="15" x14ac:dyDescent="0.2"/>
  <cols>
    <col min="1" max="1" width="15.6640625" bestFit="1" customWidth="1"/>
    <col min="2" max="2" width="46.5" customWidth="1"/>
    <col min="3" max="3" width="33.1640625" customWidth="1"/>
    <col min="4" max="4" width="17.6640625" customWidth="1"/>
    <col min="5" max="5" width="13.5" customWidth="1"/>
    <col min="6" max="6" width="32.1640625" customWidth="1"/>
    <col min="7" max="7" width="20.6640625" customWidth="1"/>
    <col min="8" max="8" width="16" customWidth="1"/>
    <col min="9" max="9" width="14.1640625" style="32" customWidth="1"/>
    <col min="10" max="10" width="14.6640625" style="32" customWidth="1"/>
    <col min="11" max="11" width="15.6640625" style="32" customWidth="1"/>
    <col min="12" max="12" width="15.5" style="32" customWidth="1"/>
    <col min="13" max="13" width="19" customWidth="1"/>
    <col min="14" max="14" width="15.33203125" customWidth="1"/>
    <col min="15" max="15" width="10.1640625" customWidth="1"/>
    <col min="16" max="16" width="126.5" bestFit="1" customWidth="1"/>
    <col min="17" max="17" width="32.5" customWidth="1"/>
    <col min="18" max="18" width="26.1640625" customWidth="1"/>
    <col min="19" max="19" width="17.33203125" customWidth="1"/>
    <col min="20" max="20" width="22.6640625" customWidth="1"/>
    <col min="21" max="21" width="15.6640625" customWidth="1"/>
    <col min="22" max="22" width="18.5" customWidth="1"/>
    <col min="23" max="23" width="37.5" customWidth="1"/>
    <col min="24" max="24" width="37.1640625" customWidth="1"/>
    <col min="25" max="25" width="28.5" customWidth="1"/>
    <col min="28" max="28" width="34.5" style="49" bestFit="1" customWidth="1"/>
  </cols>
  <sheetData>
    <row r="1" spans="1:28" ht="14.25" customHeight="1" x14ac:dyDescent="0.2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8" t="s">
        <v>27</v>
      </c>
    </row>
    <row r="2" spans="1:28" ht="15" hidden="1" customHeight="1" x14ac:dyDescent="0.2">
      <c r="A2" t="s">
        <v>28</v>
      </c>
      <c r="B2" t="s">
        <v>29</v>
      </c>
      <c r="C2" t="s">
        <v>30</v>
      </c>
      <c r="D2">
        <v>1</v>
      </c>
      <c r="E2" t="s">
        <v>31</v>
      </c>
      <c r="F2" t="str">
        <f>VLOOKUP($E2,'Data Type Lookup'!$A$1:$C$21,2,FALSE)</f>
        <v>RAW(16)</v>
      </c>
      <c r="I2" s="32" t="s">
        <v>32</v>
      </c>
      <c r="K2" s="32" t="s">
        <v>32</v>
      </c>
      <c r="P2" t="s">
        <v>33</v>
      </c>
      <c r="Q2" t="s">
        <v>34</v>
      </c>
      <c r="R2" t="str">
        <f>VLOOKUP(E2,'Data Type Lookup'!$A$1:$C$21,3,FALSE)</f>
        <v>java.util.UUID</v>
      </c>
      <c r="S2">
        <v>3</v>
      </c>
      <c r="W2" t="str">
        <f t="shared" ref="W2:W65" si="0">_xlfn.CONCAT(B2,".",C2)</f>
        <v>CODE.ROW_UID</v>
      </c>
      <c r="X2" t="str">
        <f>VLOOKUP(W2,ColumnMapping[New Table.Column],1,)</f>
        <v>CODE.ROW_UID</v>
      </c>
      <c r="Y2" t="str">
        <f>_xlfn.XLOOKUP(Table6[[#This Row],[Table.Column]],ColumnMapping[Add Column Name],ColumnMapping[Old Table.Column],"",0,1)</f>
        <v/>
      </c>
      <c r="Z2" t="str">
        <f>_xlfn.XLOOKUP(Table6[[#This Row],[Old Table.Column]],Cobra8.6[Table.Column],Cobra8.6[TYPE],"",0,1)</f>
        <v/>
      </c>
      <c r="AA2" t="str">
        <f>_xlfn.XLOOKUP(Table6[[#This Row],[Old Table.Column]],Cobra8.6[Table.Column],Cobra8.6[LENGTH],"",0,1)</f>
        <v/>
      </c>
      <c r="AB2"/>
    </row>
    <row r="3" spans="1:28" ht="12.75" hidden="1" customHeight="1" x14ac:dyDescent="0.2">
      <c r="A3" t="s">
        <v>28</v>
      </c>
      <c r="B3" t="s">
        <v>29</v>
      </c>
      <c r="C3" t="s">
        <v>35</v>
      </c>
      <c r="D3">
        <v>2</v>
      </c>
      <c r="E3" t="s">
        <v>36</v>
      </c>
      <c r="F3" t="str">
        <f>VLOOKUP($E3,'Data Type Lookup'!$A$1:$C$21,2,FALSE)</f>
        <v>NUMBER(19,0)</v>
      </c>
      <c r="I3" s="32" t="s">
        <v>32</v>
      </c>
      <c r="J3" s="32">
        <v>0</v>
      </c>
      <c r="P3" t="s">
        <v>37</v>
      </c>
      <c r="Q3" t="s">
        <v>38</v>
      </c>
      <c r="R3" t="str">
        <f>VLOOKUP(E3,'Data Type Lookup'!$A$1:$C$21,3,FALSE)</f>
        <v>Long</v>
      </c>
      <c r="S3">
        <v>3</v>
      </c>
      <c r="W3" t="str">
        <f t="shared" si="0"/>
        <v>CODE.SEQUENCE</v>
      </c>
      <c r="X3" t="str">
        <f>VLOOKUP(W3,ColumnMapping[New Table.Column],1,)</f>
        <v>CODE.SEQUENCE</v>
      </c>
      <c r="Y3" t="str">
        <f>_xlfn.XLOOKUP(Table6[[#This Row],[Table.Column]],ColumnMapping[Add Column Name],ColumnMapping[Old Table.Column],"",0,1)</f>
        <v/>
      </c>
      <c r="Z3" t="str">
        <f>_xlfn.XLOOKUP(Table6[[#This Row],[Old Table.Column]],Cobra8.6[Table.Column],Cobra8.6[TYPE],"",0,1)</f>
        <v/>
      </c>
      <c r="AA3" t="str">
        <f>_xlfn.XLOOKUP(Table6[[#This Row],[Old Table.Column]],Cobra8.6[Table.Column],Cobra8.6[LENGTH],"",0,1)</f>
        <v/>
      </c>
      <c r="AB3"/>
    </row>
    <row r="4" spans="1:28" ht="14.25" hidden="1" customHeight="1" x14ac:dyDescent="0.2">
      <c r="A4" t="s">
        <v>28</v>
      </c>
      <c r="B4" t="s">
        <v>29</v>
      </c>
      <c r="C4" t="s">
        <v>39</v>
      </c>
      <c r="D4">
        <v>3</v>
      </c>
      <c r="E4" t="s">
        <v>31</v>
      </c>
      <c r="F4" t="str">
        <f>VLOOKUP($E4,'Data Type Lookup'!$A$1:$C$21,2,FALSE)</f>
        <v>RAW(16)</v>
      </c>
      <c r="I4" s="32" t="s">
        <v>32</v>
      </c>
      <c r="L4" s="32" t="s">
        <v>32</v>
      </c>
      <c r="M4" t="s">
        <v>40</v>
      </c>
      <c r="N4" t="s">
        <v>30</v>
      </c>
      <c r="O4" t="s">
        <v>41</v>
      </c>
      <c r="P4" t="s">
        <v>42</v>
      </c>
      <c r="Q4" t="s">
        <v>43</v>
      </c>
      <c r="R4" t="str">
        <f>VLOOKUP(E4,'Data Type Lookup'!$A$1:$C$21,3,FALSE)</f>
        <v>java.util.UUID</v>
      </c>
      <c r="S4">
        <v>1</v>
      </c>
      <c r="W4" t="str">
        <f t="shared" si="0"/>
        <v>CODE.CODE_FILE_UID</v>
      </c>
      <c r="X4" t="str">
        <f>VLOOKUP(W4,ColumnMapping[New Table.Column],1,)</f>
        <v>CODE.CODE_FILE_UID</v>
      </c>
      <c r="Y4" t="str">
        <f>_xlfn.XLOOKUP(Table6[[#This Row],[Table.Column]],ColumnMapping[Add Column Name],ColumnMapping[Old Table.Column],"",0,1)</f>
        <v/>
      </c>
      <c r="Z4" t="str">
        <f>_xlfn.XLOOKUP(Table6[[#This Row],[Old Table.Column]],Cobra8.6[Table.Column],Cobra8.6[TYPE],"",0,1)</f>
        <v/>
      </c>
      <c r="AA4" t="str">
        <f>_xlfn.XLOOKUP(Table6[[#This Row],[Old Table.Column]],Cobra8.6[Table.Column],Cobra8.6[LENGTH],"",0,1)</f>
        <v/>
      </c>
      <c r="AB4"/>
    </row>
    <row r="5" spans="1:28" hidden="1" x14ac:dyDescent="0.2">
      <c r="A5" t="s">
        <v>28</v>
      </c>
      <c r="B5" t="s">
        <v>29</v>
      </c>
      <c r="C5" t="s">
        <v>44</v>
      </c>
      <c r="D5">
        <v>4</v>
      </c>
      <c r="E5" t="s">
        <v>31</v>
      </c>
      <c r="F5" t="str">
        <f>VLOOKUP($E5,'Data Type Lookup'!$A$1:$C$21,2,FALSE)</f>
        <v>RAW(16)</v>
      </c>
      <c r="L5" s="32" t="s">
        <v>32</v>
      </c>
      <c r="M5" t="s">
        <v>29</v>
      </c>
      <c r="N5" t="s">
        <v>30</v>
      </c>
      <c r="O5" t="s">
        <v>41</v>
      </c>
      <c r="P5" t="s">
        <v>45</v>
      </c>
      <c r="Q5" t="s">
        <v>46</v>
      </c>
      <c r="R5" t="str">
        <f>VLOOKUP(E5,'Data Type Lookup'!$A$1:$C$21,3,FALSE)</f>
        <v>java.util.UUID</v>
      </c>
      <c r="S5">
        <v>1</v>
      </c>
      <c r="W5" t="str">
        <f t="shared" si="0"/>
        <v>CODE.PARENT_CODE_UID</v>
      </c>
      <c r="X5" t="str">
        <f>VLOOKUP(W5,ColumnMapping[New Table.Column],1,)</f>
        <v>CODE.PARENT_CODE_UID</v>
      </c>
      <c r="Y5" t="str">
        <f>_xlfn.XLOOKUP(Table6[[#This Row],[Table.Column]],ColumnMapping[Add Column Name],ColumnMapping[Old Table.Column],"",0,1)</f>
        <v/>
      </c>
      <c r="Z5" t="str">
        <f>_xlfn.XLOOKUP(Table6[[#This Row],[Old Table.Column]],Cobra8.6[Table.Column],Cobra8.6[TYPE],"",0,1)</f>
        <v/>
      </c>
      <c r="AA5" t="str">
        <f>_xlfn.XLOOKUP(Table6[[#This Row],[Old Table.Column]],Cobra8.6[Table.Column],Cobra8.6[LENGTH],"",0,1)</f>
        <v/>
      </c>
      <c r="AB5"/>
    </row>
    <row r="6" spans="1:28" hidden="1" x14ac:dyDescent="0.2">
      <c r="A6" t="s">
        <v>28</v>
      </c>
      <c r="B6" t="s">
        <v>29</v>
      </c>
      <c r="C6" t="s">
        <v>47</v>
      </c>
      <c r="D6">
        <v>5</v>
      </c>
      <c r="E6" t="s">
        <v>48</v>
      </c>
      <c r="F6" t="str">
        <f>VLOOKUP($E6,'Data Type Lookup'!$A$1:$C$21,2,FALSE)</f>
        <v>NVARCHAR2</v>
      </c>
      <c r="G6">
        <v>100</v>
      </c>
      <c r="I6" s="32" t="s">
        <v>32</v>
      </c>
      <c r="L6" s="32" t="s">
        <v>32</v>
      </c>
      <c r="P6" t="s">
        <v>49</v>
      </c>
      <c r="Q6" t="s">
        <v>50</v>
      </c>
      <c r="R6" t="str">
        <f>VLOOKUP(E6,'Data Type Lookup'!$A$1:$C$21,3,FALSE)</f>
        <v>String</v>
      </c>
      <c r="W6" t="str">
        <f t="shared" si="0"/>
        <v>CODE.NAME</v>
      </c>
      <c r="X6" t="str">
        <f>VLOOKUP(W6,ColumnMapping[New Table.Column],1,)</f>
        <v>CODE.NAME</v>
      </c>
      <c r="Y6" t="str">
        <f>_xlfn.XLOOKUP(Table6[[#This Row],[Table.Column]],ColumnMapping[Add Column Name],ColumnMapping[Old Table.Column],"",0,1)</f>
        <v/>
      </c>
      <c r="Z6" t="str">
        <f>_xlfn.XLOOKUP(Table6[[#This Row],[Old Table.Column]],Cobra8.6[Table.Column],Cobra8.6[TYPE],"",0,1)</f>
        <v/>
      </c>
      <c r="AA6" t="str">
        <f>_xlfn.XLOOKUP(Table6[[#This Row],[Old Table.Column]],Cobra8.6[Table.Column],Cobra8.6[LENGTH],"",0,1)</f>
        <v/>
      </c>
      <c r="AB6"/>
    </row>
    <row r="7" spans="1:28" hidden="1" x14ac:dyDescent="0.2">
      <c r="A7" t="s">
        <v>28</v>
      </c>
      <c r="B7" t="s">
        <v>29</v>
      </c>
      <c r="C7" t="s">
        <v>51</v>
      </c>
      <c r="D7">
        <v>6</v>
      </c>
      <c r="E7" t="s">
        <v>52</v>
      </c>
      <c r="F7" t="str">
        <f>VLOOKUP($E7,'Data Type Lookup'!$A$1:$C$21,2,FALSE)</f>
        <v>NUMBER(5,0)</v>
      </c>
      <c r="J7" s="32">
        <v>1</v>
      </c>
      <c r="P7" t="s">
        <v>53</v>
      </c>
      <c r="Q7" t="s">
        <v>54</v>
      </c>
      <c r="R7" t="str">
        <f>VLOOKUP(E7,'Data Type Lookup'!$A$1:$C$21,3,FALSE)</f>
        <v>Short</v>
      </c>
      <c r="W7" t="str">
        <f t="shared" si="0"/>
        <v>CODE.CODE_LEVEL</v>
      </c>
      <c r="X7" t="str">
        <f>VLOOKUP(W7,ColumnMapping[New Table.Column],1,)</f>
        <v>CODE.CODE_LEVEL</v>
      </c>
      <c r="Y7" t="str">
        <f>_xlfn.XLOOKUP(Table6[[#This Row],[Table.Column]],ColumnMapping[Add Column Name],ColumnMapping[Old Table.Column],"",0,1)</f>
        <v/>
      </c>
      <c r="Z7" t="str">
        <f>_xlfn.XLOOKUP(Table6[[#This Row],[Old Table.Column]],Cobra8.6[Table.Column],Cobra8.6[TYPE],"",0,1)</f>
        <v/>
      </c>
      <c r="AA7" t="str">
        <f>_xlfn.XLOOKUP(Table6[[#This Row],[Old Table.Column]],Cobra8.6[Table.Column],Cobra8.6[LENGTH],"",0,1)</f>
        <v/>
      </c>
      <c r="AB7"/>
    </row>
    <row r="8" spans="1:28" hidden="1" x14ac:dyDescent="0.2">
      <c r="A8" t="s">
        <v>28</v>
      </c>
      <c r="B8" t="s">
        <v>29</v>
      </c>
      <c r="C8" t="s">
        <v>55</v>
      </c>
      <c r="D8">
        <v>7</v>
      </c>
      <c r="E8" t="s">
        <v>52</v>
      </c>
      <c r="F8" t="str">
        <f>VLOOKUP($E8,'Data Type Lookup'!$A$1:$C$21,2,FALSE)</f>
        <v>NUMBER(5,0)</v>
      </c>
      <c r="J8" s="32">
        <v>0</v>
      </c>
      <c r="P8" t="s">
        <v>56</v>
      </c>
      <c r="Q8" t="s">
        <v>57</v>
      </c>
      <c r="R8" t="str">
        <f>VLOOKUP(E8,'Data Type Lookup'!$A$1:$C$21,3,FALSE)</f>
        <v>Short</v>
      </c>
      <c r="W8" t="str">
        <f t="shared" si="0"/>
        <v>CODE.CHILD_COUNT</v>
      </c>
      <c r="X8" t="str">
        <f>VLOOKUP(W8,ColumnMapping[New Table.Column],1,)</f>
        <v>CODE.CHILD_COUNT</v>
      </c>
      <c r="Y8" t="str">
        <f>_xlfn.XLOOKUP(Table6[[#This Row],[Table.Column]],ColumnMapping[Add Column Name],ColumnMapping[Old Table.Column],"",0,1)</f>
        <v/>
      </c>
      <c r="Z8" t="str">
        <f>_xlfn.XLOOKUP(Table6[[#This Row],[Old Table.Column]],Cobra8.6[Table.Column],Cobra8.6[TYPE],"",0,1)</f>
        <v/>
      </c>
      <c r="AA8" t="str">
        <f>_xlfn.XLOOKUP(Table6[[#This Row],[Old Table.Column]],Cobra8.6[Table.Column],Cobra8.6[LENGTH],"",0,1)</f>
        <v/>
      </c>
      <c r="AB8"/>
    </row>
    <row r="9" spans="1:28" hidden="1" x14ac:dyDescent="0.2">
      <c r="A9" t="s">
        <v>28</v>
      </c>
      <c r="B9" t="s">
        <v>29</v>
      </c>
      <c r="C9" t="s">
        <v>58</v>
      </c>
      <c r="D9">
        <v>8</v>
      </c>
      <c r="E9" t="s">
        <v>52</v>
      </c>
      <c r="F9" t="str">
        <f>VLOOKUP($E9,'Data Type Lookup'!$A$1:$C$21,2,FALSE)</f>
        <v>NUMBER(5,0)</v>
      </c>
      <c r="J9" s="32">
        <v>0</v>
      </c>
      <c r="P9" t="s">
        <v>59</v>
      </c>
      <c r="Q9" t="s">
        <v>60</v>
      </c>
      <c r="R9" t="str">
        <f>VLOOKUP(E9,'Data Type Lookup'!$A$1:$C$21,3,FALSE)</f>
        <v>Short</v>
      </c>
      <c r="W9" t="str">
        <f t="shared" si="0"/>
        <v>CODE.CHILD_POS</v>
      </c>
      <c r="X9" t="str">
        <f>VLOOKUP(W9,ColumnMapping[New Table.Column],1,)</f>
        <v>CODE.CHILD_POS</v>
      </c>
      <c r="Y9" t="str">
        <f>_xlfn.XLOOKUP(Table6[[#This Row],[Table.Column]],ColumnMapping[Add Column Name],ColumnMapping[Old Table.Column],"",0,1)</f>
        <v/>
      </c>
      <c r="Z9" t="str">
        <f>_xlfn.XLOOKUP(Table6[[#This Row],[Old Table.Column]],Cobra8.6[Table.Column],Cobra8.6[TYPE],"",0,1)</f>
        <v/>
      </c>
      <c r="AA9" t="str">
        <f>_xlfn.XLOOKUP(Table6[[#This Row],[Old Table.Column]],Cobra8.6[Table.Column],Cobra8.6[LENGTH],"",0,1)</f>
        <v/>
      </c>
      <c r="AB9"/>
    </row>
    <row r="10" spans="1:28" hidden="1" x14ac:dyDescent="0.2">
      <c r="A10" t="s">
        <v>28</v>
      </c>
      <c r="B10" t="s">
        <v>29</v>
      </c>
      <c r="C10" t="s">
        <v>61</v>
      </c>
      <c r="D10">
        <v>9</v>
      </c>
      <c r="E10" t="s">
        <v>31</v>
      </c>
      <c r="F10" t="str">
        <f>VLOOKUP($E10,'Data Type Lookup'!$A$1:$C$21,2,FALSE)</f>
        <v>RAW(16)</v>
      </c>
      <c r="I10" s="32" t="s">
        <v>32</v>
      </c>
      <c r="P10" t="s">
        <v>62</v>
      </c>
      <c r="Q10" t="s">
        <v>63</v>
      </c>
      <c r="R10" t="str">
        <f>VLOOKUP(E10,'Data Type Lookup'!$A$1:$C$21,3,FALSE)</f>
        <v>java.util.UUID</v>
      </c>
      <c r="S10">
        <v>2</v>
      </c>
      <c r="W10" t="str">
        <f t="shared" si="0"/>
        <v>CODE.CREATED_BY_USER_UID</v>
      </c>
      <c r="X10" t="str">
        <f>VLOOKUP(W10,ColumnMapping[New Table.Column],1,)</f>
        <v>CODE.CREATED_BY_USER_UID</v>
      </c>
      <c r="Y10" t="str">
        <f>_xlfn.XLOOKUP(Table6[[#This Row],[Table.Column]],ColumnMapping[Add Column Name],ColumnMapping[Old Table.Column],"",0,1)</f>
        <v/>
      </c>
      <c r="Z10" t="str">
        <f>_xlfn.XLOOKUP(Table6[[#This Row],[Old Table.Column]],Cobra8.6[Table.Column],Cobra8.6[TYPE],"",0,1)</f>
        <v/>
      </c>
      <c r="AA10" t="str">
        <f>_xlfn.XLOOKUP(Table6[[#This Row],[Old Table.Column]],Cobra8.6[Table.Column],Cobra8.6[LENGTH],"",0,1)</f>
        <v/>
      </c>
      <c r="AB10"/>
    </row>
    <row r="11" spans="1:28" hidden="1" x14ac:dyDescent="0.2">
      <c r="A11" t="s">
        <v>28</v>
      </c>
      <c r="B11" t="s">
        <v>29</v>
      </c>
      <c r="C11" t="s">
        <v>64</v>
      </c>
      <c r="D11">
        <v>10</v>
      </c>
      <c r="E11" t="s">
        <v>65</v>
      </c>
      <c r="F11" t="str">
        <f>VLOOKUP($E11,'Data Type Lookup'!$A$1:$C$21,2,FALSE)</f>
        <v>TIMESTAMP</v>
      </c>
      <c r="I11" s="32" t="s">
        <v>32</v>
      </c>
      <c r="P11" t="s">
        <v>66</v>
      </c>
      <c r="Q11" t="s">
        <v>67</v>
      </c>
      <c r="R11" t="str">
        <f>VLOOKUP(E11,'Data Type Lookup'!$A$1:$C$21,3,FALSE)</f>
        <v>java.time.Instant</v>
      </c>
      <c r="S11">
        <v>2</v>
      </c>
      <c r="W11" t="str">
        <f t="shared" si="0"/>
        <v>CODE.CREATED_DATE</v>
      </c>
      <c r="X11" t="str">
        <f>VLOOKUP(W11,ColumnMapping[New Table.Column],1,)</f>
        <v>CODE.CREATED_DATE</v>
      </c>
      <c r="Y11" t="str">
        <f>_xlfn.XLOOKUP(Table6[[#This Row],[Table.Column]],ColumnMapping[Add Column Name],ColumnMapping[Old Table.Column],"",0,1)</f>
        <v/>
      </c>
      <c r="Z11" t="str">
        <f>_xlfn.XLOOKUP(Table6[[#This Row],[Old Table.Column]],Cobra8.6[Table.Column],Cobra8.6[TYPE],"",0,1)</f>
        <v/>
      </c>
      <c r="AA11" t="str">
        <f>_xlfn.XLOOKUP(Table6[[#This Row],[Old Table.Column]],Cobra8.6[Table.Column],Cobra8.6[LENGTH],"",0,1)</f>
        <v/>
      </c>
      <c r="AB11"/>
    </row>
    <row r="12" spans="1:28" hidden="1" x14ac:dyDescent="0.2">
      <c r="A12" t="s">
        <v>28</v>
      </c>
      <c r="B12" t="s">
        <v>29</v>
      </c>
      <c r="C12" t="s">
        <v>68</v>
      </c>
      <c r="D12">
        <v>11</v>
      </c>
      <c r="E12" t="s">
        <v>31</v>
      </c>
      <c r="F12" t="str">
        <f>VLOOKUP($E12,'Data Type Lookup'!$A$1:$C$21,2,FALSE)</f>
        <v>RAW(16)</v>
      </c>
      <c r="I12" s="32" t="s">
        <v>32</v>
      </c>
      <c r="P12" t="s">
        <v>69</v>
      </c>
      <c r="Q12" t="s">
        <v>70</v>
      </c>
      <c r="R12" t="str">
        <f>VLOOKUP(E12,'Data Type Lookup'!$A$1:$C$21,3,FALSE)</f>
        <v>java.util.UUID</v>
      </c>
      <c r="S12">
        <v>2</v>
      </c>
      <c r="W12" t="str">
        <f t="shared" si="0"/>
        <v>CODE.LAST_MODIFIED_BY_USER_UID</v>
      </c>
      <c r="X12" t="str">
        <f>VLOOKUP(W12,ColumnMapping[New Table.Column],1,)</f>
        <v>CODE.LAST_MODIFIED_BY_USER_UID</v>
      </c>
      <c r="Y12" t="str">
        <f>_xlfn.XLOOKUP(Table6[[#This Row],[Table.Column]],ColumnMapping[Add Column Name],ColumnMapping[Old Table.Column],"",0,1)</f>
        <v/>
      </c>
      <c r="Z12" t="str">
        <f>_xlfn.XLOOKUP(Table6[[#This Row],[Old Table.Column]],Cobra8.6[Table.Column],Cobra8.6[TYPE],"",0,1)</f>
        <v/>
      </c>
      <c r="AA12" t="str">
        <f>_xlfn.XLOOKUP(Table6[[#This Row],[Old Table.Column]],Cobra8.6[Table.Column],Cobra8.6[LENGTH],"",0,1)</f>
        <v/>
      </c>
      <c r="AB12"/>
    </row>
    <row r="13" spans="1:28" hidden="1" x14ac:dyDescent="0.2">
      <c r="A13" t="s">
        <v>28</v>
      </c>
      <c r="B13" t="s">
        <v>29</v>
      </c>
      <c r="C13" t="s">
        <v>71</v>
      </c>
      <c r="D13">
        <v>12</v>
      </c>
      <c r="E13" t="s">
        <v>65</v>
      </c>
      <c r="F13" t="str">
        <f>VLOOKUP($E13,'Data Type Lookup'!$A$1:$C$21,2,FALSE)</f>
        <v>TIMESTAMP</v>
      </c>
      <c r="I13" s="32" t="s">
        <v>32</v>
      </c>
      <c r="P13" t="s">
        <v>72</v>
      </c>
      <c r="Q13" t="s">
        <v>73</v>
      </c>
      <c r="R13" t="str">
        <f>VLOOKUP(E13,'Data Type Lookup'!$A$1:$C$21,3,FALSE)</f>
        <v>java.time.Instant</v>
      </c>
      <c r="S13">
        <v>2</v>
      </c>
      <c r="W13" t="str">
        <f t="shared" si="0"/>
        <v>CODE.LAST_MODIFIED_DATE</v>
      </c>
      <c r="X13" t="str">
        <f>VLOOKUP(W13,ColumnMapping[New Table.Column],1,)</f>
        <v>CODE.LAST_MODIFIED_DATE</v>
      </c>
      <c r="Y13" t="str">
        <f>_xlfn.XLOOKUP(Table6[[#This Row],[Table.Column]],ColumnMapping[Add Column Name],ColumnMapping[Old Table.Column],"",0,1)</f>
        <v/>
      </c>
      <c r="Z13" t="str">
        <f>_xlfn.XLOOKUP(Table6[[#This Row],[Old Table.Column]],Cobra8.6[Table.Column],Cobra8.6[TYPE],"",0,1)</f>
        <v/>
      </c>
      <c r="AA13" t="str">
        <f>_xlfn.XLOOKUP(Table6[[#This Row],[Old Table.Column]],Cobra8.6[Table.Column],Cobra8.6[LENGTH],"",0,1)</f>
        <v/>
      </c>
      <c r="AB13"/>
    </row>
    <row r="14" spans="1:28" hidden="1" x14ac:dyDescent="0.2">
      <c r="A14" t="s">
        <v>28</v>
      </c>
      <c r="B14" t="s">
        <v>29</v>
      </c>
      <c r="C14" t="s">
        <v>15</v>
      </c>
      <c r="D14">
        <v>13</v>
      </c>
      <c r="E14" t="s">
        <v>48</v>
      </c>
      <c r="F14" t="str">
        <f>VLOOKUP($E14,'Data Type Lookup'!$A$1:$C$21,2,FALSE)</f>
        <v>NVARCHAR2</v>
      </c>
      <c r="G14">
        <v>256</v>
      </c>
      <c r="P14" t="s">
        <v>74</v>
      </c>
      <c r="Q14" t="s">
        <v>75</v>
      </c>
      <c r="R14" t="str">
        <f>VLOOKUP(E14,'Data Type Lookup'!$A$1:$C$21,3,FALSE)</f>
        <v>String</v>
      </c>
      <c r="W14" t="str">
        <f t="shared" si="0"/>
        <v>CODE.DESCRIPTION</v>
      </c>
      <c r="X14" t="str">
        <f>VLOOKUP(W14,ColumnMapping[New Table.Column],1,)</f>
        <v>CODE.DESCRIPTION</v>
      </c>
      <c r="Y14" t="str">
        <f>_xlfn.XLOOKUP(Table6[[#This Row],[Table.Column]],ColumnMapping[Add Column Name],ColumnMapping[Old Table.Column],"",0,1)</f>
        <v/>
      </c>
      <c r="Z14" t="str">
        <f>_xlfn.XLOOKUP(Table6[[#This Row],[Old Table.Column]],Cobra8.6[Table.Column],Cobra8.6[TYPE],"",0,1)</f>
        <v/>
      </c>
      <c r="AA14" t="str">
        <f>_xlfn.XLOOKUP(Table6[[#This Row],[Old Table.Column]],Cobra8.6[Table.Column],Cobra8.6[LENGTH],"",0,1)</f>
        <v/>
      </c>
      <c r="AB14"/>
    </row>
    <row r="15" spans="1:28" hidden="1" x14ac:dyDescent="0.2">
      <c r="A15" t="s">
        <v>28</v>
      </c>
      <c r="B15" s="17" t="s">
        <v>29</v>
      </c>
      <c r="C15" s="17" t="s">
        <v>76</v>
      </c>
      <c r="D15" s="17">
        <v>14</v>
      </c>
      <c r="E15" s="17" t="s">
        <v>48</v>
      </c>
      <c r="F15" t="str">
        <f>VLOOKUP($E15,'Data Type Lookup'!$A$1:$C$21,2,FALSE)</f>
        <v>NVARCHAR2</v>
      </c>
      <c r="G15" s="17">
        <v>59</v>
      </c>
      <c r="H15" s="17"/>
      <c r="I15" s="29"/>
      <c r="J15" s="29"/>
      <c r="K15" s="29"/>
      <c r="L15" s="29"/>
      <c r="M15" s="17"/>
      <c r="N15" s="17"/>
      <c r="O15" s="17"/>
      <c r="P15" s="17"/>
      <c r="Q15" s="17"/>
      <c r="R15" s="17"/>
      <c r="S15" s="17"/>
      <c r="W15" t="str">
        <f t="shared" si="0"/>
        <v>CODE.D1</v>
      </c>
      <c r="X15" t="e">
        <f>VLOOKUP(W15,ColumnMapping[New Table.Column],1,)</f>
        <v>#N/A</v>
      </c>
      <c r="Y15" t="str">
        <f>_xlfn.XLOOKUP(Table6[[#This Row],[Table.Column]],ColumnMapping[Add Column Name],ColumnMapping[Old Table.Column],"",0,1)</f>
        <v/>
      </c>
      <c r="Z15" t="str">
        <f>_xlfn.XLOOKUP(Table6[[#This Row],[Old Table.Column]],Cobra8.6[Table.Column],Cobra8.6[TYPE],"",0,1)</f>
        <v/>
      </c>
      <c r="AA15" t="str">
        <f>_xlfn.XLOOKUP(Table6[[#This Row],[Old Table.Column]],Cobra8.6[Table.Column],Cobra8.6[LENGTH],"",0,1)</f>
        <v/>
      </c>
      <c r="AB15"/>
    </row>
    <row r="16" spans="1:28" hidden="1" x14ac:dyDescent="0.2">
      <c r="A16" t="s">
        <v>28</v>
      </c>
      <c r="B16" s="17" t="s">
        <v>29</v>
      </c>
      <c r="C16" s="17" t="s">
        <v>77</v>
      </c>
      <c r="D16" s="17">
        <v>15</v>
      </c>
      <c r="E16" s="17" t="s">
        <v>48</v>
      </c>
      <c r="F16" t="str">
        <f>VLOOKUP($E16,'Data Type Lookup'!$A$1:$C$21,2,FALSE)</f>
        <v>NVARCHAR2</v>
      </c>
      <c r="G16" s="17">
        <v>59</v>
      </c>
      <c r="H16" s="17"/>
      <c r="I16" s="29"/>
      <c r="J16" s="29"/>
      <c r="K16" s="29"/>
      <c r="L16" s="29"/>
      <c r="M16" s="17"/>
      <c r="N16" s="17"/>
      <c r="O16" s="17"/>
      <c r="P16" s="17"/>
      <c r="Q16" s="17"/>
      <c r="R16" s="17"/>
      <c r="S16" s="17"/>
      <c r="W16" t="str">
        <f t="shared" si="0"/>
        <v>CODE.D2</v>
      </c>
      <c r="X16" t="e">
        <f>VLOOKUP(W16,ColumnMapping[New Table.Column],1,)</f>
        <v>#N/A</v>
      </c>
      <c r="Y16" t="str">
        <f>_xlfn.XLOOKUP(Table6[[#This Row],[Table.Column]],ColumnMapping[Add Column Name],ColumnMapping[Old Table.Column],"",0,1)</f>
        <v/>
      </c>
      <c r="Z16" t="str">
        <f>_xlfn.XLOOKUP(Table6[[#This Row],[Old Table.Column]],Cobra8.6[Table.Column],Cobra8.6[TYPE],"",0,1)</f>
        <v/>
      </c>
      <c r="AA16" t="str">
        <f>_xlfn.XLOOKUP(Table6[[#This Row],[Old Table.Column]],Cobra8.6[Table.Column],Cobra8.6[LENGTH],"",0,1)</f>
        <v/>
      </c>
      <c r="AB16"/>
    </row>
    <row r="17" spans="1:28" hidden="1" x14ac:dyDescent="0.2">
      <c r="A17" t="s">
        <v>28</v>
      </c>
      <c r="B17" s="17" t="s">
        <v>29</v>
      </c>
      <c r="C17" s="17" t="s">
        <v>78</v>
      </c>
      <c r="D17" s="17">
        <v>16</v>
      </c>
      <c r="E17" s="17" t="s">
        <v>48</v>
      </c>
      <c r="F17" t="str">
        <f>VLOOKUP($E17,'Data Type Lookup'!$A$1:$C$21,2,FALSE)</f>
        <v>NVARCHAR2</v>
      </c>
      <c r="G17" s="17">
        <v>59</v>
      </c>
      <c r="H17" s="17"/>
      <c r="I17" s="29"/>
      <c r="J17" s="29"/>
      <c r="K17" s="29"/>
      <c r="L17" s="29"/>
      <c r="M17" s="17"/>
      <c r="N17" s="17"/>
      <c r="O17" s="17"/>
      <c r="P17" s="17"/>
      <c r="Q17" s="17"/>
      <c r="R17" s="17"/>
      <c r="S17" s="17"/>
      <c r="W17" t="str">
        <f t="shared" si="0"/>
        <v>CODE.D3</v>
      </c>
      <c r="X17" t="e">
        <f>VLOOKUP(W17,ColumnMapping[New Table.Column],1,)</f>
        <v>#N/A</v>
      </c>
      <c r="Y17" t="str">
        <f>_xlfn.XLOOKUP(Table6[[#This Row],[Table.Column]],ColumnMapping[Add Column Name],ColumnMapping[Old Table.Column],"",0,1)</f>
        <v/>
      </c>
      <c r="Z17" t="str">
        <f>_xlfn.XLOOKUP(Table6[[#This Row],[Old Table.Column]],Cobra8.6[Table.Column],Cobra8.6[TYPE],"",0,1)</f>
        <v/>
      </c>
      <c r="AA17" t="str">
        <f>_xlfn.XLOOKUP(Table6[[#This Row],[Old Table.Column]],Cobra8.6[Table.Column],Cobra8.6[LENGTH],"",0,1)</f>
        <v/>
      </c>
      <c r="AB17"/>
    </row>
    <row r="18" spans="1:28" hidden="1" x14ac:dyDescent="0.2">
      <c r="A18" t="s">
        <v>28</v>
      </c>
      <c r="B18" s="17" t="s">
        <v>29</v>
      </c>
      <c r="C18" s="17" t="s">
        <v>79</v>
      </c>
      <c r="D18" s="17">
        <v>17</v>
      </c>
      <c r="E18" s="17" t="s">
        <v>48</v>
      </c>
      <c r="F18" t="str">
        <f>VLOOKUP($E18,'Data Type Lookup'!$A$1:$C$21,2,FALSE)</f>
        <v>NVARCHAR2</v>
      </c>
      <c r="G18" s="17">
        <v>59</v>
      </c>
      <c r="H18" s="17"/>
      <c r="I18" s="29"/>
      <c r="J18" s="29"/>
      <c r="K18" s="29"/>
      <c r="L18" s="29"/>
      <c r="M18" s="17"/>
      <c r="N18" s="17"/>
      <c r="O18" s="17"/>
      <c r="P18" s="17"/>
      <c r="Q18" s="17"/>
      <c r="R18" s="17"/>
      <c r="S18" s="17"/>
      <c r="W18" t="str">
        <f t="shared" si="0"/>
        <v>CODE.D4</v>
      </c>
      <c r="X18" t="e">
        <f>VLOOKUP(W18,ColumnMapping[New Table.Column],1,)</f>
        <v>#N/A</v>
      </c>
      <c r="Y18" t="str">
        <f>_xlfn.XLOOKUP(Table6[[#This Row],[Table.Column]],ColumnMapping[Add Column Name],ColumnMapping[Old Table.Column],"",0,1)</f>
        <v/>
      </c>
      <c r="Z18" t="str">
        <f>_xlfn.XLOOKUP(Table6[[#This Row],[Old Table.Column]],Cobra8.6[Table.Column],Cobra8.6[TYPE],"",0,1)</f>
        <v/>
      </c>
      <c r="AA18" t="str">
        <f>_xlfn.XLOOKUP(Table6[[#This Row],[Old Table.Column]],Cobra8.6[Table.Column],Cobra8.6[LENGTH],"",0,1)</f>
        <v/>
      </c>
      <c r="AB18"/>
    </row>
    <row r="19" spans="1:28" hidden="1" x14ac:dyDescent="0.2">
      <c r="A19" t="s">
        <v>28</v>
      </c>
      <c r="B19" s="17" t="s">
        <v>29</v>
      </c>
      <c r="C19" s="17" t="s">
        <v>80</v>
      </c>
      <c r="D19" s="17">
        <v>18</v>
      </c>
      <c r="E19" s="17" t="s">
        <v>48</v>
      </c>
      <c r="F19" t="str">
        <f>VLOOKUP($E19,'Data Type Lookup'!$A$1:$C$21,2,FALSE)</f>
        <v>NVARCHAR2</v>
      </c>
      <c r="G19" s="17">
        <v>59</v>
      </c>
      <c r="H19" s="17"/>
      <c r="I19" s="29"/>
      <c r="J19" s="29"/>
      <c r="K19" s="29"/>
      <c r="L19" s="29"/>
      <c r="M19" s="17"/>
      <c r="N19" s="17"/>
      <c r="O19" s="17"/>
      <c r="P19" s="17"/>
      <c r="Q19" s="17"/>
      <c r="R19" s="17"/>
      <c r="S19" s="17"/>
      <c r="W19" t="str">
        <f t="shared" si="0"/>
        <v>CODE.D5</v>
      </c>
      <c r="X19" t="e">
        <f>VLOOKUP(W19,ColumnMapping[New Table.Column],1,)</f>
        <v>#N/A</v>
      </c>
      <c r="Y19" t="str">
        <f>_xlfn.XLOOKUP(Table6[[#This Row],[Table.Column]],ColumnMapping[Add Column Name],ColumnMapping[Old Table.Column],"",0,1)</f>
        <v/>
      </c>
      <c r="Z19" t="str">
        <f>_xlfn.XLOOKUP(Table6[[#This Row],[Old Table.Column]],Cobra8.6[Table.Column],Cobra8.6[TYPE],"",0,1)</f>
        <v/>
      </c>
      <c r="AA19" t="str">
        <f>_xlfn.XLOOKUP(Table6[[#This Row],[Old Table.Column]],Cobra8.6[Table.Column],Cobra8.6[LENGTH],"",0,1)</f>
        <v/>
      </c>
      <c r="AB19"/>
    </row>
    <row r="20" spans="1:28" hidden="1" x14ac:dyDescent="0.2">
      <c r="A20" t="s">
        <v>28</v>
      </c>
      <c r="B20" s="17" t="s">
        <v>29</v>
      </c>
      <c r="C20" s="17" t="s">
        <v>81</v>
      </c>
      <c r="D20" s="17">
        <v>19</v>
      </c>
      <c r="E20" s="17" t="s">
        <v>48</v>
      </c>
      <c r="F20" t="str">
        <f>VLOOKUP($E20,'Data Type Lookup'!$A$1:$C$21,2,FALSE)</f>
        <v>NVARCHAR2</v>
      </c>
      <c r="G20" s="17">
        <v>59</v>
      </c>
      <c r="H20" s="17"/>
      <c r="I20" s="29"/>
      <c r="J20" s="29"/>
      <c r="K20" s="29"/>
      <c r="L20" s="29"/>
      <c r="M20" s="17"/>
      <c r="N20" s="17"/>
      <c r="O20" s="17"/>
      <c r="P20" s="17"/>
      <c r="Q20" s="17"/>
      <c r="R20" s="17"/>
      <c r="S20" s="17"/>
      <c r="W20" t="str">
        <f t="shared" si="0"/>
        <v>CODE.D6</v>
      </c>
      <c r="X20" t="e">
        <f>VLOOKUP(W20,ColumnMapping[New Table.Column],1,)</f>
        <v>#N/A</v>
      </c>
      <c r="Y20" t="str">
        <f>_xlfn.XLOOKUP(Table6[[#This Row],[Table.Column]],ColumnMapping[Add Column Name],ColumnMapping[Old Table.Column],"",0,1)</f>
        <v/>
      </c>
      <c r="Z20" t="str">
        <f>_xlfn.XLOOKUP(Table6[[#This Row],[Old Table.Column]],Cobra8.6[Table.Column],Cobra8.6[TYPE],"",0,1)</f>
        <v/>
      </c>
      <c r="AA20" t="str">
        <f>_xlfn.XLOOKUP(Table6[[#This Row],[Old Table.Column]],Cobra8.6[Table.Column],Cobra8.6[LENGTH],"",0,1)</f>
        <v/>
      </c>
      <c r="AB20"/>
    </row>
    <row r="21" spans="1:28" hidden="1" x14ac:dyDescent="0.2">
      <c r="A21" t="s">
        <v>28</v>
      </c>
      <c r="B21" s="17" t="s">
        <v>29</v>
      </c>
      <c r="C21" s="17" t="s">
        <v>82</v>
      </c>
      <c r="D21" s="17">
        <v>20</v>
      </c>
      <c r="E21" s="17" t="s">
        <v>48</v>
      </c>
      <c r="F21" t="str">
        <f>VLOOKUP($E21,'Data Type Lookup'!$A$1:$C$21,2,FALSE)</f>
        <v>NVARCHAR2</v>
      </c>
      <c r="G21" s="17">
        <v>59</v>
      </c>
      <c r="H21" s="17"/>
      <c r="I21" s="29"/>
      <c r="J21" s="29"/>
      <c r="K21" s="29"/>
      <c r="L21" s="29"/>
      <c r="M21" s="17"/>
      <c r="N21" s="17"/>
      <c r="O21" s="17"/>
      <c r="P21" s="17"/>
      <c r="Q21" s="17"/>
      <c r="R21" s="17"/>
      <c r="S21" s="17"/>
      <c r="W21" t="str">
        <f t="shared" si="0"/>
        <v>CODE.D7</v>
      </c>
      <c r="X21" t="e">
        <f>VLOOKUP(W21,ColumnMapping[New Table.Column],1,)</f>
        <v>#N/A</v>
      </c>
      <c r="Y21" t="str">
        <f>_xlfn.XLOOKUP(Table6[[#This Row],[Table.Column]],ColumnMapping[Add Column Name],ColumnMapping[Old Table.Column],"",0,1)</f>
        <v/>
      </c>
      <c r="Z21" t="str">
        <f>_xlfn.XLOOKUP(Table6[[#This Row],[Old Table.Column]],Cobra8.6[Table.Column],Cobra8.6[TYPE],"",0,1)</f>
        <v/>
      </c>
      <c r="AA21" t="str">
        <f>_xlfn.XLOOKUP(Table6[[#This Row],[Old Table.Column]],Cobra8.6[Table.Column],Cobra8.6[LENGTH],"",0,1)</f>
        <v/>
      </c>
      <c r="AB21"/>
    </row>
    <row r="22" spans="1:28" hidden="1" x14ac:dyDescent="0.2">
      <c r="A22" t="s">
        <v>28</v>
      </c>
      <c r="B22" s="17" t="s">
        <v>29</v>
      </c>
      <c r="C22" s="17" t="s">
        <v>83</v>
      </c>
      <c r="D22" s="17">
        <v>21</v>
      </c>
      <c r="E22" s="17" t="s">
        <v>48</v>
      </c>
      <c r="F22" t="str">
        <f>VLOOKUP($E22,'Data Type Lookup'!$A$1:$C$21,2,FALSE)</f>
        <v>NVARCHAR2</v>
      </c>
      <c r="G22" s="17">
        <v>59</v>
      </c>
      <c r="H22" s="17"/>
      <c r="I22" s="29"/>
      <c r="J22" s="29"/>
      <c r="K22" s="29"/>
      <c r="L22" s="29"/>
      <c r="M22" s="17"/>
      <c r="N22" s="17"/>
      <c r="O22" s="17"/>
      <c r="P22" s="17"/>
      <c r="Q22" s="17"/>
      <c r="R22" s="17"/>
      <c r="S22" s="17"/>
      <c r="W22" t="str">
        <f t="shared" si="0"/>
        <v>CODE.D8</v>
      </c>
      <c r="X22" t="e">
        <f>VLOOKUP(W22,ColumnMapping[New Table.Column],1,)</f>
        <v>#N/A</v>
      </c>
      <c r="Y22" t="str">
        <f>_xlfn.XLOOKUP(Table6[[#This Row],[Table.Column]],ColumnMapping[Add Column Name],ColumnMapping[Old Table.Column],"",0,1)</f>
        <v/>
      </c>
      <c r="Z22" t="str">
        <f>_xlfn.XLOOKUP(Table6[[#This Row],[Old Table.Column]],Cobra8.6[Table.Column],Cobra8.6[TYPE],"",0,1)</f>
        <v/>
      </c>
      <c r="AA22" t="str">
        <f>_xlfn.XLOOKUP(Table6[[#This Row],[Old Table.Column]],Cobra8.6[Table.Column],Cobra8.6[LENGTH],"",0,1)</f>
        <v/>
      </c>
      <c r="AB22"/>
    </row>
    <row r="23" spans="1:28" hidden="1" x14ac:dyDescent="0.2">
      <c r="A23" t="s">
        <v>28</v>
      </c>
      <c r="B23" s="17" t="s">
        <v>29</v>
      </c>
      <c r="C23" s="17" t="s">
        <v>84</v>
      </c>
      <c r="D23" s="17">
        <v>22</v>
      </c>
      <c r="E23" s="17" t="s">
        <v>48</v>
      </c>
      <c r="F23" t="str">
        <f>VLOOKUP($E23,'Data Type Lookup'!$A$1:$C$21,2,FALSE)</f>
        <v>NVARCHAR2</v>
      </c>
      <c r="G23" s="17">
        <v>59</v>
      </c>
      <c r="H23" s="17"/>
      <c r="I23" s="29"/>
      <c r="J23" s="29"/>
      <c r="K23" s="29"/>
      <c r="L23" s="29"/>
      <c r="M23" s="17"/>
      <c r="N23" s="17"/>
      <c r="O23" s="17"/>
      <c r="P23" s="17"/>
      <c r="Q23" s="17"/>
      <c r="R23" s="17"/>
      <c r="S23" s="17"/>
      <c r="W23" t="str">
        <f t="shared" si="0"/>
        <v>CODE.D9</v>
      </c>
      <c r="X23" t="e">
        <f>VLOOKUP(W23,ColumnMapping[New Table.Column],1,)</f>
        <v>#N/A</v>
      </c>
      <c r="Y23" t="str">
        <f>_xlfn.XLOOKUP(Table6[[#This Row],[Table.Column]],ColumnMapping[Add Column Name],ColumnMapping[Old Table.Column],"",0,1)</f>
        <v/>
      </c>
      <c r="Z23" t="str">
        <f>_xlfn.XLOOKUP(Table6[[#This Row],[Old Table.Column]],Cobra8.6[Table.Column],Cobra8.6[TYPE],"",0,1)</f>
        <v/>
      </c>
      <c r="AA23" t="str">
        <f>_xlfn.XLOOKUP(Table6[[#This Row],[Old Table.Column]],Cobra8.6[Table.Column],Cobra8.6[LENGTH],"",0,1)</f>
        <v/>
      </c>
      <c r="AB23"/>
    </row>
    <row r="24" spans="1:28" hidden="1" x14ac:dyDescent="0.2">
      <c r="A24" t="s">
        <v>28</v>
      </c>
      <c r="B24" s="17" t="s">
        <v>29</v>
      </c>
      <c r="C24" s="17" t="s">
        <v>85</v>
      </c>
      <c r="D24" s="17">
        <v>23</v>
      </c>
      <c r="E24" t="s">
        <v>86</v>
      </c>
      <c r="F24" t="str">
        <f>VLOOKUP($E24,'Data Type Lookup'!$A$1:$C$21,2,FALSE)</f>
        <v>VARCHAR2</v>
      </c>
      <c r="G24" s="17">
        <v>60</v>
      </c>
      <c r="H24" s="17"/>
      <c r="I24" s="29"/>
      <c r="J24" s="29"/>
      <c r="K24" s="29"/>
      <c r="L24" s="29"/>
      <c r="M24" s="17"/>
      <c r="N24" s="17"/>
      <c r="O24" s="17"/>
      <c r="P24" s="17"/>
      <c r="Q24" s="17"/>
      <c r="R24" s="17"/>
      <c r="S24" s="17"/>
      <c r="W24" t="str">
        <f t="shared" si="0"/>
        <v>CODE.TAG</v>
      </c>
      <c r="X24" t="str">
        <f>VLOOKUP(W24,ColumnMapping[New Table.Column],1,)</f>
        <v>CODE.TAG</v>
      </c>
      <c r="Y24" t="str">
        <f>_xlfn.XLOOKUP(Table6[[#This Row],[Table.Column]],ColumnMapping[Add Column Name],ColumnMapping[Old Table.Column],"",0,1)</f>
        <v>BDNDETL.TAG</v>
      </c>
      <c r="Z24" t="str">
        <f>_xlfn.XLOOKUP(Table6[[#This Row],[Old Table.Column]],Cobra8.6[Table.Column],Cobra8.6[TYPE],"",0,1)</f>
        <v>TEXT</v>
      </c>
      <c r="AA24">
        <f>_xlfn.XLOOKUP(Table6[[#This Row],[Old Table.Column]],Cobra8.6[Table.Column],Cobra8.6[LENGTH],"",0,1)</f>
        <v>60</v>
      </c>
      <c r="AB24"/>
    </row>
    <row r="25" spans="1:28" hidden="1" x14ac:dyDescent="0.2">
      <c r="A25" t="s">
        <v>28</v>
      </c>
      <c r="B25" s="17" t="s">
        <v>29</v>
      </c>
      <c r="C25" s="17" t="s">
        <v>87</v>
      </c>
      <c r="D25" s="17"/>
      <c r="E25" s="17" t="s">
        <v>48</v>
      </c>
      <c r="F25" t="str">
        <f>VLOOKUP($E25,'Data Type Lookup'!$A$1:$C$21,2,FALSE)</f>
        <v>NVARCHAR2</v>
      </c>
      <c r="G25" s="17">
        <v>22</v>
      </c>
      <c r="H25" s="17"/>
      <c r="I25" s="29"/>
      <c r="J25" s="29"/>
      <c r="K25" s="29"/>
      <c r="L25" s="29"/>
      <c r="M25" s="17"/>
      <c r="N25" s="17"/>
      <c r="O25" s="17"/>
      <c r="P25" s="17"/>
      <c r="Q25" s="17"/>
      <c r="R25" s="17"/>
      <c r="S25" s="17"/>
      <c r="W25" t="str">
        <f t="shared" si="0"/>
        <v>CODE.BREAKFILE</v>
      </c>
      <c r="X25" t="e">
        <f>VLOOKUP(W25,ColumnMapping[New Table.Column],1,)</f>
        <v>#N/A</v>
      </c>
      <c r="Y25" t="str">
        <f>_xlfn.XLOOKUP(Table6[[#This Row],[Table.Column]],ColumnMapping[Add Column Name],ColumnMapping[Old Table.Column],"",0,1)</f>
        <v>BDNDETL.BREAKFILE</v>
      </c>
      <c r="Z25" t="str">
        <f>_xlfn.XLOOKUP(Table6[[#This Row],[Old Table.Column]],Cobra8.6[Table.Column],Cobra8.6[TYPE],"",0,1)</f>
        <v>TEXT</v>
      </c>
      <c r="AA25">
        <f>_xlfn.XLOOKUP(Table6[[#This Row],[Old Table.Column]],Cobra8.6[Table.Column],Cobra8.6[LENGTH],"",0,1)</f>
        <v>22</v>
      </c>
      <c r="AB25"/>
    </row>
    <row r="26" spans="1:28" hidden="1" x14ac:dyDescent="0.2">
      <c r="A26" t="s">
        <v>28</v>
      </c>
      <c r="B26" t="s">
        <v>40</v>
      </c>
      <c r="C26" t="s">
        <v>30</v>
      </c>
      <c r="D26">
        <v>1</v>
      </c>
      <c r="E26" t="s">
        <v>31</v>
      </c>
      <c r="F26" t="str">
        <f>VLOOKUP($E26,'Data Type Lookup'!$A$1:$C$21,2,FALSE)</f>
        <v>RAW(16)</v>
      </c>
      <c r="I26" s="32" t="s">
        <v>32</v>
      </c>
      <c r="K26" s="32" t="s">
        <v>32</v>
      </c>
      <c r="P26" t="s">
        <v>88</v>
      </c>
      <c r="Q26" t="s">
        <v>34</v>
      </c>
      <c r="R26" t="str">
        <f>VLOOKUP(E26,'Data Type Lookup'!$A$1:$C$21,3,FALSE)</f>
        <v>java.util.UUID</v>
      </c>
      <c r="S26">
        <v>3</v>
      </c>
      <c r="U26">
        <v>8</v>
      </c>
      <c r="W26" t="str">
        <f t="shared" si="0"/>
        <v>CODE_FILE.ROW_UID</v>
      </c>
      <c r="X26" t="str">
        <f>VLOOKUP(W26,ColumnMapping[New Table.Column],1,)</f>
        <v>CODE_FILE.ROW_UID</v>
      </c>
      <c r="Y26" t="str">
        <f>_xlfn.XLOOKUP(Table6[[#This Row],[Table.Column]],ColumnMapping[Add Column Name],ColumnMapping[Old Table.Column],"",0,1)</f>
        <v/>
      </c>
      <c r="Z26" t="str">
        <f>_xlfn.XLOOKUP(Table6[[#This Row],[Old Table.Column]],Cobra8.6[Table.Column],Cobra8.6[TYPE],"",0,1)</f>
        <v/>
      </c>
      <c r="AA26" t="str">
        <f>_xlfn.XLOOKUP(Table6[[#This Row],[Old Table.Column]],Cobra8.6[Table.Column],Cobra8.6[LENGTH],"",0,1)</f>
        <v/>
      </c>
    </row>
    <row r="27" spans="1:28" hidden="1" x14ac:dyDescent="0.2">
      <c r="A27" t="s">
        <v>28</v>
      </c>
      <c r="B27" t="s">
        <v>40</v>
      </c>
      <c r="C27" t="s">
        <v>35</v>
      </c>
      <c r="D27">
        <v>2</v>
      </c>
      <c r="E27" t="s">
        <v>36</v>
      </c>
      <c r="F27" t="str">
        <f>VLOOKUP($E27,'Data Type Lookup'!$A$1:$C$21,2,FALSE)</f>
        <v>NUMBER(19,0)</v>
      </c>
      <c r="I27" s="32" t="s">
        <v>32</v>
      </c>
      <c r="J27" s="32">
        <v>0</v>
      </c>
      <c r="P27" t="s">
        <v>37</v>
      </c>
      <c r="Q27" t="s">
        <v>38</v>
      </c>
      <c r="R27" t="str">
        <f>VLOOKUP(E27,'Data Type Lookup'!$A$1:$C$21,3,FALSE)</f>
        <v>Long</v>
      </c>
      <c r="S27">
        <v>3</v>
      </c>
      <c r="W27" t="str">
        <f t="shared" si="0"/>
        <v>CODE_FILE.SEQUENCE</v>
      </c>
      <c r="X27" t="str">
        <f>VLOOKUP(W27,ColumnMapping[New Table.Column],1,)</f>
        <v>CODE_FILE.SEQUENCE</v>
      </c>
      <c r="Y27" t="str">
        <f>_xlfn.XLOOKUP(Table6[[#This Row],[Table.Column]],ColumnMapping[Add Column Name],ColumnMapping[Old Table.Column],"",0,1)</f>
        <v/>
      </c>
      <c r="Z27" t="str">
        <f>_xlfn.XLOOKUP(Table6[[#This Row],[Old Table.Column]],Cobra8.6[Table.Column],Cobra8.6[TYPE],"",0,1)</f>
        <v/>
      </c>
      <c r="AA27" t="str">
        <f>_xlfn.XLOOKUP(Table6[[#This Row],[Old Table.Column]],Cobra8.6[Table.Column],Cobra8.6[LENGTH],"",0,1)</f>
        <v/>
      </c>
    </row>
    <row r="28" spans="1:28" hidden="1" x14ac:dyDescent="0.2">
      <c r="A28" t="s">
        <v>28</v>
      </c>
      <c r="B28" t="s">
        <v>40</v>
      </c>
      <c r="C28" t="s">
        <v>47</v>
      </c>
      <c r="D28">
        <v>3</v>
      </c>
      <c r="E28" t="s">
        <v>48</v>
      </c>
      <c r="F28" t="str">
        <f>VLOOKUP($E28,'Data Type Lookup'!$A$1:$C$21,2,FALSE)</f>
        <v>NVARCHAR2</v>
      </c>
      <c r="G28">
        <v>100</v>
      </c>
      <c r="L28" s="32" t="s">
        <v>32</v>
      </c>
      <c r="P28" t="s">
        <v>89</v>
      </c>
      <c r="Q28" t="s">
        <v>50</v>
      </c>
      <c r="R28" t="str">
        <f>VLOOKUP(E28,'Data Type Lookup'!$A$1:$C$21,3,FALSE)</f>
        <v>String</v>
      </c>
      <c r="W28" t="str">
        <f t="shared" si="0"/>
        <v>CODE_FILE.NAME</v>
      </c>
      <c r="X28" t="str">
        <f>VLOOKUP(W28,ColumnMapping[New Table.Column],1,)</f>
        <v>CODE_FILE.NAME</v>
      </c>
      <c r="Y28" t="str">
        <f>_xlfn.XLOOKUP(Table6[[#This Row],[Table.Column]],ColumnMapping[Add Column Name],ColumnMapping[Old Table.Column],"",0,1)</f>
        <v/>
      </c>
      <c r="Z28" t="str">
        <f>_xlfn.XLOOKUP(Table6[[#This Row],[Old Table.Column]],Cobra8.6[Table.Column],Cobra8.6[TYPE],"",0,1)</f>
        <v/>
      </c>
      <c r="AA28" t="str">
        <f>_xlfn.XLOOKUP(Table6[[#This Row],[Old Table.Column]],Cobra8.6[Table.Column],Cobra8.6[LENGTH],"",0,1)</f>
        <v/>
      </c>
    </row>
    <row r="29" spans="1:28" hidden="1" x14ac:dyDescent="0.2">
      <c r="A29" t="s">
        <v>28</v>
      </c>
      <c r="B29" t="s">
        <v>40</v>
      </c>
      <c r="C29" t="s">
        <v>90</v>
      </c>
      <c r="D29">
        <v>4</v>
      </c>
      <c r="E29" t="s">
        <v>86</v>
      </c>
      <c r="F29" t="str">
        <f>VLOOKUP($E29,'Data Type Lookup'!$A$1:$C$21,2,FALSE)</f>
        <v>VARCHAR2</v>
      </c>
      <c r="G29">
        <v>1</v>
      </c>
      <c r="I29" s="32" t="s">
        <v>32</v>
      </c>
      <c r="P29" t="s">
        <v>91</v>
      </c>
      <c r="Q29" t="s">
        <v>92</v>
      </c>
      <c r="R29" t="str">
        <f>VLOOKUP(E29,'Data Type Lookup'!$A$1:$C$21,3,FALSE)</f>
        <v>String</v>
      </c>
      <c r="W29" t="str">
        <f t="shared" si="0"/>
        <v>CODE_FILE.CODE_TYPE</v>
      </c>
      <c r="X29" t="str">
        <f>VLOOKUP(W29,ColumnMapping[New Table.Column],1,)</f>
        <v>CODE_FILE.CODE_TYPE</v>
      </c>
      <c r="Y29" t="str">
        <f>_xlfn.XLOOKUP(Table6[[#This Row],[Table.Column]],ColumnMapping[Add Column Name],ColumnMapping[Old Table.Column],"",0,1)</f>
        <v/>
      </c>
      <c r="Z29" t="str">
        <f>_xlfn.XLOOKUP(Table6[[#This Row],[Old Table.Column]],Cobra8.6[Table.Column],Cobra8.6[TYPE],"",0,1)</f>
        <v/>
      </c>
      <c r="AA29" t="str">
        <f>_xlfn.XLOOKUP(Table6[[#This Row],[Old Table.Column]],Cobra8.6[Table.Column],Cobra8.6[LENGTH],"",0,1)</f>
        <v/>
      </c>
    </row>
    <row r="30" spans="1:28" hidden="1" x14ac:dyDescent="0.2">
      <c r="A30" t="s">
        <v>28</v>
      </c>
      <c r="B30" t="s">
        <v>40</v>
      </c>
      <c r="C30" t="s">
        <v>93</v>
      </c>
      <c r="D30">
        <v>6</v>
      </c>
      <c r="E30" t="s">
        <v>86</v>
      </c>
      <c r="F30" t="str">
        <f>VLOOKUP($E30,'Data Type Lookup'!$A$1:$C$21,2,FALSE)</f>
        <v>VARCHAR2</v>
      </c>
      <c r="G30">
        <v>10</v>
      </c>
      <c r="I30" s="32" t="s">
        <v>32</v>
      </c>
      <c r="J30" s="37" t="s">
        <v>94</v>
      </c>
      <c r="P30" t="s">
        <v>95</v>
      </c>
      <c r="Q30" s="16" t="s">
        <v>96</v>
      </c>
      <c r="R30" t="str">
        <f>VLOOKUP(E30,'Data Type Lookup'!$A$1:$C$21,3,FALSE)</f>
        <v>String</v>
      </c>
      <c r="W30" t="str">
        <f t="shared" si="0"/>
        <v>CODE_FILE.TH_FLAGS</v>
      </c>
      <c r="X30" t="str">
        <f>VLOOKUP(W30,ColumnMapping[New Table.Column],1,)</f>
        <v>CODE_FILE.TH_FLAGS</v>
      </c>
      <c r="Y30" t="str">
        <f>_xlfn.XLOOKUP(Table6[[#This Row],[Table.Column]],ColumnMapping[Add Column Name],ColumnMapping[Old Table.Column],"",0,1)</f>
        <v>BREAKDWN.TH_FLAGS</v>
      </c>
      <c r="Z30" t="str">
        <f>_xlfn.XLOOKUP(Table6[[#This Row],[Old Table.Column]],Cobra8.6[Table.Column],Cobra8.6[TYPE],"",0,1)</f>
        <v>TEXT</v>
      </c>
      <c r="AA30">
        <f>_xlfn.XLOOKUP(Table6[[#This Row],[Old Table.Column]],Cobra8.6[Table.Column],Cobra8.6[LENGTH],"",0,1)</f>
        <v>10</v>
      </c>
      <c r="AB30" s="49" t="s">
        <v>32</v>
      </c>
    </row>
    <row r="31" spans="1:28" hidden="1" x14ac:dyDescent="0.2">
      <c r="A31" t="s">
        <v>28</v>
      </c>
      <c r="B31" t="s">
        <v>40</v>
      </c>
      <c r="C31" t="s">
        <v>15</v>
      </c>
      <c r="D31">
        <v>7</v>
      </c>
      <c r="E31" t="s">
        <v>48</v>
      </c>
      <c r="F31" t="str">
        <f>VLOOKUP($E31,'Data Type Lookup'!$A$1:$C$21,2,FALSE)</f>
        <v>NVARCHAR2</v>
      </c>
      <c r="G31">
        <v>256</v>
      </c>
      <c r="P31" t="s">
        <v>97</v>
      </c>
      <c r="Q31" t="s">
        <v>75</v>
      </c>
      <c r="R31" t="str">
        <f>VLOOKUP(E31,'Data Type Lookup'!$A$1:$C$21,3,FALSE)</f>
        <v>String</v>
      </c>
      <c r="W31" t="str">
        <f t="shared" si="0"/>
        <v>CODE_FILE.DESCRIPTION</v>
      </c>
      <c r="X31" t="str">
        <f>VLOOKUP(W31,ColumnMapping[New Table.Column],1,)</f>
        <v>CODE_FILE.DESCRIPTION</v>
      </c>
      <c r="Y31" t="str">
        <f>_xlfn.XLOOKUP(Table6[[#This Row],[Table.Column]],ColumnMapping[Add Column Name],ColumnMapping[Old Table.Column],"",0,1)</f>
        <v/>
      </c>
      <c r="Z31" t="str">
        <f>_xlfn.XLOOKUP(Table6[[#This Row],[Old Table.Column]],Cobra8.6[Table.Column],Cobra8.6[TYPE],"",0,1)</f>
        <v/>
      </c>
      <c r="AA31" t="str">
        <f>_xlfn.XLOOKUP(Table6[[#This Row],[Old Table.Column]],Cobra8.6[Table.Column],Cobra8.6[LENGTH],"",0,1)</f>
        <v/>
      </c>
    </row>
    <row r="32" spans="1:28" hidden="1" x14ac:dyDescent="0.2">
      <c r="A32" t="s">
        <v>28</v>
      </c>
      <c r="B32" t="s">
        <v>40</v>
      </c>
      <c r="C32" t="s">
        <v>98</v>
      </c>
      <c r="D32">
        <v>8</v>
      </c>
      <c r="E32" t="s">
        <v>48</v>
      </c>
      <c r="F32" t="str">
        <f>VLOOKUP($E32,'Data Type Lookup'!$A$1:$C$21,2,FALSE)</f>
        <v>NVARCHAR2</v>
      </c>
      <c r="G32">
        <v>30</v>
      </c>
      <c r="I32" s="32" t="s">
        <v>32</v>
      </c>
      <c r="P32" t="s">
        <v>99</v>
      </c>
      <c r="Q32" t="s">
        <v>100</v>
      </c>
      <c r="R32" t="str">
        <f>VLOOKUP(E32,'Data Type Lookup'!$A$1:$C$21,3,FALSE)</f>
        <v>String</v>
      </c>
      <c r="S32" s="6"/>
      <c r="U32" s="6"/>
      <c r="W32" t="str">
        <f t="shared" si="0"/>
        <v>CODE_FILE.FIELD_NAME</v>
      </c>
      <c r="X32" t="str">
        <f>VLOOKUP(W32,ColumnMapping[New Table.Column],1,)</f>
        <v>CODE_FILE.FIELD_NAME</v>
      </c>
      <c r="Y32" t="str">
        <f>_xlfn.XLOOKUP(Table6[[#This Row],[Table.Column]],ColumnMapping[Add Column Name],ColumnMapping[Old Table.Column],"",0,1)</f>
        <v/>
      </c>
      <c r="Z32" t="str">
        <f>_xlfn.XLOOKUP(Table6[[#This Row],[Old Table.Column]],Cobra8.6[Table.Column],Cobra8.6[TYPE],"",0,1)</f>
        <v/>
      </c>
      <c r="AA32" t="str">
        <f>_xlfn.XLOOKUP(Table6[[#This Row],[Old Table.Column]],Cobra8.6[Table.Column],Cobra8.6[LENGTH],"",0,1)</f>
        <v/>
      </c>
    </row>
    <row r="33" spans="1:28" hidden="1" x14ac:dyDescent="0.2">
      <c r="A33" t="s">
        <v>28</v>
      </c>
      <c r="B33" t="s">
        <v>40</v>
      </c>
      <c r="C33" t="s">
        <v>101</v>
      </c>
      <c r="D33">
        <v>9</v>
      </c>
      <c r="E33" t="s">
        <v>48</v>
      </c>
      <c r="F33" t="str">
        <f>VLOOKUP($E33,'Data Type Lookup'!$A$1:$C$21,2,FALSE)</f>
        <v>NVARCHAR2</v>
      </c>
      <c r="G33">
        <v>256</v>
      </c>
      <c r="P33" t="s">
        <v>102</v>
      </c>
      <c r="Q33" t="s">
        <v>103</v>
      </c>
      <c r="R33" t="str">
        <f>VLOOKUP(E33,'Data Type Lookup'!$A$1:$C$21,3,FALSE)</f>
        <v>String</v>
      </c>
      <c r="W33" t="str">
        <f t="shared" si="0"/>
        <v>CODE_FILE.FIELD_DESCRIPTION</v>
      </c>
      <c r="X33" t="str">
        <f>VLOOKUP(W33,ColumnMapping[New Table.Column],1,)</f>
        <v>CODE_FILE.FIELD_DESCRIPTION</v>
      </c>
      <c r="Y33" t="str">
        <f>_xlfn.XLOOKUP(Table6[[#This Row],[Table.Column]],ColumnMapping[Add Column Name],ColumnMapping[Old Table.Column],"",0,1)</f>
        <v/>
      </c>
      <c r="Z33" t="str">
        <f>_xlfn.XLOOKUP(Table6[[#This Row],[Old Table.Column]],Cobra8.6[Table.Column],Cobra8.6[TYPE],"",0,1)</f>
        <v/>
      </c>
      <c r="AA33" t="str">
        <f>_xlfn.XLOOKUP(Table6[[#This Row],[Old Table.Column]],Cobra8.6[Table.Column],Cobra8.6[LENGTH],"",0,1)</f>
        <v/>
      </c>
    </row>
    <row r="34" spans="1:28" hidden="1" x14ac:dyDescent="0.2">
      <c r="A34" t="s">
        <v>28</v>
      </c>
      <c r="B34" t="s">
        <v>40</v>
      </c>
      <c r="C34" t="s">
        <v>104</v>
      </c>
      <c r="D34">
        <v>10</v>
      </c>
      <c r="E34" t="s">
        <v>31</v>
      </c>
      <c r="F34" t="str">
        <f>VLOOKUP($E34,'Data Type Lookup'!$A$1:$C$21,2,FALSE)</f>
        <v>RAW(16)</v>
      </c>
      <c r="I34" s="32" t="s">
        <v>32</v>
      </c>
      <c r="P34" t="s">
        <v>105</v>
      </c>
      <c r="Q34" t="s">
        <v>106</v>
      </c>
      <c r="R34" t="str">
        <f>VLOOKUP(E34,'Data Type Lookup'!$A$1:$C$21,3,FALSE)</f>
        <v>java.util.UUID</v>
      </c>
      <c r="W34" t="str">
        <f t="shared" si="0"/>
        <v>CODE_FILE.OWNER_USER_UID</v>
      </c>
      <c r="X34" t="str">
        <f>VLOOKUP(W34,ColumnMapping[New Table.Column],1,)</f>
        <v>CODE_FILE.OWNER_USER_UID</v>
      </c>
      <c r="Y34" t="str">
        <f>_xlfn.XLOOKUP(Table6[[#This Row],[Table.Column]],ColumnMapping[Add Column Name],ColumnMapping[Old Table.Column],"",0,1)</f>
        <v/>
      </c>
      <c r="Z34" t="str">
        <f>_xlfn.XLOOKUP(Table6[[#This Row],[Old Table.Column]],Cobra8.6[Table.Column],Cobra8.6[TYPE],"",0,1)</f>
        <v/>
      </c>
      <c r="AA34" t="str">
        <f>_xlfn.XLOOKUP(Table6[[#This Row],[Old Table.Column]],Cobra8.6[Table.Column],Cobra8.6[LENGTH],"",0,1)</f>
        <v/>
      </c>
    </row>
    <row r="35" spans="1:28" hidden="1" x14ac:dyDescent="0.2">
      <c r="A35" t="s">
        <v>28</v>
      </c>
      <c r="B35" t="s">
        <v>40</v>
      </c>
      <c r="C35" t="s">
        <v>61</v>
      </c>
      <c r="D35">
        <v>11</v>
      </c>
      <c r="E35" t="s">
        <v>31</v>
      </c>
      <c r="F35" t="str">
        <f>VLOOKUP($E35,'Data Type Lookup'!$A$1:$C$21,2,FALSE)</f>
        <v>RAW(16)</v>
      </c>
      <c r="I35" s="32" t="s">
        <v>32</v>
      </c>
      <c r="P35" t="s">
        <v>107</v>
      </c>
      <c r="Q35" t="s">
        <v>63</v>
      </c>
      <c r="R35" t="str">
        <f>VLOOKUP(E35,'Data Type Lookup'!$A$1:$C$21,3,FALSE)</f>
        <v>java.util.UUID</v>
      </c>
      <c r="S35">
        <v>2</v>
      </c>
      <c r="W35" t="str">
        <f t="shared" si="0"/>
        <v>CODE_FILE.CREATED_BY_USER_UID</v>
      </c>
      <c r="X35" t="str">
        <f>VLOOKUP(W35,ColumnMapping[New Table.Column],1,)</f>
        <v>CODE_FILE.CREATED_BY_USER_UID</v>
      </c>
      <c r="Y35" t="str">
        <f>_xlfn.XLOOKUP(Table6[[#This Row],[Table.Column]],ColumnMapping[Add Column Name],ColumnMapping[Old Table.Column],"",0,1)</f>
        <v/>
      </c>
      <c r="Z35" t="str">
        <f>_xlfn.XLOOKUP(Table6[[#This Row],[Old Table.Column]],Cobra8.6[Table.Column],Cobra8.6[TYPE],"",0,1)</f>
        <v/>
      </c>
      <c r="AA35" t="str">
        <f>_xlfn.XLOOKUP(Table6[[#This Row],[Old Table.Column]],Cobra8.6[Table.Column],Cobra8.6[LENGTH],"",0,1)</f>
        <v/>
      </c>
    </row>
    <row r="36" spans="1:28" hidden="1" x14ac:dyDescent="0.2">
      <c r="A36" t="s">
        <v>28</v>
      </c>
      <c r="B36" t="s">
        <v>40</v>
      </c>
      <c r="C36" t="s">
        <v>64</v>
      </c>
      <c r="D36">
        <v>12</v>
      </c>
      <c r="E36" t="s">
        <v>65</v>
      </c>
      <c r="F36" t="str">
        <f>VLOOKUP($E36,'Data Type Lookup'!$A$1:$C$21,2,FALSE)</f>
        <v>TIMESTAMP</v>
      </c>
      <c r="I36" s="32" t="s">
        <v>32</v>
      </c>
      <c r="P36" t="s">
        <v>108</v>
      </c>
      <c r="Q36" t="s">
        <v>67</v>
      </c>
      <c r="R36" t="str">
        <f>VLOOKUP(E36,'Data Type Lookup'!$A$1:$C$21,3,FALSE)</f>
        <v>java.time.Instant</v>
      </c>
      <c r="S36">
        <v>2</v>
      </c>
      <c r="W36" t="str">
        <f t="shared" si="0"/>
        <v>CODE_FILE.CREATED_DATE</v>
      </c>
      <c r="X36" t="str">
        <f>VLOOKUP(W36,ColumnMapping[New Table.Column],1,)</f>
        <v>CODE_FILE.CREATED_DATE</v>
      </c>
      <c r="Y36" t="str">
        <f>_xlfn.XLOOKUP(Table6[[#This Row],[Table.Column]],ColumnMapping[Add Column Name],ColumnMapping[Old Table.Column],"",0,1)</f>
        <v/>
      </c>
      <c r="Z36" t="str">
        <f>_xlfn.XLOOKUP(Table6[[#This Row],[Old Table.Column]],Cobra8.6[Table.Column],Cobra8.6[TYPE],"",0,1)</f>
        <v/>
      </c>
      <c r="AA36" t="str">
        <f>_xlfn.XLOOKUP(Table6[[#This Row],[Old Table.Column]],Cobra8.6[Table.Column],Cobra8.6[LENGTH],"",0,1)</f>
        <v/>
      </c>
    </row>
    <row r="37" spans="1:28" hidden="1" x14ac:dyDescent="0.2">
      <c r="A37" t="s">
        <v>28</v>
      </c>
      <c r="B37" t="s">
        <v>40</v>
      </c>
      <c r="C37" t="s">
        <v>68</v>
      </c>
      <c r="D37">
        <v>13</v>
      </c>
      <c r="E37" t="s">
        <v>31</v>
      </c>
      <c r="F37" t="str">
        <f>VLOOKUP($E37,'Data Type Lookup'!$A$1:$C$21,2,FALSE)</f>
        <v>RAW(16)</v>
      </c>
      <c r="I37" s="32" t="s">
        <v>32</v>
      </c>
      <c r="P37" t="s">
        <v>109</v>
      </c>
      <c r="Q37" t="s">
        <v>70</v>
      </c>
      <c r="R37" t="str">
        <f>VLOOKUP(E37,'Data Type Lookup'!$A$1:$C$21,3,FALSE)</f>
        <v>java.util.UUID</v>
      </c>
      <c r="S37">
        <v>2</v>
      </c>
      <c r="W37" t="str">
        <f t="shared" si="0"/>
        <v>CODE_FILE.LAST_MODIFIED_BY_USER_UID</v>
      </c>
      <c r="X37" t="str">
        <f>VLOOKUP(W37,ColumnMapping[New Table.Column],1,)</f>
        <v>CODE_FILE.LAST_MODIFIED_BY_USER_UID</v>
      </c>
      <c r="Y37" t="str">
        <f>_xlfn.XLOOKUP(Table6[[#This Row],[Table.Column]],ColumnMapping[Add Column Name],ColumnMapping[Old Table.Column],"",0,1)</f>
        <v/>
      </c>
      <c r="Z37" t="str">
        <f>_xlfn.XLOOKUP(Table6[[#This Row],[Old Table.Column]],Cobra8.6[Table.Column],Cobra8.6[TYPE],"",0,1)</f>
        <v/>
      </c>
      <c r="AA37" t="str">
        <f>_xlfn.XLOOKUP(Table6[[#This Row],[Old Table.Column]],Cobra8.6[Table.Column],Cobra8.6[LENGTH],"",0,1)</f>
        <v/>
      </c>
    </row>
    <row r="38" spans="1:28" hidden="1" x14ac:dyDescent="0.2">
      <c r="A38" t="s">
        <v>28</v>
      </c>
      <c r="B38" t="s">
        <v>40</v>
      </c>
      <c r="C38" t="s">
        <v>71</v>
      </c>
      <c r="D38">
        <v>14</v>
      </c>
      <c r="E38" t="s">
        <v>65</v>
      </c>
      <c r="F38" t="str">
        <f>VLOOKUP($E38,'Data Type Lookup'!$A$1:$C$21,2,FALSE)</f>
        <v>TIMESTAMP</v>
      </c>
      <c r="I38" s="32" t="s">
        <v>32</v>
      </c>
      <c r="P38" t="s">
        <v>110</v>
      </c>
      <c r="Q38" t="s">
        <v>73</v>
      </c>
      <c r="R38" t="str">
        <f>VLOOKUP(E38,'Data Type Lookup'!$A$1:$C$21,3,FALSE)</f>
        <v>java.time.Instant</v>
      </c>
      <c r="S38">
        <v>2</v>
      </c>
      <c r="W38" t="str">
        <f t="shared" si="0"/>
        <v>CODE_FILE.LAST_MODIFIED_DATE</v>
      </c>
      <c r="X38" t="str">
        <f>VLOOKUP(W38,ColumnMapping[New Table.Column],1,)</f>
        <v>CODE_FILE.LAST_MODIFIED_DATE</v>
      </c>
      <c r="Y38" t="str">
        <f>_xlfn.XLOOKUP(Table6[[#This Row],[Table.Column]],ColumnMapping[Add Column Name],ColumnMapping[Old Table.Column],"",0,1)</f>
        <v/>
      </c>
      <c r="Z38" t="str">
        <f>_xlfn.XLOOKUP(Table6[[#This Row],[Old Table.Column]],Cobra8.6[Table.Column],Cobra8.6[TYPE],"",0,1)</f>
        <v/>
      </c>
      <c r="AA38" t="str">
        <f>_xlfn.XLOOKUP(Table6[[#This Row],[Old Table.Column]],Cobra8.6[Table.Column],Cobra8.6[LENGTH],"",0,1)</f>
        <v/>
      </c>
    </row>
    <row r="39" spans="1:28" hidden="1" x14ac:dyDescent="0.2">
      <c r="A39" t="s">
        <v>28</v>
      </c>
      <c r="B39" s="17" t="s">
        <v>40</v>
      </c>
      <c r="C39" s="17" t="s">
        <v>111</v>
      </c>
      <c r="D39" s="17">
        <v>15</v>
      </c>
      <c r="E39" t="s">
        <v>86</v>
      </c>
      <c r="F39" t="str">
        <f>VLOOKUP($E39,'Data Type Lookup'!$A$1:$C$21,2,FALSE)</f>
        <v>VARCHAR2</v>
      </c>
      <c r="G39" s="17">
        <v>1</v>
      </c>
      <c r="H39" s="17"/>
      <c r="I39" s="29"/>
      <c r="J39" s="29"/>
      <c r="K39" s="29"/>
      <c r="L39" s="29"/>
      <c r="M39" s="17"/>
      <c r="N39" s="17"/>
      <c r="O39" s="17"/>
      <c r="P39" s="17" t="s">
        <v>112</v>
      </c>
      <c r="Q39" s="17" t="str">
        <f t="shared" ref="Q39:Q61" si="1">IF(C39="","",LOWER(LEFT(TRIM(C39),FIND("_",TRIM(C39)&amp;"_")-1))&amp;SUBSTITUTE(PROPER(SUBSTITUTE(MID(TRIM(C39),FIND("_",TRIM(C39)&amp;"_"),LEN(TRIM(C39))),"_"," "))," ",""))</f>
        <v>padChar</v>
      </c>
      <c r="R39" t="str">
        <f>VLOOKUP(E39,'Data Type Lookup'!$A$1:$C$21,3,FALSE)</f>
        <v>String</v>
      </c>
      <c r="S39" s="17"/>
      <c r="W39" t="str">
        <f t="shared" si="0"/>
        <v>CODE_FILE.PAD_CHAR</v>
      </c>
      <c r="X39" t="str">
        <f>VLOOKUP(W39,ColumnMapping[New Table.Column],1,)</f>
        <v>CODE_FILE.PAD_CHAR</v>
      </c>
      <c r="Y39" t="str">
        <f>_xlfn.XLOOKUP(Table6[[#This Row],[Table.Column]],ColumnMapping[Add Column Name],ColumnMapping[Old Table.Column],"",0,1)</f>
        <v>BREAKDWN.PAD_CHAR</v>
      </c>
      <c r="Z39" t="str">
        <f>_xlfn.XLOOKUP(Table6[[#This Row],[Old Table.Column]],Cobra8.6[Table.Column],Cobra8.6[TYPE],"",0,1)</f>
        <v>TEXT</v>
      </c>
      <c r="AA39">
        <f>_xlfn.XLOOKUP(Table6[[#This Row],[Old Table.Column]],Cobra8.6[Table.Column],Cobra8.6[LENGTH],"",0,1)</f>
        <v>1</v>
      </c>
      <c r="AB39" s="49" t="s">
        <v>32</v>
      </c>
    </row>
    <row r="40" spans="1:28" hidden="1" x14ac:dyDescent="0.2">
      <c r="A40" t="s">
        <v>28</v>
      </c>
      <c r="B40" s="17" t="s">
        <v>40</v>
      </c>
      <c r="C40" s="17" t="s">
        <v>113</v>
      </c>
      <c r="D40" s="17">
        <v>16</v>
      </c>
      <c r="E40" t="s">
        <v>36</v>
      </c>
      <c r="F40" t="str">
        <f>VLOOKUP($E40,'Data Type Lookup'!$A$1:$C$21,2,FALSE)</f>
        <v>NUMBER(19,0)</v>
      </c>
      <c r="G40" s="17"/>
      <c r="H40" s="17"/>
      <c r="I40" s="29"/>
      <c r="J40" s="29">
        <v>0</v>
      </c>
      <c r="K40" s="29"/>
      <c r="L40" s="29"/>
      <c r="M40" s="17"/>
      <c r="N40" s="17"/>
      <c r="O40" s="17"/>
      <c r="P40" s="17" t="s">
        <v>114</v>
      </c>
      <c r="Q40" s="17" t="str">
        <f t="shared" si="1"/>
        <v>maxLevel</v>
      </c>
      <c r="R40" t="str">
        <f>VLOOKUP(E40,'Data Type Lookup'!$A$1:$C$21,3,FALSE)</f>
        <v>Long</v>
      </c>
      <c r="S40" s="17"/>
      <c r="W40" t="str">
        <f t="shared" si="0"/>
        <v>CODE_FILE.MAX_LEVEL</v>
      </c>
      <c r="X40" t="str">
        <f>VLOOKUP(W40,ColumnMapping[New Table.Column],1,)</f>
        <v>CODE_FILE.MAX_LEVEL</v>
      </c>
      <c r="Y40" t="str">
        <f>_xlfn.XLOOKUP(Table6[[#This Row],[Table.Column]],ColumnMapping[Add Column Name],ColumnMapping[Old Table.Column],"",0,1)</f>
        <v>BREAKDWN.MAX_LEVEL</v>
      </c>
      <c r="Z40" t="str">
        <f>_xlfn.XLOOKUP(Table6[[#This Row],[Old Table.Column]],Cobra8.6[Table.Column],Cobra8.6[TYPE],"",0,1)</f>
        <v>INTE</v>
      </c>
      <c r="AA40">
        <f>_xlfn.XLOOKUP(Table6[[#This Row],[Old Table.Column]],Cobra8.6[Table.Column],Cobra8.6[LENGTH],"",0,1)</f>
        <v>-1</v>
      </c>
      <c r="AB40" s="49" t="s">
        <v>32</v>
      </c>
    </row>
    <row r="41" spans="1:28" hidden="1" x14ac:dyDescent="0.2">
      <c r="A41" t="s">
        <v>28</v>
      </c>
      <c r="B41" s="17" t="s">
        <v>40</v>
      </c>
      <c r="C41" s="17" t="s">
        <v>115</v>
      </c>
      <c r="D41" s="17">
        <v>17</v>
      </c>
      <c r="E41" t="s">
        <v>36</v>
      </c>
      <c r="F41" t="str">
        <f>VLOOKUP($E41,'Data Type Lookup'!$A$1:$C$21,2,FALSE)</f>
        <v>NUMBER(19,0)</v>
      </c>
      <c r="G41" s="17"/>
      <c r="H41" s="17"/>
      <c r="I41" s="29"/>
      <c r="J41" s="29">
        <v>0</v>
      </c>
      <c r="K41" s="29"/>
      <c r="L41" s="29"/>
      <c r="M41" s="17"/>
      <c r="N41" s="17"/>
      <c r="O41" s="17"/>
      <c r="P41" s="17" t="s">
        <v>116</v>
      </c>
      <c r="Q41" s="17" t="str">
        <f t="shared" si="1"/>
        <v>level1</v>
      </c>
      <c r="R41" t="str">
        <f>VLOOKUP(E41,'Data Type Lookup'!$A$1:$C$21,3,FALSE)</f>
        <v>Long</v>
      </c>
      <c r="S41" s="17"/>
      <c r="W41" t="str">
        <f t="shared" si="0"/>
        <v>CODE_FILE.LEVEL1</v>
      </c>
      <c r="X41" t="str">
        <f>VLOOKUP(W41,ColumnMapping[New Table.Column],1,)</f>
        <v>CODE_FILE.LEVEL1</v>
      </c>
      <c r="Y41" t="str">
        <f>_xlfn.XLOOKUP(Table6[[#This Row],[Table.Column]],ColumnMapping[Add Column Name],ColumnMapping[Old Table.Column],"",0,1)</f>
        <v>BREAKDWN.LEVEL1</v>
      </c>
      <c r="Z41" t="str">
        <f>_xlfn.XLOOKUP(Table6[[#This Row],[Old Table.Column]],Cobra8.6[Table.Column],Cobra8.6[TYPE],"",0,1)</f>
        <v>INTE</v>
      </c>
      <c r="AA41">
        <f>_xlfn.XLOOKUP(Table6[[#This Row],[Old Table.Column]],Cobra8.6[Table.Column],Cobra8.6[LENGTH],"",0,1)</f>
        <v>-1</v>
      </c>
      <c r="AB41" s="49" t="s">
        <v>32</v>
      </c>
    </row>
    <row r="42" spans="1:28" hidden="1" x14ac:dyDescent="0.2">
      <c r="A42" t="s">
        <v>28</v>
      </c>
      <c r="B42" s="17" t="s">
        <v>40</v>
      </c>
      <c r="C42" s="17" t="s">
        <v>117</v>
      </c>
      <c r="D42" s="17">
        <v>18</v>
      </c>
      <c r="E42" t="s">
        <v>36</v>
      </c>
      <c r="F42" t="str">
        <f>VLOOKUP($E42,'Data Type Lookup'!$A$1:$C$21,2,FALSE)</f>
        <v>NUMBER(19,0)</v>
      </c>
      <c r="G42" s="17"/>
      <c r="H42" s="17"/>
      <c r="I42" s="29"/>
      <c r="J42" s="29">
        <v>0</v>
      </c>
      <c r="K42" s="29"/>
      <c r="L42" s="29"/>
      <c r="M42" s="17"/>
      <c r="N42" s="17"/>
      <c r="O42" s="17"/>
      <c r="P42" s="17" t="s">
        <v>118</v>
      </c>
      <c r="Q42" s="17" t="str">
        <f t="shared" si="1"/>
        <v>level2</v>
      </c>
      <c r="R42" t="str">
        <f>VLOOKUP(E42,'Data Type Lookup'!$A$1:$C$21,3,FALSE)</f>
        <v>Long</v>
      </c>
      <c r="S42" s="17"/>
      <c r="W42" t="str">
        <f t="shared" si="0"/>
        <v>CODE_FILE.LEVEL2</v>
      </c>
      <c r="X42" t="str">
        <f>VLOOKUP(W42,ColumnMapping[New Table.Column],1,)</f>
        <v>CODE_FILE.LEVEL2</v>
      </c>
      <c r="Y42" t="str">
        <f>_xlfn.XLOOKUP(Table6[[#This Row],[Table.Column]],ColumnMapping[Add Column Name],ColumnMapping[Old Table.Column],"",0,1)</f>
        <v>BREAKDWN.LEVEL2</v>
      </c>
      <c r="Z42" t="str">
        <f>_xlfn.XLOOKUP(Table6[[#This Row],[Old Table.Column]],Cobra8.6[Table.Column],Cobra8.6[TYPE],"",0,1)</f>
        <v>INTE</v>
      </c>
      <c r="AA42">
        <f>_xlfn.XLOOKUP(Table6[[#This Row],[Old Table.Column]],Cobra8.6[Table.Column],Cobra8.6[LENGTH],"",0,1)</f>
        <v>-1</v>
      </c>
      <c r="AB42" s="49" t="s">
        <v>32</v>
      </c>
    </row>
    <row r="43" spans="1:28" hidden="1" x14ac:dyDescent="0.2">
      <c r="A43" t="s">
        <v>28</v>
      </c>
      <c r="B43" s="17" t="s">
        <v>40</v>
      </c>
      <c r="C43" s="17" t="s">
        <v>119</v>
      </c>
      <c r="D43" s="17">
        <v>19</v>
      </c>
      <c r="E43" t="s">
        <v>36</v>
      </c>
      <c r="F43" t="str">
        <f>VLOOKUP($E43,'Data Type Lookup'!$A$1:$C$21,2,FALSE)</f>
        <v>NUMBER(19,0)</v>
      </c>
      <c r="G43" s="17"/>
      <c r="H43" s="17"/>
      <c r="I43" s="29"/>
      <c r="J43" s="29">
        <v>0</v>
      </c>
      <c r="K43" s="29"/>
      <c r="L43" s="29"/>
      <c r="M43" s="17"/>
      <c r="N43" s="17"/>
      <c r="O43" s="17"/>
      <c r="P43" s="17" t="s">
        <v>120</v>
      </c>
      <c r="Q43" s="17" t="str">
        <f t="shared" si="1"/>
        <v>level3</v>
      </c>
      <c r="R43" t="str">
        <f>VLOOKUP(E43,'Data Type Lookup'!$A$1:$C$21,3,FALSE)</f>
        <v>Long</v>
      </c>
      <c r="S43" s="17"/>
      <c r="W43" t="str">
        <f t="shared" si="0"/>
        <v>CODE_FILE.LEVEL3</v>
      </c>
      <c r="X43" t="str">
        <f>VLOOKUP(W43,ColumnMapping[New Table.Column],1,)</f>
        <v>CODE_FILE.LEVEL3</v>
      </c>
      <c r="Y43" t="str">
        <f>_xlfn.XLOOKUP(Table6[[#This Row],[Table.Column]],ColumnMapping[Add Column Name],ColumnMapping[Old Table.Column],"",0,1)</f>
        <v>BREAKDWN.LEVEL3</v>
      </c>
      <c r="Z43" t="str">
        <f>_xlfn.XLOOKUP(Table6[[#This Row],[Old Table.Column]],Cobra8.6[Table.Column],Cobra8.6[TYPE],"",0,1)</f>
        <v>INTE</v>
      </c>
      <c r="AA43">
        <f>_xlfn.XLOOKUP(Table6[[#This Row],[Old Table.Column]],Cobra8.6[Table.Column],Cobra8.6[LENGTH],"",0,1)</f>
        <v>-1</v>
      </c>
      <c r="AB43" s="49" t="s">
        <v>32</v>
      </c>
    </row>
    <row r="44" spans="1:28" hidden="1" x14ac:dyDescent="0.2">
      <c r="A44" t="s">
        <v>28</v>
      </c>
      <c r="B44" s="17" t="s">
        <v>40</v>
      </c>
      <c r="C44" s="17" t="s">
        <v>121</v>
      </c>
      <c r="D44" s="17">
        <v>20</v>
      </c>
      <c r="E44" t="s">
        <v>36</v>
      </c>
      <c r="F44" t="str">
        <f>VLOOKUP($E44,'Data Type Lookup'!$A$1:$C$21,2,FALSE)</f>
        <v>NUMBER(19,0)</v>
      </c>
      <c r="G44" s="17"/>
      <c r="H44" s="17"/>
      <c r="I44" s="29"/>
      <c r="J44" s="29">
        <v>0</v>
      </c>
      <c r="K44" s="29"/>
      <c r="L44" s="29"/>
      <c r="M44" s="17"/>
      <c r="N44" s="17"/>
      <c r="O44" s="17"/>
      <c r="P44" s="17" t="s">
        <v>122</v>
      </c>
      <c r="Q44" s="17" t="str">
        <f t="shared" si="1"/>
        <v>level4</v>
      </c>
      <c r="R44" t="str">
        <f>VLOOKUP(E44,'Data Type Lookup'!$A$1:$C$21,3,FALSE)</f>
        <v>Long</v>
      </c>
      <c r="S44" s="17"/>
      <c r="W44" t="str">
        <f t="shared" si="0"/>
        <v>CODE_FILE.LEVEL4</v>
      </c>
      <c r="X44" t="str">
        <f>VLOOKUP(W44,ColumnMapping[New Table.Column],1,)</f>
        <v>CODE_FILE.LEVEL4</v>
      </c>
      <c r="Y44" t="str">
        <f>_xlfn.XLOOKUP(Table6[[#This Row],[Table.Column]],ColumnMapping[Add Column Name],ColumnMapping[Old Table.Column],"",0,1)</f>
        <v>BREAKDWN.LEVEL4</v>
      </c>
      <c r="Z44" t="str">
        <f>_xlfn.XLOOKUP(Table6[[#This Row],[Old Table.Column]],Cobra8.6[Table.Column],Cobra8.6[TYPE],"",0,1)</f>
        <v>INTE</v>
      </c>
      <c r="AA44">
        <f>_xlfn.XLOOKUP(Table6[[#This Row],[Old Table.Column]],Cobra8.6[Table.Column],Cobra8.6[LENGTH],"",0,1)</f>
        <v>-1</v>
      </c>
      <c r="AB44" s="49" t="s">
        <v>32</v>
      </c>
    </row>
    <row r="45" spans="1:28" hidden="1" x14ac:dyDescent="0.2">
      <c r="A45" t="s">
        <v>28</v>
      </c>
      <c r="B45" s="17" t="s">
        <v>40</v>
      </c>
      <c r="C45" s="17" t="s">
        <v>123</v>
      </c>
      <c r="D45" s="17">
        <v>21</v>
      </c>
      <c r="E45" t="s">
        <v>36</v>
      </c>
      <c r="F45" t="str">
        <f>VLOOKUP($E45,'Data Type Lookup'!$A$1:$C$21,2,FALSE)</f>
        <v>NUMBER(19,0)</v>
      </c>
      <c r="G45" s="17"/>
      <c r="H45" s="17"/>
      <c r="I45" s="29"/>
      <c r="J45" s="29">
        <v>0</v>
      </c>
      <c r="K45" s="29"/>
      <c r="L45" s="29"/>
      <c r="M45" s="17"/>
      <c r="N45" s="17"/>
      <c r="O45" s="17"/>
      <c r="P45" s="17" t="s">
        <v>124</v>
      </c>
      <c r="Q45" s="17" t="str">
        <f t="shared" si="1"/>
        <v>level5</v>
      </c>
      <c r="R45" t="str">
        <f>VLOOKUP(E45,'Data Type Lookup'!$A$1:$C$21,3,FALSE)</f>
        <v>Long</v>
      </c>
      <c r="S45" s="17"/>
      <c r="W45" t="str">
        <f t="shared" si="0"/>
        <v>CODE_FILE.LEVEL5</v>
      </c>
      <c r="X45" t="str">
        <f>VLOOKUP(W45,ColumnMapping[New Table.Column],1,)</f>
        <v>CODE_FILE.LEVEL5</v>
      </c>
      <c r="Y45" t="str">
        <f>_xlfn.XLOOKUP(Table6[[#This Row],[Table.Column]],ColumnMapping[Add Column Name],ColumnMapping[Old Table.Column],"",0,1)</f>
        <v>BREAKDWN.LEVEL5</v>
      </c>
      <c r="Z45" t="str">
        <f>_xlfn.XLOOKUP(Table6[[#This Row],[Old Table.Column]],Cobra8.6[Table.Column],Cobra8.6[TYPE],"",0,1)</f>
        <v>INTE</v>
      </c>
      <c r="AA45">
        <f>_xlfn.XLOOKUP(Table6[[#This Row],[Old Table.Column]],Cobra8.6[Table.Column],Cobra8.6[LENGTH],"",0,1)</f>
        <v>-1</v>
      </c>
      <c r="AB45" s="49" t="s">
        <v>32</v>
      </c>
    </row>
    <row r="46" spans="1:28" hidden="1" x14ac:dyDescent="0.2">
      <c r="A46" t="s">
        <v>28</v>
      </c>
      <c r="B46" s="17" t="s">
        <v>40</v>
      </c>
      <c r="C46" s="17" t="s">
        <v>125</v>
      </c>
      <c r="D46" s="17">
        <v>22</v>
      </c>
      <c r="E46" t="s">
        <v>36</v>
      </c>
      <c r="F46" t="str">
        <f>VLOOKUP($E46,'Data Type Lookup'!$A$1:$C$21,2,FALSE)</f>
        <v>NUMBER(19,0)</v>
      </c>
      <c r="G46" s="17"/>
      <c r="H46" s="17"/>
      <c r="I46" s="29"/>
      <c r="J46" s="29">
        <v>0</v>
      </c>
      <c r="K46" s="29"/>
      <c r="L46" s="29"/>
      <c r="M46" s="17"/>
      <c r="N46" s="17"/>
      <c r="O46" s="17"/>
      <c r="P46" s="17" t="s">
        <v>126</v>
      </c>
      <c r="Q46" s="17" t="str">
        <f t="shared" si="1"/>
        <v>level6</v>
      </c>
      <c r="R46" t="str">
        <f>VLOOKUP(E46,'Data Type Lookup'!$A$1:$C$21,3,FALSE)</f>
        <v>Long</v>
      </c>
      <c r="S46" s="17"/>
      <c r="W46" t="str">
        <f t="shared" si="0"/>
        <v>CODE_FILE.LEVEL6</v>
      </c>
      <c r="X46" t="str">
        <f>VLOOKUP(W46,ColumnMapping[New Table.Column],1,)</f>
        <v>CODE_FILE.LEVEL6</v>
      </c>
      <c r="Y46" t="str">
        <f>_xlfn.XLOOKUP(Table6[[#This Row],[Table.Column]],ColumnMapping[Add Column Name],ColumnMapping[Old Table.Column],"",0,1)</f>
        <v>BREAKDWN.LEVEL6</v>
      </c>
      <c r="Z46" t="str">
        <f>_xlfn.XLOOKUP(Table6[[#This Row],[Old Table.Column]],Cobra8.6[Table.Column],Cobra8.6[TYPE],"",0,1)</f>
        <v>INTE</v>
      </c>
      <c r="AA46">
        <f>_xlfn.XLOOKUP(Table6[[#This Row],[Old Table.Column]],Cobra8.6[Table.Column],Cobra8.6[LENGTH],"",0,1)</f>
        <v>-1</v>
      </c>
      <c r="AB46" s="49" t="s">
        <v>32</v>
      </c>
    </row>
    <row r="47" spans="1:28" hidden="1" x14ac:dyDescent="0.2">
      <c r="A47" t="s">
        <v>28</v>
      </c>
      <c r="B47" s="17" t="s">
        <v>40</v>
      </c>
      <c r="C47" s="17" t="s">
        <v>127</v>
      </c>
      <c r="D47" s="17">
        <v>23</v>
      </c>
      <c r="E47" t="s">
        <v>36</v>
      </c>
      <c r="F47" t="str">
        <f>VLOOKUP($E47,'Data Type Lookup'!$A$1:$C$21,2,FALSE)</f>
        <v>NUMBER(19,0)</v>
      </c>
      <c r="G47" s="17"/>
      <c r="H47" s="17"/>
      <c r="I47" s="29"/>
      <c r="J47" s="29">
        <v>0</v>
      </c>
      <c r="K47" s="29"/>
      <c r="L47" s="29"/>
      <c r="M47" s="17"/>
      <c r="N47" s="17"/>
      <c r="O47" s="17"/>
      <c r="P47" s="17" t="s">
        <v>128</v>
      </c>
      <c r="Q47" s="17" t="str">
        <f t="shared" si="1"/>
        <v>level7</v>
      </c>
      <c r="R47" t="str">
        <f>VLOOKUP(E47,'Data Type Lookup'!$A$1:$C$21,3,FALSE)</f>
        <v>Long</v>
      </c>
      <c r="S47" s="17"/>
      <c r="W47" t="str">
        <f t="shared" si="0"/>
        <v>CODE_FILE.LEVEL7</v>
      </c>
      <c r="X47" t="str">
        <f>VLOOKUP(W47,ColumnMapping[New Table.Column],1,)</f>
        <v>CODE_FILE.LEVEL7</v>
      </c>
      <c r="Y47" t="str">
        <f>_xlfn.XLOOKUP(Table6[[#This Row],[Table.Column]],ColumnMapping[Add Column Name],ColumnMapping[Old Table.Column],"",0,1)</f>
        <v>BREAKDWN.LEVEL7</v>
      </c>
      <c r="Z47" t="str">
        <f>_xlfn.XLOOKUP(Table6[[#This Row],[Old Table.Column]],Cobra8.6[Table.Column],Cobra8.6[TYPE],"",0,1)</f>
        <v>INTE</v>
      </c>
      <c r="AA47">
        <f>_xlfn.XLOOKUP(Table6[[#This Row],[Old Table.Column]],Cobra8.6[Table.Column],Cobra8.6[LENGTH],"",0,1)</f>
        <v>-1</v>
      </c>
      <c r="AB47" s="49" t="s">
        <v>32</v>
      </c>
    </row>
    <row r="48" spans="1:28" hidden="1" x14ac:dyDescent="0.2">
      <c r="A48" t="s">
        <v>28</v>
      </c>
      <c r="B48" s="17" t="s">
        <v>40</v>
      </c>
      <c r="C48" s="17" t="s">
        <v>129</v>
      </c>
      <c r="D48" s="17">
        <v>24</v>
      </c>
      <c r="E48" t="s">
        <v>36</v>
      </c>
      <c r="F48" t="str">
        <f>VLOOKUP($E48,'Data Type Lookup'!$A$1:$C$21,2,FALSE)</f>
        <v>NUMBER(19,0)</v>
      </c>
      <c r="G48" s="17"/>
      <c r="H48" s="17"/>
      <c r="I48" s="29"/>
      <c r="J48" s="29">
        <v>0</v>
      </c>
      <c r="K48" s="29"/>
      <c r="L48" s="29"/>
      <c r="M48" s="17"/>
      <c r="N48" s="17"/>
      <c r="O48" s="17"/>
      <c r="P48" s="17" t="s">
        <v>130</v>
      </c>
      <c r="Q48" s="17" t="str">
        <f t="shared" si="1"/>
        <v>level8</v>
      </c>
      <c r="R48" t="str">
        <f>VLOOKUP(E48,'Data Type Lookup'!$A$1:$C$21,3,FALSE)</f>
        <v>Long</v>
      </c>
      <c r="S48" s="17"/>
      <c r="W48" t="str">
        <f t="shared" si="0"/>
        <v>CODE_FILE.LEVEL8</v>
      </c>
      <c r="X48" t="str">
        <f>VLOOKUP(W48,ColumnMapping[New Table.Column],1,)</f>
        <v>CODE_FILE.LEVEL8</v>
      </c>
      <c r="Y48" t="str">
        <f>_xlfn.XLOOKUP(Table6[[#This Row],[Table.Column]],ColumnMapping[Add Column Name],ColumnMapping[Old Table.Column],"",0,1)</f>
        <v>BREAKDWN.LEVEL8</v>
      </c>
      <c r="Z48" t="str">
        <f>_xlfn.XLOOKUP(Table6[[#This Row],[Old Table.Column]],Cobra8.6[Table.Column],Cobra8.6[TYPE],"",0,1)</f>
        <v>INTE</v>
      </c>
      <c r="AA48">
        <f>_xlfn.XLOOKUP(Table6[[#This Row],[Old Table.Column]],Cobra8.6[Table.Column],Cobra8.6[LENGTH],"",0,1)</f>
        <v>-1</v>
      </c>
      <c r="AB48" s="49" t="s">
        <v>32</v>
      </c>
    </row>
    <row r="49" spans="1:28" hidden="1" x14ac:dyDescent="0.2">
      <c r="A49" t="s">
        <v>28</v>
      </c>
      <c r="B49" s="17" t="s">
        <v>40</v>
      </c>
      <c r="C49" s="17" t="s">
        <v>131</v>
      </c>
      <c r="D49" s="17">
        <v>25</v>
      </c>
      <c r="E49" t="s">
        <v>36</v>
      </c>
      <c r="F49" t="str">
        <f>VLOOKUP($E49,'Data Type Lookup'!$A$1:$C$21,2,FALSE)</f>
        <v>NUMBER(19,0)</v>
      </c>
      <c r="G49" s="17"/>
      <c r="H49" s="17"/>
      <c r="I49" s="29"/>
      <c r="J49" s="29">
        <v>0</v>
      </c>
      <c r="K49" s="29"/>
      <c r="L49" s="29"/>
      <c r="M49" s="17"/>
      <c r="N49" s="17"/>
      <c r="O49" s="17"/>
      <c r="P49" s="17" t="s">
        <v>132</v>
      </c>
      <c r="Q49" s="17" t="str">
        <f t="shared" si="1"/>
        <v>level9</v>
      </c>
      <c r="R49" t="str">
        <f>VLOOKUP(E49,'Data Type Lookup'!$A$1:$C$21,3,FALSE)</f>
        <v>Long</v>
      </c>
      <c r="S49" s="17"/>
      <c r="W49" t="str">
        <f t="shared" si="0"/>
        <v>CODE_FILE.LEVEL9</v>
      </c>
      <c r="X49" t="str">
        <f>VLOOKUP(W49,ColumnMapping[New Table.Column],1,)</f>
        <v>CODE_FILE.LEVEL9</v>
      </c>
      <c r="Y49" t="str">
        <f>_xlfn.XLOOKUP(Table6[[#This Row],[Table.Column]],ColumnMapping[Add Column Name],ColumnMapping[Old Table.Column],"",0,1)</f>
        <v>BREAKDWN.LEVEL9</v>
      </c>
      <c r="Z49" t="str">
        <f>_xlfn.XLOOKUP(Table6[[#This Row],[Old Table.Column]],Cobra8.6[Table.Column],Cobra8.6[TYPE],"",0,1)</f>
        <v>INTE</v>
      </c>
      <c r="AA49">
        <f>_xlfn.XLOOKUP(Table6[[#This Row],[Old Table.Column]],Cobra8.6[Table.Column],Cobra8.6[LENGTH],"",0,1)</f>
        <v>-1</v>
      </c>
      <c r="AB49" s="49" t="s">
        <v>32</v>
      </c>
    </row>
    <row r="50" spans="1:28" hidden="1" x14ac:dyDescent="0.2">
      <c r="A50" t="s">
        <v>28</v>
      </c>
      <c r="B50" s="17" t="s">
        <v>40</v>
      </c>
      <c r="C50" s="17" t="s">
        <v>133</v>
      </c>
      <c r="D50" s="17">
        <v>26</v>
      </c>
      <c r="E50" t="s">
        <v>36</v>
      </c>
      <c r="F50" t="str">
        <f>VLOOKUP($E50,'Data Type Lookup'!$A$1:$C$21,2,FALSE)</f>
        <v>NUMBER(19,0)</v>
      </c>
      <c r="G50" s="17"/>
      <c r="H50" s="17"/>
      <c r="I50" s="29"/>
      <c r="J50" s="29">
        <v>0</v>
      </c>
      <c r="K50" s="29"/>
      <c r="L50" s="29"/>
      <c r="M50" s="17"/>
      <c r="N50" s="17"/>
      <c r="O50" s="17"/>
      <c r="P50" s="17" t="s">
        <v>134</v>
      </c>
      <c r="Q50" s="17" t="str">
        <f t="shared" si="1"/>
        <v>level10</v>
      </c>
      <c r="R50" t="str">
        <f>VLOOKUP(E50,'Data Type Lookup'!$A$1:$C$21,3,FALSE)</f>
        <v>Long</v>
      </c>
      <c r="S50" s="17"/>
      <c r="W50" t="str">
        <f t="shared" si="0"/>
        <v>CODE_FILE.LEVEL10</v>
      </c>
      <c r="X50" t="str">
        <f>VLOOKUP(W50,ColumnMapping[New Table.Column],1,)</f>
        <v>CODE_FILE.LEVEL10</v>
      </c>
      <c r="Y50" t="str">
        <f>_xlfn.XLOOKUP(Table6[[#This Row],[Table.Column]],ColumnMapping[Add Column Name],ColumnMapping[Old Table.Column],"",0,1)</f>
        <v>BREAKDWN.LEVEL10</v>
      </c>
      <c r="Z50" t="str">
        <f>_xlfn.XLOOKUP(Table6[[#This Row],[Old Table.Column]],Cobra8.6[Table.Column],Cobra8.6[TYPE],"",0,1)</f>
        <v>INTE</v>
      </c>
      <c r="AA50">
        <f>_xlfn.XLOOKUP(Table6[[#This Row],[Old Table.Column]],Cobra8.6[Table.Column],Cobra8.6[LENGTH],"",0,1)</f>
        <v>-1</v>
      </c>
      <c r="AB50" s="49" t="s">
        <v>32</v>
      </c>
    </row>
    <row r="51" spans="1:28" hidden="1" x14ac:dyDescent="0.2">
      <c r="A51" t="s">
        <v>28</v>
      </c>
      <c r="B51" s="17" t="s">
        <v>40</v>
      </c>
      <c r="C51" s="17" t="s">
        <v>135</v>
      </c>
      <c r="D51" s="17">
        <v>27</v>
      </c>
      <c r="E51" t="s">
        <v>36</v>
      </c>
      <c r="F51" t="str">
        <f>VLOOKUP($E51,'Data Type Lookup'!$A$1:$C$21,2,FALSE)</f>
        <v>NUMBER(19,0)</v>
      </c>
      <c r="G51" s="17"/>
      <c r="H51" s="17"/>
      <c r="I51" s="29"/>
      <c r="J51" s="29">
        <v>0</v>
      </c>
      <c r="K51" s="29"/>
      <c r="L51" s="29"/>
      <c r="M51" s="17"/>
      <c r="N51" s="17"/>
      <c r="O51" s="17"/>
      <c r="P51" s="17" t="s">
        <v>136</v>
      </c>
      <c r="Q51" s="17" t="str">
        <f t="shared" si="1"/>
        <v>level11</v>
      </c>
      <c r="R51" t="str">
        <f>VLOOKUP(E51,'Data Type Lookup'!$A$1:$C$21,3,FALSE)</f>
        <v>Long</v>
      </c>
      <c r="S51" s="17"/>
      <c r="W51" t="str">
        <f t="shared" si="0"/>
        <v>CODE_FILE.LEVEL11</v>
      </c>
      <c r="X51" t="str">
        <f>VLOOKUP(W51,ColumnMapping[New Table.Column],1,)</f>
        <v>CODE_FILE.LEVEL11</v>
      </c>
      <c r="Y51" t="str">
        <f>_xlfn.XLOOKUP(Table6[[#This Row],[Table.Column]],ColumnMapping[Add Column Name],ColumnMapping[Old Table.Column],"",0,1)</f>
        <v>BREAKDWN.LEVEL11</v>
      </c>
      <c r="Z51" t="str">
        <f>_xlfn.XLOOKUP(Table6[[#This Row],[Old Table.Column]],Cobra8.6[Table.Column],Cobra8.6[TYPE],"",0,1)</f>
        <v>INTE</v>
      </c>
      <c r="AA51">
        <f>_xlfn.XLOOKUP(Table6[[#This Row],[Old Table.Column]],Cobra8.6[Table.Column],Cobra8.6[LENGTH],"",0,1)</f>
        <v>-1</v>
      </c>
      <c r="AB51" s="49" t="s">
        <v>32</v>
      </c>
    </row>
    <row r="52" spans="1:28" hidden="1" x14ac:dyDescent="0.2">
      <c r="A52" t="s">
        <v>28</v>
      </c>
      <c r="B52" s="17" t="s">
        <v>40</v>
      </c>
      <c r="C52" s="17" t="s">
        <v>137</v>
      </c>
      <c r="D52" s="17">
        <v>28</v>
      </c>
      <c r="E52" t="s">
        <v>36</v>
      </c>
      <c r="F52" t="str">
        <f>VLOOKUP($E52,'Data Type Lookup'!$A$1:$C$21,2,FALSE)</f>
        <v>NUMBER(19,0)</v>
      </c>
      <c r="G52" s="17"/>
      <c r="H52" s="17"/>
      <c r="I52" s="29"/>
      <c r="J52" s="29">
        <v>0</v>
      </c>
      <c r="K52" s="29"/>
      <c r="L52" s="29"/>
      <c r="M52" s="17"/>
      <c r="N52" s="17"/>
      <c r="O52" s="17"/>
      <c r="P52" s="17" t="s">
        <v>138</v>
      </c>
      <c r="Q52" s="17" t="str">
        <f t="shared" si="1"/>
        <v>level12</v>
      </c>
      <c r="R52" t="str">
        <f>VLOOKUP(E52,'Data Type Lookup'!$A$1:$C$21,3,FALSE)</f>
        <v>Long</v>
      </c>
      <c r="S52" s="17"/>
      <c r="W52" t="str">
        <f t="shared" si="0"/>
        <v>CODE_FILE.LEVEL12</v>
      </c>
      <c r="X52" t="str">
        <f>VLOOKUP(W52,ColumnMapping[New Table.Column],1,)</f>
        <v>CODE_FILE.LEVEL12</v>
      </c>
      <c r="Y52" t="str">
        <f>_xlfn.XLOOKUP(Table6[[#This Row],[Table.Column]],ColumnMapping[Add Column Name],ColumnMapping[Old Table.Column],"",0,1)</f>
        <v>BREAKDWN.LEVEL12</v>
      </c>
      <c r="Z52" t="str">
        <f>_xlfn.XLOOKUP(Table6[[#This Row],[Old Table.Column]],Cobra8.6[Table.Column],Cobra8.6[TYPE],"",0,1)</f>
        <v>INTE</v>
      </c>
      <c r="AA52">
        <f>_xlfn.XLOOKUP(Table6[[#This Row],[Old Table.Column]],Cobra8.6[Table.Column],Cobra8.6[LENGTH],"",0,1)</f>
        <v>-1</v>
      </c>
      <c r="AB52" s="49" t="s">
        <v>32</v>
      </c>
    </row>
    <row r="53" spans="1:28" hidden="1" x14ac:dyDescent="0.2">
      <c r="A53" t="s">
        <v>28</v>
      </c>
      <c r="B53" s="17" t="s">
        <v>40</v>
      </c>
      <c r="C53" s="17" t="s">
        <v>139</v>
      </c>
      <c r="D53" s="17">
        <v>29</v>
      </c>
      <c r="E53" t="s">
        <v>36</v>
      </c>
      <c r="F53" t="str">
        <f>VLOOKUP($E53,'Data Type Lookup'!$A$1:$C$21,2,FALSE)</f>
        <v>NUMBER(19,0)</v>
      </c>
      <c r="G53" s="17"/>
      <c r="H53" s="17"/>
      <c r="I53" s="29"/>
      <c r="J53" s="29">
        <v>0</v>
      </c>
      <c r="K53" s="29"/>
      <c r="L53" s="29"/>
      <c r="M53" s="17"/>
      <c r="N53" s="17"/>
      <c r="O53" s="17"/>
      <c r="P53" s="17" t="s">
        <v>140</v>
      </c>
      <c r="Q53" s="17" t="str">
        <f t="shared" si="1"/>
        <v>level13</v>
      </c>
      <c r="R53" t="str">
        <f>VLOOKUP(E53,'Data Type Lookup'!$A$1:$C$21,3,FALSE)</f>
        <v>Long</v>
      </c>
      <c r="S53" s="17"/>
      <c r="W53" t="str">
        <f t="shared" si="0"/>
        <v>CODE_FILE.LEVEL13</v>
      </c>
      <c r="X53" t="str">
        <f>VLOOKUP(W53,ColumnMapping[New Table.Column],1,)</f>
        <v>CODE_FILE.LEVEL13</v>
      </c>
      <c r="Y53" t="str">
        <f>_xlfn.XLOOKUP(Table6[[#This Row],[Table.Column]],ColumnMapping[Add Column Name],ColumnMapping[Old Table.Column],"",0,1)</f>
        <v>BREAKDWN.LEVEL13</v>
      </c>
      <c r="Z53" t="str">
        <f>_xlfn.XLOOKUP(Table6[[#This Row],[Old Table.Column]],Cobra8.6[Table.Column],Cobra8.6[TYPE],"",0,1)</f>
        <v>INTE</v>
      </c>
      <c r="AA53">
        <f>_xlfn.XLOOKUP(Table6[[#This Row],[Old Table.Column]],Cobra8.6[Table.Column],Cobra8.6[LENGTH],"",0,1)</f>
        <v>-1</v>
      </c>
      <c r="AB53" s="49" t="s">
        <v>32</v>
      </c>
    </row>
    <row r="54" spans="1:28" hidden="1" x14ac:dyDescent="0.2">
      <c r="A54" t="s">
        <v>28</v>
      </c>
      <c r="B54" s="17" t="s">
        <v>40</v>
      </c>
      <c r="C54" s="17" t="s">
        <v>141</v>
      </c>
      <c r="D54" s="17">
        <v>30</v>
      </c>
      <c r="E54" t="s">
        <v>36</v>
      </c>
      <c r="F54" t="str">
        <f>VLOOKUP($E54,'Data Type Lookup'!$A$1:$C$21,2,FALSE)</f>
        <v>NUMBER(19,0)</v>
      </c>
      <c r="G54" s="17"/>
      <c r="H54" s="17"/>
      <c r="I54" s="29"/>
      <c r="J54" s="29">
        <v>0</v>
      </c>
      <c r="K54" s="29"/>
      <c r="L54" s="29"/>
      <c r="M54" s="17"/>
      <c r="N54" s="17"/>
      <c r="O54" s="17"/>
      <c r="P54" s="17" t="s">
        <v>142</v>
      </c>
      <c r="Q54" s="17" t="str">
        <f t="shared" si="1"/>
        <v>level14</v>
      </c>
      <c r="R54" t="str">
        <f>VLOOKUP(E54,'Data Type Lookup'!$A$1:$C$21,3,FALSE)</f>
        <v>Long</v>
      </c>
      <c r="S54" s="17"/>
      <c r="W54" t="str">
        <f t="shared" si="0"/>
        <v>CODE_FILE.LEVEL14</v>
      </c>
      <c r="X54" t="str">
        <f>VLOOKUP(W54,ColumnMapping[New Table.Column],1,)</f>
        <v>CODE_FILE.LEVEL14</v>
      </c>
      <c r="Y54" t="str">
        <f>_xlfn.XLOOKUP(Table6[[#This Row],[Table.Column]],ColumnMapping[Add Column Name],ColumnMapping[Old Table.Column],"",0,1)</f>
        <v>BREAKDWN.LEVEL14</v>
      </c>
      <c r="Z54" t="str">
        <f>_xlfn.XLOOKUP(Table6[[#This Row],[Old Table.Column]],Cobra8.6[Table.Column],Cobra8.6[TYPE],"",0,1)</f>
        <v>INTE</v>
      </c>
      <c r="AA54">
        <f>_xlfn.XLOOKUP(Table6[[#This Row],[Old Table.Column]],Cobra8.6[Table.Column],Cobra8.6[LENGTH],"",0,1)</f>
        <v>-1</v>
      </c>
      <c r="AB54" s="49" t="s">
        <v>32</v>
      </c>
    </row>
    <row r="55" spans="1:28" hidden="1" x14ac:dyDescent="0.2">
      <c r="A55" t="s">
        <v>28</v>
      </c>
      <c r="B55" s="17" t="s">
        <v>40</v>
      </c>
      <c r="C55" s="17" t="s">
        <v>143</v>
      </c>
      <c r="D55" s="17">
        <v>31</v>
      </c>
      <c r="E55" t="s">
        <v>36</v>
      </c>
      <c r="F55" t="str">
        <f>VLOOKUP($E55,'Data Type Lookup'!$A$1:$C$21,2,FALSE)</f>
        <v>NUMBER(19,0)</v>
      </c>
      <c r="G55" s="17"/>
      <c r="H55" s="17"/>
      <c r="I55" s="29"/>
      <c r="J55" s="29">
        <v>0</v>
      </c>
      <c r="K55" s="29"/>
      <c r="L55" s="29"/>
      <c r="M55" s="17"/>
      <c r="N55" s="17"/>
      <c r="O55" s="17"/>
      <c r="P55" s="17" t="s">
        <v>144</v>
      </c>
      <c r="Q55" s="17" t="str">
        <f t="shared" si="1"/>
        <v>level15</v>
      </c>
      <c r="R55" t="str">
        <f>VLOOKUP(E55,'Data Type Lookup'!$A$1:$C$21,3,FALSE)</f>
        <v>Long</v>
      </c>
      <c r="S55" s="17"/>
      <c r="W55" t="str">
        <f t="shared" si="0"/>
        <v>CODE_FILE.LEVEL15</v>
      </c>
      <c r="X55" t="str">
        <f>VLOOKUP(W55,ColumnMapping[New Table.Column],1,)</f>
        <v>CODE_FILE.LEVEL15</v>
      </c>
      <c r="Y55" t="str">
        <f>_xlfn.XLOOKUP(Table6[[#This Row],[Table.Column]],ColumnMapping[Add Column Name],ColumnMapping[Old Table.Column],"",0,1)</f>
        <v>BREAKDWN.LEVEL15</v>
      </c>
      <c r="Z55" t="str">
        <f>_xlfn.XLOOKUP(Table6[[#This Row],[Old Table.Column]],Cobra8.6[Table.Column],Cobra8.6[TYPE],"",0,1)</f>
        <v>INTE</v>
      </c>
      <c r="AA55">
        <f>_xlfn.XLOOKUP(Table6[[#This Row],[Old Table.Column]],Cobra8.6[Table.Column],Cobra8.6[LENGTH],"",0,1)</f>
        <v>-1</v>
      </c>
      <c r="AB55" s="49" t="s">
        <v>32</v>
      </c>
    </row>
    <row r="56" spans="1:28" hidden="1" x14ac:dyDescent="0.2">
      <c r="A56" t="s">
        <v>28</v>
      </c>
      <c r="B56" s="17" t="s">
        <v>40</v>
      </c>
      <c r="C56" s="17" t="s">
        <v>145</v>
      </c>
      <c r="D56" s="17">
        <v>32</v>
      </c>
      <c r="E56" t="s">
        <v>36</v>
      </c>
      <c r="F56" t="str">
        <f>VLOOKUP($E56,'Data Type Lookup'!$A$1:$C$21,2,FALSE)</f>
        <v>NUMBER(19,0)</v>
      </c>
      <c r="G56" s="17"/>
      <c r="H56" s="17"/>
      <c r="I56" s="29"/>
      <c r="J56" s="29">
        <v>0</v>
      </c>
      <c r="K56" s="29"/>
      <c r="L56" s="29"/>
      <c r="M56" s="17"/>
      <c r="N56" s="17"/>
      <c r="O56" s="17"/>
      <c r="P56" s="17" t="s">
        <v>146</v>
      </c>
      <c r="Q56" s="17" t="str">
        <f t="shared" si="1"/>
        <v>level16</v>
      </c>
      <c r="R56" t="str">
        <f>VLOOKUP(E56,'Data Type Lookup'!$A$1:$C$21,3,FALSE)</f>
        <v>Long</v>
      </c>
      <c r="S56" s="17"/>
      <c r="W56" t="str">
        <f t="shared" si="0"/>
        <v>CODE_FILE.LEVEL16</v>
      </c>
      <c r="X56" t="str">
        <f>VLOOKUP(W56,ColumnMapping[New Table.Column],1,)</f>
        <v>CODE_FILE.LEVEL16</v>
      </c>
      <c r="Y56" t="str">
        <f>_xlfn.XLOOKUP(Table6[[#This Row],[Table.Column]],ColumnMapping[Add Column Name],ColumnMapping[Old Table.Column],"",0,1)</f>
        <v>BREAKDWN.LEVEL16</v>
      </c>
      <c r="Z56" t="str">
        <f>_xlfn.XLOOKUP(Table6[[#This Row],[Old Table.Column]],Cobra8.6[Table.Column],Cobra8.6[TYPE],"",0,1)</f>
        <v>INTE</v>
      </c>
      <c r="AA56">
        <f>_xlfn.XLOOKUP(Table6[[#This Row],[Old Table.Column]],Cobra8.6[Table.Column],Cobra8.6[LENGTH],"",0,1)</f>
        <v>-1</v>
      </c>
      <c r="AB56" s="49" t="s">
        <v>32</v>
      </c>
    </row>
    <row r="57" spans="1:28" hidden="1" x14ac:dyDescent="0.2">
      <c r="A57" t="s">
        <v>28</v>
      </c>
      <c r="B57" s="17" t="s">
        <v>40</v>
      </c>
      <c r="C57" s="17" t="s">
        <v>147</v>
      </c>
      <c r="D57" s="17">
        <v>33</v>
      </c>
      <c r="E57" t="s">
        <v>36</v>
      </c>
      <c r="F57" t="str">
        <f>VLOOKUP($E57,'Data Type Lookup'!$A$1:$C$21,2,FALSE)</f>
        <v>NUMBER(19,0)</v>
      </c>
      <c r="G57" s="17"/>
      <c r="H57" s="17"/>
      <c r="I57" s="29"/>
      <c r="J57" s="29">
        <v>0</v>
      </c>
      <c r="K57" s="29"/>
      <c r="L57" s="29"/>
      <c r="M57" s="17"/>
      <c r="N57" s="17"/>
      <c r="O57" s="17"/>
      <c r="P57" s="17" t="s">
        <v>148</v>
      </c>
      <c r="Q57" s="17" t="str">
        <f t="shared" si="1"/>
        <v>level17</v>
      </c>
      <c r="R57" t="str">
        <f>VLOOKUP(E57,'Data Type Lookup'!$A$1:$C$21,3,FALSE)</f>
        <v>Long</v>
      </c>
      <c r="S57" s="17"/>
      <c r="W57" t="str">
        <f t="shared" si="0"/>
        <v>CODE_FILE.LEVEL17</v>
      </c>
      <c r="X57" t="str">
        <f>VLOOKUP(W57,ColumnMapping[New Table.Column],1,)</f>
        <v>CODE_FILE.LEVEL17</v>
      </c>
      <c r="Y57" t="str">
        <f>_xlfn.XLOOKUP(Table6[[#This Row],[Table.Column]],ColumnMapping[Add Column Name],ColumnMapping[Old Table.Column],"",0,1)</f>
        <v>BREAKDWN.LEVEL17</v>
      </c>
      <c r="Z57" t="str">
        <f>_xlfn.XLOOKUP(Table6[[#This Row],[Old Table.Column]],Cobra8.6[Table.Column],Cobra8.6[TYPE],"",0,1)</f>
        <v>INTE</v>
      </c>
      <c r="AA57">
        <f>_xlfn.XLOOKUP(Table6[[#This Row],[Old Table.Column]],Cobra8.6[Table.Column],Cobra8.6[LENGTH],"",0,1)</f>
        <v>-1</v>
      </c>
      <c r="AB57" s="49" t="s">
        <v>32</v>
      </c>
    </row>
    <row r="58" spans="1:28" hidden="1" x14ac:dyDescent="0.2">
      <c r="A58" t="s">
        <v>28</v>
      </c>
      <c r="B58" s="17" t="s">
        <v>40</v>
      </c>
      <c r="C58" s="17" t="s">
        <v>149</v>
      </c>
      <c r="D58" s="17">
        <v>34</v>
      </c>
      <c r="E58" t="s">
        <v>36</v>
      </c>
      <c r="F58" t="str">
        <f>VLOOKUP($E58,'Data Type Lookup'!$A$1:$C$21,2,FALSE)</f>
        <v>NUMBER(19,0)</v>
      </c>
      <c r="G58" s="17"/>
      <c r="H58" s="17"/>
      <c r="I58" s="29"/>
      <c r="J58" s="29">
        <v>0</v>
      </c>
      <c r="K58" s="29"/>
      <c r="L58" s="29"/>
      <c r="M58" s="17"/>
      <c r="N58" s="17"/>
      <c r="O58" s="17"/>
      <c r="P58" s="17" t="s">
        <v>150</v>
      </c>
      <c r="Q58" s="17" t="str">
        <f t="shared" si="1"/>
        <v>level18</v>
      </c>
      <c r="R58" t="str">
        <f>VLOOKUP(E58,'Data Type Lookup'!$A$1:$C$21,3,FALSE)</f>
        <v>Long</v>
      </c>
      <c r="S58" s="17"/>
      <c r="W58" t="str">
        <f t="shared" si="0"/>
        <v>CODE_FILE.LEVEL18</v>
      </c>
      <c r="X58" t="str">
        <f>VLOOKUP(W58,ColumnMapping[New Table.Column],1,)</f>
        <v>CODE_FILE.LEVEL18</v>
      </c>
      <c r="Y58" t="str">
        <f>_xlfn.XLOOKUP(Table6[[#This Row],[Table.Column]],ColumnMapping[Add Column Name],ColumnMapping[Old Table.Column],"",0,1)</f>
        <v>BREAKDWN.LEVEL18</v>
      </c>
      <c r="Z58" t="str">
        <f>_xlfn.XLOOKUP(Table6[[#This Row],[Old Table.Column]],Cobra8.6[Table.Column],Cobra8.6[TYPE],"",0,1)</f>
        <v>INTE</v>
      </c>
      <c r="AA58">
        <f>_xlfn.XLOOKUP(Table6[[#This Row],[Old Table.Column]],Cobra8.6[Table.Column],Cobra8.6[LENGTH],"",0,1)</f>
        <v>-1</v>
      </c>
      <c r="AB58" s="49" t="s">
        <v>32</v>
      </c>
    </row>
    <row r="59" spans="1:28" hidden="1" x14ac:dyDescent="0.2">
      <c r="A59" t="s">
        <v>28</v>
      </c>
      <c r="B59" s="17" t="s">
        <v>40</v>
      </c>
      <c r="C59" s="17" t="s">
        <v>151</v>
      </c>
      <c r="D59" s="17">
        <v>35</v>
      </c>
      <c r="E59" t="s">
        <v>36</v>
      </c>
      <c r="F59" t="str">
        <f>VLOOKUP($E59,'Data Type Lookup'!$A$1:$C$21,2,FALSE)</f>
        <v>NUMBER(19,0)</v>
      </c>
      <c r="G59" s="17"/>
      <c r="H59" s="17"/>
      <c r="I59" s="29"/>
      <c r="J59" s="29">
        <v>0</v>
      </c>
      <c r="K59" s="29"/>
      <c r="L59" s="29"/>
      <c r="M59" s="17"/>
      <c r="N59" s="17"/>
      <c r="O59" s="17"/>
      <c r="P59" s="17" t="s">
        <v>152</v>
      </c>
      <c r="Q59" s="17" t="str">
        <f t="shared" si="1"/>
        <v>level19</v>
      </c>
      <c r="R59" t="str">
        <f>VLOOKUP(E59,'Data Type Lookup'!$A$1:$C$21,3,FALSE)</f>
        <v>Long</v>
      </c>
      <c r="S59" s="17"/>
      <c r="W59" t="str">
        <f t="shared" si="0"/>
        <v>CODE_FILE.LEVEL19</v>
      </c>
      <c r="X59" t="str">
        <f>VLOOKUP(W59,ColumnMapping[New Table.Column],1,)</f>
        <v>CODE_FILE.LEVEL19</v>
      </c>
      <c r="Y59" t="str">
        <f>_xlfn.XLOOKUP(Table6[[#This Row],[Table.Column]],ColumnMapping[Add Column Name],ColumnMapping[Old Table.Column],"",0,1)</f>
        <v>BREAKDWN.LEVEL19</v>
      </c>
      <c r="Z59" t="str">
        <f>_xlfn.XLOOKUP(Table6[[#This Row],[Old Table.Column]],Cobra8.6[Table.Column],Cobra8.6[TYPE],"",0,1)</f>
        <v>INTE</v>
      </c>
      <c r="AA59">
        <f>_xlfn.XLOOKUP(Table6[[#This Row],[Old Table.Column]],Cobra8.6[Table.Column],Cobra8.6[LENGTH],"",0,1)</f>
        <v>-1</v>
      </c>
      <c r="AB59" s="49" t="s">
        <v>32</v>
      </c>
    </row>
    <row r="60" spans="1:28" hidden="1" x14ac:dyDescent="0.2">
      <c r="A60" t="s">
        <v>28</v>
      </c>
      <c r="B60" s="17" t="s">
        <v>40</v>
      </c>
      <c r="C60" s="17" t="s">
        <v>153</v>
      </c>
      <c r="D60" s="17">
        <v>36</v>
      </c>
      <c r="E60" t="s">
        <v>36</v>
      </c>
      <c r="F60" t="str">
        <f>VLOOKUP($E60,'Data Type Lookup'!$A$1:$C$21,2,FALSE)</f>
        <v>NUMBER(19,0)</v>
      </c>
      <c r="G60" s="17"/>
      <c r="H60" s="17"/>
      <c r="I60" s="29"/>
      <c r="J60" s="29">
        <v>0</v>
      </c>
      <c r="K60" s="29"/>
      <c r="L60" s="29"/>
      <c r="M60" s="17"/>
      <c r="N60" s="17"/>
      <c r="O60" s="17"/>
      <c r="P60" s="17" t="s">
        <v>154</v>
      </c>
      <c r="Q60" s="17" t="str">
        <f t="shared" si="1"/>
        <v>level20</v>
      </c>
      <c r="R60" t="str">
        <f>VLOOKUP(E60,'Data Type Lookup'!$A$1:$C$21,3,FALSE)</f>
        <v>Long</v>
      </c>
      <c r="S60" s="17"/>
      <c r="W60" t="str">
        <f t="shared" si="0"/>
        <v>CODE_FILE.LEVEL20</v>
      </c>
      <c r="X60" t="str">
        <f>VLOOKUP(W60,ColumnMapping[New Table.Column],1,)</f>
        <v>CODE_FILE.LEVEL20</v>
      </c>
      <c r="Y60" t="str">
        <f>_xlfn.XLOOKUP(Table6[[#This Row],[Table.Column]],ColumnMapping[Add Column Name],ColumnMapping[Old Table.Column],"",0,1)</f>
        <v>BREAKDWN.LEVEL20</v>
      </c>
      <c r="Z60" t="str">
        <f>_xlfn.XLOOKUP(Table6[[#This Row],[Old Table.Column]],Cobra8.6[Table.Column],Cobra8.6[TYPE],"",0,1)</f>
        <v>INTE</v>
      </c>
      <c r="AA60">
        <f>_xlfn.XLOOKUP(Table6[[#This Row],[Old Table.Column]],Cobra8.6[Table.Column],Cobra8.6[LENGTH],"",0,1)</f>
        <v>-1</v>
      </c>
      <c r="AB60" s="49" t="s">
        <v>32</v>
      </c>
    </row>
    <row r="61" spans="1:28" hidden="1" x14ac:dyDescent="0.2">
      <c r="A61" t="s">
        <v>28</v>
      </c>
      <c r="B61" s="17" t="s">
        <v>40</v>
      </c>
      <c r="C61" s="17" t="s">
        <v>155</v>
      </c>
      <c r="D61" s="17">
        <v>37</v>
      </c>
      <c r="E61" t="s">
        <v>36</v>
      </c>
      <c r="F61" t="str">
        <f>VLOOKUP($E61,'Data Type Lookup'!$A$1:$C$21,2,FALSE)</f>
        <v>NUMBER(19,0)</v>
      </c>
      <c r="G61" s="17"/>
      <c r="H61" s="17"/>
      <c r="I61" s="29"/>
      <c r="J61" s="29">
        <v>0</v>
      </c>
      <c r="K61" s="29"/>
      <c r="L61" s="29"/>
      <c r="M61" s="17"/>
      <c r="N61" s="17"/>
      <c r="O61" s="17"/>
      <c r="P61" s="17" t="s">
        <v>156</v>
      </c>
      <c r="Q61" s="17" t="str">
        <f t="shared" si="1"/>
        <v>codelength</v>
      </c>
      <c r="R61" t="str">
        <f>VLOOKUP(E61,'Data Type Lookup'!$A$1:$C$21,3,FALSE)</f>
        <v>Long</v>
      </c>
      <c r="S61" s="17"/>
      <c r="W61" t="str">
        <f t="shared" si="0"/>
        <v>CODE_FILE.CODELENGTH</v>
      </c>
      <c r="X61" t="str">
        <f>VLOOKUP(W61,ColumnMapping[New Table.Column],1,)</f>
        <v>CODE_FILE.CODELENGTH</v>
      </c>
      <c r="Y61" t="str">
        <f>_xlfn.XLOOKUP(Table6[[#This Row],[Table.Column]],ColumnMapping[Add Column Name],ColumnMapping[Old Table.Column],"",0,1)</f>
        <v>BREAKDWN.CODELENGTH</v>
      </c>
      <c r="Z61" t="str">
        <f>_xlfn.XLOOKUP(Table6[[#This Row],[Old Table.Column]],Cobra8.6[Table.Column],Cobra8.6[TYPE],"",0,1)</f>
        <v>INTE</v>
      </c>
      <c r="AA61">
        <f>_xlfn.XLOOKUP(Table6[[#This Row],[Old Table.Column]],Cobra8.6[Table.Column],Cobra8.6[LENGTH],"",0,1)</f>
        <v>-1</v>
      </c>
      <c r="AB61" s="49" t="s">
        <v>32</v>
      </c>
    </row>
    <row r="62" spans="1:28" hidden="1" x14ac:dyDescent="0.2">
      <c r="A62" t="s">
        <v>28</v>
      </c>
      <c r="B62" t="s">
        <v>157</v>
      </c>
      <c r="C62" t="s">
        <v>30</v>
      </c>
      <c r="D62">
        <v>1</v>
      </c>
      <c r="E62" t="s">
        <v>31</v>
      </c>
      <c r="F62" t="str">
        <f>VLOOKUP($E62,'Data Type Lookup'!$A$1:$C$21,2,FALSE)</f>
        <v>RAW(16)</v>
      </c>
      <c r="I62" s="32" t="s">
        <v>32</v>
      </c>
      <c r="K62" s="32" t="s">
        <v>32</v>
      </c>
      <c r="M62" t="s">
        <v>29</v>
      </c>
      <c r="N62" t="s">
        <v>30</v>
      </c>
      <c r="O62" t="s">
        <v>158</v>
      </c>
      <c r="P62" t="s">
        <v>159</v>
      </c>
      <c r="Q62" t="s">
        <v>34</v>
      </c>
      <c r="R62" t="str">
        <f>VLOOKUP(E62,'Data Type Lookup'!$A$1:$C$21,3,FALSE)</f>
        <v>java.util.UUID</v>
      </c>
      <c r="S62">
        <v>3</v>
      </c>
      <c r="W62" t="str">
        <f t="shared" si="0"/>
        <v>CODE_THRESHOLD.ROW_UID</v>
      </c>
      <c r="X62" t="str">
        <f>VLOOKUP(W62,ColumnMapping[New Table.Column],1,)</f>
        <v>CODE_THRESHOLD.ROW_UID</v>
      </c>
      <c r="Y62" t="str">
        <f>_xlfn.XLOOKUP(Table6[[#This Row],[Table.Column]],ColumnMapping[Add Column Name],ColumnMapping[Old Table.Column],"",0,1)</f>
        <v/>
      </c>
      <c r="Z62" t="str">
        <f>_xlfn.XLOOKUP(Table6[[#This Row],[Old Table.Column]],Cobra8.6[Table.Column],Cobra8.6[TYPE],"",0,1)</f>
        <v/>
      </c>
      <c r="AA62" t="str">
        <f>_xlfn.XLOOKUP(Table6[[#This Row],[Old Table.Column]],Cobra8.6[Table.Column],Cobra8.6[LENGTH],"",0,1)</f>
        <v/>
      </c>
      <c r="AB62"/>
    </row>
    <row r="63" spans="1:28" hidden="1" x14ac:dyDescent="0.2">
      <c r="A63" t="s">
        <v>28</v>
      </c>
      <c r="B63" t="s">
        <v>157</v>
      </c>
      <c r="C63" t="s">
        <v>35</v>
      </c>
      <c r="D63">
        <v>2</v>
      </c>
      <c r="E63" t="s">
        <v>36</v>
      </c>
      <c r="F63" t="str">
        <f>VLOOKUP($E63,'Data Type Lookup'!$A$1:$C$21,2,FALSE)</f>
        <v>NUMBER(19,0)</v>
      </c>
      <c r="I63" s="32" t="s">
        <v>32</v>
      </c>
      <c r="J63" s="32">
        <v>0</v>
      </c>
      <c r="P63" t="s">
        <v>37</v>
      </c>
      <c r="Q63" t="s">
        <v>38</v>
      </c>
      <c r="R63" t="str">
        <f>VLOOKUP(E63,'Data Type Lookup'!$A$1:$C$21,3,FALSE)</f>
        <v>Long</v>
      </c>
      <c r="S63">
        <v>3</v>
      </c>
      <c r="W63" t="str">
        <f t="shared" si="0"/>
        <v>CODE_THRESHOLD.SEQUENCE</v>
      </c>
      <c r="X63" t="str">
        <f>VLOOKUP(W63,ColumnMapping[New Table.Column],1,)</f>
        <v>CODE_THRESHOLD.SEQUENCE</v>
      </c>
      <c r="Y63" t="str">
        <f>_xlfn.XLOOKUP(Table6[[#This Row],[Table.Column]],ColumnMapping[Add Column Name],ColumnMapping[Old Table.Column],"",0,1)</f>
        <v/>
      </c>
      <c r="Z63" t="str">
        <f>_xlfn.XLOOKUP(Table6[[#This Row],[Old Table.Column]],Cobra8.6[Table.Column],Cobra8.6[TYPE],"",0,1)</f>
        <v/>
      </c>
      <c r="AA63" t="str">
        <f>_xlfn.XLOOKUP(Table6[[#This Row],[Old Table.Column]],Cobra8.6[Table.Column],Cobra8.6[LENGTH],"",0,1)</f>
        <v/>
      </c>
      <c r="AB63"/>
    </row>
    <row r="64" spans="1:28" hidden="1" x14ac:dyDescent="0.2">
      <c r="A64" t="s">
        <v>28</v>
      </c>
      <c r="B64" t="s">
        <v>157</v>
      </c>
      <c r="C64" t="s">
        <v>160</v>
      </c>
      <c r="D64">
        <v>4</v>
      </c>
      <c r="E64" t="s">
        <v>161</v>
      </c>
      <c r="F64" t="str">
        <f>VLOOKUP($E64,'Data Type Lookup'!$A$1:$C$21,2,FALSE)</f>
        <v>NUMBER(21,6)</v>
      </c>
      <c r="I64" s="32" t="s">
        <v>32</v>
      </c>
      <c r="J64" s="32">
        <v>0</v>
      </c>
      <c r="P64" s="10" t="s">
        <v>162</v>
      </c>
      <c r="Q64" s="17" t="s">
        <v>163</v>
      </c>
      <c r="R64" t="str">
        <f>VLOOKUP(E64,'Data Type Lookup'!$A$1:$C$21,3,FALSE)</f>
        <v>java.math.BigDecimal</v>
      </c>
      <c r="W64" t="str">
        <f t="shared" si="0"/>
        <v>CODE_THRESHOLD.SPVF</v>
      </c>
      <c r="X64" t="str">
        <f>VLOOKUP(W64,ColumnMapping[New Table.Column],1,)</f>
        <v>CODE_THRESHOLD.SPVF</v>
      </c>
      <c r="Y64" t="str">
        <f>_xlfn.XLOOKUP(Table6[[#This Row],[Table.Column]],ColumnMapping[Add Column Name],ColumnMapping[Old Table.Column],"",0,1)</f>
        <v/>
      </c>
      <c r="Z64" t="str">
        <f>_xlfn.XLOOKUP(Table6[[#This Row],[Old Table.Column]],Cobra8.6[Table.Column],Cobra8.6[TYPE],"",0,1)</f>
        <v/>
      </c>
      <c r="AA64" t="str">
        <f>_xlfn.XLOOKUP(Table6[[#This Row],[Old Table.Column]],Cobra8.6[Table.Column],Cobra8.6[LENGTH],"",0,1)</f>
        <v/>
      </c>
      <c r="AB64"/>
    </row>
    <row r="65" spans="1:28" hidden="1" x14ac:dyDescent="0.2">
      <c r="A65" t="s">
        <v>28</v>
      </c>
      <c r="B65" t="s">
        <v>157</v>
      </c>
      <c r="C65" t="s">
        <v>164</v>
      </c>
      <c r="D65">
        <v>5</v>
      </c>
      <c r="E65" t="s">
        <v>161</v>
      </c>
      <c r="F65" t="str">
        <f>VLOOKUP($E65,'Data Type Lookup'!$A$1:$C$21,2,FALSE)</f>
        <v>NUMBER(21,6)</v>
      </c>
      <c r="I65" s="32" t="s">
        <v>32</v>
      </c>
      <c r="J65" s="32">
        <v>0</v>
      </c>
      <c r="P65" s="10" t="s">
        <v>165</v>
      </c>
      <c r="Q65" s="17" t="s">
        <v>166</v>
      </c>
      <c r="R65" t="str">
        <f>VLOOKUP(E65,'Data Type Lookup'!$A$1:$C$21,3,FALSE)</f>
        <v>java.math.BigDecimal</v>
      </c>
      <c r="W65" t="str">
        <f t="shared" si="0"/>
        <v>CODE_THRESHOLD.SPVU</v>
      </c>
      <c r="X65" t="str">
        <f>VLOOKUP(W65,ColumnMapping[New Table.Column],1,)</f>
        <v>CODE_THRESHOLD.SPVU</v>
      </c>
      <c r="Y65" t="str">
        <f>_xlfn.XLOOKUP(Table6[[#This Row],[Table.Column]],ColumnMapping[Add Column Name],ColumnMapping[Old Table.Column],"",0,1)</f>
        <v/>
      </c>
      <c r="Z65" t="str">
        <f>_xlfn.XLOOKUP(Table6[[#This Row],[Old Table.Column]],Cobra8.6[Table.Column],Cobra8.6[TYPE],"",0,1)</f>
        <v/>
      </c>
      <c r="AA65" t="str">
        <f>_xlfn.XLOOKUP(Table6[[#This Row],[Old Table.Column]],Cobra8.6[Table.Column],Cobra8.6[LENGTH],"",0,1)</f>
        <v/>
      </c>
      <c r="AB65"/>
    </row>
    <row r="66" spans="1:28" hidden="1" x14ac:dyDescent="0.2">
      <c r="A66" t="s">
        <v>28</v>
      </c>
      <c r="B66" t="s">
        <v>157</v>
      </c>
      <c r="C66" t="s">
        <v>167</v>
      </c>
      <c r="D66">
        <v>6</v>
      </c>
      <c r="E66" t="s">
        <v>168</v>
      </c>
      <c r="F66" t="str">
        <f>VLOOKUP($E66,'Data Type Lookup'!$A$1:$C$21,2,FALSE)</f>
        <v>NUMBER(5,2)</v>
      </c>
      <c r="I66" s="32" t="s">
        <v>32</v>
      </c>
      <c r="J66" s="32">
        <v>0</v>
      </c>
      <c r="P66" s="10" t="s">
        <v>169</v>
      </c>
      <c r="Q66" t="s">
        <v>170</v>
      </c>
      <c r="R66" t="str">
        <f>VLOOKUP(E66,'Data Type Lookup'!$A$1:$C$21,3,FALSE)</f>
        <v>java.math.BigDecimal</v>
      </c>
      <c r="W66" t="str">
        <f t="shared" ref="W66:W131" si="2">_xlfn.CONCAT(B66,".",C66)</f>
        <v>CODE_THRESHOLD.SPPF</v>
      </c>
      <c r="X66" t="str">
        <f>VLOOKUP(W66,ColumnMapping[New Table.Column],1,)</f>
        <v>CODE_THRESHOLD.SPPF</v>
      </c>
      <c r="Y66" t="str">
        <f>_xlfn.XLOOKUP(Table6[[#This Row],[Table.Column]],ColumnMapping[Add Column Name],ColumnMapping[Old Table.Column],"",0,1)</f>
        <v/>
      </c>
      <c r="Z66" t="str">
        <f>_xlfn.XLOOKUP(Table6[[#This Row],[Old Table.Column]],Cobra8.6[Table.Column],Cobra8.6[TYPE],"",0,1)</f>
        <v/>
      </c>
      <c r="AA66" t="str">
        <f>_xlfn.XLOOKUP(Table6[[#This Row],[Old Table.Column]],Cobra8.6[Table.Column],Cobra8.6[LENGTH],"",0,1)</f>
        <v/>
      </c>
      <c r="AB66"/>
    </row>
    <row r="67" spans="1:28" hidden="1" x14ac:dyDescent="0.2">
      <c r="A67" t="s">
        <v>28</v>
      </c>
      <c r="B67" t="s">
        <v>157</v>
      </c>
      <c r="C67" t="s">
        <v>171</v>
      </c>
      <c r="D67">
        <v>7</v>
      </c>
      <c r="E67" t="s">
        <v>168</v>
      </c>
      <c r="F67" t="str">
        <f>VLOOKUP($E67,'Data Type Lookup'!$A$1:$C$21,2,FALSE)</f>
        <v>NUMBER(5,2)</v>
      </c>
      <c r="I67" s="32" t="s">
        <v>32</v>
      </c>
      <c r="J67" s="32">
        <v>0</v>
      </c>
      <c r="P67" s="10" t="s">
        <v>172</v>
      </c>
      <c r="Q67" s="17" t="s">
        <v>173</v>
      </c>
      <c r="R67" t="str">
        <f>VLOOKUP(E67,'Data Type Lookup'!$A$1:$C$21,3,FALSE)</f>
        <v>java.math.BigDecimal</v>
      </c>
      <c r="W67" t="str">
        <f t="shared" si="2"/>
        <v>CODE_THRESHOLD.SPPU</v>
      </c>
      <c r="X67" t="str">
        <f>VLOOKUP(W67,ColumnMapping[New Table.Column],1,)</f>
        <v>CODE_THRESHOLD.SPPU</v>
      </c>
      <c r="Y67" t="str">
        <f>_xlfn.XLOOKUP(Table6[[#This Row],[Table.Column]],ColumnMapping[Add Column Name],ColumnMapping[Old Table.Column],"",0,1)</f>
        <v/>
      </c>
      <c r="Z67" t="str">
        <f>_xlfn.XLOOKUP(Table6[[#This Row],[Old Table.Column]],Cobra8.6[Table.Column],Cobra8.6[TYPE],"",0,1)</f>
        <v/>
      </c>
      <c r="AA67" t="str">
        <f>_xlfn.XLOOKUP(Table6[[#This Row],[Old Table.Column]],Cobra8.6[Table.Column],Cobra8.6[LENGTH],"",0,1)</f>
        <v/>
      </c>
      <c r="AB67"/>
    </row>
    <row r="68" spans="1:28" hidden="1" x14ac:dyDescent="0.2">
      <c r="A68" t="s">
        <v>28</v>
      </c>
      <c r="B68" t="s">
        <v>157</v>
      </c>
      <c r="C68" t="s">
        <v>174</v>
      </c>
      <c r="D68">
        <v>8</v>
      </c>
      <c r="E68" t="s">
        <v>161</v>
      </c>
      <c r="F68" t="str">
        <f>VLOOKUP($E68,'Data Type Lookup'!$A$1:$C$21,2,FALSE)</f>
        <v>NUMBER(21,6)</v>
      </c>
      <c r="I68" s="32" t="s">
        <v>32</v>
      </c>
      <c r="J68" s="32">
        <v>0</v>
      </c>
      <c r="P68" s="10" t="s">
        <v>175</v>
      </c>
      <c r="Q68" s="17" t="s">
        <v>176</v>
      </c>
      <c r="R68" t="str">
        <f>VLOOKUP(E68,'Data Type Lookup'!$A$1:$C$21,3,FALSE)</f>
        <v>java.math.BigDecimal</v>
      </c>
      <c r="W68" t="str">
        <f t="shared" si="2"/>
        <v>CODE_THRESHOLD.SCVF</v>
      </c>
      <c r="X68" t="str">
        <f>VLOOKUP(W68,ColumnMapping[New Table.Column],1,)</f>
        <v>CODE_THRESHOLD.SCVF</v>
      </c>
      <c r="Y68" t="str">
        <f>_xlfn.XLOOKUP(Table6[[#This Row],[Table.Column]],ColumnMapping[Add Column Name],ColumnMapping[Old Table.Column],"",0,1)</f>
        <v/>
      </c>
      <c r="Z68" t="str">
        <f>_xlfn.XLOOKUP(Table6[[#This Row],[Old Table.Column]],Cobra8.6[Table.Column],Cobra8.6[TYPE],"",0,1)</f>
        <v/>
      </c>
      <c r="AA68" t="str">
        <f>_xlfn.XLOOKUP(Table6[[#This Row],[Old Table.Column]],Cobra8.6[Table.Column],Cobra8.6[LENGTH],"",0,1)</f>
        <v/>
      </c>
      <c r="AB68"/>
    </row>
    <row r="69" spans="1:28" hidden="1" x14ac:dyDescent="0.2">
      <c r="A69" t="s">
        <v>28</v>
      </c>
      <c r="B69" t="s">
        <v>157</v>
      </c>
      <c r="C69" t="s">
        <v>177</v>
      </c>
      <c r="D69">
        <v>9</v>
      </c>
      <c r="E69" t="s">
        <v>161</v>
      </c>
      <c r="F69" t="str">
        <f>VLOOKUP($E69,'Data Type Lookup'!$A$1:$C$21,2,FALSE)</f>
        <v>NUMBER(21,6)</v>
      </c>
      <c r="I69" s="32" t="s">
        <v>32</v>
      </c>
      <c r="J69" s="32">
        <v>0</v>
      </c>
      <c r="P69" s="10" t="s">
        <v>178</v>
      </c>
      <c r="Q69" s="17" t="s">
        <v>179</v>
      </c>
      <c r="R69" t="str">
        <f>VLOOKUP(E69,'Data Type Lookup'!$A$1:$C$21,3,FALSE)</f>
        <v>java.math.BigDecimal</v>
      </c>
      <c r="W69" t="str">
        <f t="shared" si="2"/>
        <v>CODE_THRESHOLD.SCVU</v>
      </c>
      <c r="X69" t="str">
        <f>VLOOKUP(W69,ColumnMapping[New Table.Column],1,)</f>
        <v>CODE_THRESHOLD.SCVU</v>
      </c>
      <c r="Y69" t="str">
        <f>_xlfn.XLOOKUP(Table6[[#This Row],[Table.Column]],ColumnMapping[Add Column Name],ColumnMapping[Old Table.Column],"",0,1)</f>
        <v/>
      </c>
      <c r="Z69" t="str">
        <f>_xlfn.XLOOKUP(Table6[[#This Row],[Old Table.Column]],Cobra8.6[Table.Column],Cobra8.6[TYPE],"",0,1)</f>
        <v/>
      </c>
      <c r="AA69" t="str">
        <f>_xlfn.XLOOKUP(Table6[[#This Row],[Old Table.Column]],Cobra8.6[Table.Column],Cobra8.6[LENGTH],"",0,1)</f>
        <v/>
      </c>
      <c r="AB69"/>
    </row>
    <row r="70" spans="1:28" hidden="1" x14ac:dyDescent="0.2">
      <c r="A70" t="s">
        <v>28</v>
      </c>
      <c r="B70" t="s">
        <v>157</v>
      </c>
      <c r="C70" t="s">
        <v>180</v>
      </c>
      <c r="D70">
        <v>10</v>
      </c>
      <c r="E70" t="s">
        <v>168</v>
      </c>
      <c r="F70" t="str">
        <f>VLOOKUP($E70,'Data Type Lookup'!$A$1:$C$21,2,FALSE)</f>
        <v>NUMBER(5,2)</v>
      </c>
      <c r="I70" s="32" t="s">
        <v>32</v>
      </c>
      <c r="J70" s="32">
        <v>0</v>
      </c>
      <c r="P70" s="10" t="s">
        <v>181</v>
      </c>
      <c r="Q70" t="s">
        <v>182</v>
      </c>
      <c r="R70" t="str">
        <f>VLOOKUP(E70,'Data Type Lookup'!$A$1:$C$21,3,FALSE)</f>
        <v>java.math.BigDecimal</v>
      </c>
      <c r="W70" t="str">
        <f t="shared" si="2"/>
        <v>CODE_THRESHOLD.SCPF</v>
      </c>
      <c r="X70" t="str">
        <f>VLOOKUP(W70,ColumnMapping[New Table.Column],1,)</f>
        <v>CODE_THRESHOLD.SCPF</v>
      </c>
      <c r="Y70" t="str">
        <f>_xlfn.XLOOKUP(Table6[[#This Row],[Table.Column]],ColumnMapping[Add Column Name],ColumnMapping[Old Table.Column],"",0,1)</f>
        <v/>
      </c>
      <c r="Z70" t="str">
        <f>_xlfn.XLOOKUP(Table6[[#This Row],[Old Table.Column]],Cobra8.6[Table.Column],Cobra8.6[TYPE],"",0,1)</f>
        <v/>
      </c>
      <c r="AA70" t="str">
        <f>_xlfn.XLOOKUP(Table6[[#This Row],[Old Table.Column]],Cobra8.6[Table.Column],Cobra8.6[LENGTH],"",0,1)</f>
        <v/>
      </c>
      <c r="AB70"/>
    </row>
    <row r="71" spans="1:28" hidden="1" x14ac:dyDescent="0.2">
      <c r="A71" t="s">
        <v>28</v>
      </c>
      <c r="B71" t="s">
        <v>157</v>
      </c>
      <c r="C71" t="s">
        <v>183</v>
      </c>
      <c r="D71">
        <v>11</v>
      </c>
      <c r="E71" t="s">
        <v>168</v>
      </c>
      <c r="F71" t="str">
        <f>VLOOKUP($E71,'Data Type Lookup'!$A$1:$C$21,2,FALSE)</f>
        <v>NUMBER(5,2)</v>
      </c>
      <c r="I71" s="32" t="s">
        <v>32</v>
      </c>
      <c r="J71" s="32">
        <v>0</v>
      </c>
      <c r="P71" s="10" t="s">
        <v>184</v>
      </c>
      <c r="Q71" s="17" t="s">
        <v>185</v>
      </c>
      <c r="R71" t="str">
        <f>VLOOKUP(E71,'Data Type Lookup'!$A$1:$C$21,3,FALSE)</f>
        <v>java.math.BigDecimal</v>
      </c>
      <c r="W71" t="str">
        <f t="shared" si="2"/>
        <v>CODE_THRESHOLD.SCPU</v>
      </c>
      <c r="X71" t="str">
        <f>VLOOKUP(W71,ColumnMapping[New Table.Column],1,)</f>
        <v>CODE_THRESHOLD.SCPU</v>
      </c>
      <c r="Y71" t="str">
        <f>_xlfn.XLOOKUP(Table6[[#This Row],[Table.Column]],ColumnMapping[Add Column Name],ColumnMapping[Old Table.Column],"",0,1)</f>
        <v/>
      </c>
      <c r="Z71" t="str">
        <f>_xlfn.XLOOKUP(Table6[[#This Row],[Old Table.Column]],Cobra8.6[Table.Column],Cobra8.6[TYPE],"",0,1)</f>
        <v/>
      </c>
      <c r="AA71" t="str">
        <f>_xlfn.XLOOKUP(Table6[[#This Row],[Old Table.Column]],Cobra8.6[Table.Column],Cobra8.6[LENGTH],"",0,1)</f>
        <v/>
      </c>
      <c r="AB71"/>
    </row>
    <row r="72" spans="1:28" hidden="1" x14ac:dyDescent="0.2">
      <c r="A72" t="s">
        <v>28</v>
      </c>
      <c r="B72" t="s">
        <v>157</v>
      </c>
      <c r="C72" t="s">
        <v>186</v>
      </c>
      <c r="D72">
        <v>12</v>
      </c>
      <c r="E72" t="s">
        <v>161</v>
      </c>
      <c r="F72" t="str">
        <f>VLOOKUP($E72,'Data Type Lookup'!$A$1:$C$21,2,FALSE)</f>
        <v>NUMBER(21,6)</v>
      </c>
      <c r="I72" s="32" t="s">
        <v>32</v>
      </c>
      <c r="J72" s="32">
        <v>0</v>
      </c>
      <c r="P72" s="10" t="s">
        <v>187</v>
      </c>
      <c r="Q72" s="17" t="s">
        <v>188</v>
      </c>
      <c r="R72" t="str">
        <f>VLOOKUP(E72,'Data Type Lookup'!$A$1:$C$21,3,FALSE)</f>
        <v>java.math.BigDecimal</v>
      </c>
      <c r="W72" t="str">
        <f t="shared" si="2"/>
        <v>CODE_THRESHOLD.CPVF</v>
      </c>
      <c r="X72" t="str">
        <f>VLOOKUP(W72,ColumnMapping[New Table.Column],1,)</f>
        <v>CODE_THRESHOLD.CPVF</v>
      </c>
      <c r="Y72" t="str">
        <f>_xlfn.XLOOKUP(Table6[[#This Row],[Table.Column]],ColumnMapping[Add Column Name],ColumnMapping[Old Table.Column],"",0,1)</f>
        <v/>
      </c>
      <c r="Z72" t="str">
        <f>_xlfn.XLOOKUP(Table6[[#This Row],[Old Table.Column]],Cobra8.6[Table.Column],Cobra8.6[TYPE],"",0,1)</f>
        <v/>
      </c>
      <c r="AA72" t="str">
        <f>_xlfn.XLOOKUP(Table6[[#This Row],[Old Table.Column]],Cobra8.6[Table.Column],Cobra8.6[LENGTH],"",0,1)</f>
        <v/>
      </c>
      <c r="AB72"/>
    </row>
    <row r="73" spans="1:28" hidden="1" x14ac:dyDescent="0.2">
      <c r="A73" t="s">
        <v>28</v>
      </c>
      <c r="B73" t="s">
        <v>157</v>
      </c>
      <c r="C73" t="s">
        <v>189</v>
      </c>
      <c r="D73">
        <v>13</v>
      </c>
      <c r="E73" t="s">
        <v>161</v>
      </c>
      <c r="F73" t="str">
        <f>VLOOKUP($E73,'Data Type Lookup'!$A$1:$C$21,2,FALSE)</f>
        <v>NUMBER(21,6)</v>
      </c>
      <c r="I73" s="32" t="s">
        <v>32</v>
      </c>
      <c r="J73" s="32">
        <v>0</v>
      </c>
      <c r="P73" s="10" t="s">
        <v>190</v>
      </c>
      <c r="Q73" s="17" t="s">
        <v>191</v>
      </c>
      <c r="R73" t="str">
        <f>VLOOKUP(E73,'Data Type Lookup'!$A$1:$C$21,3,FALSE)</f>
        <v>java.math.BigDecimal</v>
      </c>
      <c r="W73" t="str">
        <f t="shared" si="2"/>
        <v>CODE_THRESHOLD.CPVU</v>
      </c>
      <c r="X73" t="str">
        <f>VLOOKUP(W73,ColumnMapping[New Table.Column],1,)</f>
        <v>CODE_THRESHOLD.CPVU</v>
      </c>
      <c r="Y73" t="str">
        <f>_xlfn.XLOOKUP(Table6[[#This Row],[Table.Column]],ColumnMapping[Add Column Name],ColumnMapping[Old Table.Column],"",0,1)</f>
        <v/>
      </c>
      <c r="Z73" t="str">
        <f>_xlfn.XLOOKUP(Table6[[#This Row],[Old Table.Column]],Cobra8.6[Table.Column],Cobra8.6[TYPE],"",0,1)</f>
        <v/>
      </c>
      <c r="AA73" t="str">
        <f>_xlfn.XLOOKUP(Table6[[#This Row],[Old Table.Column]],Cobra8.6[Table.Column],Cobra8.6[LENGTH],"",0,1)</f>
        <v/>
      </c>
      <c r="AB73"/>
    </row>
    <row r="74" spans="1:28" hidden="1" x14ac:dyDescent="0.2">
      <c r="A74" t="s">
        <v>28</v>
      </c>
      <c r="B74" t="s">
        <v>157</v>
      </c>
      <c r="C74" t="s">
        <v>192</v>
      </c>
      <c r="D74">
        <v>14</v>
      </c>
      <c r="E74" t="s">
        <v>168</v>
      </c>
      <c r="F74" t="str">
        <f>VLOOKUP($E74,'Data Type Lookup'!$A$1:$C$21,2,FALSE)</f>
        <v>NUMBER(5,2)</v>
      </c>
      <c r="I74" s="32" t="s">
        <v>32</v>
      </c>
      <c r="J74" s="32">
        <v>0</v>
      </c>
      <c r="P74" s="10" t="s">
        <v>193</v>
      </c>
      <c r="Q74" t="s">
        <v>194</v>
      </c>
      <c r="R74" t="str">
        <f>VLOOKUP(E74,'Data Type Lookup'!$A$1:$C$21,3,FALSE)</f>
        <v>java.math.BigDecimal</v>
      </c>
      <c r="W74" t="str">
        <f t="shared" si="2"/>
        <v>CODE_THRESHOLD.CPPF</v>
      </c>
      <c r="X74" t="str">
        <f>VLOOKUP(W74,ColumnMapping[New Table.Column],1,)</f>
        <v>CODE_THRESHOLD.CPPF</v>
      </c>
      <c r="Y74" t="str">
        <f>_xlfn.XLOOKUP(Table6[[#This Row],[Table.Column]],ColumnMapping[Add Column Name],ColumnMapping[Old Table.Column],"",0,1)</f>
        <v/>
      </c>
      <c r="Z74" t="str">
        <f>_xlfn.XLOOKUP(Table6[[#This Row],[Old Table.Column]],Cobra8.6[Table.Column],Cobra8.6[TYPE],"",0,1)</f>
        <v/>
      </c>
      <c r="AA74" t="str">
        <f>_xlfn.XLOOKUP(Table6[[#This Row],[Old Table.Column]],Cobra8.6[Table.Column],Cobra8.6[LENGTH],"",0,1)</f>
        <v/>
      </c>
      <c r="AB74"/>
    </row>
    <row r="75" spans="1:28" hidden="1" x14ac:dyDescent="0.2">
      <c r="A75" t="s">
        <v>28</v>
      </c>
      <c r="B75" t="s">
        <v>157</v>
      </c>
      <c r="C75" t="s">
        <v>195</v>
      </c>
      <c r="D75">
        <v>15</v>
      </c>
      <c r="E75" t="s">
        <v>168</v>
      </c>
      <c r="F75" t="str">
        <f>VLOOKUP($E75,'Data Type Lookup'!$A$1:$C$21,2,FALSE)</f>
        <v>NUMBER(5,2)</v>
      </c>
      <c r="I75" s="32" t="s">
        <v>32</v>
      </c>
      <c r="J75" s="32">
        <v>0</v>
      </c>
      <c r="P75" s="10" t="s">
        <v>196</v>
      </c>
      <c r="Q75" s="17" t="s">
        <v>197</v>
      </c>
      <c r="R75" t="str">
        <f>VLOOKUP(E75,'Data Type Lookup'!$A$1:$C$21,3,FALSE)</f>
        <v>java.math.BigDecimal</v>
      </c>
      <c r="W75" t="str">
        <f t="shared" si="2"/>
        <v>CODE_THRESHOLD.CPPU</v>
      </c>
      <c r="X75" t="str">
        <f>VLOOKUP(W75,ColumnMapping[New Table.Column],1,)</f>
        <v>CODE_THRESHOLD.CPPU</v>
      </c>
      <c r="Y75" t="str">
        <f>_xlfn.XLOOKUP(Table6[[#This Row],[Table.Column]],ColumnMapping[Add Column Name],ColumnMapping[Old Table.Column],"",0,1)</f>
        <v/>
      </c>
      <c r="Z75" t="str">
        <f>_xlfn.XLOOKUP(Table6[[#This Row],[Old Table.Column]],Cobra8.6[Table.Column],Cobra8.6[TYPE],"",0,1)</f>
        <v/>
      </c>
      <c r="AA75" t="str">
        <f>_xlfn.XLOOKUP(Table6[[#This Row],[Old Table.Column]],Cobra8.6[Table.Column],Cobra8.6[LENGTH],"",0,1)</f>
        <v/>
      </c>
      <c r="AB75"/>
    </row>
    <row r="76" spans="1:28" hidden="1" x14ac:dyDescent="0.2">
      <c r="A76" t="s">
        <v>28</v>
      </c>
      <c r="B76" t="s">
        <v>157</v>
      </c>
      <c r="C76" t="s">
        <v>198</v>
      </c>
      <c r="D76">
        <v>16</v>
      </c>
      <c r="E76" t="s">
        <v>161</v>
      </c>
      <c r="F76" t="str">
        <f>VLOOKUP($E76,'Data Type Lookup'!$A$1:$C$21,2,FALSE)</f>
        <v>NUMBER(21,6)</v>
      </c>
      <c r="I76" s="32" t="s">
        <v>32</v>
      </c>
      <c r="J76" s="32">
        <v>0</v>
      </c>
      <c r="P76" s="10" t="s">
        <v>199</v>
      </c>
      <c r="Q76" s="17" t="s">
        <v>200</v>
      </c>
      <c r="R76" t="str">
        <f>VLOOKUP(E76,'Data Type Lookup'!$A$1:$C$21,3,FALSE)</f>
        <v>java.math.BigDecimal</v>
      </c>
      <c r="W76" t="str">
        <f t="shared" si="2"/>
        <v>CODE_THRESHOLD.CCVF</v>
      </c>
      <c r="X76" t="str">
        <f>VLOOKUP(W76,ColumnMapping[New Table.Column],1,)</f>
        <v>CODE_THRESHOLD.CCVF</v>
      </c>
      <c r="Y76" t="str">
        <f>_xlfn.XLOOKUP(Table6[[#This Row],[Table.Column]],ColumnMapping[Add Column Name],ColumnMapping[Old Table.Column],"",0,1)</f>
        <v/>
      </c>
      <c r="Z76" t="str">
        <f>_xlfn.XLOOKUP(Table6[[#This Row],[Old Table.Column]],Cobra8.6[Table.Column],Cobra8.6[TYPE],"",0,1)</f>
        <v/>
      </c>
      <c r="AA76" t="str">
        <f>_xlfn.XLOOKUP(Table6[[#This Row],[Old Table.Column]],Cobra8.6[Table.Column],Cobra8.6[LENGTH],"",0,1)</f>
        <v/>
      </c>
      <c r="AB76"/>
    </row>
    <row r="77" spans="1:28" hidden="1" x14ac:dyDescent="0.2">
      <c r="A77" t="s">
        <v>28</v>
      </c>
      <c r="B77" t="s">
        <v>157</v>
      </c>
      <c r="C77" t="s">
        <v>201</v>
      </c>
      <c r="D77">
        <v>17</v>
      </c>
      <c r="E77" t="s">
        <v>161</v>
      </c>
      <c r="F77" t="str">
        <f>VLOOKUP($E77,'Data Type Lookup'!$A$1:$C$21,2,FALSE)</f>
        <v>NUMBER(21,6)</v>
      </c>
      <c r="I77" s="32" t="s">
        <v>32</v>
      </c>
      <c r="J77" s="32">
        <v>0</v>
      </c>
      <c r="P77" s="10" t="s">
        <v>202</v>
      </c>
      <c r="Q77" s="17" t="s">
        <v>203</v>
      </c>
      <c r="R77" t="str">
        <f>VLOOKUP(E77,'Data Type Lookup'!$A$1:$C$21,3,FALSE)</f>
        <v>java.math.BigDecimal</v>
      </c>
      <c r="W77" t="str">
        <f t="shared" si="2"/>
        <v>CODE_THRESHOLD.CCVU</v>
      </c>
      <c r="X77" t="str">
        <f>VLOOKUP(W77,ColumnMapping[New Table.Column],1,)</f>
        <v>CODE_THRESHOLD.CCVU</v>
      </c>
      <c r="Y77" t="str">
        <f>_xlfn.XLOOKUP(Table6[[#This Row],[Table.Column]],ColumnMapping[Add Column Name],ColumnMapping[Old Table.Column],"",0,1)</f>
        <v/>
      </c>
      <c r="Z77" t="str">
        <f>_xlfn.XLOOKUP(Table6[[#This Row],[Old Table.Column]],Cobra8.6[Table.Column],Cobra8.6[TYPE],"",0,1)</f>
        <v/>
      </c>
      <c r="AA77" t="str">
        <f>_xlfn.XLOOKUP(Table6[[#This Row],[Old Table.Column]],Cobra8.6[Table.Column],Cobra8.6[LENGTH],"",0,1)</f>
        <v/>
      </c>
      <c r="AB77"/>
    </row>
    <row r="78" spans="1:28" hidden="1" x14ac:dyDescent="0.2">
      <c r="A78" t="s">
        <v>28</v>
      </c>
      <c r="B78" t="s">
        <v>157</v>
      </c>
      <c r="C78" t="s">
        <v>204</v>
      </c>
      <c r="D78">
        <v>18</v>
      </c>
      <c r="E78" t="s">
        <v>168</v>
      </c>
      <c r="F78" t="str">
        <f>VLOOKUP($E78,'Data Type Lookup'!$A$1:$C$21,2,FALSE)</f>
        <v>NUMBER(5,2)</v>
      </c>
      <c r="I78" s="32" t="s">
        <v>32</v>
      </c>
      <c r="J78" s="32">
        <v>0</v>
      </c>
      <c r="P78" s="10" t="s">
        <v>205</v>
      </c>
      <c r="Q78" t="s">
        <v>206</v>
      </c>
      <c r="R78" t="str">
        <f>VLOOKUP(E78,'Data Type Lookup'!$A$1:$C$21,3,FALSE)</f>
        <v>java.math.BigDecimal</v>
      </c>
      <c r="W78" t="str">
        <f t="shared" si="2"/>
        <v>CODE_THRESHOLD.CCPF</v>
      </c>
      <c r="X78" t="str">
        <f>VLOOKUP(W78,ColumnMapping[New Table.Column],1,)</f>
        <v>CODE_THRESHOLD.CCPF</v>
      </c>
      <c r="Y78" t="str">
        <f>_xlfn.XLOOKUP(Table6[[#This Row],[Table.Column]],ColumnMapping[Add Column Name],ColumnMapping[Old Table.Column],"",0,1)</f>
        <v/>
      </c>
      <c r="Z78" t="str">
        <f>_xlfn.XLOOKUP(Table6[[#This Row],[Old Table.Column]],Cobra8.6[Table.Column],Cobra8.6[TYPE],"",0,1)</f>
        <v/>
      </c>
      <c r="AA78" t="str">
        <f>_xlfn.XLOOKUP(Table6[[#This Row],[Old Table.Column]],Cobra8.6[Table.Column],Cobra8.6[LENGTH],"",0,1)</f>
        <v/>
      </c>
      <c r="AB78"/>
    </row>
    <row r="79" spans="1:28" hidden="1" x14ac:dyDescent="0.2">
      <c r="A79" t="s">
        <v>28</v>
      </c>
      <c r="B79" t="s">
        <v>157</v>
      </c>
      <c r="C79" t="s">
        <v>207</v>
      </c>
      <c r="D79">
        <v>19</v>
      </c>
      <c r="E79" t="s">
        <v>168</v>
      </c>
      <c r="F79" t="str">
        <f>VLOOKUP($E79,'Data Type Lookup'!$A$1:$C$21,2,FALSE)</f>
        <v>NUMBER(5,2)</v>
      </c>
      <c r="I79" s="32" t="s">
        <v>32</v>
      </c>
      <c r="J79" s="32">
        <v>0</v>
      </c>
      <c r="P79" s="10" t="s">
        <v>208</v>
      </c>
      <c r="Q79" s="17" t="s">
        <v>209</v>
      </c>
      <c r="R79" t="str">
        <f>VLOOKUP(E79,'Data Type Lookup'!$A$1:$C$21,3,FALSE)</f>
        <v>java.math.BigDecimal</v>
      </c>
      <c r="W79" t="str">
        <f t="shared" si="2"/>
        <v>CODE_THRESHOLD.CCPU</v>
      </c>
      <c r="X79" t="str">
        <f>VLOOKUP(W79,ColumnMapping[New Table.Column],1,)</f>
        <v>CODE_THRESHOLD.CCPU</v>
      </c>
      <c r="Y79" t="str">
        <f>_xlfn.XLOOKUP(Table6[[#This Row],[Table.Column]],ColumnMapping[Add Column Name],ColumnMapping[Old Table.Column],"",0,1)</f>
        <v/>
      </c>
      <c r="Z79" t="str">
        <f>_xlfn.XLOOKUP(Table6[[#This Row],[Old Table.Column]],Cobra8.6[Table.Column],Cobra8.6[TYPE],"",0,1)</f>
        <v/>
      </c>
      <c r="AA79" t="str">
        <f>_xlfn.XLOOKUP(Table6[[#This Row],[Old Table.Column]],Cobra8.6[Table.Column],Cobra8.6[LENGTH],"",0,1)</f>
        <v/>
      </c>
      <c r="AB79"/>
    </row>
    <row r="80" spans="1:28" hidden="1" x14ac:dyDescent="0.2">
      <c r="A80" t="s">
        <v>28</v>
      </c>
      <c r="B80" t="s">
        <v>157</v>
      </c>
      <c r="C80" t="s">
        <v>210</v>
      </c>
      <c r="D80">
        <v>20</v>
      </c>
      <c r="E80" t="s">
        <v>161</v>
      </c>
      <c r="F80" t="str">
        <f>VLOOKUP($E80,'Data Type Lookup'!$A$1:$C$21,2,FALSE)</f>
        <v>NUMBER(21,6)</v>
      </c>
      <c r="I80" s="32" t="s">
        <v>32</v>
      </c>
      <c r="J80" s="32">
        <v>0</v>
      </c>
      <c r="P80" s="10" t="s">
        <v>211</v>
      </c>
      <c r="Q80" s="17" t="s">
        <v>212</v>
      </c>
      <c r="R80" t="str">
        <f>VLOOKUP(E80,'Data Type Lookup'!$A$1:$C$21,3,FALSE)</f>
        <v>java.math.BigDecimal</v>
      </c>
      <c r="W80" t="str">
        <f t="shared" si="2"/>
        <v>CODE_THRESHOLD.CAVF</v>
      </c>
      <c r="X80" t="str">
        <f>VLOOKUP(W80,ColumnMapping[New Table.Column],1,)</f>
        <v>CODE_THRESHOLD.CAVF</v>
      </c>
      <c r="Y80" t="str">
        <f>_xlfn.XLOOKUP(Table6[[#This Row],[Table.Column]],ColumnMapping[Add Column Name],ColumnMapping[Old Table.Column],"",0,1)</f>
        <v/>
      </c>
      <c r="Z80" t="str">
        <f>_xlfn.XLOOKUP(Table6[[#This Row],[Old Table.Column]],Cobra8.6[Table.Column],Cobra8.6[TYPE],"",0,1)</f>
        <v/>
      </c>
      <c r="AA80" t="str">
        <f>_xlfn.XLOOKUP(Table6[[#This Row],[Old Table.Column]],Cobra8.6[Table.Column],Cobra8.6[LENGTH],"",0,1)</f>
        <v/>
      </c>
      <c r="AB80"/>
    </row>
    <row r="81" spans="1:28" hidden="1" x14ac:dyDescent="0.2">
      <c r="A81" t="s">
        <v>28</v>
      </c>
      <c r="B81" t="s">
        <v>157</v>
      </c>
      <c r="C81" t="s">
        <v>213</v>
      </c>
      <c r="D81">
        <v>21</v>
      </c>
      <c r="E81" t="s">
        <v>161</v>
      </c>
      <c r="F81" t="str">
        <f>VLOOKUP($E81,'Data Type Lookup'!$A$1:$C$21,2,FALSE)</f>
        <v>NUMBER(21,6)</v>
      </c>
      <c r="I81" s="32" t="s">
        <v>32</v>
      </c>
      <c r="J81" s="32">
        <v>0</v>
      </c>
      <c r="P81" s="10" t="s">
        <v>214</v>
      </c>
      <c r="Q81" s="17" t="s">
        <v>215</v>
      </c>
      <c r="R81" t="str">
        <f>VLOOKUP(E81,'Data Type Lookup'!$A$1:$C$21,3,FALSE)</f>
        <v>java.math.BigDecimal</v>
      </c>
      <c r="W81" t="str">
        <f t="shared" si="2"/>
        <v>CODE_THRESHOLD.CAVU</v>
      </c>
      <c r="X81" t="str">
        <f>VLOOKUP(W81,ColumnMapping[New Table.Column],1,)</f>
        <v>CODE_THRESHOLD.CAVU</v>
      </c>
      <c r="Y81" t="str">
        <f>_xlfn.XLOOKUP(Table6[[#This Row],[Table.Column]],ColumnMapping[Add Column Name],ColumnMapping[Old Table.Column],"",0,1)</f>
        <v/>
      </c>
      <c r="Z81" t="str">
        <f>_xlfn.XLOOKUP(Table6[[#This Row],[Old Table.Column]],Cobra8.6[Table.Column],Cobra8.6[TYPE],"",0,1)</f>
        <v/>
      </c>
      <c r="AA81" t="str">
        <f>_xlfn.XLOOKUP(Table6[[#This Row],[Old Table.Column]],Cobra8.6[Table.Column],Cobra8.6[LENGTH],"",0,1)</f>
        <v/>
      </c>
      <c r="AB81"/>
    </row>
    <row r="82" spans="1:28" hidden="1" x14ac:dyDescent="0.2">
      <c r="A82" t="s">
        <v>28</v>
      </c>
      <c r="B82" t="s">
        <v>157</v>
      </c>
      <c r="C82" t="s">
        <v>216</v>
      </c>
      <c r="D82">
        <v>22</v>
      </c>
      <c r="E82" t="s">
        <v>168</v>
      </c>
      <c r="F82" t="str">
        <f>VLOOKUP($E82,'Data Type Lookup'!$A$1:$C$21,2,FALSE)</f>
        <v>NUMBER(5,2)</v>
      </c>
      <c r="I82" s="32" t="s">
        <v>32</v>
      </c>
      <c r="J82" s="32">
        <v>0</v>
      </c>
      <c r="P82" s="10" t="s">
        <v>217</v>
      </c>
      <c r="Q82" t="s">
        <v>218</v>
      </c>
      <c r="R82" t="str">
        <f>VLOOKUP(E82,'Data Type Lookup'!$A$1:$C$21,3,FALSE)</f>
        <v>java.math.BigDecimal</v>
      </c>
      <c r="W82" t="str">
        <f t="shared" si="2"/>
        <v>CODE_THRESHOLD.CAPF</v>
      </c>
      <c r="X82" t="str">
        <f>VLOOKUP(W82,ColumnMapping[New Table.Column],1,)</f>
        <v>CODE_THRESHOLD.CAPF</v>
      </c>
      <c r="Y82" t="str">
        <f>_xlfn.XLOOKUP(Table6[[#This Row],[Table.Column]],ColumnMapping[Add Column Name],ColumnMapping[Old Table.Column],"",0,1)</f>
        <v/>
      </c>
      <c r="Z82" t="str">
        <f>_xlfn.XLOOKUP(Table6[[#This Row],[Old Table.Column]],Cobra8.6[Table.Column],Cobra8.6[TYPE],"",0,1)</f>
        <v/>
      </c>
      <c r="AA82" t="str">
        <f>_xlfn.XLOOKUP(Table6[[#This Row],[Old Table.Column]],Cobra8.6[Table.Column],Cobra8.6[LENGTH],"",0,1)</f>
        <v/>
      </c>
      <c r="AB82"/>
    </row>
    <row r="83" spans="1:28" hidden="1" x14ac:dyDescent="0.2">
      <c r="A83" t="s">
        <v>28</v>
      </c>
      <c r="B83" t="s">
        <v>157</v>
      </c>
      <c r="C83" t="s">
        <v>219</v>
      </c>
      <c r="D83">
        <v>23</v>
      </c>
      <c r="E83" t="s">
        <v>168</v>
      </c>
      <c r="F83" t="str">
        <f>VLOOKUP($E83,'Data Type Lookup'!$A$1:$C$21,2,FALSE)</f>
        <v>NUMBER(5,2)</v>
      </c>
      <c r="I83" s="32" t="s">
        <v>32</v>
      </c>
      <c r="J83" s="32">
        <v>0</v>
      </c>
      <c r="P83" s="10" t="s">
        <v>220</v>
      </c>
      <c r="Q83" s="17" t="s">
        <v>221</v>
      </c>
      <c r="R83" t="str">
        <f>VLOOKUP(E83,'Data Type Lookup'!$A$1:$C$21,3,FALSE)</f>
        <v>java.math.BigDecimal</v>
      </c>
      <c r="W83" t="str">
        <f t="shared" si="2"/>
        <v>CODE_THRESHOLD.CAPU</v>
      </c>
      <c r="X83" t="str">
        <f>VLOOKUP(W83,ColumnMapping[New Table.Column],1,)</f>
        <v>CODE_THRESHOLD.CAPU</v>
      </c>
      <c r="Y83" t="str">
        <f>_xlfn.XLOOKUP(Table6[[#This Row],[Table.Column]],ColumnMapping[Add Column Name],ColumnMapping[Old Table.Column],"",0,1)</f>
        <v/>
      </c>
      <c r="Z83" t="str">
        <f>_xlfn.XLOOKUP(Table6[[#This Row],[Old Table.Column]],Cobra8.6[Table.Column],Cobra8.6[TYPE],"",0,1)</f>
        <v/>
      </c>
      <c r="AA83" t="str">
        <f>_xlfn.XLOOKUP(Table6[[#This Row],[Old Table.Column]],Cobra8.6[Table.Column],Cobra8.6[LENGTH],"",0,1)</f>
        <v/>
      </c>
      <c r="AB83"/>
    </row>
    <row r="84" spans="1:28" hidden="1" x14ac:dyDescent="0.2">
      <c r="A84" t="s">
        <v>28</v>
      </c>
      <c r="B84" t="s">
        <v>157</v>
      </c>
      <c r="C84" t="s">
        <v>222</v>
      </c>
      <c r="D84">
        <v>24</v>
      </c>
      <c r="E84" t="s">
        <v>86</v>
      </c>
      <c r="F84" t="str">
        <f>VLOOKUP($E84,'Data Type Lookup'!$A$1:$C$21,2,FALSE)</f>
        <v>VARCHAR2</v>
      </c>
      <c r="G84">
        <v>3</v>
      </c>
      <c r="P84" s="10" t="s">
        <v>223</v>
      </c>
      <c r="Q84" s="17" t="s">
        <v>224</v>
      </c>
      <c r="R84" t="str">
        <f>VLOOKUP(E84,'Data Type Lookup'!$A$1:$C$21,3,FALSE)</f>
        <v>String</v>
      </c>
      <c r="W84" t="str">
        <f t="shared" si="2"/>
        <v>CODE_THRESHOLD.SPF_TL</v>
      </c>
      <c r="X84" t="str">
        <f>VLOOKUP(W84,ColumnMapping[New Table.Column],1,)</f>
        <v>CODE_THRESHOLD.SPF_TL</v>
      </c>
      <c r="Y84" t="str">
        <f>_xlfn.XLOOKUP(Table6[[#This Row],[Table.Column]],ColumnMapping[Add Column Name],ColumnMapping[Old Table.Column],"",0,1)</f>
        <v/>
      </c>
      <c r="Z84" t="str">
        <f>_xlfn.XLOOKUP(Table6[[#This Row],[Old Table.Column]],Cobra8.6[Table.Column],Cobra8.6[TYPE],"",0,1)</f>
        <v/>
      </c>
      <c r="AA84" t="str">
        <f>_xlfn.XLOOKUP(Table6[[#This Row],[Old Table.Column]],Cobra8.6[Table.Column],Cobra8.6[LENGTH],"",0,1)</f>
        <v/>
      </c>
      <c r="AB84"/>
    </row>
    <row r="85" spans="1:28" hidden="1" x14ac:dyDescent="0.2">
      <c r="A85" t="s">
        <v>28</v>
      </c>
      <c r="B85" t="s">
        <v>157</v>
      </c>
      <c r="C85" t="s">
        <v>225</v>
      </c>
      <c r="D85">
        <v>25</v>
      </c>
      <c r="E85" t="s">
        <v>86</v>
      </c>
      <c r="F85" t="str">
        <f>VLOOKUP($E85,'Data Type Lookup'!$A$1:$C$21,2,FALSE)</f>
        <v>VARCHAR2</v>
      </c>
      <c r="G85">
        <v>3</v>
      </c>
      <c r="P85" t="s">
        <v>226</v>
      </c>
      <c r="Q85" s="17" t="s">
        <v>227</v>
      </c>
      <c r="R85" t="str">
        <f>VLOOKUP(E85,'Data Type Lookup'!$A$1:$C$21,3,FALSE)</f>
        <v>String</v>
      </c>
      <c r="W85" t="str">
        <f t="shared" si="2"/>
        <v>CODE_THRESHOLD.SPU_TL</v>
      </c>
      <c r="X85" t="str">
        <f>VLOOKUP(W85,ColumnMapping[New Table.Column],1,)</f>
        <v>CODE_THRESHOLD.SPU_TL</v>
      </c>
      <c r="Y85" t="str">
        <f>_xlfn.XLOOKUP(Table6[[#This Row],[Table.Column]],ColumnMapping[Add Column Name],ColumnMapping[Old Table.Column],"",0,1)</f>
        <v/>
      </c>
      <c r="Z85" t="str">
        <f>_xlfn.XLOOKUP(Table6[[#This Row],[Old Table.Column]],Cobra8.6[Table.Column],Cobra8.6[TYPE],"",0,1)</f>
        <v/>
      </c>
      <c r="AA85" t="str">
        <f>_xlfn.XLOOKUP(Table6[[#This Row],[Old Table.Column]],Cobra8.6[Table.Column],Cobra8.6[LENGTH],"",0,1)</f>
        <v/>
      </c>
      <c r="AB85"/>
    </row>
    <row r="86" spans="1:28" hidden="1" x14ac:dyDescent="0.2">
      <c r="A86" t="s">
        <v>28</v>
      </c>
      <c r="B86" t="s">
        <v>157</v>
      </c>
      <c r="C86" t="s">
        <v>228</v>
      </c>
      <c r="D86">
        <v>26</v>
      </c>
      <c r="E86" t="s">
        <v>86</v>
      </c>
      <c r="F86" t="str">
        <f>VLOOKUP($E86,'Data Type Lookup'!$A$1:$C$21,2,FALSE)</f>
        <v>VARCHAR2</v>
      </c>
      <c r="G86">
        <v>3</v>
      </c>
      <c r="P86" s="10" t="s">
        <v>229</v>
      </c>
      <c r="Q86" s="17" t="s">
        <v>230</v>
      </c>
      <c r="R86" t="str">
        <f>VLOOKUP(E86,'Data Type Lookup'!$A$1:$C$21,3,FALSE)</f>
        <v>String</v>
      </c>
      <c r="W86" t="str">
        <f t="shared" si="2"/>
        <v>CODE_THRESHOLD.SCF_TL</v>
      </c>
      <c r="X86" t="str">
        <f>VLOOKUP(W86,ColumnMapping[New Table.Column],1,)</f>
        <v>CODE_THRESHOLD.SCF_TL</v>
      </c>
      <c r="Y86" t="str">
        <f>_xlfn.XLOOKUP(Table6[[#This Row],[Table.Column]],ColumnMapping[Add Column Name],ColumnMapping[Old Table.Column],"",0,1)</f>
        <v/>
      </c>
      <c r="Z86" t="str">
        <f>_xlfn.XLOOKUP(Table6[[#This Row],[Old Table.Column]],Cobra8.6[Table.Column],Cobra8.6[TYPE],"",0,1)</f>
        <v/>
      </c>
      <c r="AA86" t="str">
        <f>_xlfn.XLOOKUP(Table6[[#This Row],[Old Table.Column]],Cobra8.6[Table.Column],Cobra8.6[LENGTH],"",0,1)</f>
        <v/>
      </c>
      <c r="AB86"/>
    </row>
    <row r="87" spans="1:28" hidden="1" x14ac:dyDescent="0.2">
      <c r="A87" t="s">
        <v>28</v>
      </c>
      <c r="B87" t="s">
        <v>157</v>
      </c>
      <c r="C87" t="s">
        <v>231</v>
      </c>
      <c r="D87">
        <v>27</v>
      </c>
      <c r="E87" t="s">
        <v>86</v>
      </c>
      <c r="F87" t="str">
        <f>VLOOKUP($E87,'Data Type Lookup'!$A$1:$C$21,2,FALSE)</f>
        <v>VARCHAR2</v>
      </c>
      <c r="G87">
        <v>3</v>
      </c>
      <c r="P87" t="s">
        <v>232</v>
      </c>
      <c r="Q87" s="17" t="s">
        <v>233</v>
      </c>
      <c r="R87" t="str">
        <f>VLOOKUP(E87,'Data Type Lookup'!$A$1:$C$21,3,FALSE)</f>
        <v>String</v>
      </c>
      <c r="W87" t="str">
        <f t="shared" si="2"/>
        <v>CODE_THRESHOLD.SCU_TL</v>
      </c>
      <c r="X87" t="str">
        <f>VLOOKUP(W87,ColumnMapping[New Table.Column],1,)</f>
        <v>CODE_THRESHOLD.SCU_TL</v>
      </c>
      <c r="Y87" t="str">
        <f>_xlfn.XLOOKUP(Table6[[#This Row],[Table.Column]],ColumnMapping[Add Column Name],ColumnMapping[Old Table.Column],"",0,1)</f>
        <v/>
      </c>
      <c r="Z87" t="str">
        <f>_xlfn.XLOOKUP(Table6[[#This Row],[Old Table.Column]],Cobra8.6[Table.Column],Cobra8.6[TYPE],"",0,1)</f>
        <v/>
      </c>
      <c r="AA87" t="str">
        <f>_xlfn.XLOOKUP(Table6[[#This Row],[Old Table.Column]],Cobra8.6[Table.Column],Cobra8.6[LENGTH],"",0,1)</f>
        <v/>
      </c>
      <c r="AB87"/>
    </row>
    <row r="88" spans="1:28" hidden="1" x14ac:dyDescent="0.2">
      <c r="A88" t="s">
        <v>28</v>
      </c>
      <c r="B88" t="s">
        <v>157</v>
      </c>
      <c r="C88" t="s">
        <v>234</v>
      </c>
      <c r="D88">
        <v>28</v>
      </c>
      <c r="E88" t="s">
        <v>86</v>
      </c>
      <c r="F88" t="str">
        <f>VLOOKUP($E88,'Data Type Lookup'!$A$1:$C$21,2,FALSE)</f>
        <v>VARCHAR2</v>
      </c>
      <c r="G88">
        <v>3</v>
      </c>
      <c r="P88" s="10" t="s">
        <v>235</v>
      </c>
      <c r="Q88" s="17" t="s">
        <v>236</v>
      </c>
      <c r="R88" t="str">
        <f>VLOOKUP(E88,'Data Type Lookup'!$A$1:$C$21,3,FALSE)</f>
        <v>String</v>
      </c>
      <c r="W88" t="str">
        <f t="shared" si="2"/>
        <v>CODE_THRESHOLD.CPF_TL</v>
      </c>
      <c r="X88" t="str">
        <f>VLOOKUP(W88,ColumnMapping[New Table.Column],1,)</f>
        <v>CODE_THRESHOLD.CPF_TL</v>
      </c>
      <c r="Y88" t="str">
        <f>_xlfn.XLOOKUP(Table6[[#This Row],[Table.Column]],ColumnMapping[Add Column Name],ColumnMapping[Old Table.Column],"",0,1)</f>
        <v/>
      </c>
      <c r="Z88" t="str">
        <f>_xlfn.XLOOKUP(Table6[[#This Row],[Old Table.Column]],Cobra8.6[Table.Column],Cobra8.6[TYPE],"",0,1)</f>
        <v/>
      </c>
      <c r="AA88" t="str">
        <f>_xlfn.XLOOKUP(Table6[[#This Row],[Old Table.Column]],Cobra8.6[Table.Column],Cobra8.6[LENGTH],"",0,1)</f>
        <v/>
      </c>
      <c r="AB88"/>
    </row>
    <row r="89" spans="1:28" hidden="1" x14ac:dyDescent="0.2">
      <c r="A89" t="s">
        <v>28</v>
      </c>
      <c r="B89" t="s">
        <v>157</v>
      </c>
      <c r="C89" t="s">
        <v>237</v>
      </c>
      <c r="D89">
        <v>29</v>
      </c>
      <c r="E89" t="s">
        <v>86</v>
      </c>
      <c r="F89" t="str">
        <f>VLOOKUP($E89,'Data Type Lookup'!$A$1:$C$21,2,FALSE)</f>
        <v>VARCHAR2</v>
      </c>
      <c r="G89">
        <v>3</v>
      </c>
      <c r="P89" t="s">
        <v>238</v>
      </c>
      <c r="Q89" s="17" t="s">
        <v>239</v>
      </c>
      <c r="R89" t="str">
        <f>VLOOKUP(E89,'Data Type Lookup'!$A$1:$C$21,3,FALSE)</f>
        <v>String</v>
      </c>
      <c r="W89" t="str">
        <f t="shared" si="2"/>
        <v>CODE_THRESHOLD.CPU_TL</v>
      </c>
      <c r="X89" t="str">
        <f>VLOOKUP(W89,ColumnMapping[New Table.Column],1,)</f>
        <v>CODE_THRESHOLD.CPU_TL</v>
      </c>
      <c r="Y89" t="str">
        <f>_xlfn.XLOOKUP(Table6[[#This Row],[Table.Column]],ColumnMapping[Add Column Name],ColumnMapping[Old Table.Column],"",0,1)</f>
        <v/>
      </c>
      <c r="Z89" t="str">
        <f>_xlfn.XLOOKUP(Table6[[#This Row],[Old Table.Column]],Cobra8.6[Table.Column],Cobra8.6[TYPE],"",0,1)</f>
        <v/>
      </c>
      <c r="AA89" t="str">
        <f>_xlfn.XLOOKUP(Table6[[#This Row],[Old Table.Column]],Cobra8.6[Table.Column],Cobra8.6[LENGTH],"",0,1)</f>
        <v/>
      </c>
      <c r="AB89"/>
    </row>
    <row r="90" spans="1:28" hidden="1" x14ac:dyDescent="0.2">
      <c r="A90" t="s">
        <v>28</v>
      </c>
      <c r="B90" t="s">
        <v>157</v>
      </c>
      <c r="C90" t="s">
        <v>240</v>
      </c>
      <c r="D90">
        <v>30</v>
      </c>
      <c r="E90" t="s">
        <v>86</v>
      </c>
      <c r="F90" t="str">
        <f>VLOOKUP($E90,'Data Type Lookup'!$A$1:$C$21,2,FALSE)</f>
        <v>VARCHAR2</v>
      </c>
      <c r="G90">
        <v>3</v>
      </c>
      <c r="P90" s="10" t="s">
        <v>241</v>
      </c>
      <c r="Q90" s="17" t="s">
        <v>242</v>
      </c>
      <c r="R90" t="str">
        <f>VLOOKUP(E90,'Data Type Lookup'!$A$1:$C$21,3,FALSE)</f>
        <v>String</v>
      </c>
      <c r="W90" t="str">
        <f t="shared" si="2"/>
        <v>CODE_THRESHOLD.CCF_TL</v>
      </c>
      <c r="X90" t="str">
        <f>VLOOKUP(W90,ColumnMapping[New Table.Column],1,)</f>
        <v>CODE_THRESHOLD.CCF_TL</v>
      </c>
      <c r="Y90" t="str">
        <f>_xlfn.XLOOKUP(Table6[[#This Row],[Table.Column]],ColumnMapping[Add Column Name],ColumnMapping[Old Table.Column],"",0,1)</f>
        <v/>
      </c>
      <c r="Z90" t="str">
        <f>_xlfn.XLOOKUP(Table6[[#This Row],[Old Table.Column]],Cobra8.6[Table.Column],Cobra8.6[TYPE],"",0,1)</f>
        <v/>
      </c>
      <c r="AA90" t="str">
        <f>_xlfn.XLOOKUP(Table6[[#This Row],[Old Table.Column]],Cobra8.6[Table.Column],Cobra8.6[LENGTH],"",0,1)</f>
        <v/>
      </c>
      <c r="AB90"/>
    </row>
    <row r="91" spans="1:28" hidden="1" x14ac:dyDescent="0.2">
      <c r="A91" t="s">
        <v>28</v>
      </c>
      <c r="B91" t="s">
        <v>157</v>
      </c>
      <c r="C91" t="s">
        <v>243</v>
      </c>
      <c r="D91">
        <v>31</v>
      </c>
      <c r="E91" t="s">
        <v>86</v>
      </c>
      <c r="F91" t="str">
        <f>VLOOKUP($E91,'Data Type Lookup'!$A$1:$C$21,2,FALSE)</f>
        <v>VARCHAR2</v>
      </c>
      <c r="G91">
        <v>3</v>
      </c>
      <c r="P91" s="10" t="s">
        <v>244</v>
      </c>
      <c r="Q91" s="17" t="s">
        <v>245</v>
      </c>
      <c r="R91" t="str">
        <f>VLOOKUP(E91,'Data Type Lookup'!$A$1:$C$21,3,FALSE)</f>
        <v>String</v>
      </c>
      <c r="W91" t="str">
        <f t="shared" si="2"/>
        <v>CODE_THRESHOLD.CCU_TL</v>
      </c>
      <c r="X91" t="str">
        <f>VLOOKUP(W91,ColumnMapping[New Table.Column],1,)</f>
        <v>CODE_THRESHOLD.CCU_TL</v>
      </c>
      <c r="Y91" t="str">
        <f>_xlfn.XLOOKUP(Table6[[#This Row],[Table.Column]],ColumnMapping[Add Column Name],ColumnMapping[Old Table.Column],"",0,1)</f>
        <v/>
      </c>
      <c r="Z91" t="str">
        <f>_xlfn.XLOOKUP(Table6[[#This Row],[Old Table.Column]],Cobra8.6[Table.Column],Cobra8.6[TYPE],"",0,1)</f>
        <v/>
      </c>
      <c r="AA91" t="str">
        <f>_xlfn.XLOOKUP(Table6[[#This Row],[Old Table.Column]],Cobra8.6[Table.Column],Cobra8.6[LENGTH],"",0,1)</f>
        <v/>
      </c>
      <c r="AB91"/>
    </row>
    <row r="92" spans="1:28" hidden="1" x14ac:dyDescent="0.2">
      <c r="A92" t="s">
        <v>28</v>
      </c>
      <c r="B92" t="s">
        <v>157</v>
      </c>
      <c r="C92" t="s">
        <v>246</v>
      </c>
      <c r="D92">
        <v>32</v>
      </c>
      <c r="E92" t="s">
        <v>86</v>
      </c>
      <c r="F92" t="str">
        <f>VLOOKUP($E92,'Data Type Lookup'!$A$1:$C$21,2,FALSE)</f>
        <v>VARCHAR2</v>
      </c>
      <c r="G92">
        <v>3</v>
      </c>
      <c r="P92" s="10" t="s">
        <v>247</v>
      </c>
      <c r="Q92" s="17" t="s">
        <v>248</v>
      </c>
      <c r="R92" t="str">
        <f>VLOOKUP(E92,'Data Type Lookup'!$A$1:$C$21,3,FALSE)</f>
        <v>String</v>
      </c>
      <c r="W92" t="str">
        <f t="shared" si="2"/>
        <v>CODE_THRESHOLD.CAF_TL</v>
      </c>
      <c r="X92" t="str">
        <f>VLOOKUP(W92,ColumnMapping[New Table.Column],1,)</f>
        <v>CODE_THRESHOLD.CAF_TL</v>
      </c>
      <c r="Y92" t="str">
        <f>_xlfn.XLOOKUP(Table6[[#This Row],[Table.Column]],ColumnMapping[Add Column Name],ColumnMapping[Old Table.Column],"",0,1)</f>
        <v/>
      </c>
      <c r="Z92" t="str">
        <f>_xlfn.XLOOKUP(Table6[[#This Row],[Old Table.Column]],Cobra8.6[Table.Column],Cobra8.6[TYPE],"",0,1)</f>
        <v/>
      </c>
      <c r="AA92" t="str">
        <f>_xlfn.XLOOKUP(Table6[[#This Row],[Old Table.Column]],Cobra8.6[Table.Column],Cobra8.6[LENGTH],"",0,1)</f>
        <v/>
      </c>
      <c r="AB92"/>
    </row>
    <row r="93" spans="1:28" hidden="1" x14ac:dyDescent="0.2">
      <c r="A93" t="s">
        <v>28</v>
      </c>
      <c r="B93" t="s">
        <v>157</v>
      </c>
      <c r="C93" t="s">
        <v>249</v>
      </c>
      <c r="D93">
        <v>33</v>
      </c>
      <c r="E93" t="s">
        <v>86</v>
      </c>
      <c r="F93" t="str">
        <f>VLOOKUP($E93,'Data Type Lookup'!$A$1:$C$21,2,FALSE)</f>
        <v>VARCHAR2</v>
      </c>
      <c r="G93">
        <v>3</v>
      </c>
      <c r="P93" s="10" t="s">
        <v>250</v>
      </c>
      <c r="Q93" s="17" t="s">
        <v>251</v>
      </c>
      <c r="R93" t="str">
        <f>VLOOKUP(E93,'Data Type Lookup'!$A$1:$C$21,3,FALSE)</f>
        <v>String</v>
      </c>
      <c r="W93" t="str">
        <f t="shared" si="2"/>
        <v>CODE_THRESHOLD.CAU_TL</v>
      </c>
      <c r="X93" t="str">
        <f>VLOOKUP(W93,ColumnMapping[New Table.Column],1,)</f>
        <v>CODE_THRESHOLD.CAU_TL</v>
      </c>
      <c r="Y93" t="str">
        <f>_xlfn.XLOOKUP(Table6[[#This Row],[Table.Column]],ColumnMapping[Add Column Name],ColumnMapping[Old Table.Column],"",0,1)</f>
        <v/>
      </c>
      <c r="Z93" t="str">
        <f>_xlfn.XLOOKUP(Table6[[#This Row],[Old Table.Column]],Cobra8.6[Table.Column],Cobra8.6[TYPE],"",0,1)</f>
        <v/>
      </c>
      <c r="AA93" t="str">
        <f>_xlfn.XLOOKUP(Table6[[#This Row],[Old Table.Column]],Cobra8.6[Table.Column],Cobra8.6[LENGTH],"",0,1)</f>
        <v/>
      </c>
      <c r="AB93"/>
    </row>
    <row r="94" spans="1:28" hidden="1" x14ac:dyDescent="0.2">
      <c r="A94" t="s">
        <v>252</v>
      </c>
      <c r="B94" t="s">
        <v>253</v>
      </c>
      <c r="C94" t="s">
        <v>30</v>
      </c>
      <c r="D94">
        <v>1</v>
      </c>
      <c r="E94" t="s">
        <v>31</v>
      </c>
      <c r="F94" t="str">
        <f>VLOOKUP($E94,'Data Type Lookup'!$A$1:$C$21,2,FALSE)</f>
        <v>RAW(16)</v>
      </c>
      <c r="I94" s="32" t="s">
        <v>32</v>
      </c>
      <c r="K94" s="32" t="s">
        <v>32</v>
      </c>
      <c r="P94" t="s">
        <v>254</v>
      </c>
      <c r="Q94" t="s">
        <v>34</v>
      </c>
      <c r="R94" t="str">
        <f>VLOOKUP(E94,'Data Type Lookup'!$A$1:$C$21,3,FALSE)</f>
        <v>java.util.UUID</v>
      </c>
      <c r="S94">
        <v>3</v>
      </c>
      <c r="W94" t="str">
        <f t="shared" si="2"/>
        <v>PRODUCT_CONFIG.ROW_UID</v>
      </c>
      <c r="X94" t="str">
        <f>VLOOKUP(W94,ColumnMapping[New Table.Column],1,)</f>
        <v>PRODUCT_CONFIG.ROW_UID</v>
      </c>
      <c r="Y94" t="str">
        <f>_xlfn.XLOOKUP(Table6[[#This Row],[Table.Column]],ColumnMapping[Add Column Name],ColumnMapping[Old Table.Column],"",0,1)</f>
        <v/>
      </c>
      <c r="Z94" t="str">
        <f>_xlfn.XLOOKUP(Table6[[#This Row],[Old Table.Column]],Cobra8.6[Table.Column],Cobra8.6[TYPE],"",0,1)</f>
        <v/>
      </c>
      <c r="AA94" t="str">
        <f>_xlfn.XLOOKUP(Table6[[#This Row],[Old Table.Column]],Cobra8.6[Table.Column],Cobra8.6[LENGTH],"",0,1)</f>
        <v/>
      </c>
      <c r="AB94"/>
    </row>
    <row r="95" spans="1:28" hidden="1" x14ac:dyDescent="0.2">
      <c r="A95" t="s">
        <v>252</v>
      </c>
      <c r="B95" t="s">
        <v>253</v>
      </c>
      <c r="C95" t="s">
        <v>35</v>
      </c>
      <c r="D95">
        <v>2</v>
      </c>
      <c r="E95" t="s">
        <v>36</v>
      </c>
      <c r="F95" t="str">
        <f>VLOOKUP($E95,'Data Type Lookup'!$A$1:$C$21,2,FALSE)</f>
        <v>NUMBER(19,0)</v>
      </c>
      <c r="I95" s="32" t="s">
        <v>32</v>
      </c>
      <c r="J95" s="32">
        <v>0</v>
      </c>
      <c r="P95" t="s">
        <v>37</v>
      </c>
      <c r="Q95" t="s">
        <v>38</v>
      </c>
      <c r="R95" t="str">
        <f>VLOOKUP(E95,'Data Type Lookup'!$A$1:$C$21,3,FALSE)</f>
        <v>Long</v>
      </c>
      <c r="S95">
        <v>3</v>
      </c>
      <c r="W95" t="str">
        <f t="shared" si="2"/>
        <v>PRODUCT_CONFIG.SEQUENCE</v>
      </c>
      <c r="X95" t="str">
        <f>VLOOKUP(W95,ColumnMapping[New Table.Column],1,)</f>
        <v>PRODUCT_CONFIG.SEQUENCE</v>
      </c>
      <c r="Y95" t="str">
        <f>_xlfn.XLOOKUP(Table6[[#This Row],[Table.Column]],ColumnMapping[Add Column Name],ColumnMapping[Old Table.Column],"",0,1)</f>
        <v/>
      </c>
      <c r="Z95" t="str">
        <f>_xlfn.XLOOKUP(Table6[[#This Row],[Old Table.Column]],Cobra8.6[Table.Column],Cobra8.6[TYPE],"",0,1)</f>
        <v/>
      </c>
      <c r="AA95" t="str">
        <f>_xlfn.XLOOKUP(Table6[[#This Row],[Old Table.Column]],Cobra8.6[Table.Column],Cobra8.6[LENGTH],"",0,1)</f>
        <v/>
      </c>
      <c r="AB95"/>
    </row>
    <row r="96" spans="1:28" hidden="1" x14ac:dyDescent="0.2">
      <c r="A96" t="s">
        <v>252</v>
      </c>
      <c r="B96" t="s">
        <v>253</v>
      </c>
      <c r="C96" t="s">
        <v>255</v>
      </c>
      <c r="D96">
        <v>3</v>
      </c>
      <c r="E96" t="s">
        <v>52</v>
      </c>
      <c r="F96" t="str">
        <f>VLOOKUP($E96,'Data Type Lookup'!$A$1:$C$21,2,FALSE)</f>
        <v>NUMBER(5,0)</v>
      </c>
      <c r="I96" s="32" t="s">
        <v>32</v>
      </c>
      <c r="J96" s="32">
        <v>0</v>
      </c>
      <c r="P96" t="s">
        <v>256</v>
      </c>
      <c r="Q96" t="s">
        <v>257</v>
      </c>
      <c r="R96" t="str">
        <f>VLOOKUP(E96,'Data Type Lookup'!$A$1:$C$21,3,FALSE)</f>
        <v>Short</v>
      </c>
      <c r="W96" t="str">
        <f t="shared" si="2"/>
        <v>PRODUCT_CONFIG.PRODUCT_ID</v>
      </c>
      <c r="X96" t="str">
        <f>VLOOKUP(W96,ColumnMapping[New Table.Column],1,)</f>
        <v>PRODUCT_CONFIG.PRODUCT_ID</v>
      </c>
      <c r="Y96" t="str">
        <f>_xlfn.XLOOKUP(Table6[[#This Row],[Table.Column]],ColumnMapping[Add Column Name],ColumnMapping[Old Table.Column],"",0,1)</f>
        <v/>
      </c>
      <c r="Z96" t="str">
        <f>_xlfn.XLOOKUP(Table6[[#This Row],[Old Table.Column]],Cobra8.6[Table.Column],Cobra8.6[TYPE],"",0,1)</f>
        <v/>
      </c>
      <c r="AA96" t="str">
        <f>_xlfn.XLOOKUP(Table6[[#This Row],[Old Table.Column]],Cobra8.6[Table.Column],Cobra8.6[LENGTH],"",0,1)</f>
        <v/>
      </c>
      <c r="AB96"/>
    </row>
    <row r="97" spans="1:28" hidden="1" x14ac:dyDescent="0.2">
      <c r="A97" t="s">
        <v>252</v>
      </c>
      <c r="B97" t="s">
        <v>253</v>
      </c>
      <c r="C97" t="s">
        <v>258</v>
      </c>
      <c r="D97">
        <v>4</v>
      </c>
      <c r="E97" t="s">
        <v>86</v>
      </c>
      <c r="F97" t="str">
        <f>VLOOKUP($E97,'Data Type Lookup'!$A$1:$C$21,2,FALSE)</f>
        <v>VARCHAR2</v>
      </c>
      <c r="G97">
        <v>30</v>
      </c>
      <c r="I97" s="32" t="s">
        <v>32</v>
      </c>
      <c r="P97" t="s">
        <v>259</v>
      </c>
      <c r="Q97" t="s">
        <v>260</v>
      </c>
      <c r="R97" t="str">
        <f>VLOOKUP(E97,'Data Type Lookup'!$A$1:$C$21,3,FALSE)</f>
        <v>String</v>
      </c>
      <c r="V97" t="s">
        <v>261</v>
      </c>
      <c r="W97" t="str">
        <f t="shared" si="2"/>
        <v>PRODUCT_CONFIG.TYPE</v>
      </c>
      <c r="X97" t="str">
        <f>VLOOKUP(W97,ColumnMapping[New Table.Column],1,)</f>
        <v>PRODUCT_CONFIG.TYPE</v>
      </c>
      <c r="Y97" t="str">
        <f>_xlfn.XLOOKUP(Table6[[#This Row],[Table.Column]],ColumnMapping[Add Column Name],ColumnMapping[Old Table.Column],"",0,1)</f>
        <v/>
      </c>
      <c r="Z97" t="str">
        <f>_xlfn.XLOOKUP(Table6[[#This Row],[Old Table.Column]],Cobra8.6[Table.Column],Cobra8.6[TYPE],"",0,1)</f>
        <v/>
      </c>
      <c r="AA97" t="str">
        <f>_xlfn.XLOOKUP(Table6[[#This Row],[Old Table.Column]],Cobra8.6[Table.Column],Cobra8.6[LENGTH],"",0,1)</f>
        <v/>
      </c>
      <c r="AB97"/>
    </row>
    <row r="98" spans="1:28" hidden="1" x14ac:dyDescent="0.2">
      <c r="A98" t="s">
        <v>252</v>
      </c>
      <c r="B98" t="s">
        <v>253</v>
      </c>
      <c r="C98" t="s">
        <v>47</v>
      </c>
      <c r="D98">
        <v>5</v>
      </c>
      <c r="E98" t="s">
        <v>48</v>
      </c>
      <c r="F98" t="str">
        <f>VLOOKUP($E98,'Data Type Lookup'!$A$1:$C$21,2,FALSE)</f>
        <v>NVARCHAR2</v>
      </c>
      <c r="G98">
        <v>100</v>
      </c>
      <c r="I98" s="32" t="s">
        <v>32</v>
      </c>
      <c r="P98" t="s">
        <v>262</v>
      </c>
      <c r="Q98" t="s">
        <v>50</v>
      </c>
      <c r="R98" t="str">
        <f>VLOOKUP(E98,'Data Type Lookup'!$A$1:$C$21,3,FALSE)</f>
        <v>String</v>
      </c>
      <c r="W98" t="str">
        <f t="shared" si="2"/>
        <v>PRODUCT_CONFIG.NAME</v>
      </c>
      <c r="X98" t="str">
        <f>VLOOKUP(W98,ColumnMapping[New Table.Column],1,)</f>
        <v>PRODUCT_CONFIG.NAME</v>
      </c>
      <c r="Y98" t="str">
        <f>_xlfn.XLOOKUP(Table6[[#This Row],[Table.Column]],ColumnMapping[Add Column Name],ColumnMapping[Old Table.Column],"",0,1)</f>
        <v/>
      </c>
      <c r="Z98" t="str">
        <f>_xlfn.XLOOKUP(Table6[[#This Row],[Old Table.Column]],Cobra8.6[Table.Column],Cobra8.6[TYPE],"",0,1)</f>
        <v/>
      </c>
      <c r="AA98" t="str">
        <f>_xlfn.XLOOKUP(Table6[[#This Row],[Old Table.Column]],Cobra8.6[Table.Column],Cobra8.6[LENGTH],"",0,1)</f>
        <v/>
      </c>
      <c r="AB98"/>
    </row>
    <row r="99" spans="1:28" hidden="1" x14ac:dyDescent="0.2">
      <c r="A99" t="s">
        <v>252</v>
      </c>
      <c r="B99" t="s">
        <v>253</v>
      </c>
      <c r="C99" t="s">
        <v>104</v>
      </c>
      <c r="D99">
        <v>6</v>
      </c>
      <c r="E99" t="s">
        <v>31</v>
      </c>
      <c r="F99" t="str">
        <f>VLOOKUP($E99,'Data Type Lookup'!$A$1:$C$21,2,FALSE)</f>
        <v>RAW(16)</v>
      </c>
      <c r="P99" t="s">
        <v>263</v>
      </c>
      <c r="Q99" t="s">
        <v>106</v>
      </c>
      <c r="R99" t="str">
        <f>VLOOKUP(E99,'Data Type Lookup'!$A$1:$C$21,3,FALSE)</f>
        <v>java.util.UUID</v>
      </c>
      <c r="V99" t="s">
        <v>264</v>
      </c>
      <c r="W99" t="str">
        <f t="shared" si="2"/>
        <v>PRODUCT_CONFIG.OWNER_USER_UID</v>
      </c>
      <c r="X99" t="str">
        <f>VLOOKUP(W99,ColumnMapping[New Table.Column],1,)</f>
        <v>PRODUCT_CONFIG.OWNER_USER_UID</v>
      </c>
      <c r="Y99" t="str">
        <f>_xlfn.XLOOKUP(Table6[[#This Row],[Table.Column]],ColumnMapping[Add Column Name],ColumnMapping[Old Table.Column],"",0,1)</f>
        <v/>
      </c>
      <c r="Z99" t="str">
        <f>_xlfn.XLOOKUP(Table6[[#This Row],[Old Table.Column]],Cobra8.6[Table.Column],Cobra8.6[TYPE],"",0,1)</f>
        <v/>
      </c>
      <c r="AA99" t="str">
        <f>_xlfn.XLOOKUP(Table6[[#This Row],[Old Table.Column]],Cobra8.6[Table.Column],Cobra8.6[LENGTH],"",0,1)</f>
        <v/>
      </c>
      <c r="AB99"/>
    </row>
    <row r="100" spans="1:28" hidden="1" x14ac:dyDescent="0.2">
      <c r="A100" t="s">
        <v>252</v>
      </c>
      <c r="B100" t="s">
        <v>253</v>
      </c>
      <c r="C100" t="s">
        <v>61</v>
      </c>
      <c r="D100">
        <v>7</v>
      </c>
      <c r="E100" t="s">
        <v>31</v>
      </c>
      <c r="F100" t="str">
        <f>VLOOKUP($E100,'Data Type Lookup'!$A$1:$C$21,2,FALSE)</f>
        <v>RAW(16)</v>
      </c>
      <c r="I100" s="32" t="s">
        <v>32</v>
      </c>
      <c r="P100" t="s">
        <v>265</v>
      </c>
      <c r="Q100" t="s">
        <v>63</v>
      </c>
      <c r="R100" t="str">
        <f>VLOOKUP(E100,'Data Type Lookup'!$A$1:$C$21,3,FALSE)</f>
        <v>java.util.UUID</v>
      </c>
      <c r="S100">
        <v>2</v>
      </c>
      <c r="W100" t="str">
        <f t="shared" si="2"/>
        <v>PRODUCT_CONFIG.CREATED_BY_USER_UID</v>
      </c>
      <c r="X100" t="str">
        <f>VLOOKUP(W100,ColumnMapping[New Table.Column],1,)</f>
        <v>PRODUCT_CONFIG.CREATED_BY_USER_UID</v>
      </c>
      <c r="Y100" t="str">
        <f>_xlfn.XLOOKUP(Table6[[#This Row],[Table.Column]],ColumnMapping[Add Column Name],ColumnMapping[Old Table.Column],"",0,1)</f>
        <v/>
      </c>
      <c r="Z100" t="str">
        <f>_xlfn.XLOOKUP(Table6[[#This Row],[Old Table.Column]],Cobra8.6[Table.Column],Cobra8.6[TYPE],"",0,1)</f>
        <v/>
      </c>
      <c r="AA100" t="str">
        <f>_xlfn.XLOOKUP(Table6[[#This Row],[Old Table.Column]],Cobra8.6[Table.Column],Cobra8.6[LENGTH],"",0,1)</f>
        <v/>
      </c>
      <c r="AB100"/>
    </row>
    <row r="101" spans="1:28" hidden="1" x14ac:dyDescent="0.2">
      <c r="A101" t="s">
        <v>252</v>
      </c>
      <c r="B101" t="s">
        <v>253</v>
      </c>
      <c r="C101" t="s">
        <v>64</v>
      </c>
      <c r="D101">
        <v>8</v>
      </c>
      <c r="E101" t="s">
        <v>65</v>
      </c>
      <c r="F101" t="str">
        <f>VLOOKUP($E101,'Data Type Lookup'!$A$1:$C$21,2,FALSE)</f>
        <v>TIMESTAMP</v>
      </c>
      <c r="I101" s="32" t="s">
        <v>32</v>
      </c>
      <c r="P101" t="s">
        <v>266</v>
      </c>
      <c r="Q101" t="s">
        <v>67</v>
      </c>
      <c r="R101" t="str">
        <f>VLOOKUP(E101,'Data Type Lookup'!$A$1:$C$21,3,FALSE)</f>
        <v>java.time.Instant</v>
      </c>
      <c r="S101">
        <v>2</v>
      </c>
      <c r="W101" t="str">
        <f t="shared" si="2"/>
        <v>PRODUCT_CONFIG.CREATED_DATE</v>
      </c>
      <c r="X101" t="str">
        <f>VLOOKUP(W101,ColumnMapping[New Table.Column],1,)</f>
        <v>PRODUCT_CONFIG.CREATED_DATE</v>
      </c>
      <c r="Y101" t="str">
        <f>_xlfn.XLOOKUP(Table6[[#This Row],[Table.Column]],ColumnMapping[Add Column Name],ColumnMapping[Old Table.Column],"",0,1)</f>
        <v/>
      </c>
      <c r="Z101" t="str">
        <f>_xlfn.XLOOKUP(Table6[[#This Row],[Old Table.Column]],Cobra8.6[Table.Column],Cobra8.6[TYPE],"",0,1)</f>
        <v/>
      </c>
      <c r="AA101" t="str">
        <f>_xlfn.XLOOKUP(Table6[[#This Row],[Old Table.Column]],Cobra8.6[Table.Column],Cobra8.6[LENGTH],"",0,1)</f>
        <v/>
      </c>
      <c r="AB101"/>
    </row>
    <row r="102" spans="1:28" hidden="1" x14ac:dyDescent="0.2">
      <c r="A102" t="s">
        <v>252</v>
      </c>
      <c r="B102" t="s">
        <v>253</v>
      </c>
      <c r="C102" t="s">
        <v>68</v>
      </c>
      <c r="D102">
        <v>9</v>
      </c>
      <c r="E102" t="s">
        <v>31</v>
      </c>
      <c r="F102" t="str">
        <f>VLOOKUP($E102,'Data Type Lookup'!$A$1:$C$21,2,FALSE)</f>
        <v>RAW(16)</v>
      </c>
      <c r="I102" s="32" t="s">
        <v>32</v>
      </c>
      <c r="P102" t="s">
        <v>267</v>
      </c>
      <c r="Q102" t="s">
        <v>70</v>
      </c>
      <c r="R102" t="str">
        <f>VLOOKUP(E102,'Data Type Lookup'!$A$1:$C$21,3,FALSE)</f>
        <v>java.util.UUID</v>
      </c>
      <c r="S102">
        <v>2</v>
      </c>
      <c r="W102" t="str">
        <f t="shared" si="2"/>
        <v>PRODUCT_CONFIG.LAST_MODIFIED_BY_USER_UID</v>
      </c>
      <c r="X102" t="str">
        <f>VLOOKUP(W102,ColumnMapping[New Table.Column],1,)</f>
        <v>PRODUCT_CONFIG.LAST_MODIFIED_BY_USER_UID</v>
      </c>
      <c r="Y102" t="str">
        <f>_xlfn.XLOOKUP(Table6[[#This Row],[Table.Column]],ColumnMapping[Add Column Name],ColumnMapping[Old Table.Column],"",0,1)</f>
        <v/>
      </c>
      <c r="Z102" t="str">
        <f>_xlfn.XLOOKUP(Table6[[#This Row],[Old Table.Column]],Cobra8.6[Table.Column],Cobra8.6[TYPE],"",0,1)</f>
        <v/>
      </c>
      <c r="AA102" t="str">
        <f>_xlfn.XLOOKUP(Table6[[#This Row],[Old Table.Column]],Cobra8.6[Table.Column],Cobra8.6[LENGTH],"",0,1)</f>
        <v/>
      </c>
      <c r="AB102"/>
    </row>
    <row r="103" spans="1:28" hidden="1" x14ac:dyDescent="0.2">
      <c r="A103" t="s">
        <v>252</v>
      </c>
      <c r="B103" t="s">
        <v>253</v>
      </c>
      <c r="C103" t="s">
        <v>71</v>
      </c>
      <c r="D103">
        <v>10</v>
      </c>
      <c r="E103" t="s">
        <v>65</v>
      </c>
      <c r="F103" t="str">
        <f>VLOOKUP($E103,'Data Type Lookup'!$A$1:$C$21,2,FALSE)</f>
        <v>TIMESTAMP</v>
      </c>
      <c r="I103" s="32" t="s">
        <v>32</v>
      </c>
      <c r="P103" t="s">
        <v>268</v>
      </c>
      <c r="Q103" t="s">
        <v>73</v>
      </c>
      <c r="R103" t="str">
        <f>VLOOKUP(E103,'Data Type Lookup'!$A$1:$C$21,3,FALSE)</f>
        <v>java.time.Instant</v>
      </c>
      <c r="S103">
        <v>2</v>
      </c>
      <c r="W103" t="str">
        <f t="shared" si="2"/>
        <v>PRODUCT_CONFIG.LAST_MODIFIED_DATE</v>
      </c>
      <c r="X103" t="str">
        <f>VLOOKUP(W103,ColumnMapping[New Table.Column],1,)</f>
        <v>PRODUCT_CONFIG.LAST_MODIFIED_DATE</v>
      </c>
      <c r="Y103" t="str">
        <f>_xlfn.XLOOKUP(Table6[[#This Row],[Table.Column]],ColumnMapping[Add Column Name],ColumnMapping[Old Table.Column],"",0,1)</f>
        <v/>
      </c>
      <c r="Z103" t="str">
        <f>_xlfn.XLOOKUP(Table6[[#This Row],[Old Table.Column]],Cobra8.6[Table.Column],Cobra8.6[TYPE],"",0,1)</f>
        <v/>
      </c>
      <c r="AA103" t="str">
        <f>_xlfn.XLOOKUP(Table6[[#This Row],[Old Table.Column]],Cobra8.6[Table.Column],Cobra8.6[LENGTH],"",0,1)</f>
        <v/>
      </c>
      <c r="AB103"/>
    </row>
    <row r="104" spans="1:28" hidden="1" x14ac:dyDescent="0.2">
      <c r="A104" t="s">
        <v>252</v>
      </c>
      <c r="B104" t="s">
        <v>253</v>
      </c>
      <c r="C104" t="s">
        <v>15</v>
      </c>
      <c r="D104">
        <v>11</v>
      </c>
      <c r="E104" t="s">
        <v>48</v>
      </c>
      <c r="F104" t="str">
        <f>VLOOKUP($E104,'Data Type Lookup'!$A$1:$C$21,2,FALSE)</f>
        <v>NVARCHAR2</v>
      </c>
      <c r="G104">
        <v>256</v>
      </c>
      <c r="P104" t="s">
        <v>269</v>
      </c>
      <c r="Q104" t="s">
        <v>75</v>
      </c>
      <c r="R104" t="str">
        <f>VLOOKUP(E104,'Data Type Lookup'!$A$1:$C$21,3,FALSE)</f>
        <v>String</v>
      </c>
      <c r="W104" t="str">
        <f t="shared" si="2"/>
        <v>PRODUCT_CONFIG.DESCRIPTION</v>
      </c>
      <c r="X104" t="str">
        <f>VLOOKUP(W104,ColumnMapping[New Table.Column],1,)</f>
        <v>PRODUCT_CONFIG.DESCRIPTION</v>
      </c>
      <c r="Y104" t="str">
        <f>_xlfn.XLOOKUP(Table6[[#This Row],[Table.Column]],ColumnMapping[Add Column Name],ColumnMapping[Old Table.Column],"",0,1)</f>
        <v/>
      </c>
      <c r="Z104" t="str">
        <f>_xlfn.XLOOKUP(Table6[[#This Row],[Old Table.Column]],Cobra8.6[Table.Column],Cobra8.6[TYPE],"",0,1)</f>
        <v/>
      </c>
      <c r="AA104" t="str">
        <f>_xlfn.XLOOKUP(Table6[[#This Row],[Old Table.Column]],Cobra8.6[Table.Column],Cobra8.6[LENGTH],"",0,1)</f>
        <v/>
      </c>
      <c r="AB104"/>
    </row>
    <row r="105" spans="1:28" hidden="1" x14ac:dyDescent="0.2">
      <c r="A105" t="s">
        <v>252</v>
      </c>
      <c r="B105" t="s">
        <v>253</v>
      </c>
      <c r="C105" t="s">
        <v>270</v>
      </c>
      <c r="D105">
        <v>12</v>
      </c>
      <c r="E105" t="s">
        <v>271</v>
      </c>
      <c r="F105" t="str">
        <f>VLOOKUP($E105,'Data Type Lookup'!$A$1:$C$21,2,FALSE)</f>
        <v>NCLOB</v>
      </c>
      <c r="P105" t="s">
        <v>272</v>
      </c>
      <c r="Q105" t="s">
        <v>273</v>
      </c>
      <c r="R105" t="str">
        <f>VLOOKUP(E105,'Data Type Lookup'!$A$1:$C$21,3,FALSE)</f>
        <v>String</v>
      </c>
      <c r="W105" t="str">
        <f t="shared" si="2"/>
        <v>PRODUCT_CONFIG.DATA</v>
      </c>
      <c r="X105" t="str">
        <f>VLOOKUP(W105,ColumnMapping[New Table.Column],1,)</f>
        <v>PRODUCT_CONFIG.DATA</v>
      </c>
      <c r="Y105" t="str">
        <f>_xlfn.XLOOKUP(Table6[[#This Row],[Table.Column]],ColumnMapping[Add Column Name],ColumnMapping[Old Table.Column],"",0,1)</f>
        <v/>
      </c>
      <c r="Z105" t="str">
        <f>_xlfn.XLOOKUP(Table6[[#This Row],[Old Table.Column]],Cobra8.6[Table.Column],Cobra8.6[TYPE],"",0,1)</f>
        <v/>
      </c>
      <c r="AA105" t="str">
        <f>_xlfn.XLOOKUP(Table6[[#This Row],[Old Table.Column]],Cobra8.6[Table.Column],Cobra8.6[LENGTH],"",0,1)</f>
        <v/>
      </c>
      <c r="AB105"/>
    </row>
    <row r="106" spans="1:28" hidden="1" x14ac:dyDescent="0.2">
      <c r="A106" t="s">
        <v>252</v>
      </c>
      <c r="B106" t="s">
        <v>274</v>
      </c>
      <c r="C106" t="s">
        <v>30</v>
      </c>
      <c r="D106">
        <v>1</v>
      </c>
      <c r="E106" t="s">
        <v>31</v>
      </c>
      <c r="F106" t="str">
        <f>VLOOKUP($E106,'Data Type Lookup'!$A$1:$C$21,2,FALSE)</f>
        <v>RAW(16)</v>
      </c>
      <c r="I106" s="32" t="s">
        <v>32</v>
      </c>
      <c r="K106" s="32" t="s">
        <v>32</v>
      </c>
      <c r="P106" t="s">
        <v>275</v>
      </c>
      <c r="Q106" t="s">
        <v>34</v>
      </c>
      <c r="R106" t="str">
        <f>VLOOKUP(E106,'Data Type Lookup'!$A$1:$C$21,3,FALSE)</f>
        <v>java.util.UUID</v>
      </c>
      <c r="S106">
        <v>3</v>
      </c>
      <c r="W106" t="str">
        <f t="shared" si="2"/>
        <v>PRODUCT_PREFERENCE.ROW_UID</v>
      </c>
      <c r="X106" t="str">
        <f>VLOOKUP(W106,ColumnMapping[New Table.Column],1,)</f>
        <v>PRODUCT_PREFERENCE.ROW_UID</v>
      </c>
      <c r="Y106" t="str">
        <f>_xlfn.XLOOKUP(Table6[[#This Row],[Table.Column]],ColumnMapping[Add Column Name],ColumnMapping[Old Table.Column],"",0,1)</f>
        <v/>
      </c>
      <c r="Z106" t="str">
        <f>_xlfn.XLOOKUP(Table6[[#This Row],[Old Table.Column]],Cobra8.6[Table.Column],Cobra8.6[TYPE],"",0,1)</f>
        <v/>
      </c>
      <c r="AA106" t="str">
        <f>_xlfn.XLOOKUP(Table6[[#This Row],[Old Table.Column]],Cobra8.6[Table.Column],Cobra8.6[LENGTH],"",0,1)</f>
        <v/>
      </c>
      <c r="AB106"/>
    </row>
    <row r="107" spans="1:28" hidden="1" x14ac:dyDescent="0.2">
      <c r="A107" t="s">
        <v>252</v>
      </c>
      <c r="B107" t="s">
        <v>274</v>
      </c>
      <c r="C107" t="s">
        <v>35</v>
      </c>
      <c r="D107">
        <v>2</v>
      </c>
      <c r="E107" t="s">
        <v>36</v>
      </c>
      <c r="F107" t="str">
        <f>VLOOKUP($E107,'Data Type Lookup'!$A$1:$C$21,2,FALSE)</f>
        <v>NUMBER(19,0)</v>
      </c>
      <c r="I107" s="32" t="s">
        <v>32</v>
      </c>
      <c r="J107" s="32">
        <v>0</v>
      </c>
      <c r="P107" t="s">
        <v>37</v>
      </c>
      <c r="Q107" t="s">
        <v>38</v>
      </c>
      <c r="R107" t="str">
        <f>VLOOKUP(E107,'Data Type Lookup'!$A$1:$C$21,3,FALSE)</f>
        <v>Long</v>
      </c>
      <c r="S107">
        <v>3</v>
      </c>
      <c r="W107" t="str">
        <f t="shared" si="2"/>
        <v>PRODUCT_PREFERENCE.SEQUENCE</v>
      </c>
      <c r="X107" t="str">
        <f>VLOOKUP(W107,ColumnMapping[New Table.Column],1,)</f>
        <v>PRODUCT_PREFERENCE.SEQUENCE</v>
      </c>
      <c r="Y107" t="str">
        <f>_xlfn.XLOOKUP(Table6[[#This Row],[Table.Column]],ColumnMapping[Add Column Name],ColumnMapping[Old Table.Column],"",0,1)</f>
        <v/>
      </c>
      <c r="Z107" t="str">
        <f>_xlfn.XLOOKUP(Table6[[#This Row],[Old Table.Column]],Cobra8.6[Table.Column],Cobra8.6[TYPE],"",0,1)</f>
        <v/>
      </c>
      <c r="AA107" t="str">
        <f>_xlfn.XLOOKUP(Table6[[#This Row],[Old Table.Column]],Cobra8.6[Table.Column],Cobra8.6[LENGTH],"",0,1)</f>
        <v/>
      </c>
      <c r="AB107"/>
    </row>
    <row r="108" spans="1:28" hidden="1" x14ac:dyDescent="0.2">
      <c r="A108" t="s">
        <v>252</v>
      </c>
      <c r="B108" t="s">
        <v>274</v>
      </c>
      <c r="C108" t="s">
        <v>255</v>
      </c>
      <c r="D108">
        <v>3</v>
      </c>
      <c r="E108" t="s">
        <v>52</v>
      </c>
      <c r="F108" t="str">
        <f>VLOOKUP($E108,'Data Type Lookup'!$A$1:$C$21,2,FALSE)</f>
        <v>NUMBER(5,0)</v>
      </c>
      <c r="J108" s="32">
        <v>0</v>
      </c>
      <c r="L108" s="32" t="s">
        <v>32</v>
      </c>
      <c r="P108" t="s">
        <v>276</v>
      </c>
      <c r="Q108" t="s">
        <v>257</v>
      </c>
      <c r="R108" t="str">
        <f>VLOOKUP(E108,'Data Type Lookup'!$A$1:$C$21,3,FALSE)</f>
        <v>Short</v>
      </c>
      <c r="V108" t="s">
        <v>277</v>
      </c>
      <c r="W108" t="str">
        <f t="shared" si="2"/>
        <v>PRODUCT_PREFERENCE.PRODUCT_ID</v>
      </c>
      <c r="X108" t="str">
        <f>VLOOKUP(W108,ColumnMapping[New Table.Column],1,)</f>
        <v>PRODUCT_PREFERENCE.PRODUCT_ID</v>
      </c>
      <c r="Y108" t="str">
        <f>_xlfn.XLOOKUP(Table6[[#This Row],[Table.Column]],ColumnMapping[Add Column Name],ColumnMapping[Old Table.Column],"",0,1)</f>
        <v/>
      </c>
      <c r="Z108" t="str">
        <f>_xlfn.XLOOKUP(Table6[[#This Row],[Old Table.Column]],Cobra8.6[Table.Column],Cobra8.6[TYPE],"",0,1)</f>
        <v/>
      </c>
      <c r="AA108" t="str">
        <f>_xlfn.XLOOKUP(Table6[[#This Row],[Old Table.Column]],Cobra8.6[Table.Column],Cobra8.6[LENGTH],"",0,1)</f>
        <v/>
      </c>
      <c r="AB108"/>
    </row>
    <row r="109" spans="1:28" hidden="1" x14ac:dyDescent="0.2">
      <c r="A109" t="s">
        <v>252</v>
      </c>
      <c r="B109" t="s">
        <v>274</v>
      </c>
      <c r="C109" t="s">
        <v>278</v>
      </c>
      <c r="D109">
        <v>4</v>
      </c>
      <c r="E109" t="s">
        <v>31</v>
      </c>
      <c r="F109" t="str">
        <f>VLOOKUP($E109,'Data Type Lookup'!$A$1:$C$21,2,FALSE)</f>
        <v>RAW(16)</v>
      </c>
      <c r="L109" s="32" t="s">
        <v>32</v>
      </c>
      <c r="P109" t="s">
        <v>279</v>
      </c>
      <c r="Q109" t="s">
        <v>280</v>
      </c>
      <c r="R109" t="str">
        <f>VLOOKUP(E109,'Data Type Lookup'!$A$1:$C$21,3,FALSE)</f>
        <v>java.util.UUID</v>
      </c>
      <c r="S109">
        <v>1</v>
      </c>
      <c r="V109" t="s">
        <v>281</v>
      </c>
      <c r="W109" t="str">
        <f t="shared" si="2"/>
        <v>PRODUCT_PREFERENCE.PRIMARY_ENTITY_UID</v>
      </c>
      <c r="X109" t="str">
        <f>VLOOKUP(W109,ColumnMapping[New Table.Column],1,)</f>
        <v>PRODUCT_PREFERENCE.PRIMARY_ENTITY_UID</v>
      </c>
      <c r="Y109" t="str">
        <f>_xlfn.XLOOKUP(Table6[[#This Row],[Table.Column]],ColumnMapping[Add Column Name],ColumnMapping[Old Table.Column],"",0,1)</f>
        <v/>
      </c>
      <c r="Z109" t="str">
        <f>_xlfn.XLOOKUP(Table6[[#This Row],[Old Table.Column]],Cobra8.6[Table.Column],Cobra8.6[TYPE],"",0,1)</f>
        <v/>
      </c>
      <c r="AA109" t="str">
        <f>_xlfn.XLOOKUP(Table6[[#This Row],[Old Table.Column]],Cobra8.6[Table.Column],Cobra8.6[LENGTH],"",0,1)</f>
        <v/>
      </c>
      <c r="AB109"/>
    </row>
    <row r="110" spans="1:28" hidden="1" x14ac:dyDescent="0.2">
      <c r="A110" t="s">
        <v>252</v>
      </c>
      <c r="B110" t="s">
        <v>274</v>
      </c>
      <c r="C110" t="s">
        <v>68</v>
      </c>
      <c r="D110">
        <v>5</v>
      </c>
      <c r="E110" t="s">
        <v>31</v>
      </c>
      <c r="F110" t="str">
        <f>VLOOKUP($E110,'Data Type Lookup'!$A$1:$C$21,2,FALSE)</f>
        <v>RAW(16)</v>
      </c>
      <c r="L110" s="32" t="s">
        <v>32</v>
      </c>
      <c r="P110" t="s">
        <v>282</v>
      </c>
      <c r="Q110" t="s">
        <v>283</v>
      </c>
      <c r="R110" t="str">
        <f>VLOOKUP(E110,'Data Type Lookup'!$A$1:$C$21,3,FALSE)</f>
        <v>java.util.UUID</v>
      </c>
      <c r="V110" t="s">
        <v>284</v>
      </c>
      <c r="W110" t="str">
        <f t="shared" si="2"/>
        <v>PRODUCT_PREFERENCE.LAST_MODIFIED_BY_USER_UID</v>
      </c>
      <c r="X110" t="str">
        <f>VLOOKUP(W110,ColumnMapping[New Table.Column],1,)</f>
        <v>PRODUCT_PREFERENCE.LAST_MODIFIED_BY_USER_UID</v>
      </c>
      <c r="Y110" t="str">
        <f>_xlfn.XLOOKUP(Table6[[#This Row],[Table.Column]],ColumnMapping[Add Column Name],ColumnMapping[Old Table.Column],"",0,1)</f>
        <v/>
      </c>
      <c r="Z110" t="str">
        <f>_xlfn.XLOOKUP(Table6[[#This Row],[Old Table.Column]],Cobra8.6[Table.Column],Cobra8.6[TYPE],"",0,1)</f>
        <v/>
      </c>
      <c r="AA110" t="str">
        <f>_xlfn.XLOOKUP(Table6[[#This Row],[Old Table.Column]],Cobra8.6[Table.Column],Cobra8.6[LENGTH],"",0,1)</f>
        <v/>
      </c>
      <c r="AB110"/>
    </row>
    <row r="111" spans="1:28" hidden="1" x14ac:dyDescent="0.2">
      <c r="A111" t="s">
        <v>252</v>
      </c>
      <c r="B111" t="s">
        <v>274</v>
      </c>
      <c r="C111" t="s">
        <v>47</v>
      </c>
      <c r="D111">
        <v>6</v>
      </c>
      <c r="E111" t="s">
        <v>86</v>
      </c>
      <c r="F111" t="str">
        <f>VLOOKUP($E111,'Data Type Lookup'!$A$1:$C$21,2,FALSE)</f>
        <v>VARCHAR2</v>
      </c>
      <c r="G111">
        <v>60</v>
      </c>
      <c r="I111" s="32" t="s">
        <v>32</v>
      </c>
      <c r="L111" s="32" t="s">
        <v>32</v>
      </c>
      <c r="P111" t="s">
        <v>285</v>
      </c>
      <c r="Q111" t="s">
        <v>50</v>
      </c>
      <c r="R111" t="str">
        <f>VLOOKUP(E111,'Data Type Lookup'!$A$1:$C$21,3,FALSE)</f>
        <v>String</v>
      </c>
      <c r="W111" t="str">
        <f t="shared" si="2"/>
        <v>PRODUCT_PREFERENCE.NAME</v>
      </c>
      <c r="X111" t="str">
        <f>VLOOKUP(W111,ColumnMapping[New Table.Column],1,)</f>
        <v>PRODUCT_PREFERENCE.NAME</v>
      </c>
      <c r="Y111" t="str">
        <f>_xlfn.XLOOKUP(Table6[[#This Row],[Table.Column]],ColumnMapping[Add Column Name],ColumnMapping[Old Table.Column],"",0,1)</f>
        <v/>
      </c>
      <c r="Z111" t="str">
        <f>_xlfn.XLOOKUP(Table6[[#This Row],[Old Table.Column]],Cobra8.6[Table.Column],Cobra8.6[TYPE],"",0,1)</f>
        <v/>
      </c>
      <c r="AA111" t="str">
        <f>_xlfn.XLOOKUP(Table6[[#This Row],[Old Table.Column]],Cobra8.6[Table.Column],Cobra8.6[LENGTH],"",0,1)</f>
        <v/>
      </c>
      <c r="AB111"/>
    </row>
    <row r="112" spans="1:28" hidden="1" x14ac:dyDescent="0.2">
      <c r="A112" t="s">
        <v>252</v>
      </c>
      <c r="B112" t="s">
        <v>274</v>
      </c>
      <c r="C112" t="s">
        <v>270</v>
      </c>
      <c r="D112">
        <v>7</v>
      </c>
      <c r="E112" t="s">
        <v>86</v>
      </c>
      <c r="F112" t="str">
        <f>VLOOKUP($E112,'Data Type Lookup'!$A$1:$C$21,2,FALSE)</f>
        <v>VARCHAR2</v>
      </c>
      <c r="G112">
        <v>2048</v>
      </c>
      <c r="I112" s="32" t="s">
        <v>32</v>
      </c>
      <c r="P112" t="s">
        <v>286</v>
      </c>
      <c r="Q112" t="s">
        <v>273</v>
      </c>
      <c r="R112" t="str">
        <f>VLOOKUP(E112,'Data Type Lookup'!$A$1:$C$21,3,FALSE)</f>
        <v>String</v>
      </c>
      <c r="W112" t="str">
        <f t="shared" si="2"/>
        <v>PRODUCT_PREFERENCE.DATA</v>
      </c>
      <c r="X112" t="str">
        <f>VLOOKUP(W112,ColumnMapping[New Table.Column],1,)</f>
        <v>PRODUCT_PREFERENCE.DATA</v>
      </c>
      <c r="Y112" t="str">
        <f>_xlfn.XLOOKUP(Table6[[#This Row],[Table.Column]],ColumnMapping[Add Column Name],ColumnMapping[Old Table.Column],"",0,1)</f>
        <v/>
      </c>
      <c r="Z112" t="str">
        <f>_xlfn.XLOOKUP(Table6[[#This Row],[Old Table.Column]],Cobra8.6[Table.Column],Cobra8.6[TYPE],"",0,1)</f>
        <v/>
      </c>
      <c r="AA112" t="str">
        <f>_xlfn.XLOOKUP(Table6[[#This Row],[Old Table.Column]],Cobra8.6[Table.Column],Cobra8.6[LENGTH],"",0,1)</f>
        <v/>
      </c>
      <c r="AB112"/>
    </row>
    <row r="113" spans="1:28" hidden="1" x14ac:dyDescent="0.2">
      <c r="A113" t="s">
        <v>252</v>
      </c>
      <c r="B113" t="s">
        <v>274</v>
      </c>
      <c r="C113" t="s">
        <v>287</v>
      </c>
      <c r="D113">
        <v>8</v>
      </c>
      <c r="E113" t="s">
        <v>288</v>
      </c>
      <c r="F113" t="str">
        <f>VLOOKUP($E113,'Data Type Lookup'!$A$1:$C$21,2,FALSE)</f>
        <v>NUMBER(1,0)</v>
      </c>
      <c r="I113" s="32" t="s">
        <v>32</v>
      </c>
      <c r="J113" s="37">
        <v>0</v>
      </c>
      <c r="P113" t="s">
        <v>289</v>
      </c>
      <c r="Q113" t="s">
        <v>290</v>
      </c>
      <c r="R113" t="str">
        <f>VLOOKUP(E113,'Data Type Lookup'!$A$1:$C$21,3,FALSE)</f>
        <v>Boolean</v>
      </c>
      <c r="W113" t="str">
        <f t="shared" si="2"/>
        <v>PRODUCT_PREFERENCE.SECURE</v>
      </c>
      <c r="X113" t="str">
        <f>VLOOKUP(W113,ColumnMapping[New Table.Column],1,)</f>
        <v>PRODUCT_PREFERENCE.SECURE</v>
      </c>
      <c r="Y113" t="str">
        <f>_xlfn.XLOOKUP(Table6[[#This Row],[Table.Column]],ColumnMapping[Add Column Name],ColumnMapping[Old Table.Column],"",0,1)</f>
        <v/>
      </c>
      <c r="Z113" t="str">
        <f>_xlfn.XLOOKUP(Table6[[#This Row],[Old Table.Column]],Cobra8.6[Table.Column],Cobra8.6[TYPE],"",0,1)</f>
        <v/>
      </c>
      <c r="AA113" t="str">
        <f>_xlfn.XLOOKUP(Table6[[#This Row],[Old Table.Column]],Cobra8.6[Table.Column],Cobra8.6[LENGTH],"",0,1)</f>
        <v/>
      </c>
      <c r="AB113"/>
    </row>
    <row r="114" spans="1:28" hidden="1" x14ac:dyDescent="0.2">
      <c r="A114" t="s">
        <v>252</v>
      </c>
      <c r="B114" t="s">
        <v>274</v>
      </c>
      <c r="C114" t="s">
        <v>64</v>
      </c>
      <c r="D114">
        <v>9</v>
      </c>
      <c r="E114" t="s">
        <v>65</v>
      </c>
      <c r="F114" t="str">
        <f>VLOOKUP($E114,'Data Type Lookup'!$A$1:$C$21,2,FALSE)</f>
        <v>TIMESTAMP</v>
      </c>
      <c r="I114" s="32" t="s">
        <v>32</v>
      </c>
      <c r="J114" s="37"/>
      <c r="P114" t="s">
        <v>266</v>
      </c>
      <c r="Q114" t="s">
        <v>67</v>
      </c>
      <c r="R114" t="str">
        <f>VLOOKUP(E114,'Data Type Lookup'!$A$1:$C$21,3,FALSE)</f>
        <v>java.time.Instant</v>
      </c>
      <c r="S114">
        <v>2</v>
      </c>
      <c r="W114" t="str">
        <f t="shared" si="2"/>
        <v>PRODUCT_PREFERENCE.CREATED_DATE</v>
      </c>
      <c r="X114" t="e">
        <f>VLOOKUP(W114,ColumnMapping[New Table.Column],1,)</f>
        <v>#N/A</v>
      </c>
      <c r="Y114" t="str">
        <f>_xlfn.XLOOKUP(Table6[[#This Row],[Table.Column]],ColumnMapping[Add Column Name],ColumnMapping[Old Table.Column],"",0,1)</f>
        <v/>
      </c>
      <c r="Z114" t="str">
        <f>_xlfn.XLOOKUP(Table6[[#This Row],[Old Table.Column]],Cobra8.6[Table.Column],Cobra8.6[TYPE],"",0,1)</f>
        <v/>
      </c>
      <c r="AA114" t="str">
        <f>_xlfn.XLOOKUP(Table6[[#This Row],[Old Table.Column]],Cobra8.6[Table.Column],Cobra8.6[LENGTH],"",0,1)</f>
        <v/>
      </c>
      <c r="AB114"/>
    </row>
    <row r="115" spans="1:28" hidden="1" x14ac:dyDescent="0.2">
      <c r="A115" t="s">
        <v>252</v>
      </c>
      <c r="B115" t="s">
        <v>274</v>
      </c>
      <c r="C115" t="s">
        <v>61</v>
      </c>
      <c r="D115">
        <v>10</v>
      </c>
      <c r="E115" t="s">
        <v>31</v>
      </c>
      <c r="F115" t="str">
        <f>VLOOKUP($E115,'Data Type Lookup'!$A$1:$C$21,2,FALSE)</f>
        <v>RAW(16)</v>
      </c>
      <c r="I115" s="32" t="s">
        <v>32</v>
      </c>
      <c r="J115" s="37"/>
      <c r="P115" t="s">
        <v>265</v>
      </c>
      <c r="Q115" t="s">
        <v>63</v>
      </c>
      <c r="R115" t="str">
        <f>VLOOKUP(E115,'Data Type Lookup'!$A$1:$C$21,3,FALSE)</f>
        <v>java.util.UUID</v>
      </c>
      <c r="S115">
        <v>2</v>
      </c>
      <c r="W115" t="str">
        <f t="shared" si="2"/>
        <v>PRODUCT_PREFERENCE.CREATED_BY_USER_UID</v>
      </c>
      <c r="X115" t="e">
        <f>VLOOKUP(W115,ColumnMapping[New Table.Column],1,)</f>
        <v>#N/A</v>
      </c>
      <c r="Y115" t="str">
        <f>_xlfn.XLOOKUP(Table6[[#This Row],[Table.Column]],ColumnMapping[Add Column Name],ColumnMapping[Old Table.Column],"",0,1)</f>
        <v/>
      </c>
      <c r="Z115" t="str">
        <f>_xlfn.XLOOKUP(Table6[[#This Row],[Old Table.Column]],Cobra8.6[Table.Column],Cobra8.6[TYPE],"",0,1)</f>
        <v/>
      </c>
      <c r="AA115" t="str">
        <f>_xlfn.XLOOKUP(Table6[[#This Row],[Old Table.Column]],Cobra8.6[Table.Column],Cobra8.6[LENGTH],"",0,1)</f>
        <v/>
      </c>
      <c r="AB115"/>
    </row>
    <row r="116" spans="1:28" hidden="1" x14ac:dyDescent="0.2">
      <c r="A116" t="s">
        <v>252</v>
      </c>
      <c r="B116" t="s">
        <v>274</v>
      </c>
      <c r="C116" t="s">
        <v>104</v>
      </c>
      <c r="D116">
        <v>11</v>
      </c>
      <c r="E116" t="s">
        <v>31</v>
      </c>
      <c r="F116" t="str">
        <f>VLOOKUP($E116,'Data Type Lookup'!$A$1:$C$21,2,FALSE)</f>
        <v>RAW(16)</v>
      </c>
      <c r="J116" s="37"/>
      <c r="P116" t="s">
        <v>263</v>
      </c>
      <c r="Q116" t="s">
        <v>106</v>
      </c>
      <c r="R116" t="str">
        <f>VLOOKUP(E116,'Data Type Lookup'!$A$1:$C$21,3,FALSE)</f>
        <v>java.util.UUID</v>
      </c>
      <c r="W116" t="str">
        <f t="shared" si="2"/>
        <v>PRODUCT_PREFERENCE.OWNER_USER_UID</v>
      </c>
      <c r="X116" t="e">
        <f>VLOOKUP(W116,ColumnMapping[New Table.Column],1,)</f>
        <v>#N/A</v>
      </c>
      <c r="Y116" t="str">
        <f>_xlfn.XLOOKUP(Table6[[#This Row],[Table.Column]],ColumnMapping[Add Column Name],ColumnMapping[Old Table.Column],"",0,1)</f>
        <v/>
      </c>
      <c r="Z116" t="str">
        <f>_xlfn.XLOOKUP(Table6[[#This Row],[Old Table.Column]],Cobra8.6[Table.Column],Cobra8.6[TYPE],"",0,1)</f>
        <v/>
      </c>
      <c r="AA116" t="str">
        <f>_xlfn.XLOOKUP(Table6[[#This Row],[Old Table.Column]],Cobra8.6[Table.Column],Cobra8.6[LENGTH],"",0,1)</f>
        <v/>
      </c>
      <c r="AB116"/>
    </row>
    <row r="117" spans="1:28" hidden="1" x14ac:dyDescent="0.2">
      <c r="A117" t="s">
        <v>252</v>
      </c>
      <c r="B117" t="s">
        <v>274</v>
      </c>
      <c r="C117" t="s">
        <v>71</v>
      </c>
      <c r="D117">
        <v>12</v>
      </c>
      <c r="E117" t="s">
        <v>65</v>
      </c>
      <c r="F117" t="str">
        <f>VLOOKUP($E117,'Data Type Lookup'!$A$1:$C$21,2,FALSE)</f>
        <v>TIMESTAMP</v>
      </c>
      <c r="I117" s="32" t="s">
        <v>32</v>
      </c>
      <c r="P117" t="s">
        <v>291</v>
      </c>
      <c r="Q117" t="s">
        <v>73</v>
      </c>
      <c r="R117" t="str">
        <f>VLOOKUP(E117,'Data Type Lookup'!$A$1:$C$21,3,FALSE)</f>
        <v>java.time.Instant</v>
      </c>
      <c r="S117">
        <v>2</v>
      </c>
      <c r="W117" t="str">
        <f>_xlfn.CONCAT(B117,".",C117)</f>
        <v>PRODUCT_PREFERENCE.LAST_MODIFIED_DATE</v>
      </c>
      <c r="X117" t="str">
        <f>VLOOKUP(W117,ColumnMapping[New Table.Column],1,)</f>
        <v>PRODUCT_PREFERENCE.LAST_MODIFIED_DATE</v>
      </c>
      <c r="Y117" t="str">
        <f>_xlfn.XLOOKUP(Table6[[#This Row],[Table.Column]],ColumnMapping[Add Column Name],ColumnMapping[Old Table.Column],"",0,1)</f>
        <v/>
      </c>
      <c r="Z117" t="str">
        <f>_xlfn.XLOOKUP(Table6[[#This Row],[Old Table.Column]],Cobra8.6[Table.Column],Cobra8.6[TYPE],"",0,1)</f>
        <v/>
      </c>
      <c r="AA117" t="str">
        <f>_xlfn.XLOOKUP(Table6[[#This Row],[Old Table.Column]],Cobra8.6[Table.Column],Cobra8.6[LENGTH],"",0,1)</f>
        <v/>
      </c>
      <c r="AB117"/>
    </row>
    <row r="118" spans="1:28" hidden="1" x14ac:dyDescent="0.2">
      <c r="A118" t="s">
        <v>252</v>
      </c>
      <c r="B118" t="s">
        <v>274</v>
      </c>
      <c r="C118" t="s">
        <v>15</v>
      </c>
      <c r="D118">
        <v>13</v>
      </c>
      <c r="E118" t="s">
        <v>48</v>
      </c>
      <c r="F118" t="str">
        <f>VLOOKUP($E118,'Data Type Lookup'!$A$1:$C$21,2,FALSE)</f>
        <v>NVARCHAR2</v>
      </c>
      <c r="G118">
        <v>256</v>
      </c>
      <c r="P118" t="s">
        <v>292</v>
      </c>
      <c r="Q118" t="s">
        <v>75</v>
      </c>
      <c r="R118" t="str">
        <f>VLOOKUP(E118,'Data Type Lookup'!$A$1:$C$21,3,FALSE)</f>
        <v>String</v>
      </c>
      <c r="W118" t="str">
        <f>_xlfn.CONCAT(B118,".",C118)</f>
        <v>PRODUCT_PREFERENCE.DESCRIPTION</v>
      </c>
      <c r="X118" t="e">
        <f>VLOOKUP(W118,ColumnMapping[New Table.Column],1,)</f>
        <v>#N/A</v>
      </c>
      <c r="Y118" t="str">
        <f>_xlfn.XLOOKUP(Table6[[#This Row],[Table.Column]],ColumnMapping[Add Column Name],ColumnMapping[Old Table.Column],"",0,1)</f>
        <v/>
      </c>
      <c r="Z118" t="str">
        <f>_xlfn.XLOOKUP(Table6[[#This Row],[Old Table.Column]],Cobra8.6[Table.Column],Cobra8.6[TYPE],"",0,1)</f>
        <v/>
      </c>
      <c r="AA118" t="str">
        <f>_xlfn.XLOOKUP(Table6[[#This Row],[Old Table.Column]],Cobra8.6[Table.Column],Cobra8.6[LENGTH],"",0,1)</f>
        <v/>
      </c>
      <c r="AB118"/>
    </row>
    <row r="119" spans="1:28" hidden="1" x14ac:dyDescent="0.2">
      <c r="A119" t="s">
        <v>293</v>
      </c>
      <c r="B119" t="s">
        <v>294</v>
      </c>
      <c r="C119" t="s">
        <v>30</v>
      </c>
      <c r="D119">
        <v>1</v>
      </c>
      <c r="E119" t="s">
        <v>31</v>
      </c>
      <c r="F119" t="str">
        <f>VLOOKUP($E119,'Data Type Lookup'!$A$1:$C$21,2,FALSE)</f>
        <v>RAW(16)</v>
      </c>
      <c r="I119" s="32" t="s">
        <v>32</v>
      </c>
      <c r="K119" s="32" t="s">
        <v>32</v>
      </c>
      <c r="P119" t="s">
        <v>295</v>
      </c>
      <c r="Q119" t="s">
        <v>34</v>
      </c>
      <c r="R119" t="str">
        <f>VLOOKUP(E119,'Data Type Lookup'!$A$1:$C$21,3,FALSE)</f>
        <v>java.util.UUID</v>
      </c>
      <c r="S119">
        <v>3</v>
      </c>
      <c r="U119">
        <v>8</v>
      </c>
      <c r="W119" t="str">
        <f t="shared" si="2"/>
        <v>FISCAL_CALENDAR.ROW_UID</v>
      </c>
      <c r="X119" t="str">
        <f>VLOOKUP(W119,ColumnMapping[New Table.Column],1,)</f>
        <v>FISCAL_CALENDAR.ROW_UID</v>
      </c>
      <c r="Y119" t="str">
        <f>_xlfn.XLOOKUP(Table6[[#This Row],[Table.Column]],ColumnMapping[Add Column Name],ColumnMapping[Old Table.Column],"",0,1)</f>
        <v/>
      </c>
      <c r="Z119" t="str">
        <f>_xlfn.XLOOKUP(Table6[[#This Row],[Old Table.Column]],Cobra8.6[Table.Column],Cobra8.6[TYPE],"",0,1)</f>
        <v/>
      </c>
      <c r="AA119" t="str">
        <f>_xlfn.XLOOKUP(Table6[[#This Row],[Old Table.Column]],Cobra8.6[Table.Column],Cobra8.6[LENGTH],"",0,1)</f>
        <v/>
      </c>
      <c r="AB119"/>
    </row>
    <row r="120" spans="1:28" hidden="1" x14ac:dyDescent="0.2">
      <c r="A120" t="s">
        <v>293</v>
      </c>
      <c r="B120" t="s">
        <v>294</v>
      </c>
      <c r="C120" t="s">
        <v>35</v>
      </c>
      <c r="D120">
        <v>2</v>
      </c>
      <c r="E120" t="s">
        <v>36</v>
      </c>
      <c r="F120" t="str">
        <f>VLOOKUP($E120,'Data Type Lookup'!$A$1:$C$21,2,FALSE)</f>
        <v>NUMBER(19,0)</v>
      </c>
      <c r="I120" s="32" t="s">
        <v>32</v>
      </c>
      <c r="J120" s="32">
        <v>0</v>
      </c>
      <c r="P120" t="s">
        <v>37</v>
      </c>
      <c r="Q120" t="s">
        <v>38</v>
      </c>
      <c r="R120" t="str">
        <f>VLOOKUP(E120,'Data Type Lookup'!$A$1:$C$21,3,FALSE)</f>
        <v>Long</v>
      </c>
      <c r="S120">
        <v>3</v>
      </c>
      <c r="W120" t="str">
        <f t="shared" si="2"/>
        <v>FISCAL_CALENDAR.SEQUENCE</v>
      </c>
      <c r="X120" t="str">
        <f>VLOOKUP(W120,ColumnMapping[New Table.Column],1,)</f>
        <v>FISCAL_CALENDAR.SEQUENCE</v>
      </c>
      <c r="Y120" t="str">
        <f>_xlfn.XLOOKUP(Table6[[#This Row],[Table.Column]],ColumnMapping[Add Column Name],ColumnMapping[Old Table.Column],"",0,1)</f>
        <v/>
      </c>
      <c r="Z120" t="str">
        <f>_xlfn.XLOOKUP(Table6[[#This Row],[Old Table.Column]],Cobra8.6[Table.Column],Cobra8.6[TYPE],"",0,1)</f>
        <v/>
      </c>
      <c r="AA120" t="str">
        <f>_xlfn.XLOOKUP(Table6[[#This Row],[Old Table.Column]],Cobra8.6[Table.Column],Cobra8.6[LENGTH],"",0,1)</f>
        <v/>
      </c>
      <c r="AB120"/>
    </row>
    <row r="121" spans="1:28" hidden="1" x14ac:dyDescent="0.2">
      <c r="A121" t="s">
        <v>293</v>
      </c>
      <c r="B121" t="s">
        <v>294</v>
      </c>
      <c r="C121" t="s">
        <v>47</v>
      </c>
      <c r="D121">
        <v>3</v>
      </c>
      <c r="E121" t="s">
        <v>48</v>
      </c>
      <c r="F121" t="str">
        <f>VLOOKUP($E121,'Data Type Lookup'!$A$1:$C$21,2,FALSE)</f>
        <v>NVARCHAR2</v>
      </c>
      <c r="G121">
        <v>100</v>
      </c>
      <c r="I121" s="32" t="s">
        <v>32</v>
      </c>
      <c r="L121" s="32" t="s">
        <v>32</v>
      </c>
      <c r="P121" t="s">
        <v>296</v>
      </c>
      <c r="Q121" t="s">
        <v>50</v>
      </c>
      <c r="R121" t="str">
        <f>VLOOKUP(E121,'Data Type Lookup'!$A$1:$C$21,3,FALSE)</f>
        <v>String</v>
      </c>
      <c r="W121" t="str">
        <f t="shared" si="2"/>
        <v>FISCAL_CALENDAR.NAME</v>
      </c>
      <c r="X121" t="str">
        <f>VLOOKUP(W121,ColumnMapping[New Table.Column],1,)</f>
        <v>FISCAL_CALENDAR.NAME</v>
      </c>
      <c r="Y121" t="str">
        <f>_xlfn.XLOOKUP(Table6[[#This Row],[Table.Column]],ColumnMapping[Add Column Name],ColumnMapping[Old Table.Column],"",0,1)</f>
        <v/>
      </c>
      <c r="Z121" t="str">
        <f>_xlfn.XLOOKUP(Table6[[#This Row],[Old Table.Column]],Cobra8.6[Table.Column],Cobra8.6[TYPE],"",0,1)</f>
        <v/>
      </c>
      <c r="AA121" t="str">
        <f>_xlfn.XLOOKUP(Table6[[#This Row],[Old Table.Column]],Cobra8.6[Table.Column],Cobra8.6[LENGTH],"",0,1)</f>
        <v/>
      </c>
      <c r="AB121"/>
    </row>
    <row r="122" spans="1:28" hidden="1" x14ac:dyDescent="0.2">
      <c r="A122" t="s">
        <v>293</v>
      </c>
      <c r="B122" t="s">
        <v>294</v>
      </c>
      <c r="C122" t="s">
        <v>15</v>
      </c>
      <c r="D122">
        <v>4</v>
      </c>
      <c r="E122" t="s">
        <v>48</v>
      </c>
      <c r="F122" t="str">
        <f>VLOOKUP($E122,'Data Type Lookup'!$A$1:$C$21,2,FALSE)</f>
        <v>NVARCHAR2</v>
      </c>
      <c r="G122">
        <v>256</v>
      </c>
      <c r="P122" t="s">
        <v>297</v>
      </c>
      <c r="Q122" t="s">
        <v>75</v>
      </c>
      <c r="R122" t="str">
        <f>VLOOKUP(E122,'Data Type Lookup'!$A$1:$C$21,3,FALSE)</f>
        <v>String</v>
      </c>
      <c r="W122" t="str">
        <f t="shared" si="2"/>
        <v>FISCAL_CALENDAR.DESCRIPTION</v>
      </c>
      <c r="X122" t="str">
        <f>VLOOKUP(W122,ColumnMapping[New Table.Column],1,)</f>
        <v>FISCAL_CALENDAR.DESCRIPTION</v>
      </c>
      <c r="Y122" t="str">
        <f>_xlfn.XLOOKUP(Table6[[#This Row],[Table.Column]],ColumnMapping[Add Column Name],ColumnMapping[Old Table.Column],"",0,1)</f>
        <v/>
      </c>
      <c r="Z122" t="str">
        <f>_xlfn.XLOOKUP(Table6[[#This Row],[Old Table.Column]],Cobra8.6[Table.Column],Cobra8.6[TYPE],"",0,1)</f>
        <v/>
      </c>
      <c r="AA122" t="str">
        <f>_xlfn.XLOOKUP(Table6[[#This Row],[Old Table.Column]],Cobra8.6[Table.Column],Cobra8.6[LENGTH],"",0,1)</f>
        <v/>
      </c>
      <c r="AB122"/>
    </row>
    <row r="123" spans="1:28" hidden="1" x14ac:dyDescent="0.2">
      <c r="A123" t="s">
        <v>293</v>
      </c>
      <c r="B123" t="s">
        <v>294</v>
      </c>
      <c r="C123" t="s">
        <v>298</v>
      </c>
      <c r="D123">
        <v>5</v>
      </c>
      <c r="E123" t="s">
        <v>299</v>
      </c>
      <c r="F123" t="str">
        <f>VLOOKUP($E123,'Data Type Lookup'!$A$1:$C$21,2,FALSE)</f>
        <v>NUMBER(6,2)</v>
      </c>
      <c r="I123" s="32" t="s">
        <v>32</v>
      </c>
      <c r="J123" s="32">
        <v>0</v>
      </c>
      <c r="P123" t="s">
        <v>300</v>
      </c>
      <c r="Q123" t="s">
        <v>301</v>
      </c>
      <c r="R123" t="str">
        <f>VLOOKUP(E123,'Data Type Lookup'!$A$1:$C$21,3,FALSE)</f>
        <v>java.math.BigDecimal</v>
      </c>
      <c r="W123" t="str">
        <f t="shared" si="2"/>
        <v>FISCAL_CALENDAR.HOURS_MONDAY</v>
      </c>
      <c r="X123" t="str">
        <f>VLOOKUP(W123,ColumnMapping[New Table.Column],1,)</f>
        <v>FISCAL_CALENDAR.HOURS_MONDAY</v>
      </c>
      <c r="Y123" t="str">
        <f>_xlfn.XLOOKUP(Table6[[#This Row],[Table.Column]],ColumnMapping[Add Column Name],ColumnMapping[Old Table.Column],"",0,1)</f>
        <v/>
      </c>
      <c r="Z123" t="str">
        <f>_xlfn.XLOOKUP(Table6[[#This Row],[Old Table.Column]],Cobra8.6[Table.Column],Cobra8.6[TYPE],"",0,1)</f>
        <v/>
      </c>
      <c r="AA123" t="str">
        <f>_xlfn.XLOOKUP(Table6[[#This Row],[Old Table.Column]],Cobra8.6[Table.Column],Cobra8.6[LENGTH],"",0,1)</f>
        <v/>
      </c>
      <c r="AB123"/>
    </row>
    <row r="124" spans="1:28" hidden="1" x14ac:dyDescent="0.2">
      <c r="A124" t="s">
        <v>293</v>
      </c>
      <c r="B124" t="s">
        <v>294</v>
      </c>
      <c r="C124" t="s">
        <v>302</v>
      </c>
      <c r="D124">
        <v>6</v>
      </c>
      <c r="E124" t="s">
        <v>299</v>
      </c>
      <c r="F124" t="str">
        <f>VLOOKUP($E124,'Data Type Lookup'!$A$1:$C$21,2,FALSE)</f>
        <v>NUMBER(6,2)</v>
      </c>
      <c r="I124" s="32" t="s">
        <v>32</v>
      </c>
      <c r="J124" s="32">
        <v>0</v>
      </c>
      <c r="P124" t="s">
        <v>303</v>
      </c>
      <c r="Q124" t="s">
        <v>304</v>
      </c>
      <c r="R124" t="str">
        <f>VLOOKUP(E124,'Data Type Lookup'!$A$1:$C$21,3,FALSE)</f>
        <v>java.math.BigDecimal</v>
      </c>
      <c r="W124" t="str">
        <f t="shared" si="2"/>
        <v>FISCAL_CALENDAR.HOURS_TUESDAY</v>
      </c>
      <c r="X124" t="str">
        <f>VLOOKUP(W124,ColumnMapping[New Table.Column],1,)</f>
        <v>FISCAL_CALENDAR.HOURS_TUESDAY</v>
      </c>
      <c r="Y124" t="str">
        <f>_xlfn.XLOOKUP(Table6[[#This Row],[Table.Column]],ColumnMapping[Add Column Name],ColumnMapping[Old Table.Column],"",0,1)</f>
        <v/>
      </c>
      <c r="Z124" t="str">
        <f>_xlfn.XLOOKUP(Table6[[#This Row],[Old Table.Column]],Cobra8.6[Table.Column],Cobra8.6[TYPE],"",0,1)</f>
        <v/>
      </c>
      <c r="AA124" t="str">
        <f>_xlfn.XLOOKUP(Table6[[#This Row],[Old Table.Column]],Cobra8.6[Table.Column],Cobra8.6[LENGTH],"",0,1)</f>
        <v/>
      </c>
      <c r="AB124"/>
    </row>
    <row r="125" spans="1:28" hidden="1" x14ac:dyDescent="0.2">
      <c r="A125" t="s">
        <v>293</v>
      </c>
      <c r="B125" t="s">
        <v>294</v>
      </c>
      <c r="C125" t="s">
        <v>305</v>
      </c>
      <c r="D125">
        <v>7</v>
      </c>
      <c r="E125" t="s">
        <v>299</v>
      </c>
      <c r="F125" t="str">
        <f>VLOOKUP($E125,'Data Type Lookup'!$A$1:$C$21,2,FALSE)</f>
        <v>NUMBER(6,2)</v>
      </c>
      <c r="I125" s="32" t="s">
        <v>32</v>
      </c>
      <c r="J125" s="32">
        <v>0</v>
      </c>
      <c r="P125" t="s">
        <v>306</v>
      </c>
      <c r="Q125" t="s">
        <v>307</v>
      </c>
      <c r="R125" t="str">
        <f>VLOOKUP(E125,'Data Type Lookup'!$A$1:$C$21,3,FALSE)</f>
        <v>java.math.BigDecimal</v>
      </c>
      <c r="W125" t="str">
        <f t="shared" si="2"/>
        <v>FISCAL_CALENDAR.HOURS_WEDNESDAY</v>
      </c>
      <c r="X125" t="str">
        <f>VLOOKUP(W125,ColumnMapping[New Table.Column],1,)</f>
        <v>FISCAL_CALENDAR.HOURS_WEDNESDAY</v>
      </c>
      <c r="Y125" t="str">
        <f>_xlfn.XLOOKUP(Table6[[#This Row],[Table.Column]],ColumnMapping[Add Column Name],ColumnMapping[Old Table.Column],"",0,1)</f>
        <v/>
      </c>
      <c r="Z125" t="str">
        <f>_xlfn.XLOOKUP(Table6[[#This Row],[Old Table.Column]],Cobra8.6[Table.Column],Cobra8.6[TYPE],"",0,1)</f>
        <v/>
      </c>
      <c r="AA125" t="str">
        <f>_xlfn.XLOOKUP(Table6[[#This Row],[Old Table.Column]],Cobra8.6[Table.Column],Cobra8.6[LENGTH],"",0,1)</f>
        <v/>
      </c>
      <c r="AB125"/>
    </row>
    <row r="126" spans="1:28" hidden="1" x14ac:dyDescent="0.2">
      <c r="A126" t="s">
        <v>293</v>
      </c>
      <c r="B126" t="s">
        <v>294</v>
      </c>
      <c r="C126" t="s">
        <v>308</v>
      </c>
      <c r="D126">
        <v>8</v>
      </c>
      <c r="E126" t="s">
        <v>299</v>
      </c>
      <c r="F126" t="str">
        <f>VLOOKUP($E126,'Data Type Lookup'!$A$1:$C$21,2,FALSE)</f>
        <v>NUMBER(6,2)</v>
      </c>
      <c r="I126" s="32" t="s">
        <v>32</v>
      </c>
      <c r="J126" s="32">
        <v>0</v>
      </c>
      <c r="P126" t="s">
        <v>309</v>
      </c>
      <c r="Q126" t="s">
        <v>310</v>
      </c>
      <c r="R126" t="str">
        <f>VLOOKUP(E126,'Data Type Lookup'!$A$1:$C$21,3,FALSE)</f>
        <v>java.math.BigDecimal</v>
      </c>
      <c r="W126" t="str">
        <f t="shared" si="2"/>
        <v>FISCAL_CALENDAR.HOURS_THURSDAY</v>
      </c>
      <c r="X126" t="str">
        <f>VLOOKUP(W126,ColumnMapping[New Table.Column],1,)</f>
        <v>FISCAL_CALENDAR.HOURS_THURSDAY</v>
      </c>
      <c r="Y126" t="str">
        <f>_xlfn.XLOOKUP(Table6[[#This Row],[Table.Column]],ColumnMapping[Add Column Name],ColumnMapping[Old Table.Column],"",0,1)</f>
        <v/>
      </c>
      <c r="Z126" t="str">
        <f>_xlfn.XLOOKUP(Table6[[#This Row],[Old Table.Column]],Cobra8.6[Table.Column],Cobra8.6[TYPE],"",0,1)</f>
        <v/>
      </c>
      <c r="AA126" t="str">
        <f>_xlfn.XLOOKUP(Table6[[#This Row],[Old Table.Column]],Cobra8.6[Table.Column],Cobra8.6[LENGTH],"",0,1)</f>
        <v/>
      </c>
      <c r="AB126"/>
    </row>
    <row r="127" spans="1:28" hidden="1" x14ac:dyDescent="0.2">
      <c r="A127" t="s">
        <v>293</v>
      </c>
      <c r="B127" t="s">
        <v>294</v>
      </c>
      <c r="C127" t="s">
        <v>311</v>
      </c>
      <c r="D127">
        <v>9</v>
      </c>
      <c r="E127" t="s">
        <v>299</v>
      </c>
      <c r="F127" t="str">
        <f>VLOOKUP($E127,'Data Type Lookup'!$A$1:$C$21,2,FALSE)</f>
        <v>NUMBER(6,2)</v>
      </c>
      <c r="I127" s="32" t="s">
        <v>32</v>
      </c>
      <c r="J127" s="32">
        <v>0</v>
      </c>
      <c r="P127" t="s">
        <v>312</v>
      </c>
      <c r="Q127" t="s">
        <v>313</v>
      </c>
      <c r="R127" t="str">
        <f>VLOOKUP(E127,'Data Type Lookup'!$A$1:$C$21,3,FALSE)</f>
        <v>java.math.BigDecimal</v>
      </c>
      <c r="W127" t="str">
        <f t="shared" si="2"/>
        <v>FISCAL_CALENDAR.HOURS_FRIDAY</v>
      </c>
      <c r="X127" t="str">
        <f>VLOOKUP(W127,ColumnMapping[New Table.Column],1,)</f>
        <v>FISCAL_CALENDAR.HOURS_FRIDAY</v>
      </c>
      <c r="Y127" t="str">
        <f>_xlfn.XLOOKUP(Table6[[#This Row],[Table.Column]],ColumnMapping[Add Column Name],ColumnMapping[Old Table.Column],"",0,1)</f>
        <v/>
      </c>
      <c r="Z127" t="str">
        <f>_xlfn.XLOOKUP(Table6[[#This Row],[Old Table.Column]],Cobra8.6[Table.Column],Cobra8.6[TYPE],"",0,1)</f>
        <v/>
      </c>
      <c r="AA127" t="str">
        <f>_xlfn.XLOOKUP(Table6[[#This Row],[Old Table.Column]],Cobra8.6[Table.Column],Cobra8.6[LENGTH],"",0,1)</f>
        <v/>
      </c>
      <c r="AB127"/>
    </row>
    <row r="128" spans="1:28" hidden="1" x14ac:dyDescent="0.2">
      <c r="A128" t="s">
        <v>293</v>
      </c>
      <c r="B128" t="s">
        <v>294</v>
      </c>
      <c r="C128" t="s">
        <v>314</v>
      </c>
      <c r="D128">
        <v>10</v>
      </c>
      <c r="E128" t="s">
        <v>299</v>
      </c>
      <c r="F128" t="str">
        <f>VLOOKUP($E128,'Data Type Lookup'!$A$1:$C$21,2,FALSE)</f>
        <v>NUMBER(6,2)</v>
      </c>
      <c r="I128" s="32" t="s">
        <v>32</v>
      </c>
      <c r="J128" s="32">
        <v>0</v>
      </c>
      <c r="P128" t="s">
        <v>315</v>
      </c>
      <c r="Q128" t="s">
        <v>316</v>
      </c>
      <c r="R128" t="str">
        <f>VLOOKUP(E128,'Data Type Lookup'!$A$1:$C$21,3,FALSE)</f>
        <v>java.math.BigDecimal</v>
      </c>
      <c r="W128" t="str">
        <f t="shared" si="2"/>
        <v>FISCAL_CALENDAR.HOURS_SATURDAY</v>
      </c>
      <c r="X128" t="str">
        <f>VLOOKUP(W128,ColumnMapping[New Table.Column],1,)</f>
        <v>FISCAL_CALENDAR.HOURS_SATURDAY</v>
      </c>
      <c r="Y128" t="str">
        <f>_xlfn.XLOOKUP(Table6[[#This Row],[Table.Column]],ColumnMapping[Add Column Name],ColumnMapping[Old Table.Column],"",0,1)</f>
        <v/>
      </c>
      <c r="Z128" t="str">
        <f>_xlfn.XLOOKUP(Table6[[#This Row],[Old Table.Column]],Cobra8.6[Table.Column],Cobra8.6[TYPE],"",0,1)</f>
        <v/>
      </c>
      <c r="AA128" t="str">
        <f>_xlfn.XLOOKUP(Table6[[#This Row],[Old Table.Column]],Cobra8.6[Table.Column],Cobra8.6[LENGTH],"",0,1)</f>
        <v/>
      </c>
      <c r="AB128"/>
    </row>
    <row r="129" spans="1:28" hidden="1" x14ac:dyDescent="0.2">
      <c r="A129" t="s">
        <v>293</v>
      </c>
      <c r="B129" t="s">
        <v>294</v>
      </c>
      <c r="C129" t="s">
        <v>317</v>
      </c>
      <c r="D129">
        <v>11</v>
      </c>
      <c r="E129" t="s">
        <v>299</v>
      </c>
      <c r="F129" t="str">
        <f>VLOOKUP($E129,'Data Type Lookup'!$A$1:$C$21,2,FALSE)</f>
        <v>NUMBER(6,2)</v>
      </c>
      <c r="I129" s="32" t="s">
        <v>32</v>
      </c>
      <c r="J129" s="32">
        <v>0</v>
      </c>
      <c r="P129" t="s">
        <v>318</v>
      </c>
      <c r="Q129" t="s">
        <v>319</v>
      </c>
      <c r="R129" t="str">
        <f>VLOOKUP(E129,'Data Type Lookup'!$A$1:$C$21,3,FALSE)</f>
        <v>java.math.BigDecimal</v>
      </c>
      <c r="W129" t="str">
        <f t="shared" si="2"/>
        <v>FISCAL_CALENDAR.HOURS_SUNDAY</v>
      </c>
      <c r="X129" t="str">
        <f>VLOOKUP(W129,ColumnMapping[New Table.Column],1,)</f>
        <v>FISCAL_CALENDAR.HOURS_SUNDAY</v>
      </c>
      <c r="Y129" t="str">
        <f>_xlfn.XLOOKUP(Table6[[#This Row],[Table.Column]],ColumnMapping[Add Column Name],ColumnMapping[Old Table.Column],"",0,1)</f>
        <v/>
      </c>
      <c r="Z129" t="str">
        <f>_xlfn.XLOOKUP(Table6[[#This Row],[Old Table.Column]],Cobra8.6[Table.Column],Cobra8.6[TYPE],"",0,1)</f>
        <v/>
      </c>
      <c r="AA129" t="str">
        <f>_xlfn.XLOOKUP(Table6[[#This Row],[Old Table.Column]],Cobra8.6[Table.Column],Cobra8.6[LENGTH],"",0,1)</f>
        <v/>
      </c>
      <c r="AB129"/>
    </row>
    <row r="130" spans="1:28" hidden="1" x14ac:dyDescent="0.2">
      <c r="A130" t="s">
        <v>293</v>
      </c>
      <c r="B130" t="s">
        <v>294</v>
      </c>
      <c r="C130" t="s">
        <v>320</v>
      </c>
      <c r="D130">
        <v>12</v>
      </c>
      <c r="E130" t="s">
        <v>48</v>
      </c>
      <c r="F130" t="str">
        <f>VLOOKUP($E130,'Data Type Lookup'!$A$1:$C$21,2,FALSE)</f>
        <v>NVARCHAR2</v>
      </c>
      <c r="G130">
        <v>256</v>
      </c>
      <c r="P130" t="s">
        <v>321</v>
      </c>
      <c r="Q130" t="s">
        <v>322</v>
      </c>
      <c r="R130" t="str">
        <f>VLOOKUP(E130,'Data Type Lookup'!$A$1:$C$21,3,FALSE)</f>
        <v>String</v>
      </c>
      <c r="W130" t="str">
        <f t="shared" si="2"/>
        <v>FISCAL_CALENDAR.PATTERN</v>
      </c>
      <c r="X130" t="str">
        <f>VLOOKUP(W130,ColumnMapping[New Table.Column],1,)</f>
        <v>FISCAL_CALENDAR.PATTERN</v>
      </c>
      <c r="Y130" t="str">
        <f>_xlfn.XLOOKUP(Table6[[#This Row],[Table.Column]],ColumnMapping[Add Column Name],ColumnMapping[Old Table.Column],"",0,1)</f>
        <v/>
      </c>
      <c r="Z130" t="str">
        <f>_xlfn.XLOOKUP(Table6[[#This Row],[Old Table.Column]],Cobra8.6[Table.Column],Cobra8.6[TYPE],"",0,1)</f>
        <v/>
      </c>
      <c r="AA130" t="str">
        <f>_xlfn.XLOOKUP(Table6[[#This Row],[Old Table.Column]],Cobra8.6[Table.Column],Cobra8.6[LENGTH],"",0,1)</f>
        <v/>
      </c>
      <c r="AB130"/>
    </row>
    <row r="131" spans="1:28" hidden="1" x14ac:dyDescent="0.2">
      <c r="A131" t="s">
        <v>293</v>
      </c>
      <c r="B131" t="s">
        <v>294</v>
      </c>
      <c r="C131" t="s">
        <v>104</v>
      </c>
      <c r="D131">
        <v>13</v>
      </c>
      <c r="E131" t="s">
        <v>31</v>
      </c>
      <c r="F131" t="str">
        <f>VLOOKUP($E131,'Data Type Lookup'!$A$1:$C$21,2,FALSE)</f>
        <v>RAW(16)</v>
      </c>
      <c r="I131" s="32" t="s">
        <v>32</v>
      </c>
      <c r="P131" t="s">
        <v>323</v>
      </c>
      <c r="Q131" t="s">
        <v>106</v>
      </c>
      <c r="R131" t="str">
        <f>VLOOKUP(E131,'Data Type Lookup'!$A$1:$C$21,3,FALSE)</f>
        <v>java.util.UUID</v>
      </c>
      <c r="W131" t="str">
        <f t="shared" si="2"/>
        <v>FISCAL_CALENDAR.OWNER_USER_UID</v>
      </c>
      <c r="X131" t="str">
        <f>VLOOKUP(W131,ColumnMapping[New Table.Column],1,)</f>
        <v>FISCAL_CALENDAR.OWNER_USER_UID</v>
      </c>
      <c r="Y131" t="str">
        <f>_xlfn.XLOOKUP(Table6[[#This Row],[Table.Column]],ColumnMapping[Add Column Name],ColumnMapping[Old Table.Column],"",0,1)</f>
        <v/>
      </c>
      <c r="Z131" t="str">
        <f>_xlfn.XLOOKUP(Table6[[#This Row],[Old Table.Column]],Cobra8.6[Table.Column],Cobra8.6[TYPE],"",0,1)</f>
        <v/>
      </c>
      <c r="AA131" t="str">
        <f>_xlfn.XLOOKUP(Table6[[#This Row],[Old Table.Column]],Cobra8.6[Table.Column],Cobra8.6[LENGTH],"",0,1)</f>
        <v/>
      </c>
      <c r="AB131"/>
    </row>
    <row r="132" spans="1:28" hidden="1" x14ac:dyDescent="0.2">
      <c r="A132" t="s">
        <v>293</v>
      </c>
      <c r="B132" t="s">
        <v>294</v>
      </c>
      <c r="C132" t="s">
        <v>61</v>
      </c>
      <c r="D132">
        <v>14</v>
      </c>
      <c r="E132" t="s">
        <v>31</v>
      </c>
      <c r="F132" t="str">
        <f>VLOOKUP($E132,'Data Type Lookup'!$A$1:$C$21,2,FALSE)</f>
        <v>RAW(16)</v>
      </c>
      <c r="I132" s="32" t="s">
        <v>32</v>
      </c>
      <c r="P132" t="s">
        <v>324</v>
      </c>
      <c r="Q132" t="s">
        <v>63</v>
      </c>
      <c r="R132" t="str">
        <f>VLOOKUP(E132,'Data Type Lookup'!$A$1:$C$21,3,FALSE)</f>
        <v>java.util.UUID</v>
      </c>
      <c r="S132">
        <v>2</v>
      </c>
      <c r="W132" t="str">
        <f t="shared" ref="W132:W195" si="3">_xlfn.CONCAT(B132,".",C132)</f>
        <v>FISCAL_CALENDAR.CREATED_BY_USER_UID</v>
      </c>
      <c r="X132" t="str">
        <f>VLOOKUP(W132,ColumnMapping[New Table.Column],1,)</f>
        <v>FISCAL_CALENDAR.CREATED_BY_USER_UID</v>
      </c>
      <c r="Y132" t="str">
        <f>_xlfn.XLOOKUP(Table6[[#This Row],[Table.Column]],ColumnMapping[Add Column Name],ColumnMapping[Old Table.Column],"",0,1)</f>
        <v/>
      </c>
      <c r="Z132" t="str">
        <f>_xlfn.XLOOKUP(Table6[[#This Row],[Old Table.Column]],Cobra8.6[Table.Column],Cobra8.6[TYPE],"",0,1)</f>
        <v/>
      </c>
      <c r="AA132" t="str">
        <f>_xlfn.XLOOKUP(Table6[[#This Row],[Old Table.Column]],Cobra8.6[Table.Column],Cobra8.6[LENGTH],"",0,1)</f>
        <v/>
      </c>
      <c r="AB132"/>
    </row>
    <row r="133" spans="1:28" hidden="1" x14ac:dyDescent="0.2">
      <c r="A133" t="s">
        <v>293</v>
      </c>
      <c r="B133" t="s">
        <v>294</v>
      </c>
      <c r="C133" t="s">
        <v>64</v>
      </c>
      <c r="D133">
        <v>15</v>
      </c>
      <c r="E133" t="s">
        <v>65</v>
      </c>
      <c r="F133" t="str">
        <f>VLOOKUP($E133,'Data Type Lookup'!$A$1:$C$21,2,FALSE)</f>
        <v>TIMESTAMP</v>
      </c>
      <c r="I133" s="32" t="s">
        <v>32</v>
      </c>
      <c r="P133" t="s">
        <v>325</v>
      </c>
      <c r="Q133" t="s">
        <v>67</v>
      </c>
      <c r="R133" t="str">
        <f>VLOOKUP(E133,'Data Type Lookup'!$A$1:$C$21,3,FALSE)</f>
        <v>java.time.Instant</v>
      </c>
      <c r="S133">
        <v>2</v>
      </c>
      <c r="W133" t="str">
        <f t="shared" si="3"/>
        <v>FISCAL_CALENDAR.CREATED_DATE</v>
      </c>
      <c r="X133" t="str">
        <f>VLOOKUP(W133,ColumnMapping[New Table.Column],1,)</f>
        <v>FISCAL_CALENDAR.CREATED_DATE</v>
      </c>
      <c r="Y133" t="str">
        <f>_xlfn.XLOOKUP(Table6[[#This Row],[Table.Column]],ColumnMapping[Add Column Name],ColumnMapping[Old Table.Column],"",0,1)</f>
        <v/>
      </c>
      <c r="Z133" t="str">
        <f>_xlfn.XLOOKUP(Table6[[#This Row],[Old Table.Column]],Cobra8.6[Table.Column],Cobra8.6[TYPE],"",0,1)</f>
        <v/>
      </c>
      <c r="AA133" t="str">
        <f>_xlfn.XLOOKUP(Table6[[#This Row],[Old Table.Column]],Cobra8.6[Table.Column],Cobra8.6[LENGTH],"",0,1)</f>
        <v/>
      </c>
      <c r="AB133"/>
    </row>
    <row r="134" spans="1:28" hidden="1" x14ac:dyDescent="0.2">
      <c r="A134" t="s">
        <v>293</v>
      </c>
      <c r="B134" t="s">
        <v>294</v>
      </c>
      <c r="C134" t="s">
        <v>68</v>
      </c>
      <c r="D134">
        <v>16</v>
      </c>
      <c r="E134" t="s">
        <v>31</v>
      </c>
      <c r="F134" t="str">
        <f>VLOOKUP($E134,'Data Type Lookup'!$A$1:$C$21,2,FALSE)</f>
        <v>RAW(16)</v>
      </c>
      <c r="I134" s="32" t="s">
        <v>32</v>
      </c>
      <c r="P134" t="s">
        <v>326</v>
      </c>
      <c r="Q134" t="s">
        <v>70</v>
      </c>
      <c r="R134" t="str">
        <f>VLOOKUP(E134,'Data Type Lookup'!$A$1:$C$21,3,FALSE)</f>
        <v>java.util.UUID</v>
      </c>
      <c r="S134">
        <v>2</v>
      </c>
      <c r="W134" t="str">
        <f t="shared" si="3"/>
        <v>FISCAL_CALENDAR.LAST_MODIFIED_BY_USER_UID</v>
      </c>
      <c r="X134" t="str">
        <f>VLOOKUP(W134,ColumnMapping[New Table.Column],1,)</f>
        <v>FISCAL_CALENDAR.LAST_MODIFIED_BY_USER_UID</v>
      </c>
      <c r="Y134" t="str">
        <f>_xlfn.XLOOKUP(Table6[[#This Row],[Table.Column]],ColumnMapping[Add Column Name],ColumnMapping[Old Table.Column],"",0,1)</f>
        <v/>
      </c>
      <c r="Z134" t="str">
        <f>_xlfn.XLOOKUP(Table6[[#This Row],[Old Table.Column]],Cobra8.6[Table.Column],Cobra8.6[TYPE],"",0,1)</f>
        <v/>
      </c>
      <c r="AA134" t="str">
        <f>_xlfn.XLOOKUP(Table6[[#This Row],[Old Table.Column]],Cobra8.6[Table.Column],Cobra8.6[LENGTH],"",0,1)</f>
        <v/>
      </c>
      <c r="AB134"/>
    </row>
    <row r="135" spans="1:28" hidden="1" x14ac:dyDescent="0.2">
      <c r="A135" t="s">
        <v>293</v>
      </c>
      <c r="B135" t="s">
        <v>294</v>
      </c>
      <c r="C135" t="s">
        <v>71</v>
      </c>
      <c r="D135">
        <v>17</v>
      </c>
      <c r="E135" t="s">
        <v>65</v>
      </c>
      <c r="F135" t="str">
        <f>VLOOKUP($E135,'Data Type Lookup'!$A$1:$C$21,2,FALSE)</f>
        <v>TIMESTAMP</v>
      </c>
      <c r="I135" s="32" t="s">
        <v>32</v>
      </c>
      <c r="P135" t="s">
        <v>327</v>
      </c>
      <c r="Q135" t="s">
        <v>73</v>
      </c>
      <c r="R135" t="str">
        <f>VLOOKUP(E135,'Data Type Lookup'!$A$1:$C$21,3,FALSE)</f>
        <v>java.time.Instant</v>
      </c>
      <c r="S135">
        <v>2</v>
      </c>
      <c r="W135" t="str">
        <f t="shared" si="3"/>
        <v>FISCAL_CALENDAR.LAST_MODIFIED_DATE</v>
      </c>
      <c r="X135" t="str">
        <f>VLOOKUP(W135,ColumnMapping[New Table.Column],1,)</f>
        <v>FISCAL_CALENDAR.LAST_MODIFIED_DATE</v>
      </c>
      <c r="Y135" t="str">
        <f>_xlfn.XLOOKUP(Table6[[#This Row],[Table.Column]],ColumnMapping[Add Column Name],ColumnMapping[Old Table.Column],"",0,1)</f>
        <v/>
      </c>
      <c r="Z135" t="str">
        <f>_xlfn.XLOOKUP(Table6[[#This Row],[Old Table.Column]],Cobra8.6[Table.Column],Cobra8.6[TYPE],"",0,1)</f>
        <v/>
      </c>
      <c r="AA135" t="str">
        <f>_xlfn.XLOOKUP(Table6[[#This Row],[Old Table.Column]],Cobra8.6[Table.Column],Cobra8.6[LENGTH],"",0,1)</f>
        <v/>
      </c>
      <c r="AB135"/>
    </row>
    <row r="136" spans="1:28" hidden="1" x14ac:dyDescent="0.2">
      <c r="A136" t="s">
        <v>293</v>
      </c>
      <c r="B136" s="17" t="s">
        <v>294</v>
      </c>
      <c r="C136" s="17" t="s">
        <v>328</v>
      </c>
      <c r="D136" s="17">
        <v>18</v>
      </c>
      <c r="E136" t="s">
        <v>86</v>
      </c>
      <c r="F136" t="str">
        <f>VLOOKUP($E136,'Data Type Lookup'!$A$1:$C$21,2,FALSE)</f>
        <v>VARCHAR2</v>
      </c>
      <c r="G136">
        <v>60</v>
      </c>
      <c r="H136" s="17"/>
      <c r="I136" s="29"/>
      <c r="J136" s="29"/>
      <c r="K136" s="29"/>
      <c r="L136" s="29"/>
      <c r="M136" s="17"/>
      <c r="N136" s="17"/>
      <c r="O136" s="17"/>
      <c r="P136" s="17"/>
      <c r="Q136" s="17"/>
      <c r="R136" s="17"/>
      <c r="S136" s="17"/>
      <c r="W136" t="str">
        <f t="shared" si="3"/>
        <v>FISCAL_CALENDAR.DOW_HOURS</v>
      </c>
      <c r="X136" t="e">
        <f>VLOOKUP(W136,ColumnMapping[New Table.Column],1,)</f>
        <v>#N/A</v>
      </c>
      <c r="Y136" t="str">
        <f>_xlfn.XLOOKUP(Table6[[#This Row],[Table.Column]],ColumnMapping[Add Column Name],ColumnMapping[Old Table.Column],"",0,1)</f>
        <v/>
      </c>
      <c r="Z136" t="str">
        <f>_xlfn.XLOOKUP(Table6[[#This Row],[Old Table.Column]],Cobra8.6[Table.Column],Cobra8.6[TYPE],"",0,1)</f>
        <v/>
      </c>
      <c r="AA136" t="str">
        <f>_xlfn.XLOOKUP(Table6[[#This Row],[Old Table.Column]],Cobra8.6[Table.Column],Cobra8.6[LENGTH],"",0,1)</f>
        <v/>
      </c>
      <c r="AB136" t="s">
        <v>32</v>
      </c>
    </row>
    <row r="137" spans="1:28" hidden="1" x14ac:dyDescent="0.2">
      <c r="A137" t="s">
        <v>293</v>
      </c>
      <c r="B137" s="17" t="s">
        <v>294</v>
      </c>
      <c r="C137" s="17" t="s">
        <v>329</v>
      </c>
      <c r="D137" s="17">
        <v>19</v>
      </c>
      <c r="E137" t="s">
        <v>86</v>
      </c>
      <c r="F137" t="str">
        <f>VLOOKUP($E137,'Data Type Lookup'!$A$1:$C$21,2,FALSE)</f>
        <v>VARCHAR2</v>
      </c>
      <c r="G137">
        <v>254</v>
      </c>
      <c r="H137" s="17"/>
      <c r="I137" s="29"/>
      <c r="J137" s="29"/>
      <c r="K137" s="29"/>
      <c r="L137" s="29"/>
      <c r="M137" s="17"/>
      <c r="N137" s="17"/>
      <c r="O137" s="17"/>
      <c r="P137" s="17"/>
      <c r="Q137" s="17"/>
      <c r="R137" s="17"/>
      <c r="S137" s="17"/>
      <c r="W137" t="str">
        <f t="shared" si="3"/>
        <v>FISCAL_CALENDAR.DESC00</v>
      </c>
      <c r="X137" t="e">
        <f>VLOOKUP(W137,ColumnMapping[New Table.Column],1,)</f>
        <v>#N/A</v>
      </c>
      <c r="Y137" t="str">
        <f>_xlfn.XLOOKUP(Table6[[#This Row],[Table.Column]],ColumnMapping[Add Column Name],ColumnMapping[Old Table.Column],"",0,1)</f>
        <v/>
      </c>
      <c r="Z137" t="str">
        <f>_xlfn.XLOOKUP(Table6[[#This Row],[Old Table.Column]],Cobra8.6[Table.Column],Cobra8.6[TYPE],"",0,1)</f>
        <v/>
      </c>
      <c r="AA137" t="str">
        <f>_xlfn.XLOOKUP(Table6[[#This Row],[Old Table.Column]],Cobra8.6[Table.Column],Cobra8.6[LENGTH],"",0,1)</f>
        <v/>
      </c>
      <c r="AB137" t="s">
        <v>32</v>
      </c>
    </row>
    <row r="138" spans="1:28" hidden="1" x14ac:dyDescent="0.2">
      <c r="A138" t="s">
        <v>293</v>
      </c>
      <c r="B138" s="17" t="s">
        <v>294</v>
      </c>
      <c r="C138" s="17" t="s">
        <v>330</v>
      </c>
      <c r="D138" s="17">
        <v>20</v>
      </c>
      <c r="E138" t="s">
        <v>86</v>
      </c>
      <c r="F138" t="str">
        <f>VLOOKUP($E138,'Data Type Lookup'!$A$1:$C$21,2,FALSE)</f>
        <v>VARCHAR2</v>
      </c>
      <c r="G138">
        <v>254</v>
      </c>
      <c r="H138" s="17"/>
      <c r="I138" s="29"/>
      <c r="J138" s="29"/>
      <c r="K138" s="29"/>
      <c r="L138" s="29"/>
      <c r="M138" s="17"/>
      <c r="N138" s="17"/>
      <c r="O138" s="17"/>
      <c r="P138" s="17"/>
      <c r="Q138" s="17"/>
      <c r="R138" s="17"/>
      <c r="S138" s="17"/>
      <c r="W138" t="str">
        <f t="shared" si="3"/>
        <v>FISCAL_CALENDAR.DESC01</v>
      </c>
      <c r="X138" t="e">
        <f>VLOOKUP(W138,ColumnMapping[New Table.Column],1,)</f>
        <v>#N/A</v>
      </c>
      <c r="Y138" t="str">
        <f>_xlfn.XLOOKUP(Table6[[#This Row],[Table.Column]],ColumnMapping[Add Column Name],ColumnMapping[Old Table.Column],"",0,1)</f>
        <v/>
      </c>
      <c r="Z138" t="str">
        <f>_xlfn.XLOOKUP(Table6[[#This Row],[Old Table.Column]],Cobra8.6[Table.Column],Cobra8.6[TYPE],"",0,1)</f>
        <v/>
      </c>
      <c r="AA138" t="str">
        <f>_xlfn.XLOOKUP(Table6[[#This Row],[Old Table.Column]],Cobra8.6[Table.Column],Cobra8.6[LENGTH],"",0,1)</f>
        <v/>
      </c>
      <c r="AB138" t="s">
        <v>32</v>
      </c>
    </row>
    <row r="139" spans="1:28" hidden="1" x14ac:dyDescent="0.2">
      <c r="A139" t="s">
        <v>293</v>
      </c>
      <c r="B139" s="17" t="s">
        <v>294</v>
      </c>
      <c r="C139" s="17" t="s">
        <v>331</v>
      </c>
      <c r="D139" s="17">
        <v>21</v>
      </c>
      <c r="E139" t="s">
        <v>86</v>
      </c>
      <c r="F139" t="str">
        <f>VLOOKUP($E139,'Data Type Lookup'!$A$1:$C$21,2,FALSE)</f>
        <v>VARCHAR2</v>
      </c>
      <c r="G139">
        <v>254</v>
      </c>
      <c r="H139" s="17"/>
      <c r="I139" s="29"/>
      <c r="J139" s="29"/>
      <c r="K139" s="29"/>
      <c r="L139" s="29"/>
      <c r="M139" s="17"/>
      <c r="N139" s="17"/>
      <c r="O139" s="17"/>
      <c r="P139" s="17"/>
      <c r="Q139" s="17"/>
      <c r="R139" s="17"/>
      <c r="S139" s="17"/>
      <c r="W139" t="str">
        <f t="shared" si="3"/>
        <v>FISCAL_CALENDAR.DESC02</v>
      </c>
      <c r="X139" t="e">
        <f>VLOOKUP(W139,ColumnMapping[New Table.Column],1,)</f>
        <v>#N/A</v>
      </c>
      <c r="Y139" t="str">
        <f>_xlfn.XLOOKUP(Table6[[#This Row],[Table.Column]],ColumnMapping[Add Column Name],ColumnMapping[Old Table.Column],"",0,1)</f>
        <v/>
      </c>
      <c r="Z139" t="str">
        <f>_xlfn.XLOOKUP(Table6[[#This Row],[Old Table.Column]],Cobra8.6[Table.Column],Cobra8.6[TYPE],"",0,1)</f>
        <v/>
      </c>
      <c r="AA139" t="str">
        <f>_xlfn.XLOOKUP(Table6[[#This Row],[Old Table.Column]],Cobra8.6[Table.Column],Cobra8.6[LENGTH],"",0,1)</f>
        <v/>
      </c>
      <c r="AB139" t="s">
        <v>32</v>
      </c>
    </row>
    <row r="140" spans="1:28" hidden="1" x14ac:dyDescent="0.2">
      <c r="A140" t="s">
        <v>293</v>
      </c>
      <c r="B140" s="17" t="s">
        <v>294</v>
      </c>
      <c r="C140" s="17" t="s">
        <v>332</v>
      </c>
      <c r="D140" s="17">
        <v>22</v>
      </c>
      <c r="E140" t="s">
        <v>86</v>
      </c>
      <c r="F140" t="str">
        <f>VLOOKUP($E140,'Data Type Lookup'!$A$1:$C$21,2,FALSE)</f>
        <v>VARCHAR2</v>
      </c>
      <c r="G140">
        <v>254</v>
      </c>
      <c r="H140" s="17"/>
      <c r="I140" s="29"/>
      <c r="J140" s="29"/>
      <c r="K140" s="29"/>
      <c r="L140" s="29"/>
      <c r="M140" s="17"/>
      <c r="N140" s="17"/>
      <c r="O140" s="17"/>
      <c r="P140" s="17"/>
      <c r="Q140" s="17"/>
      <c r="R140" s="17"/>
      <c r="S140" s="17"/>
      <c r="W140" t="str">
        <f t="shared" si="3"/>
        <v>FISCAL_CALENDAR.DESC03</v>
      </c>
      <c r="X140" t="e">
        <f>VLOOKUP(W140,ColumnMapping[New Table.Column],1,)</f>
        <v>#N/A</v>
      </c>
      <c r="Y140" t="str">
        <f>_xlfn.XLOOKUP(Table6[[#This Row],[Table.Column]],ColumnMapping[Add Column Name],ColumnMapping[Old Table.Column],"",0,1)</f>
        <v/>
      </c>
      <c r="Z140" t="str">
        <f>_xlfn.XLOOKUP(Table6[[#This Row],[Old Table.Column]],Cobra8.6[Table.Column],Cobra8.6[TYPE],"",0,1)</f>
        <v/>
      </c>
      <c r="AA140" t="str">
        <f>_xlfn.XLOOKUP(Table6[[#This Row],[Old Table.Column]],Cobra8.6[Table.Column],Cobra8.6[LENGTH],"",0,1)</f>
        <v/>
      </c>
      <c r="AB140" t="s">
        <v>32</v>
      </c>
    </row>
    <row r="141" spans="1:28" hidden="1" x14ac:dyDescent="0.2">
      <c r="A141" t="s">
        <v>293</v>
      </c>
      <c r="B141" s="17" t="s">
        <v>294</v>
      </c>
      <c r="C141" s="17" t="s">
        <v>333</v>
      </c>
      <c r="D141" s="17">
        <v>23</v>
      </c>
      <c r="E141" t="s">
        <v>86</v>
      </c>
      <c r="F141" t="str">
        <f>VLOOKUP($E141,'Data Type Lookup'!$A$1:$C$21,2,FALSE)</f>
        <v>VARCHAR2</v>
      </c>
      <c r="G141">
        <v>254</v>
      </c>
      <c r="H141" s="17"/>
      <c r="I141" s="29"/>
      <c r="J141" s="29"/>
      <c r="K141" s="29"/>
      <c r="L141" s="29"/>
      <c r="M141" s="17"/>
      <c r="N141" s="17"/>
      <c r="O141" s="17"/>
      <c r="P141" s="17"/>
      <c r="Q141" s="17"/>
      <c r="R141" s="17"/>
      <c r="S141" s="17"/>
      <c r="W141" t="str">
        <f t="shared" si="3"/>
        <v>FISCAL_CALENDAR.DESC04</v>
      </c>
      <c r="X141" t="e">
        <f>VLOOKUP(W141,ColumnMapping[New Table.Column],1,)</f>
        <v>#N/A</v>
      </c>
      <c r="Y141" t="str">
        <f>_xlfn.XLOOKUP(Table6[[#This Row],[Table.Column]],ColumnMapping[Add Column Name],ColumnMapping[Old Table.Column],"",0,1)</f>
        <v/>
      </c>
      <c r="Z141" t="str">
        <f>_xlfn.XLOOKUP(Table6[[#This Row],[Old Table.Column]],Cobra8.6[Table.Column],Cobra8.6[TYPE],"",0,1)</f>
        <v/>
      </c>
      <c r="AA141" t="str">
        <f>_xlfn.XLOOKUP(Table6[[#This Row],[Old Table.Column]],Cobra8.6[Table.Column],Cobra8.6[LENGTH],"",0,1)</f>
        <v/>
      </c>
      <c r="AB141" t="s">
        <v>32</v>
      </c>
    </row>
    <row r="142" spans="1:28" hidden="1" x14ac:dyDescent="0.2">
      <c r="A142" t="s">
        <v>293</v>
      </c>
      <c r="B142" s="17" t="s">
        <v>294</v>
      </c>
      <c r="C142" s="17" t="s">
        <v>334</v>
      </c>
      <c r="D142" s="17">
        <v>24</v>
      </c>
      <c r="E142" t="s">
        <v>86</v>
      </c>
      <c r="F142" t="str">
        <f>VLOOKUP($E142,'Data Type Lookup'!$A$1:$C$21,2,FALSE)</f>
        <v>VARCHAR2</v>
      </c>
      <c r="G142">
        <v>254</v>
      </c>
      <c r="H142" s="17"/>
      <c r="I142" s="29"/>
      <c r="J142" s="29"/>
      <c r="K142" s="29"/>
      <c r="L142" s="29"/>
      <c r="M142" s="17"/>
      <c r="N142" s="17"/>
      <c r="O142" s="17"/>
      <c r="P142" s="17"/>
      <c r="Q142" s="17"/>
      <c r="R142" s="17"/>
      <c r="S142" s="17"/>
      <c r="W142" t="str">
        <f t="shared" si="3"/>
        <v>FISCAL_CALENDAR.DESC05</v>
      </c>
      <c r="X142" t="e">
        <f>VLOOKUP(W142,ColumnMapping[New Table.Column],1,)</f>
        <v>#N/A</v>
      </c>
      <c r="Y142" t="str">
        <f>_xlfn.XLOOKUP(Table6[[#This Row],[Table.Column]],ColumnMapping[Add Column Name],ColumnMapping[Old Table.Column],"",0,1)</f>
        <v/>
      </c>
      <c r="Z142" t="str">
        <f>_xlfn.XLOOKUP(Table6[[#This Row],[Old Table.Column]],Cobra8.6[Table.Column],Cobra8.6[TYPE],"",0,1)</f>
        <v/>
      </c>
      <c r="AA142" t="str">
        <f>_xlfn.XLOOKUP(Table6[[#This Row],[Old Table.Column]],Cobra8.6[Table.Column],Cobra8.6[LENGTH],"",0,1)</f>
        <v/>
      </c>
      <c r="AB142" t="s">
        <v>32</v>
      </c>
    </row>
    <row r="143" spans="1:28" hidden="1" x14ac:dyDescent="0.2">
      <c r="A143" t="s">
        <v>293</v>
      </c>
      <c r="B143" s="17" t="s">
        <v>294</v>
      </c>
      <c r="C143" s="17" t="s">
        <v>335</v>
      </c>
      <c r="D143" s="17">
        <v>25</v>
      </c>
      <c r="E143" t="s">
        <v>86</v>
      </c>
      <c r="F143" t="str">
        <f>VLOOKUP($E143,'Data Type Lookup'!$A$1:$C$21,2,FALSE)</f>
        <v>VARCHAR2</v>
      </c>
      <c r="G143">
        <v>254</v>
      </c>
      <c r="H143" s="17"/>
      <c r="I143" s="29"/>
      <c r="J143" s="29"/>
      <c r="K143" s="29"/>
      <c r="L143" s="29"/>
      <c r="M143" s="17"/>
      <c r="N143" s="17"/>
      <c r="O143" s="17"/>
      <c r="P143" s="17"/>
      <c r="Q143" s="17"/>
      <c r="R143" s="17"/>
      <c r="S143" s="17"/>
      <c r="W143" t="str">
        <f t="shared" si="3"/>
        <v>FISCAL_CALENDAR.DESC06</v>
      </c>
      <c r="X143" t="e">
        <f>VLOOKUP(W143,ColumnMapping[New Table.Column],1,)</f>
        <v>#N/A</v>
      </c>
      <c r="Y143" t="str">
        <f>_xlfn.XLOOKUP(Table6[[#This Row],[Table.Column]],ColumnMapping[Add Column Name],ColumnMapping[Old Table.Column],"",0,1)</f>
        <v/>
      </c>
      <c r="Z143" t="str">
        <f>_xlfn.XLOOKUP(Table6[[#This Row],[Old Table.Column]],Cobra8.6[Table.Column],Cobra8.6[TYPE],"",0,1)</f>
        <v/>
      </c>
      <c r="AA143" t="str">
        <f>_xlfn.XLOOKUP(Table6[[#This Row],[Old Table.Column]],Cobra8.6[Table.Column],Cobra8.6[LENGTH],"",0,1)</f>
        <v/>
      </c>
      <c r="AB143" t="s">
        <v>32</v>
      </c>
    </row>
    <row r="144" spans="1:28" hidden="1" x14ac:dyDescent="0.2">
      <c r="A144" t="s">
        <v>293</v>
      </c>
      <c r="B144" s="17" t="s">
        <v>294</v>
      </c>
      <c r="C144" s="17" t="s">
        <v>336</v>
      </c>
      <c r="D144" s="17">
        <v>26</v>
      </c>
      <c r="E144" t="s">
        <v>86</v>
      </c>
      <c r="F144" t="str">
        <f>VLOOKUP($E144,'Data Type Lookup'!$A$1:$C$21,2,FALSE)</f>
        <v>VARCHAR2</v>
      </c>
      <c r="G144">
        <v>254</v>
      </c>
      <c r="H144" s="17"/>
      <c r="I144" s="29"/>
      <c r="J144" s="29"/>
      <c r="K144" s="29"/>
      <c r="L144" s="29"/>
      <c r="M144" s="17"/>
      <c r="N144" s="17"/>
      <c r="O144" s="17"/>
      <c r="P144" s="17"/>
      <c r="Q144" s="17"/>
      <c r="R144" s="17"/>
      <c r="S144" s="17"/>
      <c r="W144" t="str">
        <f t="shared" si="3"/>
        <v>FISCAL_CALENDAR.DESC07</v>
      </c>
      <c r="X144" t="e">
        <f>VLOOKUP(W144,ColumnMapping[New Table.Column],1,)</f>
        <v>#N/A</v>
      </c>
      <c r="Y144" t="str">
        <f>_xlfn.XLOOKUP(Table6[[#This Row],[Table.Column]],ColumnMapping[Add Column Name],ColumnMapping[Old Table.Column],"",0,1)</f>
        <v/>
      </c>
      <c r="Z144" t="str">
        <f>_xlfn.XLOOKUP(Table6[[#This Row],[Old Table.Column]],Cobra8.6[Table.Column],Cobra8.6[TYPE],"",0,1)</f>
        <v/>
      </c>
      <c r="AA144" t="str">
        <f>_xlfn.XLOOKUP(Table6[[#This Row],[Old Table.Column]],Cobra8.6[Table.Column],Cobra8.6[LENGTH],"",0,1)</f>
        <v/>
      </c>
      <c r="AB144" t="s">
        <v>32</v>
      </c>
    </row>
    <row r="145" spans="1:28" hidden="1" x14ac:dyDescent="0.2">
      <c r="A145" t="s">
        <v>293</v>
      </c>
      <c r="B145" s="17" t="s">
        <v>294</v>
      </c>
      <c r="C145" s="17" t="s">
        <v>337</v>
      </c>
      <c r="D145" s="17">
        <v>27</v>
      </c>
      <c r="E145" t="s">
        <v>86</v>
      </c>
      <c r="F145" t="str">
        <f>VLOOKUP($E145,'Data Type Lookup'!$A$1:$C$21,2,FALSE)</f>
        <v>VARCHAR2</v>
      </c>
      <c r="G145">
        <v>254</v>
      </c>
      <c r="H145" s="17"/>
      <c r="I145" s="29"/>
      <c r="J145" s="29"/>
      <c r="K145" s="29"/>
      <c r="L145" s="29"/>
      <c r="M145" s="17"/>
      <c r="N145" s="17"/>
      <c r="O145" s="17"/>
      <c r="P145" s="17"/>
      <c r="Q145" s="17"/>
      <c r="R145" s="17"/>
      <c r="S145" s="17"/>
      <c r="W145" t="str">
        <f t="shared" si="3"/>
        <v>FISCAL_CALENDAR.DESC08</v>
      </c>
      <c r="X145" t="e">
        <f>VLOOKUP(W145,ColumnMapping[New Table.Column],1,)</f>
        <v>#N/A</v>
      </c>
      <c r="Y145" t="str">
        <f>_xlfn.XLOOKUP(Table6[[#This Row],[Table.Column]],ColumnMapping[Add Column Name],ColumnMapping[Old Table.Column],"",0,1)</f>
        <v/>
      </c>
      <c r="Z145" t="str">
        <f>_xlfn.XLOOKUP(Table6[[#This Row],[Old Table.Column]],Cobra8.6[Table.Column],Cobra8.6[TYPE],"",0,1)</f>
        <v/>
      </c>
      <c r="AA145" t="str">
        <f>_xlfn.XLOOKUP(Table6[[#This Row],[Old Table.Column]],Cobra8.6[Table.Column],Cobra8.6[LENGTH],"",0,1)</f>
        <v/>
      </c>
      <c r="AB145" t="s">
        <v>32</v>
      </c>
    </row>
    <row r="146" spans="1:28" hidden="1" x14ac:dyDescent="0.2">
      <c r="A146" t="s">
        <v>293</v>
      </c>
      <c r="B146" s="17" t="s">
        <v>294</v>
      </c>
      <c r="C146" s="17" t="s">
        <v>338</v>
      </c>
      <c r="D146" s="17">
        <v>28</v>
      </c>
      <c r="E146" t="s">
        <v>86</v>
      </c>
      <c r="F146" t="str">
        <f>VLOOKUP($E146,'Data Type Lookup'!$A$1:$C$21,2,FALSE)</f>
        <v>VARCHAR2</v>
      </c>
      <c r="G146">
        <v>254</v>
      </c>
      <c r="H146" s="17"/>
      <c r="I146" s="29"/>
      <c r="J146" s="29"/>
      <c r="K146" s="29"/>
      <c r="L146" s="29"/>
      <c r="M146" s="17"/>
      <c r="N146" s="17"/>
      <c r="O146" s="17"/>
      <c r="P146" s="17"/>
      <c r="Q146" s="17"/>
      <c r="R146" s="17"/>
      <c r="S146" s="17"/>
      <c r="W146" t="str">
        <f t="shared" si="3"/>
        <v>FISCAL_CALENDAR.DESC09</v>
      </c>
      <c r="X146" t="e">
        <f>VLOOKUP(W146,ColumnMapping[New Table.Column],1,)</f>
        <v>#N/A</v>
      </c>
      <c r="Y146" t="str">
        <f>_xlfn.XLOOKUP(Table6[[#This Row],[Table.Column]],ColumnMapping[Add Column Name],ColumnMapping[Old Table.Column],"",0,1)</f>
        <v/>
      </c>
      <c r="Z146" t="str">
        <f>_xlfn.XLOOKUP(Table6[[#This Row],[Old Table.Column]],Cobra8.6[Table.Column],Cobra8.6[TYPE],"",0,1)</f>
        <v/>
      </c>
      <c r="AA146" t="str">
        <f>_xlfn.XLOOKUP(Table6[[#This Row],[Old Table.Column]],Cobra8.6[Table.Column],Cobra8.6[LENGTH],"",0,1)</f>
        <v/>
      </c>
      <c r="AB146" t="s">
        <v>32</v>
      </c>
    </row>
    <row r="147" spans="1:28" hidden="1" x14ac:dyDescent="0.2">
      <c r="A147" t="s">
        <v>293</v>
      </c>
      <c r="B147" s="17" t="s">
        <v>294</v>
      </c>
      <c r="C147" s="17" t="s">
        <v>339</v>
      </c>
      <c r="D147" s="17">
        <v>29</v>
      </c>
      <c r="E147" t="s">
        <v>86</v>
      </c>
      <c r="F147" t="str">
        <f>VLOOKUP($E147,'Data Type Lookup'!$A$1:$C$21,2,FALSE)</f>
        <v>VARCHAR2</v>
      </c>
      <c r="G147">
        <v>254</v>
      </c>
      <c r="H147" s="17"/>
      <c r="I147" s="29"/>
      <c r="J147" s="29"/>
      <c r="K147" s="29"/>
      <c r="L147" s="29"/>
      <c r="M147" s="17"/>
      <c r="N147" s="17"/>
      <c r="O147" s="17"/>
      <c r="P147" s="17"/>
      <c r="Q147" s="17"/>
      <c r="R147" s="17"/>
      <c r="S147" s="17"/>
      <c r="W147" t="str">
        <f t="shared" si="3"/>
        <v>FISCAL_CALENDAR.DESC10</v>
      </c>
      <c r="X147" t="e">
        <f>VLOOKUP(W147,ColumnMapping[New Table.Column],1,)</f>
        <v>#N/A</v>
      </c>
      <c r="Y147" t="str">
        <f>_xlfn.XLOOKUP(Table6[[#This Row],[Table.Column]],ColumnMapping[Add Column Name],ColumnMapping[Old Table.Column],"",0,1)</f>
        <v/>
      </c>
      <c r="Z147" t="str">
        <f>_xlfn.XLOOKUP(Table6[[#This Row],[Old Table.Column]],Cobra8.6[Table.Column],Cobra8.6[TYPE],"",0,1)</f>
        <v/>
      </c>
      <c r="AA147" t="str">
        <f>_xlfn.XLOOKUP(Table6[[#This Row],[Old Table.Column]],Cobra8.6[Table.Column],Cobra8.6[LENGTH],"",0,1)</f>
        <v/>
      </c>
      <c r="AB147" t="s">
        <v>32</v>
      </c>
    </row>
    <row r="148" spans="1:28" hidden="1" x14ac:dyDescent="0.2">
      <c r="A148" t="s">
        <v>293</v>
      </c>
      <c r="B148" s="17" t="s">
        <v>294</v>
      </c>
      <c r="C148" s="17" t="s">
        <v>340</v>
      </c>
      <c r="D148" s="17">
        <v>30</v>
      </c>
      <c r="E148" t="s">
        <v>86</v>
      </c>
      <c r="F148" t="str">
        <f>VLOOKUP($E148,'Data Type Lookup'!$A$1:$C$21,2,FALSE)</f>
        <v>VARCHAR2</v>
      </c>
      <c r="G148">
        <v>254</v>
      </c>
      <c r="H148" s="17"/>
      <c r="I148" s="29"/>
      <c r="J148" s="29"/>
      <c r="K148" s="29"/>
      <c r="L148" s="29"/>
      <c r="M148" s="17"/>
      <c r="N148" s="17"/>
      <c r="O148" s="17"/>
      <c r="P148" s="17"/>
      <c r="Q148" s="17"/>
      <c r="R148" s="17"/>
      <c r="S148" s="17"/>
      <c r="W148" t="str">
        <f t="shared" si="3"/>
        <v>FISCAL_CALENDAR.DESC11</v>
      </c>
      <c r="X148" t="e">
        <f>VLOOKUP(W148,ColumnMapping[New Table.Column],1,)</f>
        <v>#N/A</v>
      </c>
      <c r="Y148" t="str">
        <f>_xlfn.XLOOKUP(Table6[[#This Row],[Table.Column]],ColumnMapping[Add Column Name],ColumnMapping[Old Table.Column],"",0,1)</f>
        <v/>
      </c>
      <c r="Z148" t="str">
        <f>_xlfn.XLOOKUP(Table6[[#This Row],[Old Table.Column]],Cobra8.6[Table.Column],Cobra8.6[TYPE],"",0,1)</f>
        <v/>
      </c>
      <c r="AA148" t="str">
        <f>_xlfn.XLOOKUP(Table6[[#This Row],[Old Table.Column]],Cobra8.6[Table.Column],Cobra8.6[LENGTH],"",0,1)</f>
        <v/>
      </c>
      <c r="AB148" t="s">
        <v>32</v>
      </c>
    </row>
    <row r="149" spans="1:28" hidden="1" x14ac:dyDescent="0.2">
      <c r="A149" t="s">
        <v>293</v>
      </c>
      <c r="B149" s="17" t="s">
        <v>294</v>
      </c>
      <c r="C149" s="17" t="s">
        <v>341</v>
      </c>
      <c r="D149" s="17">
        <v>31</v>
      </c>
      <c r="E149" t="s">
        <v>86</v>
      </c>
      <c r="F149" t="str">
        <f>VLOOKUP($E149,'Data Type Lookup'!$A$1:$C$21,2,FALSE)</f>
        <v>VARCHAR2</v>
      </c>
      <c r="G149">
        <v>254</v>
      </c>
      <c r="H149" s="17"/>
      <c r="I149" s="29"/>
      <c r="J149" s="29"/>
      <c r="K149" s="29"/>
      <c r="L149" s="29"/>
      <c r="M149" s="17"/>
      <c r="N149" s="17"/>
      <c r="O149" s="17"/>
      <c r="P149" s="17"/>
      <c r="Q149" s="17"/>
      <c r="R149" s="17"/>
      <c r="S149" s="17"/>
      <c r="W149" t="str">
        <f t="shared" si="3"/>
        <v>FISCAL_CALENDAR.DESC12</v>
      </c>
      <c r="X149" t="e">
        <f>VLOOKUP(W149,ColumnMapping[New Table.Column],1,)</f>
        <v>#N/A</v>
      </c>
      <c r="Y149" t="str">
        <f>_xlfn.XLOOKUP(Table6[[#This Row],[Table.Column]],ColumnMapping[Add Column Name],ColumnMapping[Old Table.Column],"",0,1)</f>
        <v/>
      </c>
      <c r="Z149" t="str">
        <f>_xlfn.XLOOKUP(Table6[[#This Row],[Old Table.Column]],Cobra8.6[Table.Column],Cobra8.6[TYPE],"",0,1)</f>
        <v/>
      </c>
      <c r="AA149" t="str">
        <f>_xlfn.XLOOKUP(Table6[[#This Row],[Old Table.Column]],Cobra8.6[Table.Column],Cobra8.6[LENGTH],"",0,1)</f>
        <v/>
      </c>
      <c r="AB149" t="s">
        <v>32</v>
      </c>
    </row>
    <row r="150" spans="1:28" hidden="1" x14ac:dyDescent="0.2">
      <c r="A150" t="s">
        <v>293</v>
      </c>
      <c r="B150" s="17" t="s">
        <v>294</v>
      </c>
      <c r="C150" s="17" t="s">
        <v>342</v>
      </c>
      <c r="D150" s="17">
        <v>32</v>
      </c>
      <c r="E150" t="s">
        <v>86</v>
      </c>
      <c r="F150" t="str">
        <f>VLOOKUP($E150,'Data Type Lookup'!$A$1:$C$21,2,FALSE)</f>
        <v>VARCHAR2</v>
      </c>
      <c r="G150">
        <v>254</v>
      </c>
      <c r="H150" s="17"/>
      <c r="I150" s="29"/>
      <c r="J150" s="29"/>
      <c r="K150" s="29"/>
      <c r="L150" s="29"/>
      <c r="M150" s="17"/>
      <c r="N150" s="17"/>
      <c r="O150" s="17"/>
      <c r="P150" s="17"/>
      <c r="Q150" s="17"/>
      <c r="R150" s="17"/>
      <c r="S150" s="17"/>
      <c r="W150" t="str">
        <f t="shared" si="3"/>
        <v>FISCAL_CALENDAR.DESC13</v>
      </c>
      <c r="X150" t="e">
        <f>VLOOKUP(W150,ColumnMapping[New Table.Column],1,)</f>
        <v>#N/A</v>
      </c>
      <c r="Y150" t="str">
        <f>_xlfn.XLOOKUP(Table6[[#This Row],[Table.Column]],ColumnMapping[Add Column Name],ColumnMapping[Old Table.Column],"",0,1)</f>
        <v/>
      </c>
      <c r="Z150" t="str">
        <f>_xlfn.XLOOKUP(Table6[[#This Row],[Old Table.Column]],Cobra8.6[Table.Column],Cobra8.6[TYPE],"",0,1)</f>
        <v/>
      </c>
      <c r="AA150" t="str">
        <f>_xlfn.XLOOKUP(Table6[[#This Row],[Old Table.Column]],Cobra8.6[Table.Column],Cobra8.6[LENGTH],"",0,1)</f>
        <v/>
      </c>
      <c r="AB150" t="s">
        <v>32</v>
      </c>
    </row>
    <row r="151" spans="1:28" hidden="1" x14ac:dyDescent="0.2">
      <c r="A151" t="s">
        <v>293</v>
      </c>
      <c r="B151" s="17" t="s">
        <v>294</v>
      </c>
      <c r="C151" s="17" t="s">
        <v>343</v>
      </c>
      <c r="D151" s="17">
        <v>33</v>
      </c>
      <c r="E151" t="s">
        <v>86</v>
      </c>
      <c r="F151" t="str">
        <f>VLOOKUP($E151,'Data Type Lookup'!$A$1:$C$21,2,FALSE)</f>
        <v>VARCHAR2</v>
      </c>
      <c r="G151">
        <v>254</v>
      </c>
      <c r="H151" s="17"/>
      <c r="I151" s="29"/>
      <c r="J151" s="29"/>
      <c r="K151" s="29"/>
      <c r="L151" s="29"/>
      <c r="M151" s="17"/>
      <c r="N151" s="17"/>
      <c r="O151" s="17"/>
      <c r="P151" s="17"/>
      <c r="Q151" s="17"/>
      <c r="R151" s="17"/>
      <c r="S151" s="17"/>
      <c r="W151" t="str">
        <f t="shared" si="3"/>
        <v>FISCAL_CALENDAR.DESC14</v>
      </c>
      <c r="X151" t="e">
        <f>VLOOKUP(W151,ColumnMapping[New Table.Column],1,)</f>
        <v>#N/A</v>
      </c>
      <c r="Y151" t="str">
        <f>_xlfn.XLOOKUP(Table6[[#This Row],[Table.Column]],ColumnMapping[Add Column Name],ColumnMapping[Old Table.Column],"",0,1)</f>
        <v/>
      </c>
      <c r="Z151" t="str">
        <f>_xlfn.XLOOKUP(Table6[[#This Row],[Old Table.Column]],Cobra8.6[Table.Column],Cobra8.6[TYPE],"",0,1)</f>
        <v/>
      </c>
      <c r="AA151" t="str">
        <f>_xlfn.XLOOKUP(Table6[[#This Row],[Old Table.Column]],Cobra8.6[Table.Column],Cobra8.6[LENGTH],"",0,1)</f>
        <v/>
      </c>
      <c r="AB151" t="s">
        <v>32</v>
      </c>
    </row>
    <row r="152" spans="1:28" hidden="1" x14ac:dyDescent="0.2">
      <c r="A152" t="s">
        <v>293</v>
      </c>
      <c r="B152" s="17" t="s">
        <v>294</v>
      </c>
      <c r="C152" s="17" t="s">
        <v>344</v>
      </c>
      <c r="D152" s="17">
        <v>34</v>
      </c>
      <c r="E152" t="s">
        <v>86</v>
      </c>
      <c r="F152" t="str">
        <f>VLOOKUP($E152,'Data Type Lookup'!$A$1:$C$21,2,FALSE)</f>
        <v>VARCHAR2</v>
      </c>
      <c r="G152">
        <v>254</v>
      </c>
      <c r="H152" s="17"/>
      <c r="I152" s="29"/>
      <c r="J152" s="29"/>
      <c r="K152" s="29"/>
      <c r="L152" s="29"/>
      <c r="M152" s="17"/>
      <c r="N152" s="17"/>
      <c r="O152" s="17"/>
      <c r="P152" s="17"/>
      <c r="Q152" s="17"/>
      <c r="R152" s="17"/>
      <c r="S152" s="17"/>
      <c r="W152" t="str">
        <f t="shared" si="3"/>
        <v>FISCAL_CALENDAR.DESC15</v>
      </c>
      <c r="X152" t="e">
        <f>VLOOKUP(W152,ColumnMapping[New Table.Column],1,)</f>
        <v>#N/A</v>
      </c>
      <c r="Y152" t="str">
        <f>_xlfn.XLOOKUP(Table6[[#This Row],[Table.Column]],ColumnMapping[Add Column Name],ColumnMapping[Old Table.Column],"",0,1)</f>
        <v/>
      </c>
      <c r="Z152" t="str">
        <f>_xlfn.XLOOKUP(Table6[[#This Row],[Old Table.Column]],Cobra8.6[Table.Column],Cobra8.6[TYPE],"",0,1)</f>
        <v/>
      </c>
      <c r="AA152" t="str">
        <f>_xlfn.XLOOKUP(Table6[[#This Row],[Old Table.Column]],Cobra8.6[Table.Column],Cobra8.6[LENGTH],"",0,1)</f>
        <v/>
      </c>
      <c r="AB152" t="s">
        <v>32</v>
      </c>
    </row>
    <row r="153" spans="1:28" hidden="1" x14ac:dyDescent="0.2">
      <c r="A153" t="s">
        <v>293</v>
      </c>
      <c r="B153" s="17" t="s">
        <v>294</v>
      </c>
      <c r="C153" s="17" t="s">
        <v>345</v>
      </c>
      <c r="D153" s="17">
        <v>35</v>
      </c>
      <c r="E153" t="s">
        <v>86</v>
      </c>
      <c r="F153" t="str">
        <f>VLOOKUP($E153,'Data Type Lookup'!$A$1:$C$21,2,FALSE)</f>
        <v>VARCHAR2</v>
      </c>
      <c r="G153">
        <v>254</v>
      </c>
      <c r="H153" s="17"/>
      <c r="I153" s="29"/>
      <c r="J153" s="29"/>
      <c r="K153" s="29"/>
      <c r="L153" s="29"/>
      <c r="M153" s="17"/>
      <c r="N153" s="17"/>
      <c r="O153" s="17"/>
      <c r="P153" s="17"/>
      <c r="Q153" s="17"/>
      <c r="R153" s="17"/>
      <c r="S153" s="17"/>
      <c r="W153" t="str">
        <f t="shared" si="3"/>
        <v>FISCAL_CALENDAR.DESC16</v>
      </c>
      <c r="X153" t="e">
        <f>VLOOKUP(W153,ColumnMapping[New Table.Column],1,)</f>
        <v>#N/A</v>
      </c>
      <c r="Y153" t="str">
        <f>_xlfn.XLOOKUP(Table6[[#This Row],[Table.Column]],ColumnMapping[Add Column Name],ColumnMapping[Old Table.Column],"",0,1)</f>
        <v/>
      </c>
      <c r="Z153" t="str">
        <f>_xlfn.XLOOKUP(Table6[[#This Row],[Old Table.Column]],Cobra8.6[Table.Column],Cobra8.6[TYPE],"",0,1)</f>
        <v/>
      </c>
      <c r="AA153" t="str">
        <f>_xlfn.XLOOKUP(Table6[[#This Row],[Old Table.Column]],Cobra8.6[Table.Column],Cobra8.6[LENGTH],"",0,1)</f>
        <v/>
      </c>
      <c r="AB153" t="s">
        <v>32</v>
      </c>
    </row>
    <row r="154" spans="1:28" hidden="1" x14ac:dyDescent="0.2">
      <c r="A154" t="s">
        <v>293</v>
      </c>
      <c r="B154" s="17" t="s">
        <v>294</v>
      </c>
      <c r="C154" s="17" t="s">
        <v>346</v>
      </c>
      <c r="D154" s="17">
        <v>36</v>
      </c>
      <c r="E154" t="s">
        <v>86</v>
      </c>
      <c r="F154" t="str">
        <f>VLOOKUP($E154,'Data Type Lookup'!$A$1:$C$21,2,FALSE)</f>
        <v>VARCHAR2</v>
      </c>
      <c r="G154">
        <v>254</v>
      </c>
      <c r="H154" s="17"/>
      <c r="I154" s="29"/>
      <c r="J154" s="29"/>
      <c r="K154" s="29"/>
      <c r="L154" s="29"/>
      <c r="M154" s="17"/>
      <c r="N154" s="17"/>
      <c r="O154" s="17"/>
      <c r="P154" s="17"/>
      <c r="Q154" s="17"/>
      <c r="R154" s="17"/>
      <c r="S154" s="17"/>
      <c r="W154" t="str">
        <f t="shared" si="3"/>
        <v>FISCAL_CALENDAR.DESC17</v>
      </c>
      <c r="X154" t="e">
        <f>VLOOKUP(W154,ColumnMapping[New Table.Column],1,)</f>
        <v>#N/A</v>
      </c>
      <c r="Y154" t="str">
        <f>_xlfn.XLOOKUP(Table6[[#This Row],[Table.Column]],ColumnMapping[Add Column Name],ColumnMapping[Old Table.Column],"",0,1)</f>
        <v/>
      </c>
      <c r="Z154" t="str">
        <f>_xlfn.XLOOKUP(Table6[[#This Row],[Old Table.Column]],Cobra8.6[Table.Column],Cobra8.6[TYPE],"",0,1)</f>
        <v/>
      </c>
      <c r="AA154" t="str">
        <f>_xlfn.XLOOKUP(Table6[[#This Row],[Old Table.Column]],Cobra8.6[Table.Column],Cobra8.6[LENGTH],"",0,1)</f>
        <v/>
      </c>
      <c r="AB154" t="s">
        <v>32</v>
      </c>
    </row>
    <row r="155" spans="1:28" hidden="1" x14ac:dyDescent="0.2">
      <c r="A155" t="s">
        <v>293</v>
      </c>
      <c r="B155" s="17" t="s">
        <v>294</v>
      </c>
      <c r="C155" s="17" t="s">
        <v>347</v>
      </c>
      <c r="D155" s="17">
        <v>37</v>
      </c>
      <c r="E155" t="s">
        <v>86</v>
      </c>
      <c r="F155" t="str">
        <f>VLOOKUP($E155,'Data Type Lookup'!$A$1:$C$21,2,FALSE)</f>
        <v>VARCHAR2</v>
      </c>
      <c r="G155">
        <v>254</v>
      </c>
      <c r="H155" s="17"/>
      <c r="I155" s="29"/>
      <c r="J155" s="29"/>
      <c r="K155" s="29"/>
      <c r="L155" s="29"/>
      <c r="M155" s="17"/>
      <c r="N155" s="17"/>
      <c r="O155" s="17"/>
      <c r="P155" s="17"/>
      <c r="Q155" s="17"/>
      <c r="R155" s="17"/>
      <c r="S155" s="17"/>
      <c r="W155" t="str">
        <f t="shared" si="3"/>
        <v>FISCAL_CALENDAR.DESC18</v>
      </c>
      <c r="X155" t="e">
        <f>VLOOKUP(W155,ColumnMapping[New Table.Column],1,)</f>
        <v>#N/A</v>
      </c>
      <c r="Y155" t="str">
        <f>_xlfn.XLOOKUP(Table6[[#This Row],[Table.Column]],ColumnMapping[Add Column Name],ColumnMapping[Old Table.Column],"",0,1)</f>
        <v/>
      </c>
      <c r="Z155" t="str">
        <f>_xlfn.XLOOKUP(Table6[[#This Row],[Old Table.Column]],Cobra8.6[Table.Column],Cobra8.6[TYPE],"",0,1)</f>
        <v/>
      </c>
      <c r="AA155" t="str">
        <f>_xlfn.XLOOKUP(Table6[[#This Row],[Old Table.Column]],Cobra8.6[Table.Column],Cobra8.6[LENGTH],"",0,1)</f>
        <v/>
      </c>
      <c r="AB155" t="s">
        <v>32</v>
      </c>
    </row>
    <row r="156" spans="1:28" hidden="1" x14ac:dyDescent="0.2">
      <c r="A156" t="s">
        <v>293</v>
      </c>
      <c r="B156" s="17" t="s">
        <v>294</v>
      </c>
      <c r="C156" s="17" t="s">
        <v>348</v>
      </c>
      <c r="D156" s="17">
        <v>38</v>
      </c>
      <c r="E156" t="s">
        <v>86</v>
      </c>
      <c r="F156" s="17" t="s">
        <v>349</v>
      </c>
      <c r="G156" s="17">
        <v>254</v>
      </c>
      <c r="H156" s="17"/>
      <c r="I156" s="29"/>
      <c r="J156" s="29"/>
      <c r="K156" s="29"/>
      <c r="L156" s="29"/>
      <c r="M156" s="17"/>
      <c r="N156" s="17"/>
      <c r="O156" s="17"/>
      <c r="P156" s="17"/>
      <c r="Q156" s="17"/>
      <c r="R156" s="17"/>
      <c r="S156" s="17"/>
      <c r="W156" t="str">
        <f t="shared" si="3"/>
        <v>FISCAL_CALENDAR.DESC19</v>
      </c>
      <c r="X156" t="e">
        <f>VLOOKUP(W156,ColumnMapping[New Table.Column],1,)</f>
        <v>#N/A</v>
      </c>
      <c r="Y156" t="s">
        <v>350</v>
      </c>
      <c r="Z156" t="str">
        <f>_xlfn.XLOOKUP(Table6[[#This Row],[Old Table.Column]],Cobra8.6[Table.Column],Cobra8.6[TYPE],"",0,1)</f>
        <v>TEXT</v>
      </c>
      <c r="AA156">
        <f>_xlfn.XLOOKUP(Table6[[#This Row],[Old Table.Column]],Cobra8.6[Table.Column],Cobra8.6[LENGTH],"",0,1)</f>
        <v>254</v>
      </c>
      <c r="AB156" t="s">
        <v>32</v>
      </c>
    </row>
    <row r="157" spans="1:28" hidden="1" x14ac:dyDescent="0.2">
      <c r="A157" t="s">
        <v>293</v>
      </c>
      <c r="B157" t="s">
        <v>351</v>
      </c>
      <c r="C157" t="s">
        <v>30</v>
      </c>
      <c r="D157">
        <v>1</v>
      </c>
      <c r="E157" t="s">
        <v>31</v>
      </c>
      <c r="F157" t="str">
        <f>VLOOKUP($E157,'Data Type Lookup'!$A$1:$C$21,2,FALSE)</f>
        <v>RAW(16)</v>
      </c>
      <c r="I157" s="32" t="s">
        <v>32</v>
      </c>
      <c r="K157" s="32" t="s">
        <v>32</v>
      </c>
      <c r="P157" t="s">
        <v>352</v>
      </c>
      <c r="Q157" t="s">
        <v>34</v>
      </c>
      <c r="R157" t="str">
        <f>VLOOKUP(E157,'Data Type Lookup'!$A$1:$C$21,3,FALSE)</f>
        <v>java.util.UUID</v>
      </c>
      <c r="S157">
        <v>3</v>
      </c>
      <c r="W157" t="str">
        <f t="shared" si="3"/>
        <v>FISCAL_CALENDAR_HOLIDAY.ROW_UID</v>
      </c>
      <c r="X157" t="str">
        <f>VLOOKUP(W157,ColumnMapping[New Table.Column],1,)</f>
        <v>FISCAL_CALENDAR_HOLIDAY.ROW_UID</v>
      </c>
      <c r="Y157" t="str">
        <f>_xlfn.XLOOKUP(Table6[[#This Row],[Table.Column]],ColumnMapping[Add Column Name],ColumnMapping[Old Table.Column],"",0,1)</f>
        <v/>
      </c>
      <c r="Z157" t="str">
        <f>_xlfn.XLOOKUP(Table6[[#This Row],[Old Table.Column]],Cobra8.6[Table.Column],Cobra8.6[TYPE],"",0,1)</f>
        <v/>
      </c>
      <c r="AA157" t="str">
        <f>_xlfn.XLOOKUP(Table6[[#This Row],[Old Table.Column]],Cobra8.6[Table.Column],Cobra8.6[LENGTH],"",0,1)</f>
        <v/>
      </c>
      <c r="AB157"/>
    </row>
    <row r="158" spans="1:28" hidden="1" x14ac:dyDescent="0.2">
      <c r="A158" t="s">
        <v>293</v>
      </c>
      <c r="B158" t="s">
        <v>351</v>
      </c>
      <c r="C158" t="s">
        <v>35</v>
      </c>
      <c r="D158">
        <v>2</v>
      </c>
      <c r="E158" t="s">
        <v>36</v>
      </c>
      <c r="F158" t="str">
        <f>VLOOKUP($E158,'Data Type Lookup'!$A$1:$C$21,2,FALSE)</f>
        <v>NUMBER(19,0)</v>
      </c>
      <c r="I158" s="32" t="s">
        <v>32</v>
      </c>
      <c r="J158" s="32">
        <v>0</v>
      </c>
      <c r="P158" t="s">
        <v>37</v>
      </c>
      <c r="Q158" t="s">
        <v>38</v>
      </c>
      <c r="R158" t="str">
        <f>VLOOKUP(E158,'Data Type Lookup'!$A$1:$C$21,3,FALSE)</f>
        <v>Long</v>
      </c>
      <c r="S158">
        <v>3</v>
      </c>
      <c r="W158" t="str">
        <f t="shared" si="3"/>
        <v>FISCAL_CALENDAR_HOLIDAY.SEQUENCE</v>
      </c>
      <c r="X158" t="str">
        <f>VLOOKUP(W158,ColumnMapping[New Table.Column],1,)</f>
        <v>FISCAL_CALENDAR_HOLIDAY.SEQUENCE</v>
      </c>
      <c r="Y158" t="str">
        <f>_xlfn.XLOOKUP(Table6[[#This Row],[Table.Column]],ColumnMapping[Add Column Name],ColumnMapping[Old Table.Column],"",0,1)</f>
        <v/>
      </c>
      <c r="Z158" t="str">
        <f>_xlfn.XLOOKUP(Table6[[#This Row],[Old Table.Column]],Cobra8.6[Table.Column],Cobra8.6[TYPE],"",0,1)</f>
        <v/>
      </c>
      <c r="AA158" t="str">
        <f>_xlfn.XLOOKUP(Table6[[#This Row],[Old Table.Column]],Cobra8.6[Table.Column],Cobra8.6[LENGTH],"",0,1)</f>
        <v/>
      </c>
      <c r="AB158"/>
    </row>
    <row r="159" spans="1:28" hidden="1" x14ac:dyDescent="0.2">
      <c r="A159" t="s">
        <v>293</v>
      </c>
      <c r="B159" t="s">
        <v>351</v>
      </c>
      <c r="C159" t="s">
        <v>353</v>
      </c>
      <c r="D159">
        <v>3</v>
      </c>
      <c r="E159" t="s">
        <v>31</v>
      </c>
      <c r="F159" t="str">
        <f>VLOOKUP($E159,'Data Type Lookup'!$A$1:$C$21,2,FALSE)</f>
        <v>RAW(16)</v>
      </c>
      <c r="I159" s="32" t="s">
        <v>32</v>
      </c>
      <c r="L159" s="32" t="s">
        <v>32</v>
      </c>
      <c r="M159" t="s">
        <v>294</v>
      </c>
      <c r="N159" t="s">
        <v>30</v>
      </c>
      <c r="O159" t="s">
        <v>41</v>
      </c>
      <c r="P159" t="s">
        <v>295</v>
      </c>
      <c r="Q159" t="s">
        <v>354</v>
      </c>
      <c r="R159" t="str">
        <f>VLOOKUP(E159,'Data Type Lookup'!$A$1:$C$21,3,FALSE)</f>
        <v>java.util.UUID</v>
      </c>
      <c r="S159">
        <v>1</v>
      </c>
      <c r="W159" t="str">
        <f t="shared" si="3"/>
        <v>FISCAL_CALENDAR_HOLIDAY.FISCAL_CALENDAR_UID</v>
      </c>
      <c r="X159" t="str">
        <f>VLOOKUP(W159,ColumnMapping[New Table.Column],1,)</f>
        <v>FISCAL_CALENDAR_HOLIDAY.FISCAL_CALENDAR_UID</v>
      </c>
      <c r="Y159" t="str">
        <f>_xlfn.XLOOKUP(Table6[[#This Row],[Table.Column]],ColumnMapping[Add Column Name],ColumnMapping[Old Table.Column],"",0,1)</f>
        <v/>
      </c>
      <c r="Z159" t="str">
        <f>_xlfn.XLOOKUP(Table6[[#This Row],[Old Table.Column]],Cobra8.6[Table.Column],Cobra8.6[TYPE],"",0,1)</f>
        <v/>
      </c>
      <c r="AA159" t="str">
        <f>_xlfn.XLOOKUP(Table6[[#This Row],[Old Table.Column]],Cobra8.6[Table.Column],Cobra8.6[LENGTH],"",0,1)</f>
        <v/>
      </c>
      <c r="AB159"/>
    </row>
    <row r="160" spans="1:28" hidden="1" x14ac:dyDescent="0.2">
      <c r="A160" t="s">
        <v>293</v>
      </c>
      <c r="B160" t="s">
        <v>351</v>
      </c>
      <c r="C160" t="s">
        <v>355</v>
      </c>
      <c r="D160">
        <v>4</v>
      </c>
      <c r="E160" t="s">
        <v>356</v>
      </c>
      <c r="F160" t="str">
        <f>VLOOKUP($E160,'Data Type Lookup'!$A$1:$C$21,2,FALSE)</f>
        <v>DATE</v>
      </c>
      <c r="I160" s="32" t="s">
        <v>32</v>
      </c>
      <c r="L160" s="32" t="s">
        <v>32</v>
      </c>
      <c r="P160" t="s">
        <v>357</v>
      </c>
      <c r="Q160" t="s">
        <v>358</v>
      </c>
      <c r="R160" t="str">
        <f>VLOOKUP(E160,'Data Type Lookup'!$A$1:$C$21,3,FALSE)</f>
        <v>java.time.Instant</v>
      </c>
      <c r="W160" t="str">
        <f t="shared" si="3"/>
        <v>FISCAL_CALENDAR_HOLIDAY.HOLIDAY_DATE</v>
      </c>
      <c r="X160" t="str">
        <f>VLOOKUP(W160,ColumnMapping[New Table.Column],1,)</f>
        <v>FISCAL_CALENDAR_HOLIDAY.HOLIDAY_DATE</v>
      </c>
      <c r="Y160" t="str">
        <f>_xlfn.XLOOKUP(Table6[[#This Row],[Table.Column]],ColumnMapping[Add Column Name],ColumnMapping[Old Table.Column],"",0,1)</f>
        <v/>
      </c>
      <c r="Z160" t="str">
        <f>_xlfn.XLOOKUP(Table6[[#This Row],[Old Table.Column]],Cobra8.6[Table.Column],Cobra8.6[TYPE],"",0,1)</f>
        <v/>
      </c>
      <c r="AA160" t="str">
        <f>_xlfn.XLOOKUP(Table6[[#This Row],[Old Table.Column]],Cobra8.6[Table.Column],Cobra8.6[LENGTH],"",0,1)</f>
        <v/>
      </c>
      <c r="AB160"/>
    </row>
    <row r="161" spans="1:28" hidden="1" x14ac:dyDescent="0.2">
      <c r="A161" t="s">
        <v>293</v>
      </c>
      <c r="B161" t="s">
        <v>351</v>
      </c>
      <c r="C161" t="s">
        <v>61</v>
      </c>
      <c r="D161">
        <v>5</v>
      </c>
      <c r="E161" t="s">
        <v>31</v>
      </c>
      <c r="F161" t="str">
        <f>VLOOKUP($E161,'Data Type Lookup'!$A$1:$C$21,2,FALSE)</f>
        <v>RAW(16)</v>
      </c>
      <c r="I161" s="32" t="s">
        <v>32</v>
      </c>
      <c r="P161" t="s">
        <v>359</v>
      </c>
      <c r="Q161" t="s">
        <v>63</v>
      </c>
      <c r="R161" t="str">
        <f>VLOOKUP(E161,'Data Type Lookup'!$A$1:$C$21,3,FALSE)</f>
        <v>java.util.UUID</v>
      </c>
      <c r="S161">
        <v>2</v>
      </c>
      <c r="W161" t="str">
        <f t="shared" si="3"/>
        <v>FISCAL_CALENDAR_HOLIDAY.CREATED_BY_USER_UID</v>
      </c>
      <c r="X161" t="str">
        <f>VLOOKUP(W161,ColumnMapping[New Table.Column],1,)</f>
        <v>FISCAL_CALENDAR_HOLIDAY.CREATED_BY_USER_UID</v>
      </c>
      <c r="Y161" t="str">
        <f>_xlfn.XLOOKUP(Table6[[#This Row],[Table.Column]],ColumnMapping[Add Column Name],ColumnMapping[Old Table.Column],"",0,1)</f>
        <v/>
      </c>
      <c r="Z161" t="str">
        <f>_xlfn.XLOOKUP(Table6[[#This Row],[Old Table.Column]],Cobra8.6[Table.Column],Cobra8.6[TYPE],"",0,1)</f>
        <v/>
      </c>
      <c r="AA161" t="str">
        <f>_xlfn.XLOOKUP(Table6[[#This Row],[Old Table.Column]],Cobra8.6[Table.Column],Cobra8.6[LENGTH],"",0,1)</f>
        <v/>
      </c>
      <c r="AB161"/>
    </row>
    <row r="162" spans="1:28" hidden="1" x14ac:dyDescent="0.2">
      <c r="A162" t="s">
        <v>293</v>
      </c>
      <c r="B162" t="s">
        <v>351</v>
      </c>
      <c r="C162" t="s">
        <v>64</v>
      </c>
      <c r="D162">
        <v>6</v>
      </c>
      <c r="E162" t="s">
        <v>65</v>
      </c>
      <c r="F162" t="str">
        <f>VLOOKUP($E162,'Data Type Lookup'!$A$1:$C$21,2,FALSE)</f>
        <v>TIMESTAMP</v>
      </c>
      <c r="I162" s="32" t="s">
        <v>32</v>
      </c>
      <c r="P162" t="s">
        <v>360</v>
      </c>
      <c r="Q162" t="s">
        <v>67</v>
      </c>
      <c r="R162" t="str">
        <f>VLOOKUP(E162,'Data Type Lookup'!$A$1:$C$21,3,FALSE)</f>
        <v>java.time.Instant</v>
      </c>
      <c r="S162">
        <v>2</v>
      </c>
      <c r="W162" t="str">
        <f t="shared" si="3"/>
        <v>FISCAL_CALENDAR_HOLIDAY.CREATED_DATE</v>
      </c>
      <c r="X162" t="str">
        <f>VLOOKUP(W162,ColumnMapping[New Table.Column],1,)</f>
        <v>FISCAL_CALENDAR_HOLIDAY.CREATED_DATE</v>
      </c>
      <c r="Y162" t="str">
        <f>_xlfn.XLOOKUP(Table6[[#This Row],[Table.Column]],ColumnMapping[Add Column Name],ColumnMapping[Old Table.Column],"",0,1)</f>
        <v/>
      </c>
      <c r="Z162" t="str">
        <f>_xlfn.XLOOKUP(Table6[[#This Row],[Old Table.Column]],Cobra8.6[Table.Column],Cobra8.6[TYPE],"",0,1)</f>
        <v/>
      </c>
      <c r="AA162" t="str">
        <f>_xlfn.XLOOKUP(Table6[[#This Row],[Old Table.Column]],Cobra8.6[Table.Column],Cobra8.6[LENGTH],"",0,1)</f>
        <v/>
      </c>
      <c r="AB162"/>
    </row>
    <row r="163" spans="1:28" hidden="1" x14ac:dyDescent="0.2">
      <c r="A163" t="s">
        <v>293</v>
      </c>
      <c r="B163" t="s">
        <v>351</v>
      </c>
      <c r="C163" t="s">
        <v>68</v>
      </c>
      <c r="D163">
        <v>7</v>
      </c>
      <c r="E163" t="s">
        <v>31</v>
      </c>
      <c r="F163" t="str">
        <f>VLOOKUP($E163,'Data Type Lookup'!$A$1:$C$21,2,FALSE)</f>
        <v>RAW(16)</v>
      </c>
      <c r="I163" s="32" t="s">
        <v>32</v>
      </c>
      <c r="P163" t="s">
        <v>361</v>
      </c>
      <c r="Q163" t="s">
        <v>70</v>
      </c>
      <c r="R163" t="str">
        <f>VLOOKUP(E163,'Data Type Lookup'!$A$1:$C$21,3,FALSE)</f>
        <v>java.util.UUID</v>
      </c>
      <c r="S163">
        <v>2</v>
      </c>
      <c r="W163" t="str">
        <f t="shared" si="3"/>
        <v>FISCAL_CALENDAR_HOLIDAY.LAST_MODIFIED_BY_USER_UID</v>
      </c>
      <c r="X163" t="str">
        <f>VLOOKUP(W163,ColumnMapping[New Table.Column],1,)</f>
        <v>FISCAL_CALENDAR_HOLIDAY.LAST_MODIFIED_BY_USER_UID</v>
      </c>
      <c r="Y163" t="str">
        <f>_xlfn.XLOOKUP(Table6[[#This Row],[Table.Column]],ColumnMapping[Add Column Name],ColumnMapping[Old Table.Column],"",0,1)</f>
        <v/>
      </c>
      <c r="Z163" t="str">
        <f>_xlfn.XLOOKUP(Table6[[#This Row],[Old Table.Column]],Cobra8.6[Table.Column],Cobra8.6[TYPE],"",0,1)</f>
        <v/>
      </c>
      <c r="AA163" t="str">
        <f>_xlfn.XLOOKUP(Table6[[#This Row],[Old Table.Column]],Cobra8.6[Table.Column],Cobra8.6[LENGTH],"",0,1)</f>
        <v/>
      </c>
      <c r="AB163"/>
    </row>
    <row r="164" spans="1:28" hidden="1" x14ac:dyDescent="0.2">
      <c r="A164" t="s">
        <v>293</v>
      </c>
      <c r="B164" t="s">
        <v>351</v>
      </c>
      <c r="C164" t="s">
        <v>71</v>
      </c>
      <c r="D164">
        <v>8</v>
      </c>
      <c r="E164" t="s">
        <v>65</v>
      </c>
      <c r="F164" t="str">
        <f>VLOOKUP($E164,'Data Type Lookup'!$A$1:$C$21,2,FALSE)</f>
        <v>TIMESTAMP</v>
      </c>
      <c r="I164" s="32" t="s">
        <v>32</v>
      </c>
      <c r="P164" t="s">
        <v>362</v>
      </c>
      <c r="Q164" t="s">
        <v>73</v>
      </c>
      <c r="R164" t="str">
        <f>VLOOKUP(E164,'Data Type Lookup'!$A$1:$C$21,3,FALSE)</f>
        <v>java.time.Instant</v>
      </c>
      <c r="S164">
        <v>2</v>
      </c>
      <c r="W164" t="str">
        <f t="shared" si="3"/>
        <v>FISCAL_CALENDAR_HOLIDAY.LAST_MODIFIED_DATE</v>
      </c>
      <c r="X164" t="str">
        <f>VLOOKUP(W164,ColumnMapping[New Table.Column],1,)</f>
        <v>FISCAL_CALENDAR_HOLIDAY.LAST_MODIFIED_DATE</v>
      </c>
      <c r="Y164" t="str">
        <f>_xlfn.XLOOKUP(Table6[[#This Row],[Table.Column]],ColumnMapping[Add Column Name],ColumnMapping[Old Table.Column],"",0,1)</f>
        <v/>
      </c>
      <c r="Z164" t="str">
        <f>_xlfn.XLOOKUP(Table6[[#This Row],[Old Table.Column]],Cobra8.6[Table.Column],Cobra8.6[TYPE],"",0,1)</f>
        <v/>
      </c>
      <c r="AA164" t="str">
        <f>_xlfn.XLOOKUP(Table6[[#This Row],[Old Table.Column]],Cobra8.6[Table.Column],Cobra8.6[LENGTH],"",0,1)</f>
        <v/>
      </c>
      <c r="AB164"/>
    </row>
    <row r="165" spans="1:28" hidden="1" x14ac:dyDescent="0.2">
      <c r="A165" t="s">
        <v>293</v>
      </c>
      <c r="B165" t="s">
        <v>351</v>
      </c>
      <c r="C165" t="s">
        <v>15</v>
      </c>
      <c r="D165">
        <v>9</v>
      </c>
      <c r="E165" t="s">
        <v>48</v>
      </c>
      <c r="F165" t="str">
        <f>VLOOKUP($E165,'Data Type Lookup'!$A$1:$C$21,2,FALSE)</f>
        <v>NVARCHAR2</v>
      </c>
      <c r="G165">
        <v>256</v>
      </c>
      <c r="P165" t="s">
        <v>363</v>
      </c>
      <c r="Q165" t="s">
        <v>75</v>
      </c>
      <c r="R165" t="str">
        <f>VLOOKUP(E165,'Data Type Lookup'!$A$1:$C$21,3,FALSE)</f>
        <v>String</v>
      </c>
      <c r="W165" t="str">
        <f t="shared" si="3"/>
        <v>FISCAL_CALENDAR_HOLIDAY.DESCRIPTION</v>
      </c>
      <c r="X165" t="str">
        <f>VLOOKUP(W165,ColumnMapping[New Table.Column],1,)</f>
        <v>FISCAL_CALENDAR_HOLIDAY.DESCRIPTION</v>
      </c>
      <c r="Y165" t="str">
        <f>_xlfn.XLOOKUP(Table6[[#This Row],[Table.Column]],ColumnMapping[Add Column Name],ColumnMapping[Old Table.Column],"",0,1)</f>
        <v/>
      </c>
      <c r="Z165" t="str">
        <f>_xlfn.XLOOKUP(Table6[[#This Row],[Old Table.Column]],Cobra8.6[Table.Column],Cobra8.6[TYPE],"",0,1)</f>
        <v/>
      </c>
      <c r="AA165" t="str">
        <f>_xlfn.XLOOKUP(Table6[[#This Row],[Old Table.Column]],Cobra8.6[Table.Column],Cobra8.6[LENGTH],"",0,1)</f>
        <v/>
      </c>
      <c r="AB165"/>
    </row>
    <row r="166" spans="1:28" hidden="1" x14ac:dyDescent="0.2">
      <c r="A166" t="s">
        <v>293</v>
      </c>
      <c r="B166" t="s">
        <v>364</v>
      </c>
      <c r="C166" t="s">
        <v>30</v>
      </c>
      <c r="D166">
        <v>1</v>
      </c>
      <c r="E166" t="s">
        <v>31</v>
      </c>
      <c r="F166" t="str">
        <f>VLOOKUP($E166,'Data Type Lookup'!$A$1:$C$21,2,FALSE)</f>
        <v>RAW(16)</v>
      </c>
      <c r="I166" s="32" t="s">
        <v>32</v>
      </c>
      <c r="K166" s="32" t="s">
        <v>32</v>
      </c>
      <c r="P166" t="s">
        <v>365</v>
      </c>
      <c r="Q166" t="s">
        <v>34</v>
      </c>
      <c r="R166" t="str">
        <f>VLOOKUP(E166,'Data Type Lookup'!$A$1:$C$21,3,FALSE)</f>
        <v>java.util.UUID</v>
      </c>
      <c r="S166">
        <v>3</v>
      </c>
      <c r="W166" t="str">
        <f t="shared" si="3"/>
        <v>FISCAL_CALENDAR_PERIOD.ROW_UID</v>
      </c>
      <c r="X166" t="str">
        <f>VLOOKUP(W166,ColumnMapping[New Table.Column],1,)</f>
        <v>FISCAL_CALENDAR_PERIOD.ROW_UID</v>
      </c>
      <c r="Y166" t="str">
        <f>_xlfn.XLOOKUP(Table6[[#This Row],[Table.Column]],ColumnMapping[Add Column Name],ColumnMapping[Old Table.Column],"",0,1)</f>
        <v/>
      </c>
      <c r="Z166" t="str">
        <f>_xlfn.XLOOKUP(Table6[[#This Row],[Old Table.Column]],Cobra8.6[Table.Column],Cobra8.6[TYPE],"",0,1)</f>
        <v/>
      </c>
      <c r="AA166" t="str">
        <f>_xlfn.XLOOKUP(Table6[[#This Row],[Old Table.Column]],Cobra8.6[Table.Column],Cobra8.6[LENGTH],"",0,1)</f>
        <v/>
      </c>
      <c r="AB166"/>
    </row>
    <row r="167" spans="1:28" hidden="1" x14ac:dyDescent="0.2">
      <c r="A167" t="s">
        <v>293</v>
      </c>
      <c r="B167" t="s">
        <v>364</v>
      </c>
      <c r="C167" t="s">
        <v>35</v>
      </c>
      <c r="D167">
        <v>2</v>
      </c>
      <c r="E167" t="s">
        <v>36</v>
      </c>
      <c r="F167" t="str">
        <f>VLOOKUP($E167,'Data Type Lookup'!$A$1:$C$21,2,FALSE)</f>
        <v>NUMBER(19,0)</v>
      </c>
      <c r="I167" s="32" t="s">
        <v>32</v>
      </c>
      <c r="J167" s="32">
        <v>0</v>
      </c>
      <c r="P167" t="s">
        <v>37</v>
      </c>
      <c r="Q167" t="s">
        <v>38</v>
      </c>
      <c r="R167" t="str">
        <f>VLOOKUP(E167,'Data Type Lookup'!$A$1:$C$21,3,FALSE)</f>
        <v>Long</v>
      </c>
      <c r="S167">
        <v>3</v>
      </c>
      <c r="W167" t="str">
        <f t="shared" si="3"/>
        <v>FISCAL_CALENDAR_PERIOD.SEQUENCE</v>
      </c>
      <c r="X167" t="str">
        <f>VLOOKUP(W167,ColumnMapping[New Table.Column],1,)</f>
        <v>FISCAL_CALENDAR_PERIOD.SEQUENCE</v>
      </c>
      <c r="Y167" t="str">
        <f>_xlfn.XLOOKUP(Table6[[#This Row],[Table.Column]],ColumnMapping[Add Column Name],ColumnMapping[Old Table.Column],"",0,1)</f>
        <v/>
      </c>
      <c r="Z167" t="str">
        <f>_xlfn.XLOOKUP(Table6[[#This Row],[Old Table.Column]],Cobra8.6[Table.Column],Cobra8.6[TYPE],"",0,1)</f>
        <v/>
      </c>
      <c r="AA167" t="str">
        <f>_xlfn.XLOOKUP(Table6[[#This Row],[Old Table.Column]],Cobra8.6[Table.Column],Cobra8.6[LENGTH],"",0,1)</f>
        <v/>
      </c>
      <c r="AB167"/>
    </row>
    <row r="168" spans="1:28" hidden="1" x14ac:dyDescent="0.2">
      <c r="A168" t="s">
        <v>293</v>
      </c>
      <c r="B168" t="s">
        <v>364</v>
      </c>
      <c r="C168" t="s">
        <v>353</v>
      </c>
      <c r="D168">
        <v>3</v>
      </c>
      <c r="E168" t="s">
        <v>31</v>
      </c>
      <c r="F168" t="str">
        <f>VLOOKUP($E168,'Data Type Lookup'!$A$1:$C$21,2,FALSE)</f>
        <v>RAW(16)</v>
      </c>
      <c r="I168" s="32" t="s">
        <v>32</v>
      </c>
      <c r="L168" s="32" t="s">
        <v>32</v>
      </c>
      <c r="M168" t="s">
        <v>294</v>
      </c>
      <c r="N168" t="s">
        <v>30</v>
      </c>
      <c r="O168" t="s">
        <v>41</v>
      </c>
      <c r="P168" t="s">
        <v>295</v>
      </c>
      <c r="Q168" t="s">
        <v>354</v>
      </c>
      <c r="R168" t="str">
        <f>VLOOKUP(E168,'Data Type Lookup'!$A$1:$C$21,3,FALSE)</f>
        <v>java.util.UUID</v>
      </c>
      <c r="S168">
        <v>1</v>
      </c>
      <c r="W168" t="str">
        <f t="shared" si="3"/>
        <v>FISCAL_CALENDAR_PERIOD.FISCAL_CALENDAR_UID</v>
      </c>
      <c r="X168" t="str">
        <f>VLOOKUP(W168,ColumnMapping[New Table.Column],1,)</f>
        <v>FISCAL_CALENDAR_PERIOD.FISCAL_CALENDAR_UID</v>
      </c>
      <c r="Y168" t="str">
        <f>_xlfn.XLOOKUP(Table6[[#This Row],[Table.Column]],ColumnMapping[Add Column Name],ColumnMapping[Old Table.Column],"",0,1)</f>
        <v/>
      </c>
      <c r="Z168" t="str">
        <f>_xlfn.XLOOKUP(Table6[[#This Row],[Old Table.Column]],Cobra8.6[Table.Column],Cobra8.6[TYPE],"",0,1)</f>
        <v/>
      </c>
      <c r="AA168" t="str">
        <f>_xlfn.XLOOKUP(Table6[[#This Row],[Old Table.Column]],Cobra8.6[Table.Column],Cobra8.6[LENGTH],"",0,1)</f>
        <v/>
      </c>
      <c r="AB168"/>
    </row>
    <row r="169" spans="1:28" hidden="1" x14ac:dyDescent="0.2">
      <c r="A169" t="s">
        <v>293</v>
      </c>
      <c r="B169" t="s">
        <v>364</v>
      </c>
      <c r="C169" t="s">
        <v>366</v>
      </c>
      <c r="D169">
        <v>4</v>
      </c>
      <c r="E169" t="s">
        <v>356</v>
      </c>
      <c r="F169" t="str">
        <f>VLOOKUP($E169,'Data Type Lookup'!$A$1:$C$21,2,FALSE)</f>
        <v>DATE</v>
      </c>
      <c r="I169" s="32" t="s">
        <v>32</v>
      </c>
      <c r="L169" s="32" t="s">
        <v>32</v>
      </c>
      <c r="P169" t="s">
        <v>367</v>
      </c>
      <c r="Q169" t="s">
        <v>368</v>
      </c>
      <c r="R169" t="str">
        <f>VLOOKUP(E169,'Data Type Lookup'!$A$1:$C$21,3,FALSE)</f>
        <v>java.time.Instant</v>
      </c>
      <c r="W169" t="str">
        <f t="shared" si="3"/>
        <v>FISCAL_CALENDAR_PERIOD.END_DATE</v>
      </c>
      <c r="X169" t="str">
        <f>VLOOKUP(W169,ColumnMapping[New Table.Column],1,)</f>
        <v>FISCAL_CALENDAR_PERIOD.END_DATE</v>
      </c>
      <c r="Y169" t="str">
        <f>_xlfn.XLOOKUP(Table6[[#This Row],[Table.Column]],ColumnMapping[Add Column Name],ColumnMapping[Old Table.Column],"",0,1)</f>
        <v/>
      </c>
      <c r="Z169" t="str">
        <f>_xlfn.XLOOKUP(Table6[[#This Row],[Old Table.Column]],Cobra8.6[Table.Column],Cobra8.6[TYPE],"",0,1)</f>
        <v/>
      </c>
      <c r="AA169" t="str">
        <f>_xlfn.XLOOKUP(Table6[[#This Row],[Old Table.Column]],Cobra8.6[Table.Column],Cobra8.6[LENGTH],"",0,1)</f>
        <v/>
      </c>
      <c r="AB169"/>
    </row>
    <row r="170" spans="1:28" hidden="1" x14ac:dyDescent="0.2">
      <c r="A170" t="s">
        <v>293</v>
      </c>
      <c r="B170" t="s">
        <v>364</v>
      </c>
      <c r="C170" t="s">
        <v>299</v>
      </c>
      <c r="D170">
        <v>5</v>
      </c>
      <c r="E170" t="s">
        <v>299</v>
      </c>
      <c r="F170" t="str">
        <f>VLOOKUP($E170,'Data Type Lookup'!$A$1:$C$21,2,FALSE)</f>
        <v>NUMBER(6,2)</v>
      </c>
      <c r="I170" s="32" t="s">
        <v>32</v>
      </c>
      <c r="J170" s="32">
        <v>0</v>
      </c>
      <c r="P170" t="s">
        <v>369</v>
      </c>
      <c r="Q170" t="s">
        <v>370</v>
      </c>
      <c r="R170" t="str">
        <f>VLOOKUP(E170,'Data Type Lookup'!$A$1:$C$21,3,FALSE)</f>
        <v>java.math.BigDecimal</v>
      </c>
      <c r="W170" t="str">
        <f t="shared" si="3"/>
        <v>FISCAL_CALENDAR_PERIOD.HOURS</v>
      </c>
      <c r="X170" t="str">
        <f>VLOOKUP(W170,ColumnMapping[New Table.Column],1,)</f>
        <v>FISCAL_CALENDAR_PERIOD.HOURS</v>
      </c>
      <c r="Y170" t="str">
        <f>_xlfn.XLOOKUP(Table6[[#This Row],[Table.Column]],ColumnMapping[Add Column Name],ColumnMapping[Old Table.Column],"",0,1)</f>
        <v/>
      </c>
      <c r="Z170" t="str">
        <f>_xlfn.XLOOKUP(Table6[[#This Row],[Old Table.Column]],Cobra8.6[Table.Column],Cobra8.6[TYPE],"",0,1)</f>
        <v/>
      </c>
      <c r="AA170" t="str">
        <f>_xlfn.XLOOKUP(Table6[[#This Row],[Old Table.Column]],Cobra8.6[Table.Column],Cobra8.6[LENGTH],"",0,1)</f>
        <v/>
      </c>
      <c r="AB170"/>
    </row>
    <row r="171" spans="1:28" hidden="1" x14ac:dyDescent="0.2">
      <c r="A171" t="s">
        <v>293</v>
      </c>
      <c r="B171" t="s">
        <v>364</v>
      </c>
      <c r="C171" t="s">
        <v>61</v>
      </c>
      <c r="D171">
        <v>6</v>
      </c>
      <c r="E171" t="s">
        <v>31</v>
      </c>
      <c r="F171" t="str">
        <f>VLOOKUP($E171,'Data Type Lookup'!$A$1:$C$21,2,FALSE)</f>
        <v>RAW(16)</v>
      </c>
      <c r="I171" s="32" t="s">
        <v>32</v>
      </c>
      <c r="P171" t="s">
        <v>371</v>
      </c>
      <c r="Q171" t="s">
        <v>63</v>
      </c>
      <c r="R171" t="str">
        <f>VLOOKUP(E171,'Data Type Lookup'!$A$1:$C$21,3,FALSE)</f>
        <v>java.util.UUID</v>
      </c>
      <c r="S171">
        <v>2</v>
      </c>
      <c r="W171" t="str">
        <f t="shared" si="3"/>
        <v>FISCAL_CALENDAR_PERIOD.CREATED_BY_USER_UID</v>
      </c>
      <c r="X171" t="str">
        <f>VLOOKUP(W171,ColumnMapping[New Table.Column],1,)</f>
        <v>FISCAL_CALENDAR_PERIOD.CREATED_BY_USER_UID</v>
      </c>
      <c r="Y171" t="str">
        <f>_xlfn.XLOOKUP(Table6[[#This Row],[Table.Column]],ColumnMapping[Add Column Name],ColumnMapping[Old Table.Column],"",0,1)</f>
        <v/>
      </c>
      <c r="Z171" t="str">
        <f>_xlfn.XLOOKUP(Table6[[#This Row],[Old Table.Column]],Cobra8.6[Table.Column],Cobra8.6[TYPE],"",0,1)</f>
        <v/>
      </c>
      <c r="AA171" t="str">
        <f>_xlfn.XLOOKUP(Table6[[#This Row],[Old Table.Column]],Cobra8.6[Table.Column],Cobra8.6[LENGTH],"",0,1)</f>
        <v/>
      </c>
      <c r="AB171"/>
    </row>
    <row r="172" spans="1:28" hidden="1" x14ac:dyDescent="0.2">
      <c r="A172" t="s">
        <v>293</v>
      </c>
      <c r="B172" t="s">
        <v>364</v>
      </c>
      <c r="C172" t="s">
        <v>64</v>
      </c>
      <c r="D172">
        <v>7</v>
      </c>
      <c r="E172" t="s">
        <v>65</v>
      </c>
      <c r="F172" t="str">
        <f>VLOOKUP($E172,'Data Type Lookup'!$A$1:$C$21,2,FALSE)</f>
        <v>TIMESTAMP</v>
      </c>
      <c r="I172" s="32" t="s">
        <v>32</v>
      </c>
      <c r="P172" t="s">
        <v>372</v>
      </c>
      <c r="Q172" t="s">
        <v>67</v>
      </c>
      <c r="R172" t="str">
        <f>VLOOKUP(E172,'Data Type Lookup'!$A$1:$C$21,3,FALSE)</f>
        <v>java.time.Instant</v>
      </c>
      <c r="S172">
        <v>2</v>
      </c>
      <c r="W172" t="str">
        <f t="shared" si="3"/>
        <v>FISCAL_CALENDAR_PERIOD.CREATED_DATE</v>
      </c>
      <c r="X172" t="str">
        <f>VLOOKUP(W172,ColumnMapping[New Table.Column],1,)</f>
        <v>FISCAL_CALENDAR_PERIOD.CREATED_DATE</v>
      </c>
      <c r="Y172" t="str">
        <f>_xlfn.XLOOKUP(Table6[[#This Row],[Table.Column]],ColumnMapping[Add Column Name],ColumnMapping[Old Table.Column],"",0,1)</f>
        <v/>
      </c>
      <c r="Z172" t="str">
        <f>_xlfn.XLOOKUP(Table6[[#This Row],[Old Table.Column]],Cobra8.6[Table.Column],Cobra8.6[TYPE],"",0,1)</f>
        <v/>
      </c>
      <c r="AA172" t="str">
        <f>_xlfn.XLOOKUP(Table6[[#This Row],[Old Table.Column]],Cobra8.6[Table.Column],Cobra8.6[LENGTH],"",0,1)</f>
        <v/>
      </c>
      <c r="AB172"/>
    </row>
    <row r="173" spans="1:28" hidden="1" x14ac:dyDescent="0.2">
      <c r="A173" t="s">
        <v>293</v>
      </c>
      <c r="B173" t="s">
        <v>364</v>
      </c>
      <c r="C173" t="s">
        <v>68</v>
      </c>
      <c r="D173">
        <v>8</v>
      </c>
      <c r="E173" t="s">
        <v>31</v>
      </c>
      <c r="F173" t="str">
        <f>VLOOKUP($E173,'Data Type Lookup'!$A$1:$C$21,2,FALSE)</f>
        <v>RAW(16)</v>
      </c>
      <c r="I173" s="32" t="s">
        <v>32</v>
      </c>
      <c r="P173" t="s">
        <v>373</v>
      </c>
      <c r="Q173" t="s">
        <v>70</v>
      </c>
      <c r="R173" t="str">
        <f>VLOOKUP(E173,'Data Type Lookup'!$A$1:$C$21,3,FALSE)</f>
        <v>java.util.UUID</v>
      </c>
      <c r="S173">
        <v>2</v>
      </c>
      <c r="W173" t="str">
        <f t="shared" si="3"/>
        <v>FISCAL_CALENDAR_PERIOD.LAST_MODIFIED_BY_USER_UID</v>
      </c>
      <c r="X173" t="str">
        <f>VLOOKUP(W173,ColumnMapping[New Table.Column],1,)</f>
        <v>FISCAL_CALENDAR_PERIOD.LAST_MODIFIED_BY_USER_UID</v>
      </c>
      <c r="Y173" t="str">
        <f>_xlfn.XLOOKUP(Table6[[#This Row],[Table.Column]],ColumnMapping[Add Column Name],ColumnMapping[Old Table.Column],"",0,1)</f>
        <v/>
      </c>
      <c r="Z173" t="str">
        <f>_xlfn.XLOOKUP(Table6[[#This Row],[Old Table.Column]],Cobra8.6[Table.Column],Cobra8.6[TYPE],"",0,1)</f>
        <v/>
      </c>
      <c r="AA173" t="str">
        <f>_xlfn.XLOOKUP(Table6[[#This Row],[Old Table.Column]],Cobra8.6[Table.Column],Cobra8.6[LENGTH],"",0,1)</f>
        <v/>
      </c>
      <c r="AB173"/>
    </row>
    <row r="174" spans="1:28" hidden="1" x14ac:dyDescent="0.2">
      <c r="A174" t="s">
        <v>293</v>
      </c>
      <c r="B174" t="s">
        <v>364</v>
      </c>
      <c r="C174" t="s">
        <v>71</v>
      </c>
      <c r="D174">
        <v>9</v>
      </c>
      <c r="E174" t="s">
        <v>65</v>
      </c>
      <c r="F174" t="str">
        <f>VLOOKUP($E174,'Data Type Lookup'!$A$1:$C$21,2,FALSE)</f>
        <v>TIMESTAMP</v>
      </c>
      <c r="I174" s="32" t="s">
        <v>32</v>
      </c>
      <c r="P174" t="s">
        <v>374</v>
      </c>
      <c r="Q174" t="s">
        <v>73</v>
      </c>
      <c r="R174" t="str">
        <f>VLOOKUP(E174,'Data Type Lookup'!$A$1:$C$21,3,FALSE)</f>
        <v>java.time.Instant</v>
      </c>
      <c r="S174">
        <v>2</v>
      </c>
      <c r="W174" t="str">
        <f t="shared" si="3"/>
        <v>FISCAL_CALENDAR_PERIOD.LAST_MODIFIED_DATE</v>
      </c>
      <c r="X174" t="str">
        <f>VLOOKUP(W174,ColumnMapping[New Table.Column],1,)</f>
        <v>FISCAL_CALENDAR_PERIOD.LAST_MODIFIED_DATE</v>
      </c>
      <c r="Y174" t="str">
        <f>_xlfn.XLOOKUP(Table6[[#This Row],[Table.Column]],ColumnMapping[Add Column Name],ColumnMapping[Old Table.Column],"",0,1)</f>
        <v/>
      </c>
      <c r="Z174" t="str">
        <f>_xlfn.XLOOKUP(Table6[[#This Row],[Old Table.Column]],Cobra8.6[Table.Column],Cobra8.6[TYPE],"",0,1)</f>
        <v/>
      </c>
      <c r="AA174" t="str">
        <f>_xlfn.XLOOKUP(Table6[[#This Row],[Old Table.Column]],Cobra8.6[Table.Column],Cobra8.6[LENGTH],"",0,1)</f>
        <v/>
      </c>
      <c r="AB174"/>
    </row>
    <row r="175" spans="1:28" hidden="1" x14ac:dyDescent="0.2">
      <c r="A175" t="s">
        <v>293</v>
      </c>
      <c r="B175" s="17" t="s">
        <v>364</v>
      </c>
      <c r="C175" s="17" t="s">
        <v>375</v>
      </c>
      <c r="D175" s="17">
        <v>10</v>
      </c>
      <c r="E175" s="17" t="s">
        <v>48</v>
      </c>
      <c r="F175" t="str">
        <f>VLOOKUP($E175,'Data Type Lookup'!$A$1:$C$21,2,FALSE)</f>
        <v>NVARCHAR2</v>
      </c>
      <c r="G175">
        <v>22</v>
      </c>
      <c r="H175" s="17"/>
      <c r="I175" s="29"/>
      <c r="J175" s="29"/>
      <c r="K175" s="29"/>
      <c r="L175" s="29"/>
      <c r="M175" s="17"/>
      <c r="N175" s="17"/>
      <c r="O175" s="17"/>
      <c r="P175" s="17"/>
      <c r="Q175" s="17"/>
      <c r="R175" s="17"/>
      <c r="S175" s="17"/>
      <c r="W175" t="str">
        <f t="shared" si="3"/>
        <v>FISCAL_CALENDAR_PERIOD.FISCFILE</v>
      </c>
      <c r="X175" t="e">
        <f>VLOOKUP(W175,ColumnMapping[New Table.Column],1,)</f>
        <v>#N/A</v>
      </c>
      <c r="Y175" t="str">
        <f>_xlfn.XLOOKUP(Table6[[#This Row],[Table.Column]],ColumnMapping[Add Column Name],ColumnMapping[Old Table.Column],"",0,1)</f>
        <v/>
      </c>
      <c r="Z175" t="str">
        <f>_xlfn.XLOOKUP(Table6[[#This Row],[Old Table.Column]],Cobra8.6[Table.Column],Cobra8.6[TYPE],"",0,1)</f>
        <v/>
      </c>
      <c r="AA175" t="str">
        <f>_xlfn.XLOOKUP(Table6[[#This Row],[Old Table.Column]],Cobra8.6[Table.Column],Cobra8.6[LENGTH],"",0,1)</f>
        <v/>
      </c>
      <c r="AB175"/>
    </row>
    <row r="176" spans="1:28" hidden="1" x14ac:dyDescent="0.2">
      <c r="A176" t="s">
        <v>293</v>
      </c>
      <c r="B176" s="17" t="s">
        <v>364</v>
      </c>
      <c r="C176" s="17" t="s">
        <v>376</v>
      </c>
      <c r="D176" s="17">
        <v>11</v>
      </c>
      <c r="E176" s="17" t="s">
        <v>48</v>
      </c>
      <c r="F176" t="str">
        <f>VLOOKUP($E176,'Data Type Lookup'!$A$1:$C$21,2,FALSE)</f>
        <v>NVARCHAR2</v>
      </c>
      <c r="G176">
        <v>20</v>
      </c>
      <c r="H176" s="17"/>
      <c r="I176" s="29"/>
      <c r="J176" s="29"/>
      <c r="K176" s="29"/>
      <c r="L176" s="29"/>
      <c r="M176" s="17"/>
      <c r="N176" s="17"/>
      <c r="O176" s="17"/>
      <c r="P176" s="17"/>
      <c r="Q176" s="17"/>
      <c r="R176" s="17"/>
      <c r="S176" s="17"/>
      <c r="W176" t="str">
        <f t="shared" si="3"/>
        <v>FISCAL_CALENDAR_PERIOD.FIELD00</v>
      </c>
      <c r="X176" t="e">
        <f>VLOOKUP(W176,ColumnMapping[New Table.Column],1,)</f>
        <v>#N/A</v>
      </c>
      <c r="Y176" t="str">
        <f>_xlfn.XLOOKUP(Table6[[#This Row],[Table.Column]],ColumnMapping[Add Column Name],ColumnMapping[Old Table.Column],"",0,1)</f>
        <v/>
      </c>
      <c r="Z176" t="str">
        <f>_xlfn.XLOOKUP(Table6[[#This Row],[Old Table.Column]],Cobra8.6[Table.Column],Cobra8.6[TYPE],"",0,1)</f>
        <v/>
      </c>
      <c r="AA176" t="str">
        <f>_xlfn.XLOOKUP(Table6[[#This Row],[Old Table.Column]],Cobra8.6[Table.Column],Cobra8.6[LENGTH],"",0,1)</f>
        <v/>
      </c>
      <c r="AB176"/>
    </row>
    <row r="177" spans="1:28" hidden="1" x14ac:dyDescent="0.2">
      <c r="A177" t="s">
        <v>293</v>
      </c>
      <c r="B177" s="17" t="s">
        <v>364</v>
      </c>
      <c r="C177" s="17" t="s">
        <v>377</v>
      </c>
      <c r="D177" s="17">
        <v>12</v>
      </c>
      <c r="E177" s="17" t="s">
        <v>48</v>
      </c>
      <c r="F177" t="str">
        <f>VLOOKUP($E177,'Data Type Lookup'!$A$1:$C$21,2,FALSE)</f>
        <v>NVARCHAR2</v>
      </c>
      <c r="G177">
        <v>20</v>
      </c>
      <c r="H177" s="17"/>
      <c r="I177" s="29"/>
      <c r="J177" s="29"/>
      <c r="K177" s="29"/>
      <c r="L177" s="29"/>
      <c r="M177" s="17"/>
      <c r="N177" s="17"/>
      <c r="O177" s="17"/>
      <c r="P177" s="17"/>
      <c r="Q177" s="17"/>
      <c r="R177" s="17"/>
      <c r="S177" s="17"/>
      <c r="W177" t="str">
        <f t="shared" si="3"/>
        <v>FISCAL_CALENDAR_PERIOD.FIELD01</v>
      </c>
      <c r="X177" t="e">
        <f>VLOOKUP(W177,ColumnMapping[New Table.Column],1,)</f>
        <v>#N/A</v>
      </c>
      <c r="Y177" t="str">
        <f>_xlfn.XLOOKUP(Table6[[#This Row],[Table.Column]],ColumnMapping[Add Column Name],ColumnMapping[Old Table.Column],"",0,1)</f>
        <v/>
      </c>
      <c r="Z177" t="str">
        <f>_xlfn.XLOOKUP(Table6[[#This Row],[Old Table.Column]],Cobra8.6[Table.Column],Cobra8.6[TYPE],"",0,1)</f>
        <v/>
      </c>
      <c r="AA177" t="str">
        <f>_xlfn.XLOOKUP(Table6[[#This Row],[Old Table.Column]],Cobra8.6[Table.Column],Cobra8.6[LENGTH],"",0,1)</f>
        <v/>
      </c>
      <c r="AB177"/>
    </row>
    <row r="178" spans="1:28" hidden="1" x14ac:dyDescent="0.2">
      <c r="A178" t="s">
        <v>293</v>
      </c>
      <c r="B178" s="17" t="s">
        <v>364</v>
      </c>
      <c r="C178" s="17" t="s">
        <v>378</v>
      </c>
      <c r="D178" s="17">
        <v>13</v>
      </c>
      <c r="E178" s="17" t="s">
        <v>48</v>
      </c>
      <c r="F178" t="str">
        <f>VLOOKUP($E178,'Data Type Lookup'!$A$1:$C$21,2,FALSE)</f>
        <v>NVARCHAR2</v>
      </c>
      <c r="G178">
        <v>20</v>
      </c>
      <c r="H178" s="17"/>
      <c r="I178" s="29"/>
      <c r="J178" s="29"/>
      <c r="K178" s="29"/>
      <c r="L178" s="29"/>
      <c r="M178" s="17"/>
      <c r="N178" s="17"/>
      <c r="O178" s="17"/>
      <c r="P178" s="17"/>
      <c r="Q178" s="17"/>
      <c r="R178" s="17"/>
      <c r="S178" s="17"/>
      <c r="W178" t="str">
        <f t="shared" si="3"/>
        <v>FISCAL_CALENDAR_PERIOD.FIELD02</v>
      </c>
      <c r="X178" t="e">
        <f>VLOOKUP(W178,ColumnMapping[New Table.Column],1,)</f>
        <v>#N/A</v>
      </c>
      <c r="Y178" t="str">
        <f>_xlfn.XLOOKUP(Table6[[#This Row],[Table.Column]],ColumnMapping[Add Column Name],ColumnMapping[Old Table.Column],"",0,1)</f>
        <v/>
      </c>
      <c r="Z178" t="str">
        <f>_xlfn.XLOOKUP(Table6[[#This Row],[Old Table.Column]],Cobra8.6[Table.Column],Cobra8.6[TYPE],"",0,1)</f>
        <v/>
      </c>
      <c r="AA178" t="str">
        <f>_xlfn.XLOOKUP(Table6[[#This Row],[Old Table.Column]],Cobra8.6[Table.Column],Cobra8.6[LENGTH],"",0,1)</f>
        <v/>
      </c>
      <c r="AB178"/>
    </row>
    <row r="179" spans="1:28" hidden="1" x14ac:dyDescent="0.2">
      <c r="A179" t="s">
        <v>293</v>
      </c>
      <c r="B179" s="17" t="s">
        <v>364</v>
      </c>
      <c r="C179" s="17" t="s">
        <v>379</v>
      </c>
      <c r="D179" s="17">
        <v>14</v>
      </c>
      <c r="E179" s="17" t="s">
        <v>48</v>
      </c>
      <c r="F179" t="str">
        <f>VLOOKUP($E179,'Data Type Lookup'!$A$1:$C$21,2,FALSE)</f>
        <v>NVARCHAR2</v>
      </c>
      <c r="G179">
        <v>20</v>
      </c>
      <c r="H179" s="17"/>
      <c r="I179" s="29"/>
      <c r="J179" s="29"/>
      <c r="K179" s="29"/>
      <c r="L179" s="29"/>
      <c r="M179" s="17"/>
      <c r="N179" s="17"/>
      <c r="O179" s="17"/>
      <c r="P179" s="17"/>
      <c r="Q179" s="17"/>
      <c r="R179" s="17"/>
      <c r="S179" s="17"/>
      <c r="W179" t="str">
        <f t="shared" si="3"/>
        <v>FISCAL_CALENDAR_PERIOD.FIELD03</v>
      </c>
      <c r="X179" t="e">
        <f>VLOOKUP(W179,ColumnMapping[New Table.Column],1,)</f>
        <v>#N/A</v>
      </c>
      <c r="Y179" t="str">
        <f>_xlfn.XLOOKUP(Table6[[#This Row],[Table.Column]],ColumnMapping[Add Column Name],ColumnMapping[Old Table.Column],"",0,1)</f>
        <v/>
      </c>
      <c r="Z179" t="str">
        <f>_xlfn.XLOOKUP(Table6[[#This Row],[Old Table.Column]],Cobra8.6[Table.Column],Cobra8.6[TYPE],"",0,1)</f>
        <v/>
      </c>
      <c r="AA179" t="str">
        <f>_xlfn.XLOOKUP(Table6[[#This Row],[Old Table.Column]],Cobra8.6[Table.Column],Cobra8.6[LENGTH],"",0,1)</f>
        <v/>
      </c>
      <c r="AB179"/>
    </row>
    <row r="180" spans="1:28" hidden="1" x14ac:dyDescent="0.2">
      <c r="A180" t="s">
        <v>293</v>
      </c>
      <c r="B180" s="17" t="s">
        <v>364</v>
      </c>
      <c r="C180" s="17" t="s">
        <v>380</v>
      </c>
      <c r="D180" s="17">
        <v>15</v>
      </c>
      <c r="E180" s="17" t="s">
        <v>48</v>
      </c>
      <c r="F180" t="str">
        <f>VLOOKUP($E180,'Data Type Lookup'!$A$1:$C$21,2,FALSE)</f>
        <v>NVARCHAR2</v>
      </c>
      <c r="G180">
        <v>20</v>
      </c>
      <c r="H180" s="17"/>
      <c r="I180" s="29"/>
      <c r="J180" s="29"/>
      <c r="K180" s="29"/>
      <c r="L180" s="29"/>
      <c r="M180" s="17"/>
      <c r="N180" s="17"/>
      <c r="O180" s="17"/>
      <c r="P180" s="17"/>
      <c r="Q180" s="17"/>
      <c r="R180" s="17"/>
      <c r="S180" s="17"/>
      <c r="W180" t="str">
        <f t="shared" si="3"/>
        <v>FISCAL_CALENDAR_PERIOD.FIELD04</v>
      </c>
      <c r="X180" t="e">
        <f>VLOOKUP(W180,ColumnMapping[New Table.Column],1,)</f>
        <v>#N/A</v>
      </c>
      <c r="Y180" t="str">
        <f>_xlfn.XLOOKUP(Table6[[#This Row],[Table.Column]],ColumnMapping[Add Column Name],ColumnMapping[Old Table.Column],"",0,1)</f>
        <v/>
      </c>
      <c r="Z180" t="str">
        <f>_xlfn.XLOOKUP(Table6[[#This Row],[Old Table.Column]],Cobra8.6[Table.Column],Cobra8.6[TYPE],"",0,1)</f>
        <v/>
      </c>
      <c r="AA180" t="str">
        <f>_xlfn.XLOOKUP(Table6[[#This Row],[Old Table.Column]],Cobra8.6[Table.Column],Cobra8.6[LENGTH],"",0,1)</f>
        <v/>
      </c>
      <c r="AB180"/>
    </row>
    <row r="181" spans="1:28" hidden="1" x14ac:dyDescent="0.2">
      <c r="A181" t="s">
        <v>293</v>
      </c>
      <c r="B181" s="17" t="s">
        <v>364</v>
      </c>
      <c r="C181" s="17" t="s">
        <v>381</v>
      </c>
      <c r="D181" s="17">
        <v>16</v>
      </c>
      <c r="E181" s="17" t="s">
        <v>48</v>
      </c>
      <c r="F181" t="str">
        <f>VLOOKUP($E181,'Data Type Lookup'!$A$1:$C$21,2,FALSE)</f>
        <v>NVARCHAR2</v>
      </c>
      <c r="G181">
        <v>20</v>
      </c>
      <c r="H181" s="17"/>
      <c r="I181" s="29"/>
      <c r="J181" s="29"/>
      <c r="K181" s="29"/>
      <c r="L181" s="29"/>
      <c r="M181" s="17"/>
      <c r="N181" s="17"/>
      <c r="O181" s="17"/>
      <c r="P181" s="17"/>
      <c r="Q181" s="17"/>
      <c r="R181" s="17"/>
      <c r="S181" s="17"/>
      <c r="W181" t="str">
        <f t="shared" si="3"/>
        <v>FISCAL_CALENDAR_PERIOD.FIELD05</v>
      </c>
      <c r="X181" t="e">
        <f>VLOOKUP(W181,ColumnMapping[New Table.Column],1,)</f>
        <v>#N/A</v>
      </c>
      <c r="Y181" t="str">
        <f>_xlfn.XLOOKUP(Table6[[#This Row],[Table.Column]],ColumnMapping[Add Column Name],ColumnMapping[Old Table.Column],"",0,1)</f>
        <v/>
      </c>
      <c r="Z181" t="str">
        <f>_xlfn.XLOOKUP(Table6[[#This Row],[Old Table.Column]],Cobra8.6[Table.Column],Cobra8.6[TYPE],"",0,1)</f>
        <v/>
      </c>
      <c r="AA181" t="str">
        <f>_xlfn.XLOOKUP(Table6[[#This Row],[Old Table.Column]],Cobra8.6[Table.Column],Cobra8.6[LENGTH],"",0,1)</f>
        <v/>
      </c>
      <c r="AB181"/>
    </row>
    <row r="182" spans="1:28" hidden="1" x14ac:dyDescent="0.2">
      <c r="A182" t="s">
        <v>293</v>
      </c>
      <c r="B182" s="17" t="s">
        <v>364</v>
      </c>
      <c r="C182" s="17" t="s">
        <v>382</v>
      </c>
      <c r="D182" s="17">
        <v>17</v>
      </c>
      <c r="E182" s="17" t="s">
        <v>48</v>
      </c>
      <c r="F182" t="str">
        <f>VLOOKUP($E182,'Data Type Lookup'!$A$1:$C$21,2,FALSE)</f>
        <v>NVARCHAR2</v>
      </c>
      <c r="G182">
        <v>20</v>
      </c>
      <c r="H182" s="17"/>
      <c r="I182" s="29"/>
      <c r="J182" s="29"/>
      <c r="K182" s="29"/>
      <c r="L182" s="29"/>
      <c r="M182" s="17"/>
      <c r="N182" s="17"/>
      <c r="O182" s="17"/>
      <c r="P182" s="17"/>
      <c r="Q182" s="17"/>
      <c r="R182" s="17"/>
      <c r="S182" s="17"/>
      <c r="W182" t="str">
        <f t="shared" si="3"/>
        <v>FISCAL_CALENDAR_PERIOD.FIELD06</v>
      </c>
      <c r="X182" t="e">
        <f>VLOOKUP(W182,ColumnMapping[New Table.Column],1,)</f>
        <v>#N/A</v>
      </c>
      <c r="Y182" t="str">
        <f>_xlfn.XLOOKUP(Table6[[#This Row],[Table.Column]],ColumnMapping[Add Column Name],ColumnMapping[Old Table.Column],"",0,1)</f>
        <v/>
      </c>
      <c r="Z182" t="str">
        <f>_xlfn.XLOOKUP(Table6[[#This Row],[Old Table.Column]],Cobra8.6[Table.Column],Cobra8.6[TYPE],"",0,1)</f>
        <v/>
      </c>
      <c r="AA182" t="str">
        <f>_xlfn.XLOOKUP(Table6[[#This Row],[Old Table.Column]],Cobra8.6[Table.Column],Cobra8.6[LENGTH],"",0,1)</f>
        <v/>
      </c>
      <c r="AB182"/>
    </row>
    <row r="183" spans="1:28" hidden="1" x14ac:dyDescent="0.2">
      <c r="A183" t="s">
        <v>293</v>
      </c>
      <c r="B183" s="17" t="s">
        <v>364</v>
      </c>
      <c r="C183" s="17" t="s">
        <v>383</v>
      </c>
      <c r="D183" s="17">
        <v>18</v>
      </c>
      <c r="E183" s="17" t="s">
        <v>48</v>
      </c>
      <c r="F183" t="str">
        <f>VLOOKUP($E183,'Data Type Lookup'!$A$1:$C$21,2,FALSE)</f>
        <v>NVARCHAR2</v>
      </c>
      <c r="G183">
        <v>20</v>
      </c>
      <c r="H183" s="17"/>
      <c r="I183" s="29"/>
      <c r="J183" s="29"/>
      <c r="K183" s="29"/>
      <c r="L183" s="29"/>
      <c r="M183" s="17"/>
      <c r="N183" s="17"/>
      <c r="O183" s="17"/>
      <c r="P183" s="17"/>
      <c r="Q183" s="17"/>
      <c r="R183" s="17"/>
      <c r="S183" s="17"/>
      <c r="W183" t="str">
        <f t="shared" si="3"/>
        <v>FISCAL_CALENDAR_PERIOD.FIELD07</v>
      </c>
      <c r="X183" t="e">
        <f>VLOOKUP(W183,ColumnMapping[New Table.Column],1,)</f>
        <v>#N/A</v>
      </c>
      <c r="Y183" t="str">
        <f>_xlfn.XLOOKUP(Table6[[#This Row],[Table.Column]],ColumnMapping[Add Column Name],ColumnMapping[Old Table.Column],"",0,1)</f>
        <v/>
      </c>
      <c r="Z183" t="str">
        <f>_xlfn.XLOOKUP(Table6[[#This Row],[Old Table.Column]],Cobra8.6[Table.Column],Cobra8.6[TYPE],"",0,1)</f>
        <v/>
      </c>
      <c r="AA183" t="str">
        <f>_xlfn.XLOOKUP(Table6[[#This Row],[Old Table.Column]],Cobra8.6[Table.Column],Cobra8.6[LENGTH],"",0,1)</f>
        <v/>
      </c>
      <c r="AB183"/>
    </row>
    <row r="184" spans="1:28" hidden="1" x14ac:dyDescent="0.2">
      <c r="A184" t="s">
        <v>293</v>
      </c>
      <c r="B184" s="17" t="s">
        <v>364</v>
      </c>
      <c r="C184" s="17" t="s">
        <v>384</v>
      </c>
      <c r="D184" s="17">
        <v>19</v>
      </c>
      <c r="E184" s="17" t="s">
        <v>48</v>
      </c>
      <c r="F184" t="str">
        <f>VLOOKUP($E184,'Data Type Lookup'!$A$1:$C$21,2,FALSE)</f>
        <v>NVARCHAR2</v>
      </c>
      <c r="G184">
        <v>20</v>
      </c>
      <c r="H184" s="17"/>
      <c r="I184" s="29"/>
      <c r="J184" s="29"/>
      <c r="K184" s="29"/>
      <c r="L184" s="29"/>
      <c r="M184" s="17"/>
      <c r="N184" s="17"/>
      <c r="O184" s="17"/>
      <c r="P184" s="17"/>
      <c r="Q184" s="17"/>
      <c r="R184" s="17"/>
      <c r="S184" s="17"/>
      <c r="W184" t="str">
        <f t="shared" si="3"/>
        <v>FISCAL_CALENDAR_PERIOD.FIELD08</v>
      </c>
      <c r="X184" t="e">
        <f>VLOOKUP(W184,ColumnMapping[New Table.Column],1,)</f>
        <v>#N/A</v>
      </c>
      <c r="Y184" t="str">
        <f>_xlfn.XLOOKUP(Table6[[#This Row],[Table.Column]],ColumnMapping[Add Column Name],ColumnMapping[Old Table.Column],"",0,1)</f>
        <v/>
      </c>
      <c r="Z184" t="str">
        <f>_xlfn.XLOOKUP(Table6[[#This Row],[Old Table.Column]],Cobra8.6[Table.Column],Cobra8.6[TYPE],"",0,1)</f>
        <v/>
      </c>
      <c r="AA184" t="str">
        <f>_xlfn.XLOOKUP(Table6[[#This Row],[Old Table.Column]],Cobra8.6[Table.Column],Cobra8.6[LENGTH],"",0,1)</f>
        <v/>
      </c>
      <c r="AB184"/>
    </row>
    <row r="185" spans="1:28" hidden="1" x14ac:dyDescent="0.2">
      <c r="A185" t="s">
        <v>293</v>
      </c>
      <c r="B185" s="17" t="s">
        <v>364</v>
      </c>
      <c r="C185" s="17" t="s">
        <v>385</v>
      </c>
      <c r="D185" s="17">
        <v>20</v>
      </c>
      <c r="E185" s="17" t="s">
        <v>48</v>
      </c>
      <c r="F185" t="str">
        <f>VLOOKUP($E185,'Data Type Lookup'!$A$1:$C$21,2,FALSE)</f>
        <v>NVARCHAR2</v>
      </c>
      <c r="G185">
        <v>20</v>
      </c>
      <c r="H185" s="17"/>
      <c r="I185" s="29"/>
      <c r="J185" s="29"/>
      <c r="K185" s="29"/>
      <c r="L185" s="29"/>
      <c r="M185" s="17"/>
      <c r="N185" s="17"/>
      <c r="O185" s="17"/>
      <c r="P185" s="17"/>
      <c r="Q185" s="17"/>
      <c r="R185" s="17"/>
      <c r="S185" s="17"/>
      <c r="W185" t="str">
        <f t="shared" si="3"/>
        <v>FISCAL_CALENDAR_PERIOD.FIELD09</v>
      </c>
      <c r="X185" t="e">
        <f>VLOOKUP(W185,ColumnMapping[New Table.Column],1,)</f>
        <v>#N/A</v>
      </c>
      <c r="Y185" t="str">
        <f>_xlfn.XLOOKUP(Table6[[#This Row],[Table.Column]],ColumnMapping[Add Column Name],ColumnMapping[Old Table.Column],"",0,1)</f>
        <v/>
      </c>
      <c r="Z185" t="str">
        <f>_xlfn.XLOOKUP(Table6[[#This Row],[Old Table.Column]],Cobra8.6[Table.Column],Cobra8.6[TYPE],"",0,1)</f>
        <v/>
      </c>
      <c r="AA185" t="str">
        <f>_xlfn.XLOOKUP(Table6[[#This Row],[Old Table.Column]],Cobra8.6[Table.Column],Cobra8.6[LENGTH],"",0,1)</f>
        <v/>
      </c>
      <c r="AB185"/>
    </row>
    <row r="186" spans="1:28" hidden="1" x14ac:dyDescent="0.2">
      <c r="A186" t="s">
        <v>293</v>
      </c>
      <c r="B186" s="17" t="s">
        <v>364</v>
      </c>
      <c r="C186" s="17" t="s">
        <v>386</v>
      </c>
      <c r="D186" s="17">
        <v>21</v>
      </c>
      <c r="E186" s="17" t="s">
        <v>48</v>
      </c>
      <c r="F186" t="str">
        <f>VLOOKUP($E186,'Data Type Lookup'!$A$1:$C$21,2,FALSE)</f>
        <v>NVARCHAR2</v>
      </c>
      <c r="G186">
        <v>20</v>
      </c>
      <c r="H186" s="17"/>
      <c r="I186" s="29"/>
      <c r="J186" s="29"/>
      <c r="K186" s="29"/>
      <c r="L186" s="29"/>
      <c r="M186" s="17"/>
      <c r="N186" s="17"/>
      <c r="O186" s="17"/>
      <c r="P186" s="17"/>
      <c r="Q186" s="17"/>
      <c r="R186" s="17"/>
      <c r="S186" s="17"/>
      <c r="W186" t="str">
        <f t="shared" si="3"/>
        <v>FISCAL_CALENDAR_PERIOD.FIELD10</v>
      </c>
      <c r="X186" t="e">
        <f>VLOOKUP(W186,ColumnMapping[New Table.Column],1,)</f>
        <v>#N/A</v>
      </c>
      <c r="Y186" t="str">
        <f>_xlfn.XLOOKUP(Table6[[#This Row],[Table.Column]],ColumnMapping[Add Column Name],ColumnMapping[Old Table.Column],"",0,1)</f>
        <v/>
      </c>
      <c r="Z186" t="str">
        <f>_xlfn.XLOOKUP(Table6[[#This Row],[Old Table.Column]],Cobra8.6[Table.Column],Cobra8.6[TYPE],"",0,1)</f>
        <v/>
      </c>
      <c r="AA186" t="str">
        <f>_xlfn.XLOOKUP(Table6[[#This Row],[Old Table.Column]],Cobra8.6[Table.Column],Cobra8.6[LENGTH],"",0,1)</f>
        <v/>
      </c>
      <c r="AB186"/>
    </row>
    <row r="187" spans="1:28" hidden="1" x14ac:dyDescent="0.2">
      <c r="A187" t="s">
        <v>293</v>
      </c>
      <c r="B187" s="17" t="s">
        <v>364</v>
      </c>
      <c r="C187" s="17" t="s">
        <v>387</v>
      </c>
      <c r="D187" s="17">
        <v>22</v>
      </c>
      <c r="E187" s="17" t="s">
        <v>48</v>
      </c>
      <c r="F187" t="str">
        <f>VLOOKUP($E187,'Data Type Lookup'!$A$1:$C$21,2,FALSE)</f>
        <v>NVARCHAR2</v>
      </c>
      <c r="G187">
        <v>20</v>
      </c>
      <c r="H187" s="17"/>
      <c r="I187" s="29"/>
      <c r="J187" s="29"/>
      <c r="K187" s="29"/>
      <c r="L187" s="29"/>
      <c r="M187" s="17"/>
      <c r="N187" s="17"/>
      <c r="O187" s="17"/>
      <c r="P187" s="17"/>
      <c r="Q187" s="17"/>
      <c r="R187" s="17"/>
      <c r="S187" s="17"/>
      <c r="W187" t="str">
        <f t="shared" si="3"/>
        <v>FISCAL_CALENDAR_PERIOD.FIELD11</v>
      </c>
      <c r="X187" t="e">
        <f>VLOOKUP(W187,ColumnMapping[New Table.Column],1,)</f>
        <v>#N/A</v>
      </c>
      <c r="Y187" t="str">
        <f>_xlfn.XLOOKUP(Table6[[#This Row],[Table.Column]],ColumnMapping[Add Column Name],ColumnMapping[Old Table.Column],"",0,1)</f>
        <v/>
      </c>
      <c r="Z187" t="str">
        <f>_xlfn.XLOOKUP(Table6[[#This Row],[Old Table.Column]],Cobra8.6[Table.Column],Cobra8.6[TYPE],"",0,1)</f>
        <v/>
      </c>
      <c r="AA187" t="str">
        <f>_xlfn.XLOOKUP(Table6[[#This Row],[Old Table.Column]],Cobra8.6[Table.Column],Cobra8.6[LENGTH],"",0,1)</f>
        <v/>
      </c>
      <c r="AB187"/>
    </row>
    <row r="188" spans="1:28" hidden="1" x14ac:dyDescent="0.2">
      <c r="A188" t="s">
        <v>293</v>
      </c>
      <c r="B188" s="17" t="s">
        <v>364</v>
      </c>
      <c r="C188" s="17" t="s">
        <v>388</v>
      </c>
      <c r="D188" s="17">
        <v>23</v>
      </c>
      <c r="E188" s="17" t="s">
        <v>48</v>
      </c>
      <c r="F188" t="str">
        <f>VLOOKUP($E188,'Data Type Lookup'!$A$1:$C$21,2,FALSE)</f>
        <v>NVARCHAR2</v>
      </c>
      <c r="G188">
        <v>20</v>
      </c>
      <c r="H188" s="17"/>
      <c r="I188" s="29"/>
      <c r="J188" s="29"/>
      <c r="K188" s="29"/>
      <c r="L188" s="29"/>
      <c r="M188" s="17"/>
      <c r="N188" s="17"/>
      <c r="O188" s="17"/>
      <c r="P188" s="17"/>
      <c r="Q188" s="17"/>
      <c r="R188" s="17"/>
      <c r="S188" s="17"/>
      <c r="W188" t="str">
        <f t="shared" si="3"/>
        <v>FISCAL_CALENDAR_PERIOD.FIELD12</v>
      </c>
      <c r="X188" t="e">
        <f>VLOOKUP(W188,ColumnMapping[New Table.Column],1,)</f>
        <v>#N/A</v>
      </c>
      <c r="Y188" t="str">
        <f>_xlfn.XLOOKUP(Table6[[#This Row],[Table.Column]],ColumnMapping[Add Column Name],ColumnMapping[Old Table.Column],"",0,1)</f>
        <v/>
      </c>
      <c r="Z188" t="str">
        <f>_xlfn.XLOOKUP(Table6[[#This Row],[Old Table.Column]],Cobra8.6[Table.Column],Cobra8.6[TYPE],"",0,1)</f>
        <v/>
      </c>
      <c r="AA188" t="str">
        <f>_xlfn.XLOOKUP(Table6[[#This Row],[Old Table.Column]],Cobra8.6[Table.Column],Cobra8.6[LENGTH],"",0,1)</f>
        <v/>
      </c>
      <c r="AB188"/>
    </row>
    <row r="189" spans="1:28" hidden="1" x14ac:dyDescent="0.2">
      <c r="A189" t="s">
        <v>293</v>
      </c>
      <c r="B189" s="17" t="s">
        <v>364</v>
      </c>
      <c r="C189" s="17" t="s">
        <v>389</v>
      </c>
      <c r="D189" s="17">
        <v>24</v>
      </c>
      <c r="E189" s="17" t="s">
        <v>48</v>
      </c>
      <c r="F189" t="str">
        <f>VLOOKUP($E189,'Data Type Lookup'!$A$1:$C$21,2,FALSE)</f>
        <v>NVARCHAR2</v>
      </c>
      <c r="G189">
        <v>20</v>
      </c>
      <c r="H189" s="17"/>
      <c r="I189" s="29"/>
      <c r="J189" s="29"/>
      <c r="K189" s="29"/>
      <c r="L189" s="29"/>
      <c r="M189" s="17"/>
      <c r="N189" s="17"/>
      <c r="O189" s="17"/>
      <c r="P189" s="17"/>
      <c r="Q189" s="17"/>
      <c r="R189" s="17"/>
      <c r="S189" s="17"/>
      <c r="W189" t="str">
        <f t="shared" si="3"/>
        <v>FISCAL_CALENDAR_PERIOD.FIELD13</v>
      </c>
      <c r="X189" t="e">
        <f>VLOOKUP(W189,ColumnMapping[New Table.Column],1,)</f>
        <v>#N/A</v>
      </c>
      <c r="Y189" t="str">
        <f>_xlfn.XLOOKUP(Table6[[#This Row],[Table.Column]],ColumnMapping[Add Column Name],ColumnMapping[Old Table.Column],"",0,1)</f>
        <v/>
      </c>
      <c r="Z189" t="str">
        <f>_xlfn.XLOOKUP(Table6[[#This Row],[Old Table.Column]],Cobra8.6[Table.Column],Cobra8.6[TYPE],"",0,1)</f>
        <v/>
      </c>
      <c r="AA189" t="str">
        <f>_xlfn.XLOOKUP(Table6[[#This Row],[Old Table.Column]],Cobra8.6[Table.Column],Cobra8.6[LENGTH],"",0,1)</f>
        <v/>
      </c>
      <c r="AB189"/>
    </row>
    <row r="190" spans="1:28" hidden="1" x14ac:dyDescent="0.2">
      <c r="A190" t="s">
        <v>293</v>
      </c>
      <c r="B190" s="17" t="s">
        <v>364</v>
      </c>
      <c r="C190" s="17" t="s">
        <v>390</v>
      </c>
      <c r="D190" s="17">
        <v>25</v>
      </c>
      <c r="E190" s="17" t="s">
        <v>48</v>
      </c>
      <c r="F190" t="str">
        <f>VLOOKUP($E190,'Data Type Lookup'!$A$1:$C$21,2,FALSE)</f>
        <v>NVARCHAR2</v>
      </c>
      <c r="G190">
        <v>20</v>
      </c>
      <c r="H190" s="17"/>
      <c r="I190" s="29"/>
      <c r="J190" s="29"/>
      <c r="K190" s="29"/>
      <c r="L190" s="29"/>
      <c r="M190" s="17"/>
      <c r="N190" s="17"/>
      <c r="O190" s="17"/>
      <c r="P190" s="17"/>
      <c r="Q190" s="17"/>
      <c r="R190" s="17"/>
      <c r="S190" s="17"/>
      <c r="W190" t="str">
        <f t="shared" si="3"/>
        <v>FISCAL_CALENDAR_PERIOD.FIELD14</v>
      </c>
      <c r="X190" t="e">
        <f>VLOOKUP(W190,ColumnMapping[New Table.Column],1,)</f>
        <v>#N/A</v>
      </c>
      <c r="Y190" t="str">
        <f>_xlfn.XLOOKUP(Table6[[#This Row],[Table.Column]],ColumnMapping[Add Column Name],ColumnMapping[Old Table.Column],"",0,1)</f>
        <v/>
      </c>
      <c r="Z190" t="str">
        <f>_xlfn.XLOOKUP(Table6[[#This Row],[Old Table.Column]],Cobra8.6[Table.Column],Cobra8.6[TYPE],"",0,1)</f>
        <v/>
      </c>
      <c r="AA190" t="str">
        <f>_xlfn.XLOOKUP(Table6[[#This Row],[Old Table.Column]],Cobra8.6[Table.Column],Cobra8.6[LENGTH],"",0,1)</f>
        <v/>
      </c>
      <c r="AB190"/>
    </row>
    <row r="191" spans="1:28" hidden="1" x14ac:dyDescent="0.2">
      <c r="A191" t="s">
        <v>293</v>
      </c>
      <c r="B191" s="17" t="s">
        <v>364</v>
      </c>
      <c r="C191" s="17" t="s">
        <v>391</v>
      </c>
      <c r="D191" s="17">
        <v>26</v>
      </c>
      <c r="E191" s="17" t="s">
        <v>48</v>
      </c>
      <c r="F191" t="str">
        <f>VLOOKUP($E191,'Data Type Lookup'!$A$1:$C$21,2,FALSE)</f>
        <v>NVARCHAR2</v>
      </c>
      <c r="G191">
        <v>20</v>
      </c>
      <c r="H191" s="17"/>
      <c r="I191" s="29"/>
      <c r="J191" s="29"/>
      <c r="K191" s="29"/>
      <c r="L191" s="29"/>
      <c r="M191" s="17"/>
      <c r="N191" s="17"/>
      <c r="O191" s="17"/>
      <c r="P191" s="17"/>
      <c r="Q191" s="17"/>
      <c r="R191" s="17"/>
      <c r="S191" s="17"/>
      <c r="W191" t="str">
        <f t="shared" si="3"/>
        <v>FISCAL_CALENDAR_PERIOD.FIELD15</v>
      </c>
      <c r="X191" t="e">
        <f>VLOOKUP(W191,ColumnMapping[New Table.Column],1,)</f>
        <v>#N/A</v>
      </c>
      <c r="Y191" t="str">
        <f>_xlfn.XLOOKUP(Table6[[#This Row],[Table.Column]],ColumnMapping[Add Column Name],ColumnMapping[Old Table.Column],"",0,1)</f>
        <v/>
      </c>
      <c r="Z191" t="str">
        <f>_xlfn.XLOOKUP(Table6[[#This Row],[Old Table.Column]],Cobra8.6[Table.Column],Cobra8.6[TYPE],"",0,1)</f>
        <v/>
      </c>
      <c r="AA191" t="str">
        <f>_xlfn.XLOOKUP(Table6[[#This Row],[Old Table.Column]],Cobra8.6[Table.Column],Cobra8.6[LENGTH],"",0,1)</f>
        <v/>
      </c>
      <c r="AB191"/>
    </row>
    <row r="192" spans="1:28" hidden="1" x14ac:dyDescent="0.2">
      <c r="A192" t="s">
        <v>293</v>
      </c>
      <c r="B192" s="17" t="s">
        <v>364</v>
      </c>
      <c r="C192" s="17" t="s">
        <v>392</v>
      </c>
      <c r="D192" s="17">
        <v>27</v>
      </c>
      <c r="E192" s="17" t="s">
        <v>48</v>
      </c>
      <c r="F192" t="str">
        <f>VLOOKUP($E192,'Data Type Lookup'!$A$1:$C$21,2,FALSE)</f>
        <v>NVARCHAR2</v>
      </c>
      <c r="G192">
        <v>20</v>
      </c>
      <c r="H192" s="17"/>
      <c r="I192" s="29"/>
      <c r="J192" s="29"/>
      <c r="K192" s="29"/>
      <c r="L192" s="29"/>
      <c r="M192" s="17"/>
      <c r="N192" s="17"/>
      <c r="O192" s="17"/>
      <c r="P192" s="17"/>
      <c r="Q192" s="17"/>
      <c r="R192" s="17"/>
      <c r="S192" s="17"/>
      <c r="W192" t="str">
        <f t="shared" si="3"/>
        <v>FISCAL_CALENDAR_PERIOD.FIELD16</v>
      </c>
      <c r="X192" t="e">
        <f>VLOOKUP(W192,ColumnMapping[New Table.Column],1,)</f>
        <v>#N/A</v>
      </c>
      <c r="Y192" t="str">
        <f>_xlfn.XLOOKUP(Table6[[#This Row],[Table.Column]],ColumnMapping[Add Column Name],ColumnMapping[Old Table.Column],"",0,1)</f>
        <v/>
      </c>
      <c r="Z192" t="str">
        <f>_xlfn.XLOOKUP(Table6[[#This Row],[Old Table.Column]],Cobra8.6[Table.Column],Cobra8.6[TYPE],"",0,1)</f>
        <v/>
      </c>
      <c r="AA192" t="str">
        <f>_xlfn.XLOOKUP(Table6[[#This Row],[Old Table.Column]],Cobra8.6[Table.Column],Cobra8.6[LENGTH],"",0,1)</f>
        <v/>
      </c>
      <c r="AB192"/>
    </row>
    <row r="193" spans="1:28" hidden="1" x14ac:dyDescent="0.2">
      <c r="A193" t="s">
        <v>293</v>
      </c>
      <c r="B193" s="17" t="s">
        <v>364</v>
      </c>
      <c r="C193" s="17" t="s">
        <v>393</v>
      </c>
      <c r="D193" s="17">
        <v>28</v>
      </c>
      <c r="E193" s="17" t="s">
        <v>48</v>
      </c>
      <c r="F193" t="str">
        <f>VLOOKUP($E193,'Data Type Lookup'!$A$1:$C$21,2,FALSE)</f>
        <v>NVARCHAR2</v>
      </c>
      <c r="G193">
        <v>20</v>
      </c>
      <c r="H193" s="17"/>
      <c r="I193" s="29"/>
      <c r="J193" s="29"/>
      <c r="K193" s="29"/>
      <c r="L193" s="29"/>
      <c r="M193" s="17"/>
      <c r="N193" s="17"/>
      <c r="O193" s="17"/>
      <c r="P193" s="17"/>
      <c r="Q193" s="17"/>
      <c r="R193" s="17"/>
      <c r="S193" s="17"/>
      <c r="W193" t="str">
        <f t="shared" si="3"/>
        <v>FISCAL_CALENDAR_PERIOD.FIELD17</v>
      </c>
      <c r="X193" t="e">
        <f>VLOOKUP(W193,ColumnMapping[New Table.Column],1,)</f>
        <v>#N/A</v>
      </c>
      <c r="Y193" t="str">
        <f>_xlfn.XLOOKUP(Table6[[#This Row],[Table.Column]],ColumnMapping[Add Column Name],ColumnMapping[Old Table.Column],"",0,1)</f>
        <v/>
      </c>
      <c r="Z193" t="str">
        <f>_xlfn.XLOOKUP(Table6[[#This Row],[Old Table.Column]],Cobra8.6[Table.Column],Cobra8.6[TYPE],"",0,1)</f>
        <v/>
      </c>
      <c r="AA193" t="str">
        <f>_xlfn.XLOOKUP(Table6[[#This Row],[Old Table.Column]],Cobra8.6[Table.Column],Cobra8.6[LENGTH],"",0,1)</f>
        <v/>
      </c>
      <c r="AB193"/>
    </row>
    <row r="194" spans="1:28" hidden="1" x14ac:dyDescent="0.2">
      <c r="A194" t="s">
        <v>293</v>
      </c>
      <c r="B194" s="17" t="s">
        <v>364</v>
      </c>
      <c r="C194" s="17" t="s">
        <v>394</v>
      </c>
      <c r="D194" s="17">
        <v>29</v>
      </c>
      <c r="E194" s="17" t="s">
        <v>48</v>
      </c>
      <c r="F194" t="str">
        <f>VLOOKUP($E194,'Data Type Lookup'!$A$1:$C$21,2,FALSE)</f>
        <v>NVARCHAR2</v>
      </c>
      <c r="G194">
        <v>20</v>
      </c>
      <c r="H194" s="17"/>
      <c r="I194" s="29"/>
      <c r="J194" s="29"/>
      <c r="K194" s="29"/>
      <c r="L194" s="29"/>
      <c r="M194" s="17"/>
      <c r="N194" s="17"/>
      <c r="O194" s="17"/>
      <c r="P194" s="17"/>
      <c r="Q194" s="17"/>
      <c r="R194" s="17"/>
      <c r="S194" s="17"/>
      <c r="W194" t="str">
        <f t="shared" si="3"/>
        <v>FISCAL_CALENDAR_PERIOD.FIELD18</v>
      </c>
      <c r="X194" t="e">
        <f>VLOOKUP(W194,ColumnMapping[New Table.Column],1,)</f>
        <v>#N/A</v>
      </c>
      <c r="Y194" t="str">
        <f>_xlfn.XLOOKUP(Table6[[#This Row],[Table.Column]],ColumnMapping[Add Column Name],ColumnMapping[Old Table.Column],"",0,1)</f>
        <v/>
      </c>
      <c r="Z194" t="str">
        <f>_xlfn.XLOOKUP(Table6[[#This Row],[Old Table.Column]],Cobra8.6[Table.Column],Cobra8.6[TYPE],"",0,1)</f>
        <v/>
      </c>
      <c r="AA194" t="str">
        <f>_xlfn.XLOOKUP(Table6[[#This Row],[Old Table.Column]],Cobra8.6[Table.Column],Cobra8.6[LENGTH],"",0,1)</f>
        <v/>
      </c>
      <c r="AB194"/>
    </row>
    <row r="195" spans="1:28" hidden="1" x14ac:dyDescent="0.2">
      <c r="A195" t="s">
        <v>293</v>
      </c>
      <c r="B195" s="17" t="s">
        <v>364</v>
      </c>
      <c r="C195" s="17" t="s">
        <v>395</v>
      </c>
      <c r="D195" s="17">
        <v>30</v>
      </c>
      <c r="E195" s="17" t="s">
        <v>48</v>
      </c>
      <c r="F195" t="str">
        <f>VLOOKUP($E195,'Data Type Lookup'!$A$1:$C$21,2,FALSE)</f>
        <v>NVARCHAR2</v>
      </c>
      <c r="G195">
        <v>20</v>
      </c>
      <c r="H195" s="17"/>
      <c r="I195" s="29"/>
      <c r="J195" s="29"/>
      <c r="K195" s="29"/>
      <c r="L195" s="29"/>
      <c r="M195" s="17"/>
      <c r="N195" s="17"/>
      <c r="O195" s="17"/>
      <c r="P195" s="17"/>
      <c r="Q195" s="17"/>
      <c r="R195" s="17"/>
      <c r="S195" s="17"/>
      <c r="W195" t="str">
        <f t="shared" si="3"/>
        <v>FISCAL_CALENDAR_PERIOD.FIELD19</v>
      </c>
      <c r="X195" t="e">
        <f>VLOOKUP(W195,ColumnMapping[New Table.Column],1,)</f>
        <v>#N/A</v>
      </c>
      <c r="Y195" t="str">
        <f>_xlfn.XLOOKUP(Table6[[#This Row],[Table.Column]],ColumnMapping[Add Column Name],ColumnMapping[Old Table.Column],"",0,1)</f>
        <v/>
      </c>
      <c r="Z195" t="str">
        <f>_xlfn.XLOOKUP(Table6[[#This Row],[Old Table.Column]],Cobra8.6[Table.Column],Cobra8.6[TYPE],"",0,1)</f>
        <v/>
      </c>
      <c r="AA195" t="str">
        <f>_xlfn.XLOOKUP(Table6[[#This Row],[Old Table.Column]],Cobra8.6[Table.Column],Cobra8.6[LENGTH],"",0,1)</f>
        <v/>
      </c>
      <c r="AB195"/>
    </row>
    <row r="196" spans="1:28" hidden="1" x14ac:dyDescent="0.2">
      <c r="A196" t="s">
        <v>293</v>
      </c>
      <c r="B196" s="17" t="s">
        <v>364</v>
      </c>
      <c r="C196" s="17" t="s">
        <v>396</v>
      </c>
      <c r="D196" s="17">
        <v>31</v>
      </c>
      <c r="E196" s="17" t="s">
        <v>48</v>
      </c>
      <c r="F196" t="str">
        <f>VLOOKUP($E196,'Data Type Lookup'!$A$1:$C$21,2,FALSE)</f>
        <v>NVARCHAR2</v>
      </c>
      <c r="G196">
        <v>20</v>
      </c>
      <c r="H196" s="17"/>
      <c r="I196" s="29"/>
      <c r="J196" s="29"/>
      <c r="K196" s="29"/>
      <c r="L196" s="29"/>
      <c r="M196" s="17"/>
      <c r="N196" s="17"/>
      <c r="O196" s="17"/>
      <c r="P196" s="17"/>
      <c r="Q196" s="17"/>
      <c r="R196" s="17"/>
      <c r="S196" s="17"/>
      <c r="W196" t="str">
        <f t="shared" ref="W196:W257" si="4">_xlfn.CONCAT(B196,".",C196)</f>
        <v>FISCAL_CALENDAR_PERIOD.FLAG01</v>
      </c>
      <c r="X196" t="e">
        <f>VLOOKUP(W196,ColumnMapping[New Table.Column],1,)</f>
        <v>#N/A</v>
      </c>
      <c r="Y196" t="str">
        <f>_xlfn.XLOOKUP(Table6[[#This Row],[Table.Column]],ColumnMapping[Add Column Name],ColumnMapping[Old Table.Column],"",0,1)</f>
        <v/>
      </c>
      <c r="Z196" t="str">
        <f>_xlfn.XLOOKUP(Table6[[#This Row],[Old Table.Column]],Cobra8.6[Table.Column],Cobra8.6[TYPE],"",0,1)</f>
        <v/>
      </c>
      <c r="AA196" t="str">
        <f>_xlfn.XLOOKUP(Table6[[#This Row],[Old Table.Column]],Cobra8.6[Table.Column],Cobra8.6[LENGTH],"",0,1)</f>
        <v/>
      </c>
      <c r="AB196"/>
    </row>
    <row r="197" spans="1:28" hidden="1" x14ac:dyDescent="0.2">
      <c r="A197" t="s">
        <v>293</v>
      </c>
      <c r="B197" s="17" t="s">
        <v>364</v>
      </c>
      <c r="C197" s="17" t="s">
        <v>397</v>
      </c>
      <c r="D197" s="17">
        <v>32</v>
      </c>
      <c r="E197" s="17" t="s">
        <v>48</v>
      </c>
      <c r="F197" t="str">
        <f>VLOOKUP($E197,'Data Type Lookup'!$A$1:$C$21,2,FALSE)</f>
        <v>NVARCHAR2</v>
      </c>
      <c r="G197">
        <v>20</v>
      </c>
      <c r="H197" s="17"/>
      <c r="I197" s="29"/>
      <c r="J197" s="29"/>
      <c r="K197" s="29"/>
      <c r="L197" s="29"/>
      <c r="M197" s="17"/>
      <c r="N197" s="17"/>
      <c r="O197" s="17"/>
      <c r="P197" s="17"/>
      <c r="Q197" s="17"/>
      <c r="R197" s="17"/>
      <c r="S197" s="17"/>
      <c r="W197" t="str">
        <f t="shared" si="4"/>
        <v>FISCAL_CALENDAR_PERIOD.FLAG02</v>
      </c>
      <c r="X197" t="e">
        <f>VLOOKUP(W197,ColumnMapping[New Table.Column],1,)</f>
        <v>#N/A</v>
      </c>
      <c r="Y197" t="str">
        <f>_xlfn.XLOOKUP(Table6[[#This Row],[Table.Column]],ColumnMapping[Add Column Name],ColumnMapping[Old Table.Column],"",0,1)</f>
        <v/>
      </c>
      <c r="Z197" t="str">
        <f>_xlfn.XLOOKUP(Table6[[#This Row],[Old Table.Column]],Cobra8.6[Table.Column],Cobra8.6[TYPE],"",0,1)</f>
        <v/>
      </c>
      <c r="AA197" t="str">
        <f>_xlfn.XLOOKUP(Table6[[#This Row],[Old Table.Column]],Cobra8.6[Table.Column],Cobra8.6[LENGTH],"",0,1)</f>
        <v/>
      </c>
      <c r="AB197"/>
    </row>
    <row r="198" spans="1:28" hidden="1" x14ac:dyDescent="0.2">
      <c r="A198" t="s">
        <v>293</v>
      </c>
      <c r="B198" s="17" t="s">
        <v>364</v>
      </c>
      <c r="C198" s="17" t="s">
        <v>398</v>
      </c>
      <c r="D198" s="17">
        <v>33</v>
      </c>
      <c r="E198" s="17" t="s">
        <v>48</v>
      </c>
      <c r="F198" t="str">
        <f>VLOOKUP($E198,'Data Type Lookup'!$A$1:$C$21,2,FALSE)</f>
        <v>NVARCHAR2</v>
      </c>
      <c r="G198">
        <v>20</v>
      </c>
      <c r="H198" s="17"/>
      <c r="I198" s="29"/>
      <c r="J198" s="29"/>
      <c r="K198" s="29"/>
      <c r="L198" s="29"/>
      <c r="M198" s="17"/>
      <c r="N198" s="17"/>
      <c r="O198" s="17"/>
      <c r="P198" s="17"/>
      <c r="Q198" s="17"/>
      <c r="R198" s="17"/>
      <c r="S198" s="17"/>
      <c r="W198" t="str">
        <f t="shared" si="4"/>
        <v>FISCAL_CALENDAR_PERIOD.FLAG03</v>
      </c>
      <c r="X198" t="e">
        <f>VLOOKUP(W198,ColumnMapping[New Table.Column],1,)</f>
        <v>#N/A</v>
      </c>
      <c r="Y198" t="str">
        <f>_xlfn.XLOOKUP(Table6[[#This Row],[Table.Column]],ColumnMapping[Add Column Name],ColumnMapping[Old Table.Column],"",0,1)</f>
        <v/>
      </c>
      <c r="Z198" t="str">
        <f>_xlfn.XLOOKUP(Table6[[#This Row],[Old Table.Column]],Cobra8.6[Table.Column],Cobra8.6[TYPE],"",0,1)</f>
        <v/>
      </c>
      <c r="AA198" t="str">
        <f>_xlfn.XLOOKUP(Table6[[#This Row],[Old Table.Column]],Cobra8.6[Table.Column],Cobra8.6[LENGTH],"",0,1)</f>
        <v/>
      </c>
      <c r="AB198"/>
    </row>
    <row r="199" spans="1:28" hidden="1" x14ac:dyDescent="0.2">
      <c r="A199" t="s">
        <v>293</v>
      </c>
      <c r="B199" s="17" t="s">
        <v>364</v>
      </c>
      <c r="C199" s="17" t="s">
        <v>399</v>
      </c>
      <c r="D199" s="17">
        <v>34</v>
      </c>
      <c r="E199" s="17" t="s">
        <v>48</v>
      </c>
      <c r="F199" t="str">
        <f>VLOOKUP($E199,'Data Type Lookup'!$A$1:$C$21,2,FALSE)</f>
        <v>NVARCHAR2</v>
      </c>
      <c r="G199">
        <v>20</v>
      </c>
      <c r="H199" s="17"/>
      <c r="I199" s="29"/>
      <c r="J199" s="29"/>
      <c r="K199" s="29"/>
      <c r="L199" s="29"/>
      <c r="M199" s="17"/>
      <c r="N199" s="17"/>
      <c r="O199" s="17"/>
      <c r="P199" s="17"/>
      <c r="Q199" s="17"/>
      <c r="R199" s="17"/>
      <c r="S199" s="17"/>
      <c r="W199" t="str">
        <f t="shared" si="4"/>
        <v>FISCAL_CALENDAR_PERIOD.FLAG04</v>
      </c>
      <c r="X199" t="e">
        <f>VLOOKUP(W199,ColumnMapping[New Table.Column],1,)</f>
        <v>#N/A</v>
      </c>
      <c r="Y199" t="str">
        <f>_xlfn.XLOOKUP(Table6[[#This Row],[Table.Column]],ColumnMapping[Add Column Name],ColumnMapping[Old Table.Column],"",0,1)</f>
        <v/>
      </c>
      <c r="Z199" t="str">
        <f>_xlfn.XLOOKUP(Table6[[#This Row],[Old Table.Column]],Cobra8.6[Table.Column],Cobra8.6[TYPE],"",0,1)</f>
        <v/>
      </c>
      <c r="AA199" t="str">
        <f>_xlfn.XLOOKUP(Table6[[#This Row],[Old Table.Column]],Cobra8.6[Table.Column],Cobra8.6[LENGTH],"",0,1)</f>
        <v/>
      </c>
      <c r="AB199"/>
    </row>
    <row r="200" spans="1:28" hidden="1" x14ac:dyDescent="0.2">
      <c r="A200" t="s">
        <v>293</v>
      </c>
      <c r="B200" s="17" t="s">
        <v>364</v>
      </c>
      <c r="C200" s="17" t="s">
        <v>400</v>
      </c>
      <c r="D200" s="17">
        <v>35</v>
      </c>
      <c r="E200" s="17" t="s">
        <v>48</v>
      </c>
      <c r="F200" t="str">
        <f>VLOOKUP($E200,'Data Type Lookup'!$A$1:$C$21,2,FALSE)</f>
        <v>NVARCHAR2</v>
      </c>
      <c r="G200">
        <v>20</v>
      </c>
      <c r="H200" s="17"/>
      <c r="I200" s="29"/>
      <c r="J200" s="29"/>
      <c r="K200" s="29"/>
      <c r="L200" s="29"/>
      <c r="M200" s="17"/>
      <c r="N200" s="17"/>
      <c r="O200" s="17"/>
      <c r="P200" s="17"/>
      <c r="Q200" s="17"/>
      <c r="R200" s="17"/>
      <c r="S200" s="17"/>
      <c r="W200" t="str">
        <f t="shared" si="4"/>
        <v>FISCAL_CALENDAR_PERIOD.FLAG05</v>
      </c>
      <c r="X200" t="e">
        <f>VLOOKUP(W200,ColumnMapping[New Table.Column],1,)</f>
        <v>#N/A</v>
      </c>
      <c r="Y200" t="str">
        <f>_xlfn.XLOOKUP(Table6[[#This Row],[Table.Column]],ColumnMapping[Add Column Name],ColumnMapping[Old Table.Column],"",0,1)</f>
        <v/>
      </c>
      <c r="Z200" t="str">
        <f>_xlfn.XLOOKUP(Table6[[#This Row],[Old Table.Column]],Cobra8.6[Table.Column],Cobra8.6[TYPE],"",0,1)</f>
        <v/>
      </c>
      <c r="AA200" t="str">
        <f>_xlfn.XLOOKUP(Table6[[#This Row],[Old Table.Column]],Cobra8.6[Table.Column],Cobra8.6[LENGTH],"",0,1)</f>
        <v/>
      </c>
      <c r="AB200"/>
    </row>
    <row r="201" spans="1:28" hidden="1" x14ac:dyDescent="0.2">
      <c r="A201" t="s">
        <v>293</v>
      </c>
      <c r="B201" s="17" t="s">
        <v>364</v>
      </c>
      <c r="C201" s="17" t="s">
        <v>401</v>
      </c>
      <c r="D201" s="17">
        <v>36</v>
      </c>
      <c r="E201" s="17" t="s">
        <v>48</v>
      </c>
      <c r="F201" t="str">
        <f>VLOOKUP($E201,'Data Type Lookup'!$A$1:$C$21,2,FALSE)</f>
        <v>NVARCHAR2</v>
      </c>
      <c r="G201">
        <v>20</v>
      </c>
      <c r="H201" s="17"/>
      <c r="I201" s="29"/>
      <c r="J201" s="29"/>
      <c r="K201" s="29"/>
      <c r="L201" s="29"/>
      <c r="M201" s="17"/>
      <c r="N201" s="17"/>
      <c r="O201" s="17"/>
      <c r="P201" s="17"/>
      <c r="Q201" s="17"/>
      <c r="R201" s="17"/>
      <c r="S201" s="17"/>
      <c r="W201" t="str">
        <f t="shared" si="4"/>
        <v>FISCAL_CALENDAR_PERIOD.FLAG06</v>
      </c>
      <c r="X201" t="e">
        <f>VLOOKUP(W201,ColumnMapping[New Table.Column],1,)</f>
        <v>#N/A</v>
      </c>
      <c r="Y201" t="str">
        <f>_xlfn.XLOOKUP(Table6[[#This Row],[Table.Column]],ColumnMapping[Add Column Name],ColumnMapping[Old Table.Column],"",0,1)</f>
        <v/>
      </c>
      <c r="Z201" t="str">
        <f>_xlfn.XLOOKUP(Table6[[#This Row],[Old Table.Column]],Cobra8.6[Table.Column],Cobra8.6[TYPE],"",0,1)</f>
        <v/>
      </c>
      <c r="AA201" t="str">
        <f>_xlfn.XLOOKUP(Table6[[#This Row],[Old Table.Column]],Cobra8.6[Table.Column],Cobra8.6[LENGTH],"",0,1)</f>
        <v/>
      </c>
      <c r="AB201"/>
    </row>
    <row r="202" spans="1:28" hidden="1" x14ac:dyDescent="0.2">
      <c r="A202" t="s">
        <v>293</v>
      </c>
      <c r="B202" s="17" t="s">
        <v>364</v>
      </c>
      <c r="C202" s="17" t="s">
        <v>402</v>
      </c>
      <c r="D202" s="17">
        <v>37</v>
      </c>
      <c r="E202" s="17" t="s">
        <v>48</v>
      </c>
      <c r="F202" t="str">
        <f>VLOOKUP($E202,'Data Type Lookup'!$A$1:$C$21,2,FALSE)</f>
        <v>NVARCHAR2</v>
      </c>
      <c r="G202">
        <v>20</v>
      </c>
      <c r="H202" s="17"/>
      <c r="I202" s="29"/>
      <c r="J202" s="29"/>
      <c r="K202" s="29"/>
      <c r="L202" s="29"/>
      <c r="M202" s="17"/>
      <c r="N202" s="17"/>
      <c r="O202" s="17"/>
      <c r="P202" s="17"/>
      <c r="Q202" s="17"/>
      <c r="R202" s="17"/>
      <c r="S202" s="17"/>
      <c r="W202" t="str">
        <f t="shared" si="4"/>
        <v>FISCAL_CALENDAR_PERIOD.FLAG07</v>
      </c>
      <c r="X202" t="e">
        <f>VLOOKUP(W202,ColumnMapping[New Table.Column],1,)</f>
        <v>#N/A</v>
      </c>
      <c r="Y202" t="str">
        <f>_xlfn.XLOOKUP(Table6[[#This Row],[Table.Column]],ColumnMapping[Add Column Name],ColumnMapping[Old Table.Column],"",0,1)</f>
        <v/>
      </c>
      <c r="Z202" t="str">
        <f>_xlfn.XLOOKUP(Table6[[#This Row],[Old Table.Column]],Cobra8.6[Table.Column],Cobra8.6[TYPE],"",0,1)</f>
        <v/>
      </c>
      <c r="AA202" t="str">
        <f>_xlfn.XLOOKUP(Table6[[#This Row],[Old Table.Column]],Cobra8.6[Table.Column],Cobra8.6[LENGTH],"",0,1)</f>
        <v/>
      </c>
      <c r="AB202"/>
    </row>
    <row r="203" spans="1:28" hidden="1" x14ac:dyDescent="0.2">
      <c r="A203" t="s">
        <v>293</v>
      </c>
      <c r="B203" s="17" t="s">
        <v>364</v>
      </c>
      <c r="C203" s="17" t="s">
        <v>403</v>
      </c>
      <c r="D203" s="17">
        <v>38</v>
      </c>
      <c r="E203" s="17" t="s">
        <v>48</v>
      </c>
      <c r="F203" t="str">
        <f>VLOOKUP($E203,'Data Type Lookup'!$A$1:$C$21,2,FALSE)</f>
        <v>NVARCHAR2</v>
      </c>
      <c r="G203">
        <v>20</v>
      </c>
      <c r="H203" s="17"/>
      <c r="I203" s="29"/>
      <c r="J203" s="29"/>
      <c r="K203" s="29"/>
      <c r="L203" s="29"/>
      <c r="M203" s="17"/>
      <c r="N203" s="17"/>
      <c r="O203" s="17"/>
      <c r="P203" s="17"/>
      <c r="Q203" s="17"/>
      <c r="R203" s="17"/>
      <c r="S203" s="17"/>
      <c r="W203" t="str">
        <f t="shared" si="4"/>
        <v>FISCAL_CALENDAR_PERIOD.FLAG08</v>
      </c>
      <c r="X203" t="e">
        <f>VLOOKUP(W203,ColumnMapping[New Table.Column],1,)</f>
        <v>#N/A</v>
      </c>
      <c r="Y203" t="str">
        <f>_xlfn.XLOOKUP(Table6[[#This Row],[Table.Column]],ColumnMapping[Add Column Name],ColumnMapping[Old Table.Column],"",0,1)</f>
        <v/>
      </c>
      <c r="Z203" t="str">
        <f>_xlfn.XLOOKUP(Table6[[#This Row],[Old Table.Column]],Cobra8.6[Table.Column],Cobra8.6[TYPE],"",0,1)</f>
        <v/>
      </c>
      <c r="AA203" t="str">
        <f>_xlfn.XLOOKUP(Table6[[#This Row],[Old Table.Column]],Cobra8.6[Table.Column],Cobra8.6[LENGTH],"",0,1)</f>
        <v/>
      </c>
      <c r="AB203"/>
    </row>
    <row r="204" spans="1:28" hidden="1" x14ac:dyDescent="0.2">
      <c r="A204" t="s">
        <v>293</v>
      </c>
      <c r="B204" s="17" t="s">
        <v>364</v>
      </c>
      <c r="C204" s="17" t="s">
        <v>404</v>
      </c>
      <c r="D204" s="17">
        <v>39</v>
      </c>
      <c r="E204" s="17" t="s">
        <v>48</v>
      </c>
      <c r="F204" t="str">
        <f>VLOOKUP($E204,'Data Type Lookup'!$A$1:$C$21,2,FALSE)</f>
        <v>NVARCHAR2</v>
      </c>
      <c r="G204">
        <v>20</v>
      </c>
      <c r="H204" s="17"/>
      <c r="I204" s="29"/>
      <c r="J204" s="29"/>
      <c r="K204" s="29"/>
      <c r="L204" s="29"/>
      <c r="M204" s="17"/>
      <c r="N204" s="17"/>
      <c r="O204" s="17"/>
      <c r="P204" s="17"/>
      <c r="Q204" s="17"/>
      <c r="R204" s="17"/>
      <c r="S204" s="17"/>
      <c r="W204" t="str">
        <f t="shared" si="4"/>
        <v>FISCAL_CALENDAR_PERIOD.FLAG09</v>
      </c>
      <c r="X204" t="e">
        <f>VLOOKUP(W204,ColumnMapping[New Table.Column],1,)</f>
        <v>#N/A</v>
      </c>
      <c r="Y204" t="str">
        <f>_xlfn.XLOOKUP(Table6[[#This Row],[Table.Column]],ColumnMapping[Add Column Name],ColumnMapping[Old Table.Column],"",0,1)</f>
        <v/>
      </c>
      <c r="Z204" t="str">
        <f>_xlfn.XLOOKUP(Table6[[#This Row],[Old Table.Column]],Cobra8.6[Table.Column],Cobra8.6[TYPE],"",0,1)</f>
        <v/>
      </c>
      <c r="AA204" t="str">
        <f>_xlfn.XLOOKUP(Table6[[#This Row],[Old Table.Column]],Cobra8.6[Table.Column],Cobra8.6[LENGTH],"",0,1)</f>
        <v/>
      </c>
      <c r="AB204"/>
    </row>
    <row r="205" spans="1:28" hidden="1" x14ac:dyDescent="0.2">
      <c r="A205" t="s">
        <v>293</v>
      </c>
      <c r="B205" s="17" t="s">
        <v>364</v>
      </c>
      <c r="C205" s="17" t="s">
        <v>405</v>
      </c>
      <c r="D205" s="17">
        <v>40</v>
      </c>
      <c r="E205" s="17" t="s">
        <v>48</v>
      </c>
      <c r="F205" t="str">
        <f>VLOOKUP($E205,'Data Type Lookup'!$A$1:$C$21,2,FALSE)</f>
        <v>NVARCHAR2</v>
      </c>
      <c r="G205">
        <v>20</v>
      </c>
      <c r="H205" s="17"/>
      <c r="I205" s="29"/>
      <c r="J205" s="29"/>
      <c r="K205" s="29"/>
      <c r="L205" s="29"/>
      <c r="M205" s="17"/>
      <c r="N205" s="17"/>
      <c r="O205" s="17"/>
      <c r="P205" s="17"/>
      <c r="Q205" s="17"/>
      <c r="R205" s="17"/>
      <c r="S205" s="17"/>
      <c r="W205" t="str">
        <f t="shared" si="4"/>
        <v>FISCAL_CALENDAR_PERIOD.FLAG10</v>
      </c>
      <c r="X205" t="e">
        <f>VLOOKUP(W205,ColumnMapping[New Table.Column],1,)</f>
        <v>#N/A</v>
      </c>
      <c r="Y205" t="str">
        <f>_xlfn.XLOOKUP(Table6[[#This Row],[Table.Column]],ColumnMapping[Add Column Name],ColumnMapping[Old Table.Column],"",0,1)</f>
        <v/>
      </c>
      <c r="Z205" t="str">
        <f>_xlfn.XLOOKUP(Table6[[#This Row],[Old Table.Column]],Cobra8.6[Table.Column],Cobra8.6[TYPE],"",0,1)</f>
        <v/>
      </c>
      <c r="AA205" t="str">
        <f>_xlfn.XLOOKUP(Table6[[#This Row],[Old Table.Column]],Cobra8.6[Table.Column],Cobra8.6[LENGTH],"",0,1)</f>
        <v/>
      </c>
      <c r="AB205"/>
    </row>
    <row r="206" spans="1:28" hidden="1" x14ac:dyDescent="0.2">
      <c r="A206" t="s">
        <v>293</v>
      </c>
      <c r="B206" s="17" t="s">
        <v>364</v>
      </c>
      <c r="C206" s="17" t="s">
        <v>406</v>
      </c>
      <c r="D206" s="17">
        <v>41</v>
      </c>
      <c r="E206" s="17" t="s">
        <v>48</v>
      </c>
      <c r="F206" t="str">
        <f>VLOOKUP($E206,'Data Type Lookup'!$A$1:$C$21,2,FALSE)</f>
        <v>NVARCHAR2</v>
      </c>
      <c r="G206">
        <v>20</v>
      </c>
      <c r="H206" s="17"/>
      <c r="I206" s="29"/>
      <c r="J206" s="29"/>
      <c r="K206" s="29"/>
      <c r="L206" s="29"/>
      <c r="M206" s="17"/>
      <c r="N206" s="17"/>
      <c r="O206" s="17"/>
      <c r="P206" s="17"/>
      <c r="Q206" s="17"/>
      <c r="R206" s="17"/>
      <c r="S206" s="17"/>
      <c r="W206" t="str">
        <f t="shared" si="4"/>
        <v>FISCAL_CALENDAR_PERIOD.FLAG11</v>
      </c>
      <c r="X206" t="e">
        <f>VLOOKUP(W206,ColumnMapping[New Table.Column],1,)</f>
        <v>#N/A</v>
      </c>
      <c r="Y206" t="str">
        <f>_xlfn.XLOOKUP(Table6[[#This Row],[Table.Column]],ColumnMapping[Add Column Name],ColumnMapping[Old Table.Column],"",0,1)</f>
        <v/>
      </c>
      <c r="Z206" t="str">
        <f>_xlfn.XLOOKUP(Table6[[#This Row],[Old Table.Column]],Cobra8.6[Table.Column],Cobra8.6[TYPE],"",0,1)</f>
        <v/>
      </c>
      <c r="AA206" t="str">
        <f>_xlfn.XLOOKUP(Table6[[#This Row],[Old Table.Column]],Cobra8.6[Table.Column],Cobra8.6[LENGTH],"",0,1)</f>
        <v/>
      </c>
      <c r="AB206"/>
    </row>
    <row r="207" spans="1:28" hidden="1" x14ac:dyDescent="0.2">
      <c r="A207" t="s">
        <v>293</v>
      </c>
      <c r="B207" s="17" t="s">
        <v>364</v>
      </c>
      <c r="C207" s="17" t="s">
        <v>407</v>
      </c>
      <c r="D207" s="17">
        <v>42</v>
      </c>
      <c r="E207" s="17" t="s">
        <v>48</v>
      </c>
      <c r="F207" t="str">
        <f>VLOOKUP($E207,'Data Type Lookup'!$A$1:$C$21,2,FALSE)</f>
        <v>NVARCHAR2</v>
      </c>
      <c r="G207">
        <v>20</v>
      </c>
      <c r="H207" s="17"/>
      <c r="I207" s="29"/>
      <c r="J207" s="29"/>
      <c r="K207" s="29"/>
      <c r="L207" s="29"/>
      <c r="M207" s="17"/>
      <c r="N207" s="17"/>
      <c r="O207" s="17"/>
      <c r="P207" s="17"/>
      <c r="Q207" s="17"/>
      <c r="R207" s="17"/>
      <c r="S207" s="17"/>
      <c r="W207" t="str">
        <f t="shared" si="4"/>
        <v>FISCAL_CALENDAR_PERIOD.FLAG12</v>
      </c>
      <c r="X207" t="e">
        <f>VLOOKUP(W207,ColumnMapping[New Table.Column],1,)</f>
        <v>#N/A</v>
      </c>
      <c r="Y207" t="str">
        <f>_xlfn.XLOOKUP(Table6[[#This Row],[Table.Column]],ColumnMapping[Add Column Name],ColumnMapping[Old Table.Column],"",0,1)</f>
        <v/>
      </c>
      <c r="Z207" t="str">
        <f>_xlfn.XLOOKUP(Table6[[#This Row],[Old Table.Column]],Cobra8.6[Table.Column],Cobra8.6[TYPE],"",0,1)</f>
        <v/>
      </c>
      <c r="AA207" t="str">
        <f>_xlfn.XLOOKUP(Table6[[#This Row],[Old Table.Column]],Cobra8.6[Table.Column],Cobra8.6[LENGTH],"",0,1)</f>
        <v/>
      </c>
      <c r="AB207"/>
    </row>
    <row r="208" spans="1:28" hidden="1" x14ac:dyDescent="0.2">
      <c r="A208" t="s">
        <v>293</v>
      </c>
      <c r="B208" s="17" t="s">
        <v>364</v>
      </c>
      <c r="C208" s="17" t="s">
        <v>408</v>
      </c>
      <c r="D208" s="17">
        <v>43</v>
      </c>
      <c r="E208" s="17" t="s">
        <v>48</v>
      </c>
      <c r="F208" t="str">
        <f>VLOOKUP($E208,'Data Type Lookup'!$A$1:$C$21,2,FALSE)</f>
        <v>NVARCHAR2</v>
      </c>
      <c r="G208">
        <v>20</v>
      </c>
      <c r="H208" s="17"/>
      <c r="I208" s="29"/>
      <c r="J208" s="29"/>
      <c r="K208" s="29"/>
      <c r="L208" s="29"/>
      <c r="M208" s="17"/>
      <c r="N208" s="17"/>
      <c r="O208" s="17"/>
      <c r="P208" s="17"/>
      <c r="Q208" s="17"/>
      <c r="R208" s="17"/>
      <c r="S208" s="17"/>
      <c r="W208" t="str">
        <f t="shared" si="4"/>
        <v>FISCAL_CALENDAR_PERIOD.FLAG13</v>
      </c>
      <c r="X208" t="e">
        <f>VLOOKUP(W208,ColumnMapping[New Table.Column],1,)</f>
        <v>#N/A</v>
      </c>
      <c r="Y208" t="str">
        <f>_xlfn.XLOOKUP(Table6[[#This Row],[Table.Column]],ColumnMapping[Add Column Name],ColumnMapping[Old Table.Column],"",0,1)</f>
        <v/>
      </c>
      <c r="Z208" t="str">
        <f>_xlfn.XLOOKUP(Table6[[#This Row],[Old Table.Column]],Cobra8.6[Table.Column],Cobra8.6[TYPE],"",0,1)</f>
        <v/>
      </c>
      <c r="AA208" t="str">
        <f>_xlfn.XLOOKUP(Table6[[#This Row],[Old Table.Column]],Cobra8.6[Table.Column],Cobra8.6[LENGTH],"",0,1)</f>
        <v/>
      </c>
      <c r="AB208"/>
    </row>
    <row r="209" spans="1:28" hidden="1" x14ac:dyDescent="0.2">
      <c r="A209" t="s">
        <v>293</v>
      </c>
      <c r="B209" s="17" t="s">
        <v>364</v>
      </c>
      <c r="C209" s="17" t="s">
        <v>409</v>
      </c>
      <c r="D209" s="17">
        <v>44</v>
      </c>
      <c r="E209" s="17" t="s">
        <v>48</v>
      </c>
      <c r="F209" t="str">
        <f>VLOOKUP($E209,'Data Type Lookup'!$A$1:$C$21,2,FALSE)</f>
        <v>NVARCHAR2</v>
      </c>
      <c r="G209">
        <v>20</v>
      </c>
      <c r="H209" s="17"/>
      <c r="I209" s="29"/>
      <c r="J209" s="29"/>
      <c r="K209" s="29"/>
      <c r="L209" s="29"/>
      <c r="M209" s="17"/>
      <c r="N209" s="17"/>
      <c r="O209" s="17"/>
      <c r="P209" s="17"/>
      <c r="Q209" s="17"/>
      <c r="R209" s="17"/>
      <c r="S209" s="17"/>
      <c r="W209" t="str">
        <f t="shared" si="4"/>
        <v>FISCAL_CALENDAR_PERIOD.FLAG14</v>
      </c>
      <c r="X209" t="e">
        <f>VLOOKUP(W209,ColumnMapping[New Table.Column],1,)</f>
        <v>#N/A</v>
      </c>
      <c r="Y209" t="str">
        <f>_xlfn.XLOOKUP(Table6[[#This Row],[Table.Column]],ColumnMapping[Add Column Name],ColumnMapping[Old Table.Column],"",0,1)</f>
        <v/>
      </c>
      <c r="Z209" t="str">
        <f>_xlfn.XLOOKUP(Table6[[#This Row],[Old Table.Column]],Cobra8.6[Table.Column],Cobra8.6[TYPE],"",0,1)</f>
        <v/>
      </c>
      <c r="AA209" t="str">
        <f>_xlfn.XLOOKUP(Table6[[#This Row],[Old Table.Column]],Cobra8.6[Table.Column],Cobra8.6[LENGTH],"",0,1)</f>
        <v/>
      </c>
      <c r="AB209"/>
    </row>
    <row r="210" spans="1:28" hidden="1" x14ac:dyDescent="0.2">
      <c r="A210" t="s">
        <v>293</v>
      </c>
      <c r="B210" s="17" t="s">
        <v>364</v>
      </c>
      <c r="C210" s="17" t="s">
        <v>410</v>
      </c>
      <c r="D210" s="17">
        <v>45</v>
      </c>
      <c r="E210" s="17" t="s">
        <v>48</v>
      </c>
      <c r="F210" t="str">
        <f>VLOOKUP($E210,'Data Type Lookup'!$A$1:$C$21,2,FALSE)</f>
        <v>NVARCHAR2</v>
      </c>
      <c r="G210">
        <v>20</v>
      </c>
      <c r="H210" s="17"/>
      <c r="I210" s="29"/>
      <c r="J210" s="29"/>
      <c r="K210" s="29"/>
      <c r="L210" s="29"/>
      <c r="M210" s="17"/>
      <c r="N210" s="17"/>
      <c r="O210" s="17"/>
      <c r="P210" s="17"/>
      <c r="Q210" s="17"/>
      <c r="R210" s="17"/>
      <c r="S210" s="17"/>
      <c r="W210" t="str">
        <f t="shared" si="4"/>
        <v>FISCAL_CALENDAR_PERIOD.FLAG15</v>
      </c>
      <c r="X210" t="e">
        <f>VLOOKUP(W210,ColumnMapping[New Table.Column],1,)</f>
        <v>#N/A</v>
      </c>
      <c r="Y210" t="str">
        <f>_xlfn.XLOOKUP(Table6[[#This Row],[Table.Column]],ColumnMapping[Add Column Name],ColumnMapping[Old Table.Column],"",0,1)</f>
        <v/>
      </c>
      <c r="Z210" t="str">
        <f>_xlfn.XLOOKUP(Table6[[#This Row],[Old Table.Column]],Cobra8.6[Table.Column],Cobra8.6[TYPE],"",0,1)</f>
        <v/>
      </c>
      <c r="AA210" t="str">
        <f>_xlfn.XLOOKUP(Table6[[#This Row],[Old Table.Column]],Cobra8.6[Table.Column],Cobra8.6[LENGTH],"",0,1)</f>
        <v/>
      </c>
      <c r="AB210"/>
    </row>
    <row r="211" spans="1:28" hidden="1" x14ac:dyDescent="0.2">
      <c r="A211" t="s">
        <v>293</v>
      </c>
      <c r="B211" s="17" t="s">
        <v>364</v>
      </c>
      <c r="C211" s="17" t="s">
        <v>411</v>
      </c>
      <c r="D211" s="17">
        <v>46</v>
      </c>
      <c r="E211" s="17" t="s">
        <v>48</v>
      </c>
      <c r="F211" t="str">
        <f>VLOOKUP($E211,'Data Type Lookup'!$A$1:$C$21,2,FALSE)</f>
        <v>NVARCHAR2</v>
      </c>
      <c r="G211">
        <v>20</v>
      </c>
      <c r="H211" s="17"/>
      <c r="I211" s="29"/>
      <c r="J211" s="29"/>
      <c r="K211" s="29"/>
      <c r="L211" s="29"/>
      <c r="M211" s="17"/>
      <c r="N211" s="17"/>
      <c r="O211" s="17"/>
      <c r="P211" s="17"/>
      <c r="Q211" s="17"/>
      <c r="R211" s="17"/>
      <c r="S211" s="17"/>
      <c r="W211" t="str">
        <f t="shared" si="4"/>
        <v>FISCAL_CALENDAR_PERIOD.FLAG16</v>
      </c>
      <c r="X211" t="e">
        <f>VLOOKUP(W211,ColumnMapping[New Table.Column],1,)</f>
        <v>#N/A</v>
      </c>
      <c r="Y211" t="str">
        <f>_xlfn.XLOOKUP(Table6[[#This Row],[Table.Column]],ColumnMapping[Add Column Name],ColumnMapping[Old Table.Column],"",0,1)</f>
        <v/>
      </c>
      <c r="Z211" t="str">
        <f>_xlfn.XLOOKUP(Table6[[#This Row],[Old Table.Column]],Cobra8.6[Table.Column],Cobra8.6[TYPE],"",0,1)</f>
        <v/>
      </c>
      <c r="AA211" t="str">
        <f>_xlfn.XLOOKUP(Table6[[#This Row],[Old Table.Column]],Cobra8.6[Table.Column],Cobra8.6[LENGTH],"",0,1)</f>
        <v/>
      </c>
      <c r="AB211"/>
    </row>
    <row r="212" spans="1:28" hidden="1" x14ac:dyDescent="0.2">
      <c r="A212" t="s">
        <v>293</v>
      </c>
      <c r="B212" s="17" t="s">
        <v>364</v>
      </c>
      <c r="C212" s="17" t="s">
        <v>412</v>
      </c>
      <c r="D212" s="17">
        <v>47</v>
      </c>
      <c r="E212" s="17" t="s">
        <v>48</v>
      </c>
      <c r="F212" t="str">
        <f>VLOOKUP($E212,'Data Type Lookup'!$A$1:$C$21,2,FALSE)</f>
        <v>NVARCHAR2</v>
      </c>
      <c r="G212">
        <v>20</v>
      </c>
      <c r="H212" s="17"/>
      <c r="I212" s="29"/>
      <c r="J212" s="29"/>
      <c r="K212" s="29"/>
      <c r="L212" s="29"/>
      <c r="M212" s="17"/>
      <c r="N212" s="17"/>
      <c r="O212" s="17"/>
      <c r="P212" s="17"/>
      <c r="Q212" s="17"/>
      <c r="R212" s="17"/>
      <c r="S212" s="17"/>
      <c r="W212" t="str">
        <f t="shared" si="4"/>
        <v>FISCAL_CALENDAR_PERIOD.FLAG17</v>
      </c>
      <c r="X212" t="e">
        <f>VLOOKUP(W212,ColumnMapping[New Table.Column],1,)</f>
        <v>#N/A</v>
      </c>
      <c r="Y212" t="str">
        <f>_xlfn.XLOOKUP(Table6[[#This Row],[Table.Column]],ColumnMapping[Add Column Name],ColumnMapping[Old Table.Column],"",0,1)</f>
        <v/>
      </c>
      <c r="Z212" t="str">
        <f>_xlfn.XLOOKUP(Table6[[#This Row],[Old Table.Column]],Cobra8.6[Table.Column],Cobra8.6[TYPE],"",0,1)</f>
        <v/>
      </c>
      <c r="AA212" t="str">
        <f>_xlfn.XLOOKUP(Table6[[#This Row],[Old Table.Column]],Cobra8.6[Table.Column],Cobra8.6[LENGTH],"",0,1)</f>
        <v/>
      </c>
      <c r="AB212"/>
    </row>
    <row r="213" spans="1:28" hidden="1" x14ac:dyDescent="0.2">
      <c r="A213" t="s">
        <v>293</v>
      </c>
      <c r="B213" s="17" t="s">
        <v>364</v>
      </c>
      <c r="C213" s="17" t="s">
        <v>413</v>
      </c>
      <c r="D213" s="17">
        <v>48</v>
      </c>
      <c r="E213" s="17" t="s">
        <v>48</v>
      </c>
      <c r="F213" t="str">
        <f>VLOOKUP($E213,'Data Type Lookup'!$A$1:$C$21,2,FALSE)</f>
        <v>NVARCHAR2</v>
      </c>
      <c r="G213">
        <v>20</v>
      </c>
      <c r="H213" s="17"/>
      <c r="I213" s="29"/>
      <c r="J213" s="29"/>
      <c r="K213" s="29"/>
      <c r="L213" s="29"/>
      <c r="M213" s="17"/>
      <c r="N213" s="17"/>
      <c r="O213" s="17"/>
      <c r="P213" s="17"/>
      <c r="Q213" s="17"/>
      <c r="R213" s="17"/>
      <c r="S213" s="17"/>
      <c r="W213" t="str">
        <f t="shared" si="4"/>
        <v>FISCAL_CALENDAR_PERIOD.FLAG18</v>
      </c>
      <c r="X213" t="e">
        <f>VLOOKUP(W213,ColumnMapping[New Table.Column],1,)</f>
        <v>#N/A</v>
      </c>
      <c r="Y213" t="str">
        <f>_xlfn.XLOOKUP(Table6[[#This Row],[Table.Column]],ColumnMapping[Add Column Name],ColumnMapping[Old Table.Column],"",0,1)</f>
        <v/>
      </c>
      <c r="Z213" t="str">
        <f>_xlfn.XLOOKUP(Table6[[#This Row],[Old Table.Column]],Cobra8.6[Table.Column],Cobra8.6[TYPE],"",0,1)</f>
        <v/>
      </c>
      <c r="AA213" t="str">
        <f>_xlfn.XLOOKUP(Table6[[#This Row],[Old Table.Column]],Cobra8.6[Table.Column],Cobra8.6[LENGTH],"",0,1)</f>
        <v/>
      </c>
      <c r="AB213"/>
    </row>
    <row r="214" spans="1:28" hidden="1" x14ac:dyDescent="0.2">
      <c r="A214" t="s">
        <v>293</v>
      </c>
      <c r="B214" s="17" t="s">
        <v>364</v>
      </c>
      <c r="C214" s="17" t="s">
        <v>414</v>
      </c>
      <c r="D214" s="17">
        <v>49</v>
      </c>
      <c r="E214" s="17" t="s">
        <v>48</v>
      </c>
      <c r="F214" t="str">
        <f>VLOOKUP($E214,'Data Type Lookup'!$A$1:$C$21,2,FALSE)</f>
        <v>NVARCHAR2</v>
      </c>
      <c r="G214">
        <v>20</v>
      </c>
      <c r="H214" s="17"/>
      <c r="I214" s="29"/>
      <c r="J214" s="29"/>
      <c r="K214" s="29"/>
      <c r="L214" s="29"/>
      <c r="M214" s="17"/>
      <c r="N214" s="17"/>
      <c r="O214" s="17"/>
      <c r="P214" s="17"/>
      <c r="Q214" s="17"/>
      <c r="R214" s="17"/>
      <c r="S214" s="17"/>
      <c r="W214" t="str">
        <f t="shared" si="4"/>
        <v>FISCAL_CALENDAR_PERIOD.FLAG19</v>
      </c>
      <c r="X214" t="e">
        <f>VLOOKUP(W214,ColumnMapping[New Table.Column],1,)</f>
        <v>#N/A</v>
      </c>
      <c r="Y214" t="str">
        <f>_xlfn.XLOOKUP(Table6[[#This Row],[Table.Column]],ColumnMapping[Add Column Name],ColumnMapping[Old Table.Column],"",0,1)</f>
        <v/>
      </c>
      <c r="Z214" t="str">
        <f>_xlfn.XLOOKUP(Table6[[#This Row],[Old Table.Column]],Cobra8.6[Table.Column],Cobra8.6[TYPE],"",0,1)</f>
        <v/>
      </c>
      <c r="AA214" t="str">
        <f>_xlfn.XLOOKUP(Table6[[#This Row],[Old Table.Column]],Cobra8.6[Table.Column],Cobra8.6[LENGTH],"",0,1)</f>
        <v/>
      </c>
      <c r="AB214"/>
    </row>
    <row r="215" spans="1:28" hidden="1" x14ac:dyDescent="0.2">
      <c r="A215" t="s">
        <v>293</v>
      </c>
      <c r="B215" t="s">
        <v>415</v>
      </c>
      <c r="C215" t="s">
        <v>30</v>
      </c>
      <c r="D215">
        <v>1</v>
      </c>
      <c r="E215" t="s">
        <v>31</v>
      </c>
      <c r="F215" t="str">
        <f>VLOOKUP($E215,'Data Type Lookup'!$A$1:$C$21,2,FALSE)</f>
        <v>RAW(16)</v>
      </c>
      <c r="I215" s="32" t="s">
        <v>32</v>
      </c>
      <c r="K215" s="32" t="s">
        <v>32</v>
      </c>
      <c r="P215" t="s">
        <v>416</v>
      </c>
      <c r="Q215" t="s">
        <v>34</v>
      </c>
      <c r="R215" t="str">
        <f>VLOOKUP(E215,'Data Type Lookup'!$A$1:$C$21,3,FALSE)</f>
        <v>java.util.UUID</v>
      </c>
      <c r="S215">
        <v>3</v>
      </c>
      <c r="W215" t="str">
        <f t="shared" si="4"/>
        <v>FISCAL_CALENDAR_SET.ROW_UID</v>
      </c>
      <c r="X215" t="str">
        <f>VLOOKUP(W215,ColumnMapping[New Table.Column],1,)</f>
        <v>FISCAL_CALENDAR_SET.ROW_UID</v>
      </c>
      <c r="Y215" t="str">
        <f>_xlfn.XLOOKUP(Table6[[#This Row],[Table.Column]],ColumnMapping[Add Column Name],ColumnMapping[Old Table.Column],"",0,1)</f>
        <v/>
      </c>
      <c r="Z215" t="str">
        <f>_xlfn.XLOOKUP(Table6[[#This Row],[Old Table.Column]],Cobra8.6[Table.Column],Cobra8.6[TYPE],"",0,1)</f>
        <v/>
      </c>
      <c r="AA215" t="str">
        <f>_xlfn.XLOOKUP(Table6[[#This Row],[Old Table.Column]],Cobra8.6[Table.Column],Cobra8.6[LENGTH],"",0,1)</f>
        <v/>
      </c>
      <c r="AB215"/>
    </row>
    <row r="216" spans="1:28" hidden="1" x14ac:dyDescent="0.2">
      <c r="A216" t="s">
        <v>293</v>
      </c>
      <c r="B216" t="s">
        <v>415</v>
      </c>
      <c r="C216" t="s">
        <v>35</v>
      </c>
      <c r="D216">
        <v>2</v>
      </c>
      <c r="E216" t="s">
        <v>36</v>
      </c>
      <c r="F216" t="str">
        <f>VLOOKUP($E216,'Data Type Lookup'!$A$1:$C$21,2,FALSE)</f>
        <v>NUMBER(19,0)</v>
      </c>
      <c r="I216" s="32" t="s">
        <v>32</v>
      </c>
      <c r="J216" s="32">
        <v>0</v>
      </c>
      <c r="P216" t="s">
        <v>37</v>
      </c>
      <c r="Q216" t="s">
        <v>38</v>
      </c>
      <c r="R216" t="str">
        <f>VLOOKUP(E216,'Data Type Lookup'!$A$1:$C$21,3,FALSE)</f>
        <v>Long</v>
      </c>
      <c r="S216">
        <v>3</v>
      </c>
      <c r="W216" t="str">
        <f t="shared" si="4"/>
        <v>FISCAL_CALENDAR_SET.SEQUENCE</v>
      </c>
      <c r="X216" t="str">
        <f>VLOOKUP(W216,ColumnMapping[New Table.Column],1,)</f>
        <v>FISCAL_CALENDAR_SET.SEQUENCE</v>
      </c>
      <c r="Y216" t="str">
        <f>_xlfn.XLOOKUP(Table6[[#This Row],[Table.Column]],ColumnMapping[Add Column Name],ColumnMapping[Old Table.Column],"",0,1)</f>
        <v/>
      </c>
      <c r="Z216" t="str">
        <f>_xlfn.XLOOKUP(Table6[[#This Row],[Old Table.Column]],Cobra8.6[Table.Column],Cobra8.6[TYPE],"",0,1)</f>
        <v/>
      </c>
      <c r="AA216" t="str">
        <f>_xlfn.XLOOKUP(Table6[[#This Row],[Old Table.Column]],Cobra8.6[Table.Column],Cobra8.6[LENGTH],"",0,1)</f>
        <v/>
      </c>
      <c r="AB216"/>
    </row>
    <row r="217" spans="1:28" hidden="1" x14ac:dyDescent="0.2">
      <c r="A217" t="s">
        <v>293</v>
      </c>
      <c r="B217" t="s">
        <v>415</v>
      </c>
      <c r="C217" t="s">
        <v>353</v>
      </c>
      <c r="D217">
        <v>3</v>
      </c>
      <c r="E217" t="s">
        <v>31</v>
      </c>
      <c r="F217" t="str">
        <f>VLOOKUP($E217,'Data Type Lookup'!$A$1:$C$21,2,FALSE)</f>
        <v>RAW(16)</v>
      </c>
      <c r="I217" s="32" t="s">
        <v>32</v>
      </c>
      <c r="L217" s="32" t="s">
        <v>32</v>
      </c>
      <c r="M217" t="s">
        <v>294</v>
      </c>
      <c r="N217" t="s">
        <v>30</v>
      </c>
      <c r="O217" t="s">
        <v>41</v>
      </c>
      <c r="P217" t="s">
        <v>295</v>
      </c>
      <c r="Q217" t="s">
        <v>354</v>
      </c>
      <c r="R217" t="str">
        <f>VLOOKUP(E217,'Data Type Lookup'!$A$1:$C$21,3,FALSE)</f>
        <v>java.util.UUID</v>
      </c>
      <c r="S217">
        <v>1</v>
      </c>
      <c r="W217" t="str">
        <f t="shared" si="4"/>
        <v>FISCAL_CALENDAR_SET.FISCAL_CALENDAR_UID</v>
      </c>
      <c r="X217" t="str">
        <f>VLOOKUP(W217,ColumnMapping[New Table.Column],1,)</f>
        <v>FISCAL_CALENDAR_SET.FISCAL_CALENDAR_UID</v>
      </c>
      <c r="Y217" t="str">
        <f>_xlfn.XLOOKUP(Table6[[#This Row],[Table.Column]],ColumnMapping[Add Column Name],ColumnMapping[Old Table.Column],"",0,1)</f>
        <v/>
      </c>
      <c r="Z217" t="str">
        <f>_xlfn.XLOOKUP(Table6[[#This Row],[Old Table.Column]],Cobra8.6[Table.Column],Cobra8.6[TYPE],"",0,1)</f>
        <v/>
      </c>
      <c r="AA217" t="str">
        <f>_xlfn.XLOOKUP(Table6[[#This Row],[Old Table.Column]],Cobra8.6[Table.Column],Cobra8.6[LENGTH],"",0,1)</f>
        <v/>
      </c>
      <c r="AB217"/>
    </row>
    <row r="218" spans="1:28" hidden="1" x14ac:dyDescent="0.2">
      <c r="A218" t="s">
        <v>293</v>
      </c>
      <c r="B218" t="s">
        <v>415</v>
      </c>
      <c r="C218" t="s">
        <v>417</v>
      </c>
      <c r="D218">
        <v>4</v>
      </c>
      <c r="E218" t="s">
        <v>48</v>
      </c>
      <c r="F218" t="str">
        <f>VLOOKUP($E218,'Data Type Lookup'!$A$1:$C$21,2,FALSE)</f>
        <v>NVARCHAR2</v>
      </c>
      <c r="G218">
        <v>5</v>
      </c>
      <c r="I218" s="32" t="s">
        <v>32</v>
      </c>
      <c r="L218" s="32" t="s">
        <v>32</v>
      </c>
      <c r="P218" t="s">
        <v>418</v>
      </c>
      <c r="Q218" t="s">
        <v>419</v>
      </c>
      <c r="R218" t="str">
        <f>VLOOKUP(E218,'Data Type Lookup'!$A$1:$C$21,3,FALSE)</f>
        <v>String</v>
      </c>
      <c r="V218" t="s">
        <v>420</v>
      </c>
      <c r="W218" t="str">
        <f t="shared" si="4"/>
        <v>FISCAL_CALENDAR_SET.SET_ID</v>
      </c>
      <c r="X218" t="str">
        <f>VLOOKUP(W218,ColumnMapping[New Table.Column],1,)</f>
        <v>FISCAL_CALENDAR_SET.SET_ID</v>
      </c>
      <c r="Y218" t="str">
        <f>_xlfn.XLOOKUP(Table6[[#This Row],[Table.Column]],ColumnMapping[Add Column Name],ColumnMapping[Old Table.Column],"",0,1)</f>
        <v/>
      </c>
      <c r="Z218" t="str">
        <f>_xlfn.XLOOKUP(Table6[[#This Row],[Old Table.Column]],Cobra8.6[Table.Column],Cobra8.6[TYPE],"",0,1)</f>
        <v/>
      </c>
      <c r="AA218" t="str">
        <f>_xlfn.XLOOKUP(Table6[[#This Row],[Old Table.Column]],Cobra8.6[Table.Column],Cobra8.6[LENGTH],"",0,1)</f>
        <v/>
      </c>
      <c r="AB218"/>
    </row>
    <row r="219" spans="1:28" hidden="1" x14ac:dyDescent="0.2">
      <c r="A219" t="s">
        <v>293</v>
      </c>
      <c r="B219" t="s">
        <v>415</v>
      </c>
      <c r="C219" t="s">
        <v>421</v>
      </c>
      <c r="D219">
        <v>5</v>
      </c>
      <c r="E219" t="s">
        <v>48</v>
      </c>
      <c r="F219" t="str">
        <f>VLOOKUP($E219,'Data Type Lookup'!$A$1:$C$21,2,FALSE)</f>
        <v>NVARCHAR2</v>
      </c>
      <c r="G219">
        <v>20</v>
      </c>
      <c r="J219" s="37" t="s">
        <v>422</v>
      </c>
      <c r="P219" t="s">
        <v>423</v>
      </c>
      <c r="Q219" t="s">
        <v>424</v>
      </c>
      <c r="R219" t="str">
        <f>VLOOKUP(E219,'Data Type Lookup'!$A$1:$C$21,3,FALSE)</f>
        <v>String</v>
      </c>
      <c r="S219" s="6"/>
      <c r="U219" s="6"/>
      <c r="W219" t="str">
        <f t="shared" si="4"/>
        <v>FISCAL_CALENDAR_SET.LABEL_FORMAT</v>
      </c>
      <c r="X219" t="str">
        <f>VLOOKUP(W219,ColumnMapping[New Table.Column],1,)</f>
        <v>FISCAL_CALENDAR_SET.LABEL_FORMAT</v>
      </c>
      <c r="Y219" t="str">
        <f>_xlfn.XLOOKUP(Table6[[#This Row],[Table.Column]],ColumnMapping[Add Column Name],ColumnMapping[Old Table.Column],"",0,1)</f>
        <v/>
      </c>
      <c r="Z219" t="str">
        <f>_xlfn.XLOOKUP(Table6[[#This Row],[Old Table.Column]],Cobra8.6[Table.Column],Cobra8.6[TYPE],"",0,1)</f>
        <v/>
      </c>
      <c r="AA219" t="str">
        <f>_xlfn.XLOOKUP(Table6[[#This Row],[Old Table.Column]],Cobra8.6[Table.Column],Cobra8.6[LENGTH],"",0,1)</f>
        <v/>
      </c>
      <c r="AB219"/>
    </row>
    <row r="220" spans="1:28" hidden="1" x14ac:dyDescent="0.2">
      <c r="A220" t="s">
        <v>293</v>
      </c>
      <c r="B220" t="s">
        <v>415</v>
      </c>
      <c r="C220" t="s">
        <v>425</v>
      </c>
      <c r="D220">
        <v>5</v>
      </c>
      <c r="E220" t="s">
        <v>48</v>
      </c>
      <c r="F220" t="str">
        <f>VLOOKUP($E220,'Data Type Lookup'!$A$1:$C$21,2,FALSE)</f>
        <v>NVARCHAR2</v>
      </c>
      <c r="G220">
        <v>15</v>
      </c>
      <c r="J220" s="37"/>
      <c r="P220" t="s">
        <v>426</v>
      </c>
      <c r="Q220" t="s">
        <v>427</v>
      </c>
      <c r="R220" t="str">
        <f>VLOOKUP(E220,'Data Type Lookup'!$A$1:$C$21,3,FALSE)</f>
        <v>String</v>
      </c>
      <c r="S220" s="6"/>
      <c r="U220" s="6"/>
      <c r="W220" t="str">
        <f t="shared" si="4"/>
        <v>FISCAL_CALENDAR_SET.LABEL_VALUE</v>
      </c>
      <c r="X220" t="str">
        <f>VLOOKUP(W220,ColumnMapping[New Table.Column],1,)</f>
        <v>FISCAL_CALENDAR_SET.LABEL_VALUE</v>
      </c>
      <c r="Y220" t="str">
        <f>_xlfn.XLOOKUP(Table6[[#This Row],[Table.Column]],ColumnMapping[Add Column Name],ColumnMapping[Old Table.Column],"",0,1)</f>
        <v/>
      </c>
      <c r="Z220" t="str">
        <f>_xlfn.XLOOKUP(Table6[[#This Row],[Old Table.Column]],Cobra8.6[Table.Column],Cobra8.6[TYPE],"",0,1)</f>
        <v/>
      </c>
      <c r="AA220" t="str">
        <f>_xlfn.XLOOKUP(Table6[[#This Row],[Old Table.Column]],Cobra8.6[Table.Column],Cobra8.6[LENGTH],"",0,1)</f>
        <v/>
      </c>
      <c r="AB220"/>
    </row>
    <row r="221" spans="1:28" hidden="1" x14ac:dyDescent="0.2">
      <c r="A221" t="s">
        <v>293</v>
      </c>
      <c r="B221" t="s">
        <v>415</v>
      </c>
      <c r="C221" t="s">
        <v>61</v>
      </c>
      <c r="D221">
        <v>6</v>
      </c>
      <c r="E221" t="s">
        <v>31</v>
      </c>
      <c r="F221" t="str">
        <f>VLOOKUP($E221,'Data Type Lookup'!$A$1:$C$21,2,FALSE)</f>
        <v>RAW(16)</v>
      </c>
      <c r="I221" s="32" t="s">
        <v>32</v>
      </c>
      <c r="P221" t="s">
        <v>428</v>
      </c>
      <c r="Q221" t="s">
        <v>63</v>
      </c>
      <c r="R221" t="str">
        <f>VLOOKUP(E221,'Data Type Lookup'!$A$1:$C$21,3,FALSE)</f>
        <v>java.util.UUID</v>
      </c>
      <c r="S221">
        <v>2</v>
      </c>
      <c r="W221" t="str">
        <f t="shared" si="4"/>
        <v>FISCAL_CALENDAR_SET.CREATED_BY_USER_UID</v>
      </c>
      <c r="X221" t="str">
        <f>VLOOKUP(W221,ColumnMapping[New Table.Column],1,)</f>
        <v>FISCAL_CALENDAR_SET.CREATED_BY_USER_UID</v>
      </c>
      <c r="Y221" t="str">
        <f>_xlfn.XLOOKUP(Table6[[#This Row],[Table.Column]],ColumnMapping[Add Column Name],ColumnMapping[Old Table.Column],"",0,1)</f>
        <v/>
      </c>
      <c r="Z221" t="str">
        <f>_xlfn.XLOOKUP(Table6[[#This Row],[Old Table.Column]],Cobra8.6[Table.Column],Cobra8.6[TYPE],"",0,1)</f>
        <v/>
      </c>
      <c r="AA221" t="str">
        <f>_xlfn.XLOOKUP(Table6[[#This Row],[Old Table.Column]],Cobra8.6[Table.Column],Cobra8.6[LENGTH],"",0,1)</f>
        <v/>
      </c>
      <c r="AB221"/>
    </row>
    <row r="222" spans="1:28" hidden="1" x14ac:dyDescent="0.2">
      <c r="A222" t="s">
        <v>293</v>
      </c>
      <c r="B222" t="s">
        <v>415</v>
      </c>
      <c r="C222" t="s">
        <v>64</v>
      </c>
      <c r="D222">
        <v>7</v>
      </c>
      <c r="E222" t="s">
        <v>65</v>
      </c>
      <c r="F222" t="str">
        <f>VLOOKUP($E222,'Data Type Lookup'!$A$1:$C$21,2,FALSE)</f>
        <v>TIMESTAMP</v>
      </c>
      <c r="I222" s="32" t="s">
        <v>32</v>
      </c>
      <c r="P222" t="s">
        <v>429</v>
      </c>
      <c r="Q222" t="s">
        <v>67</v>
      </c>
      <c r="R222" t="str">
        <f>VLOOKUP(E222,'Data Type Lookup'!$A$1:$C$21,3,FALSE)</f>
        <v>java.time.Instant</v>
      </c>
      <c r="S222">
        <v>2</v>
      </c>
      <c r="W222" t="str">
        <f t="shared" si="4"/>
        <v>FISCAL_CALENDAR_SET.CREATED_DATE</v>
      </c>
      <c r="X222" t="str">
        <f>VLOOKUP(W222,ColumnMapping[New Table.Column],1,)</f>
        <v>FISCAL_CALENDAR_SET.CREATED_DATE</v>
      </c>
      <c r="Y222" t="str">
        <f>_xlfn.XLOOKUP(Table6[[#This Row],[Table.Column]],ColumnMapping[Add Column Name],ColumnMapping[Old Table.Column],"",0,1)</f>
        <v/>
      </c>
      <c r="Z222" t="str">
        <f>_xlfn.XLOOKUP(Table6[[#This Row],[Old Table.Column]],Cobra8.6[Table.Column],Cobra8.6[TYPE],"",0,1)</f>
        <v/>
      </c>
      <c r="AA222" t="str">
        <f>_xlfn.XLOOKUP(Table6[[#This Row],[Old Table.Column]],Cobra8.6[Table.Column],Cobra8.6[LENGTH],"",0,1)</f>
        <v/>
      </c>
      <c r="AB222"/>
    </row>
    <row r="223" spans="1:28" hidden="1" x14ac:dyDescent="0.2">
      <c r="A223" t="s">
        <v>293</v>
      </c>
      <c r="B223" t="s">
        <v>415</v>
      </c>
      <c r="C223" t="s">
        <v>68</v>
      </c>
      <c r="D223">
        <v>8</v>
      </c>
      <c r="E223" t="s">
        <v>31</v>
      </c>
      <c r="F223" t="str">
        <f>VLOOKUP($E223,'Data Type Lookup'!$A$1:$C$21,2,FALSE)</f>
        <v>RAW(16)</v>
      </c>
      <c r="I223" s="32" t="s">
        <v>32</v>
      </c>
      <c r="P223" t="s">
        <v>430</v>
      </c>
      <c r="Q223" t="s">
        <v>70</v>
      </c>
      <c r="R223" t="str">
        <f>VLOOKUP(E223,'Data Type Lookup'!$A$1:$C$21,3,FALSE)</f>
        <v>java.util.UUID</v>
      </c>
      <c r="S223">
        <v>2</v>
      </c>
      <c r="W223" t="str">
        <f t="shared" si="4"/>
        <v>FISCAL_CALENDAR_SET.LAST_MODIFIED_BY_USER_UID</v>
      </c>
      <c r="X223" t="str">
        <f>VLOOKUP(W223,ColumnMapping[New Table.Column],1,)</f>
        <v>FISCAL_CALENDAR_SET.LAST_MODIFIED_BY_USER_UID</v>
      </c>
      <c r="Y223" t="str">
        <f>_xlfn.XLOOKUP(Table6[[#This Row],[Table.Column]],ColumnMapping[Add Column Name],ColumnMapping[Old Table.Column],"",0,1)</f>
        <v/>
      </c>
      <c r="Z223" t="str">
        <f>_xlfn.XLOOKUP(Table6[[#This Row],[Old Table.Column]],Cobra8.6[Table.Column],Cobra8.6[TYPE],"",0,1)</f>
        <v/>
      </c>
      <c r="AA223" t="str">
        <f>_xlfn.XLOOKUP(Table6[[#This Row],[Old Table.Column]],Cobra8.6[Table.Column],Cobra8.6[LENGTH],"",0,1)</f>
        <v/>
      </c>
      <c r="AB223"/>
    </row>
    <row r="224" spans="1:28" hidden="1" x14ac:dyDescent="0.2">
      <c r="A224" t="s">
        <v>293</v>
      </c>
      <c r="B224" t="s">
        <v>415</v>
      </c>
      <c r="C224" t="s">
        <v>71</v>
      </c>
      <c r="D224">
        <v>9</v>
      </c>
      <c r="E224" t="s">
        <v>65</v>
      </c>
      <c r="F224" t="str">
        <f>VLOOKUP($E224,'Data Type Lookup'!$A$1:$C$21,2,FALSE)</f>
        <v>TIMESTAMP</v>
      </c>
      <c r="I224" s="32" t="s">
        <v>32</v>
      </c>
      <c r="P224" t="s">
        <v>431</v>
      </c>
      <c r="Q224" t="s">
        <v>73</v>
      </c>
      <c r="R224" t="str">
        <f>VLOOKUP(E224,'Data Type Lookup'!$A$1:$C$21,3,FALSE)</f>
        <v>java.time.Instant</v>
      </c>
      <c r="S224">
        <v>2</v>
      </c>
      <c r="W224" t="str">
        <f t="shared" si="4"/>
        <v>FISCAL_CALENDAR_SET.LAST_MODIFIED_DATE</v>
      </c>
      <c r="X224" t="str">
        <f>VLOOKUP(W224,ColumnMapping[New Table.Column],1,)</f>
        <v>FISCAL_CALENDAR_SET.LAST_MODIFIED_DATE</v>
      </c>
      <c r="Y224" t="str">
        <f>_xlfn.XLOOKUP(Table6[[#This Row],[Table.Column]],ColumnMapping[Add Column Name],ColumnMapping[Old Table.Column],"",0,1)</f>
        <v/>
      </c>
      <c r="Z224" t="str">
        <f>_xlfn.XLOOKUP(Table6[[#This Row],[Old Table.Column]],Cobra8.6[Table.Column],Cobra8.6[TYPE],"",0,1)</f>
        <v/>
      </c>
      <c r="AA224" t="str">
        <f>_xlfn.XLOOKUP(Table6[[#This Row],[Old Table.Column]],Cobra8.6[Table.Column],Cobra8.6[LENGTH],"",0,1)</f>
        <v/>
      </c>
      <c r="AB224"/>
    </row>
    <row r="225" spans="1:28" hidden="1" x14ac:dyDescent="0.2">
      <c r="A225" t="s">
        <v>293</v>
      </c>
      <c r="B225" t="s">
        <v>415</v>
      </c>
      <c r="C225" t="s">
        <v>15</v>
      </c>
      <c r="D225">
        <v>10</v>
      </c>
      <c r="E225" t="s">
        <v>48</v>
      </c>
      <c r="F225" t="str">
        <f>VLOOKUP($E225,'Data Type Lookup'!$A$1:$C$21,2,FALSE)</f>
        <v>NVARCHAR2</v>
      </c>
      <c r="G225">
        <v>256</v>
      </c>
      <c r="P225" t="s">
        <v>432</v>
      </c>
      <c r="Q225" t="s">
        <v>75</v>
      </c>
      <c r="R225" t="str">
        <f>VLOOKUP(E225,'Data Type Lookup'!$A$1:$C$21,3,FALSE)</f>
        <v>String</v>
      </c>
      <c r="W225" t="str">
        <f t="shared" si="4"/>
        <v>FISCAL_CALENDAR_SET.DESCRIPTION</v>
      </c>
      <c r="X225" t="str">
        <f>VLOOKUP(W225,ColumnMapping[New Table.Column],1,)</f>
        <v>FISCAL_CALENDAR_SET.DESCRIPTION</v>
      </c>
      <c r="Y225" t="str">
        <f>_xlfn.XLOOKUP(Table6[[#This Row],[Table.Column]],ColumnMapping[Add Column Name],ColumnMapping[Old Table.Column],"",0,1)</f>
        <v/>
      </c>
      <c r="Z225" t="str">
        <f>_xlfn.XLOOKUP(Table6[[#This Row],[Old Table.Column]],Cobra8.6[Table.Column],Cobra8.6[TYPE],"",0,1)</f>
        <v/>
      </c>
      <c r="AA225" t="str">
        <f>_xlfn.XLOOKUP(Table6[[#This Row],[Old Table.Column]],Cobra8.6[Table.Column],Cobra8.6[LENGTH],"",0,1)</f>
        <v/>
      </c>
      <c r="AB225"/>
    </row>
    <row r="226" spans="1:28" hidden="1" x14ac:dyDescent="0.2">
      <c r="A226" t="s">
        <v>293</v>
      </c>
      <c r="B226" t="s">
        <v>433</v>
      </c>
      <c r="C226" t="s">
        <v>30</v>
      </c>
      <c r="D226">
        <v>1</v>
      </c>
      <c r="E226" t="s">
        <v>31</v>
      </c>
      <c r="F226" t="str">
        <f>VLOOKUP($E226,'Data Type Lookup'!$A$1:$C$21,2,FALSE)</f>
        <v>RAW(16)</v>
      </c>
      <c r="I226" s="32" t="s">
        <v>32</v>
      </c>
      <c r="K226" s="32" t="s">
        <v>32</v>
      </c>
      <c r="P226" t="s">
        <v>434</v>
      </c>
      <c r="Q226" t="s">
        <v>34</v>
      </c>
      <c r="R226" t="str">
        <f>VLOOKUP(E226,'Data Type Lookup'!$A$1:$C$21,3,FALSE)</f>
        <v>java.util.UUID</v>
      </c>
      <c r="S226">
        <v>3</v>
      </c>
      <c r="W226" t="str">
        <f t="shared" si="4"/>
        <v>FISCAL_CALENDAR_SET_LABEL.ROW_UID</v>
      </c>
      <c r="X226" t="str">
        <f>VLOOKUP(W226,ColumnMapping[New Table.Column],1,)</f>
        <v>FISCAL_CALENDAR_SET_LABEL.ROW_UID</v>
      </c>
      <c r="Y226" t="str">
        <f>_xlfn.XLOOKUP(Table6[[#This Row],[Table.Column]],ColumnMapping[Add Column Name],ColumnMapping[Old Table.Column],"",0,1)</f>
        <v/>
      </c>
      <c r="Z226" t="str">
        <f>_xlfn.XLOOKUP(Table6[[#This Row],[Old Table.Column]],Cobra8.6[Table.Column],Cobra8.6[TYPE],"",0,1)</f>
        <v/>
      </c>
      <c r="AA226" t="str">
        <f>_xlfn.XLOOKUP(Table6[[#This Row],[Old Table.Column]],Cobra8.6[Table.Column],Cobra8.6[LENGTH],"",0,1)</f>
        <v/>
      </c>
      <c r="AB226"/>
    </row>
    <row r="227" spans="1:28" hidden="1" x14ac:dyDescent="0.2">
      <c r="A227" t="s">
        <v>293</v>
      </c>
      <c r="B227" t="s">
        <v>433</v>
      </c>
      <c r="C227" t="s">
        <v>35</v>
      </c>
      <c r="D227">
        <v>2</v>
      </c>
      <c r="E227" t="s">
        <v>36</v>
      </c>
      <c r="F227" t="str">
        <f>VLOOKUP($E227,'Data Type Lookup'!$A$1:$C$21,2,FALSE)</f>
        <v>NUMBER(19,0)</v>
      </c>
      <c r="I227" s="32" t="s">
        <v>32</v>
      </c>
      <c r="J227" s="32">
        <v>0</v>
      </c>
      <c r="P227" t="s">
        <v>37</v>
      </c>
      <c r="Q227" t="s">
        <v>38</v>
      </c>
      <c r="R227" t="str">
        <f>VLOOKUP(E227,'Data Type Lookup'!$A$1:$C$21,3,FALSE)</f>
        <v>Long</v>
      </c>
      <c r="S227">
        <v>3</v>
      </c>
      <c r="W227" t="str">
        <f t="shared" si="4"/>
        <v>FISCAL_CALENDAR_SET_LABEL.SEQUENCE</v>
      </c>
      <c r="X227" t="str">
        <f>VLOOKUP(W227,ColumnMapping[New Table.Column],1,)</f>
        <v>FISCAL_CALENDAR_SET_LABEL.SEQUENCE</v>
      </c>
      <c r="Y227" t="str">
        <f>_xlfn.XLOOKUP(Table6[[#This Row],[Table.Column]],ColumnMapping[Add Column Name],ColumnMapping[Old Table.Column],"",0,1)</f>
        <v/>
      </c>
      <c r="Z227" t="str">
        <f>_xlfn.XLOOKUP(Table6[[#This Row],[Old Table.Column]],Cobra8.6[Table.Column],Cobra8.6[TYPE],"",0,1)</f>
        <v/>
      </c>
      <c r="AA227" t="str">
        <f>_xlfn.XLOOKUP(Table6[[#This Row],[Old Table.Column]],Cobra8.6[Table.Column],Cobra8.6[LENGTH],"",0,1)</f>
        <v/>
      </c>
      <c r="AB227"/>
    </row>
    <row r="228" spans="1:28" hidden="1" x14ac:dyDescent="0.2">
      <c r="A228" t="s">
        <v>293</v>
      </c>
      <c r="B228" t="s">
        <v>433</v>
      </c>
      <c r="C228" t="s">
        <v>435</v>
      </c>
      <c r="D228">
        <v>4</v>
      </c>
      <c r="E228" t="s">
        <v>31</v>
      </c>
      <c r="F228" t="str">
        <f>VLOOKUP($E228,'Data Type Lookup'!$A$1:$C$21,2,FALSE)</f>
        <v>RAW(16)</v>
      </c>
      <c r="I228" s="32" t="s">
        <v>32</v>
      </c>
      <c r="L228" s="32" t="s">
        <v>32</v>
      </c>
      <c r="M228" t="s">
        <v>415</v>
      </c>
      <c r="N228" t="s">
        <v>30</v>
      </c>
      <c r="O228" t="s">
        <v>41</v>
      </c>
      <c r="P228" t="s">
        <v>416</v>
      </c>
      <c r="Q228" t="s">
        <v>436</v>
      </c>
      <c r="R228" t="str">
        <f>VLOOKUP(E228,'Data Type Lookup'!$A$1:$C$21,3,FALSE)</f>
        <v>java.util.UUID</v>
      </c>
      <c r="S228">
        <v>1</v>
      </c>
      <c r="W228" t="str">
        <f t="shared" si="4"/>
        <v>FISCAL_CALENDAR_SET_LABEL.FISCAL_CALENDAR_SET_UID</v>
      </c>
      <c r="X228" t="str">
        <f>VLOOKUP(W228,ColumnMapping[New Table.Column],1,)</f>
        <v>FISCAL_CALENDAR_SET_LABEL.FISCAL_CALENDAR_SET_UID</v>
      </c>
      <c r="Y228" t="str">
        <f>_xlfn.XLOOKUP(Table6[[#This Row],[Table.Column]],ColumnMapping[Add Column Name],ColumnMapping[Old Table.Column],"",0,1)</f>
        <v/>
      </c>
      <c r="Z228" t="str">
        <f>_xlfn.XLOOKUP(Table6[[#This Row],[Old Table.Column]],Cobra8.6[Table.Column],Cobra8.6[TYPE],"",0,1)</f>
        <v/>
      </c>
      <c r="AA228" t="str">
        <f>_xlfn.XLOOKUP(Table6[[#This Row],[Old Table.Column]],Cobra8.6[Table.Column],Cobra8.6[LENGTH],"",0,1)</f>
        <v/>
      </c>
      <c r="AB228"/>
    </row>
    <row r="229" spans="1:28" hidden="1" x14ac:dyDescent="0.2">
      <c r="A229" t="s">
        <v>293</v>
      </c>
      <c r="B229" t="s">
        <v>433</v>
      </c>
      <c r="C229" t="s">
        <v>437</v>
      </c>
      <c r="D229">
        <v>5</v>
      </c>
      <c r="E229" t="s">
        <v>31</v>
      </c>
      <c r="F229" t="str">
        <f>VLOOKUP($E229,'Data Type Lookup'!$A$1:$C$21,2,FALSE)</f>
        <v>RAW(16)</v>
      </c>
      <c r="I229" s="32" t="s">
        <v>32</v>
      </c>
      <c r="L229" s="32" t="s">
        <v>32</v>
      </c>
      <c r="M229" t="s">
        <v>364</v>
      </c>
      <c r="N229" t="s">
        <v>30</v>
      </c>
      <c r="O229" t="s">
        <v>41</v>
      </c>
      <c r="P229" t="s">
        <v>438</v>
      </c>
      <c r="Q229" t="s">
        <v>439</v>
      </c>
      <c r="R229" t="str">
        <f>VLOOKUP(E229,'Data Type Lookup'!$A$1:$C$21,3,FALSE)</f>
        <v>java.util.UUID</v>
      </c>
      <c r="S229">
        <v>1</v>
      </c>
      <c r="W229" t="str">
        <f t="shared" si="4"/>
        <v>FISCAL_CALENDAR_SET_LABEL.FISCAL_CALENDAR_PERIOD_UID</v>
      </c>
      <c r="X229" t="str">
        <f>VLOOKUP(W229,ColumnMapping[New Table.Column],1,)</f>
        <v>FISCAL_CALENDAR_SET_LABEL.FISCAL_CALENDAR_PERIOD_UID</v>
      </c>
      <c r="Y229" t="str">
        <f>_xlfn.XLOOKUP(Table6[[#This Row],[Table.Column]],ColumnMapping[Add Column Name],ColumnMapping[Old Table.Column],"",0,1)</f>
        <v/>
      </c>
      <c r="Z229" t="str">
        <f>_xlfn.XLOOKUP(Table6[[#This Row],[Old Table.Column]],Cobra8.6[Table.Column],Cobra8.6[TYPE],"",0,1)</f>
        <v/>
      </c>
      <c r="AA229" t="str">
        <f>_xlfn.XLOOKUP(Table6[[#This Row],[Old Table.Column]],Cobra8.6[Table.Column],Cobra8.6[LENGTH],"",0,1)</f>
        <v/>
      </c>
      <c r="AB229"/>
    </row>
    <row r="230" spans="1:28" hidden="1" x14ac:dyDescent="0.2">
      <c r="A230" t="s">
        <v>293</v>
      </c>
      <c r="B230" t="s">
        <v>433</v>
      </c>
      <c r="C230" t="s">
        <v>440</v>
      </c>
      <c r="D230">
        <v>6</v>
      </c>
      <c r="E230" t="s">
        <v>48</v>
      </c>
      <c r="F230" t="str">
        <f>VLOOKUP($E230,'Data Type Lookup'!$A$1:$C$21,2,FALSE)</f>
        <v>NVARCHAR2</v>
      </c>
      <c r="G230">
        <v>20</v>
      </c>
      <c r="L230" s="32" t="s">
        <v>32</v>
      </c>
      <c r="P230" t="s">
        <v>441</v>
      </c>
      <c r="Q230" t="s">
        <v>442</v>
      </c>
      <c r="R230" t="str">
        <f>VLOOKUP(E230,'Data Type Lookup'!$A$1:$C$21,3,FALSE)</f>
        <v>String</v>
      </c>
      <c r="W230" t="str">
        <f t="shared" si="4"/>
        <v>FISCAL_CALENDAR_SET_LABEL.LABEL</v>
      </c>
      <c r="X230" t="str">
        <f>VLOOKUP(W230,ColumnMapping[New Table.Column],1,)</f>
        <v>FISCAL_CALENDAR_SET_LABEL.LABEL</v>
      </c>
      <c r="Y230" t="str">
        <f>_xlfn.XLOOKUP(Table6[[#This Row],[Table.Column]],ColumnMapping[Add Column Name],ColumnMapping[Old Table.Column],"",0,1)</f>
        <v/>
      </c>
      <c r="Z230" t="str">
        <f>_xlfn.XLOOKUP(Table6[[#This Row],[Old Table.Column]],Cobra8.6[Table.Column],Cobra8.6[TYPE],"",0,1)</f>
        <v/>
      </c>
      <c r="AA230" t="str">
        <f>_xlfn.XLOOKUP(Table6[[#This Row],[Old Table.Column]],Cobra8.6[Table.Column],Cobra8.6[LENGTH],"",0,1)</f>
        <v/>
      </c>
      <c r="AB230"/>
    </row>
    <row r="231" spans="1:28" hidden="1" x14ac:dyDescent="0.2">
      <c r="A231" t="s">
        <v>293</v>
      </c>
      <c r="B231" t="s">
        <v>433</v>
      </c>
      <c r="C231" t="s">
        <v>443</v>
      </c>
      <c r="D231">
        <v>7</v>
      </c>
      <c r="E231" t="s">
        <v>86</v>
      </c>
      <c r="F231" t="str">
        <f>VLOOKUP($E231,'Data Type Lookup'!$A$1:$C$21,2,FALSE)</f>
        <v>VARCHAR2</v>
      </c>
      <c r="G231">
        <v>1</v>
      </c>
      <c r="P231" t="s">
        <v>444</v>
      </c>
      <c r="Q231" t="s">
        <v>445</v>
      </c>
      <c r="R231" t="str">
        <f>VLOOKUP(E231,'Data Type Lookup'!$A$1:$C$21,3,FALSE)</f>
        <v>String</v>
      </c>
      <c r="W231" t="str">
        <f t="shared" si="4"/>
        <v>FISCAL_CALENDAR_SET_LABEL.FLAG</v>
      </c>
      <c r="X231" t="str">
        <f>VLOOKUP(W231,ColumnMapping[New Table.Column],1,)</f>
        <v>FISCAL_CALENDAR_SET_LABEL.FLAG</v>
      </c>
      <c r="Y231" t="str">
        <f>_xlfn.XLOOKUP(Table6[[#This Row],[Table.Column]],ColumnMapping[Add Column Name],ColumnMapping[Old Table.Column],"",0,1)</f>
        <v/>
      </c>
      <c r="Z231" t="str">
        <f>_xlfn.XLOOKUP(Table6[[#This Row],[Old Table.Column]],Cobra8.6[Table.Column],Cobra8.6[TYPE],"",0,1)</f>
        <v/>
      </c>
      <c r="AA231" t="str">
        <f>_xlfn.XLOOKUP(Table6[[#This Row],[Old Table.Column]],Cobra8.6[Table.Column],Cobra8.6[LENGTH],"",0,1)</f>
        <v/>
      </c>
      <c r="AB231"/>
    </row>
    <row r="232" spans="1:28" hidden="1" x14ac:dyDescent="0.2">
      <c r="A232" t="s">
        <v>293</v>
      </c>
      <c r="B232" t="s">
        <v>433</v>
      </c>
      <c r="C232" t="s">
        <v>61</v>
      </c>
      <c r="D232">
        <v>8</v>
      </c>
      <c r="E232" t="s">
        <v>31</v>
      </c>
      <c r="F232" t="str">
        <f>VLOOKUP($E232,'Data Type Lookup'!$A$1:$C$21,2,FALSE)</f>
        <v>RAW(16)</v>
      </c>
      <c r="I232" s="32" t="s">
        <v>32</v>
      </c>
      <c r="P232" t="s">
        <v>446</v>
      </c>
      <c r="Q232" t="s">
        <v>63</v>
      </c>
      <c r="R232" t="str">
        <f>VLOOKUP(E232,'Data Type Lookup'!$A$1:$C$21,3,FALSE)</f>
        <v>java.util.UUID</v>
      </c>
      <c r="S232">
        <v>2</v>
      </c>
      <c r="W232" t="str">
        <f t="shared" si="4"/>
        <v>FISCAL_CALENDAR_SET_LABEL.CREATED_BY_USER_UID</v>
      </c>
      <c r="X232" t="str">
        <f>VLOOKUP(W232,ColumnMapping[New Table.Column],1,)</f>
        <v>FISCAL_CALENDAR_SET_LABEL.CREATED_BY_USER_UID</v>
      </c>
      <c r="Y232" t="str">
        <f>_xlfn.XLOOKUP(Table6[[#This Row],[Table.Column]],ColumnMapping[Add Column Name],ColumnMapping[Old Table.Column],"",0,1)</f>
        <v/>
      </c>
      <c r="Z232" t="str">
        <f>_xlfn.XLOOKUP(Table6[[#This Row],[Old Table.Column]],Cobra8.6[Table.Column],Cobra8.6[TYPE],"",0,1)</f>
        <v/>
      </c>
      <c r="AA232" t="str">
        <f>_xlfn.XLOOKUP(Table6[[#This Row],[Old Table.Column]],Cobra8.6[Table.Column],Cobra8.6[LENGTH],"",0,1)</f>
        <v/>
      </c>
      <c r="AB232"/>
    </row>
    <row r="233" spans="1:28" hidden="1" x14ac:dyDescent="0.2">
      <c r="A233" t="s">
        <v>293</v>
      </c>
      <c r="B233" t="s">
        <v>433</v>
      </c>
      <c r="C233" t="s">
        <v>64</v>
      </c>
      <c r="D233">
        <v>9</v>
      </c>
      <c r="E233" t="s">
        <v>65</v>
      </c>
      <c r="F233" t="str">
        <f>VLOOKUP($E233,'Data Type Lookup'!$A$1:$C$21,2,FALSE)</f>
        <v>TIMESTAMP</v>
      </c>
      <c r="I233" s="32" t="s">
        <v>32</v>
      </c>
      <c r="P233" t="s">
        <v>447</v>
      </c>
      <c r="Q233" t="s">
        <v>67</v>
      </c>
      <c r="R233" t="str">
        <f>VLOOKUP(E233,'Data Type Lookup'!$A$1:$C$21,3,FALSE)</f>
        <v>java.time.Instant</v>
      </c>
      <c r="S233">
        <v>2</v>
      </c>
      <c r="W233" t="str">
        <f t="shared" si="4"/>
        <v>FISCAL_CALENDAR_SET_LABEL.CREATED_DATE</v>
      </c>
      <c r="X233" t="str">
        <f>VLOOKUP(W233,ColumnMapping[New Table.Column],1,)</f>
        <v>FISCAL_CALENDAR_SET_LABEL.CREATED_DATE</v>
      </c>
      <c r="Y233" t="str">
        <f>_xlfn.XLOOKUP(Table6[[#This Row],[Table.Column]],ColumnMapping[Add Column Name],ColumnMapping[Old Table.Column],"",0,1)</f>
        <v/>
      </c>
      <c r="Z233" t="str">
        <f>_xlfn.XLOOKUP(Table6[[#This Row],[Old Table.Column]],Cobra8.6[Table.Column],Cobra8.6[TYPE],"",0,1)</f>
        <v/>
      </c>
      <c r="AA233" t="str">
        <f>_xlfn.XLOOKUP(Table6[[#This Row],[Old Table.Column]],Cobra8.6[Table.Column],Cobra8.6[LENGTH],"",0,1)</f>
        <v/>
      </c>
      <c r="AB233"/>
    </row>
    <row r="234" spans="1:28" hidden="1" x14ac:dyDescent="0.2">
      <c r="A234" t="s">
        <v>293</v>
      </c>
      <c r="B234" t="s">
        <v>433</v>
      </c>
      <c r="C234" t="s">
        <v>68</v>
      </c>
      <c r="D234">
        <v>10</v>
      </c>
      <c r="E234" t="s">
        <v>31</v>
      </c>
      <c r="F234" t="str">
        <f>VLOOKUP($E234,'Data Type Lookup'!$A$1:$C$21,2,FALSE)</f>
        <v>RAW(16)</v>
      </c>
      <c r="I234" s="32" t="s">
        <v>32</v>
      </c>
      <c r="P234" t="s">
        <v>448</v>
      </c>
      <c r="Q234" t="s">
        <v>70</v>
      </c>
      <c r="R234" t="str">
        <f>VLOOKUP(E234,'Data Type Lookup'!$A$1:$C$21,3,FALSE)</f>
        <v>java.util.UUID</v>
      </c>
      <c r="S234">
        <v>2</v>
      </c>
      <c r="W234" t="str">
        <f t="shared" si="4"/>
        <v>FISCAL_CALENDAR_SET_LABEL.LAST_MODIFIED_BY_USER_UID</v>
      </c>
      <c r="X234" t="str">
        <f>VLOOKUP(W234,ColumnMapping[New Table.Column],1,)</f>
        <v>FISCAL_CALENDAR_SET_LABEL.LAST_MODIFIED_BY_USER_UID</v>
      </c>
      <c r="Y234" t="str">
        <f>_xlfn.XLOOKUP(Table6[[#This Row],[Table.Column]],ColumnMapping[Add Column Name],ColumnMapping[Old Table.Column],"",0,1)</f>
        <v/>
      </c>
      <c r="Z234" t="str">
        <f>_xlfn.XLOOKUP(Table6[[#This Row],[Old Table.Column]],Cobra8.6[Table.Column],Cobra8.6[TYPE],"",0,1)</f>
        <v/>
      </c>
      <c r="AA234" t="str">
        <f>_xlfn.XLOOKUP(Table6[[#This Row],[Old Table.Column]],Cobra8.6[Table.Column],Cobra8.6[LENGTH],"",0,1)</f>
        <v/>
      </c>
      <c r="AB234"/>
    </row>
    <row r="235" spans="1:28" hidden="1" x14ac:dyDescent="0.2">
      <c r="A235" t="s">
        <v>293</v>
      </c>
      <c r="B235" t="s">
        <v>433</v>
      </c>
      <c r="C235" t="s">
        <v>71</v>
      </c>
      <c r="D235">
        <v>11</v>
      </c>
      <c r="E235" t="s">
        <v>65</v>
      </c>
      <c r="F235" t="str">
        <f>VLOOKUP($E235,'Data Type Lookup'!$A$1:$C$21,2,FALSE)</f>
        <v>TIMESTAMP</v>
      </c>
      <c r="I235" s="32" t="s">
        <v>32</v>
      </c>
      <c r="P235" t="s">
        <v>449</v>
      </c>
      <c r="Q235" t="s">
        <v>73</v>
      </c>
      <c r="R235" t="str">
        <f>VLOOKUP(E235,'Data Type Lookup'!$A$1:$C$21,3,FALSE)</f>
        <v>java.time.Instant</v>
      </c>
      <c r="S235">
        <v>2</v>
      </c>
      <c r="W235" t="str">
        <f t="shared" si="4"/>
        <v>FISCAL_CALENDAR_SET_LABEL.LAST_MODIFIED_DATE</v>
      </c>
      <c r="X235" t="str">
        <f>VLOOKUP(W235,ColumnMapping[New Table.Column],1,)</f>
        <v>FISCAL_CALENDAR_SET_LABEL.LAST_MODIFIED_DATE</v>
      </c>
      <c r="Y235" t="str">
        <f>_xlfn.XLOOKUP(Table6[[#This Row],[Table.Column]],ColumnMapping[Add Column Name],ColumnMapping[Old Table.Column],"",0,1)</f>
        <v/>
      </c>
      <c r="Z235" t="str">
        <f>_xlfn.XLOOKUP(Table6[[#This Row],[Old Table.Column]],Cobra8.6[Table.Column],Cobra8.6[TYPE],"",0,1)</f>
        <v/>
      </c>
      <c r="AA235" t="str">
        <f>_xlfn.XLOOKUP(Table6[[#This Row],[Old Table.Column]],Cobra8.6[Table.Column],Cobra8.6[LENGTH],"",0,1)</f>
        <v/>
      </c>
      <c r="AB235"/>
    </row>
    <row r="236" spans="1:28" hidden="1" x14ac:dyDescent="0.2">
      <c r="A236" t="s">
        <v>450</v>
      </c>
      <c r="B236" t="s">
        <v>451</v>
      </c>
      <c r="C236" t="s">
        <v>30</v>
      </c>
      <c r="D236">
        <v>1</v>
      </c>
      <c r="E236" t="s">
        <v>31</v>
      </c>
      <c r="F236" t="str">
        <f>VLOOKUP($E236,'Data Type Lookup'!$A$1:$C$21,2,FALSE)</f>
        <v>RAW(16)</v>
      </c>
      <c r="I236" s="32" t="s">
        <v>32</v>
      </c>
      <c r="K236" s="32" t="s">
        <v>32</v>
      </c>
      <c r="P236" t="s">
        <v>452</v>
      </c>
      <c r="Q236" t="s">
        <v>34</v>
      </c>
      <c r="R236" t="str">
        <f>VLOOKUP(E236,'Data Type Lookup'!$A$1:$C$21,3,FALSE)</f>
        <v>java.util.UUID</v>
      </c>
      <c r="S236">
        <v>3</v>
      </c>
      <c r="U236">
        <v>8</v>
      </c>
      <c r="W236" t="str">
        <f t="shared" si="4"/>
        <v>PROJECT.ROW_UID</v>
      </c>
      <c r="X236" t="str">
        <f>VLOOKUP(W236,ColumnMapping[New Table.Column],1,)</f>
        <v>PROJECT.ROW_UID</v>
      </c>
      <c r="Y236" t="str">
        <f>_xlfn.XLOOKUP(Table6[[#This Row],[Table.Column]],ColumnMapping[Add Column Name],ColumnMapping[Old Table.Column],"",0,1)</f>
        <v/>
      </c>
      <c r="Z236" t="str">
        <f>_xlfn.XLOOKUP(Table6[[#This Row],[Old Table.Column]],Cobra8.6[Table.Column],Cobra8.6[TYPE],"",0,1)</f>
        <v/>
      </c>
      <c r="AA236" t="str">
        <f>_xlfn.XLOOKUP(Table6[[#This Row],[Old Table.Column]],Cobra8.6[Table.Column],Cobra8.6[LENGTH],"",0,1)</f>
        <v/>
      </c>
    </row>
    <row r="237" spans="1:28" hidden="1" x14ac:dyDescent="0.2">
      <c r="A237" t="s">
        <v>450</v>
      </c>
      <c r="B237" t="s">
        <v>451</v>
      </c>
      <c r="C237" t="s">
        <v>35</v>
      </c>
      <c r="D237">
        <v>2</v>
      </c>
      <c r="E237" t="s">
        <v>36</v>
      </c>
      <c r="F237" t="str">
        <f>VLOOKUP($E237,'Data Type Lookup'!$A$1:$C$21,2,FALSE)</f>
        <v>NUMBER(19,0)</v>
      </c>
      <c r="I237" s="32" t="s">
        <v>32</v>
      </c>
      <c r="J237" s="32">
        <v>0</v>
      </c>
      <c r="P237" t="s">
        <v>37</v>
      </c>
      <c r="Q237" t="s">
        <v>38</v>
      </c>
      <c r="R237" t="str">
        <f>VLOOKUP(E237,'Data Type Lookup'!$A$1:$C$21,3,FALSE)</f>
        <v>Long</v>
      </c>
      <c r="S237">
        <v>3</v>
      </c>
      <c r="W237" t="str">
        <f t="shared" si="4"/>
        <v>PROJECT.SEQUENCE</v>
      </c>
      <c r="X237" t="str">
        <f>VLOOKUP(W237,ColumnMapping[New Table.Column],1,)</f>
        <v>PROJECT.SEQUENCE</v>
      </c>
      <c r="Y237" t="str">
        <f>_xlfn.XLOOKUP(Table6[[#This Row],[Table.Column]],ColumnMapping[Add Column Name],ColumnMapping[Old Table.Column],"",0,1)</f>
        <v/>
      </c>
      <c r="Z237" t="str">
        <f>_xlfn.XLOOKUP(Table6[[#This Row],[Old Table.Column]],Cobra8.6[Table.Column],Cobra8.6[TYPE],"",0,1)</f>
        <v/>
      </c>
      <c r="AA237" t="str">
        <f>_xlfn.XLOOKUP(Table6[[#This Row],[Old Table.Column]],Cobra8.6[Table.Column],Cobra8.6[LENGTH],"",0,1)</f>
        <v/>
      </c>
    </row>
    <row r="238" spans="1:28" hidden="1" x14ac:dyDescent="0.2">
      <c r="A238" t="s">
        <v>450</v>
      </c>
      <c r="B238" t="s">
        <v>451</v>
      </c>
      <c r="C238" t="s">
        <v>453</v>
      </c>
      <c r="D238">
        <v>3</v>
      </c>
      <c r="E238" t="s">
        <v>288</v>
      </c>
      <c r="F238" t="str">
        <f>VLOOKUP($E238,'Data Type Lookup'!$A$1:$C$21,2,FALSE)</f>
        <v>NUMBER(1,0)</v>
      </c>
      <c r="I238" s="32" t="s">
        <v>32</v>
      </c>
      <c r="J238" s="37">
        <v>0</v>
      </c>
      <c r="P238" t="s">
        <v>454</v>
      </c>
      <c r="Q238" t="s">
        <v>455</v>
      </c>
      <c r="R238" t="str">
        <f>VLOOKUP(E238,'Data Type Lookup'!$A$1:$C$21,3,FALSE)</f>
        <v>Boolean</v>
      </c>
      <c r="W238" t="str">
        <f t="shared" si="4"/>
        <v>PROJECT.INACTIVE</v>
      </c>
      <c r="X238" t="str">
        <f>VLOOKUP(W238,ColumnMapping[New Table.Column],1,)</f>
        <v>PROJECT.INACTIVE</v>
      </c>
      <c r="Y238" t="str">
        <f>_xlfn.XLOOKUP(Table6[[#This Row],[Table.Column]],ColumnMapping[Add Column Name],ColumnMapping[Old Table.Column],"",0,1)</f>
        <v/>
      </c>
      <c r="Z238" t="str">
        <f>_xlfn.XLOOKUP(Table6[[#This Row],[Old Table.Column]],Cobra8.6[Table.Column],Cobra8.6[TYPE],"",0,1)</f>
        <v/>
      </c>
      <c r="AA238" t="str">
        <f>_xlfn.XLOOKUP(Table6[[#This Row],[Old Table.Column]],Cobra8.6[Table.Column],Cobra8.6[LENGTH],"",0,1)</f>
        <v/>
      </c>
    </row>
    <row r="239" spans="1:28" hidden="1" x14ac:dyDescent="0.2">
      <c r="A239" t="s">
        <v>450</v>
      </c>
      <c r="B239" t="s">
        <v>451</v>
      </c>
      <c r="C239" t="s">
        <v>47</v>
      </c>
      <c r="D239">
        <v>4</v>
      </c>
      <c r="E239" t="s">
        <v>48</v>
      </c>
      <c r="F239" t="str">
        <f>VLOOKUP($E239,'Data Type Lookup'!$A$1:$C$21,2,FALSE)</f>
        <v>NVARCHAR2</v>
      </c>
      <c r="G239">
        <v>100</v>
      </c>
      <c r="I239" s="32" t="s">
        <v>32</v>
      </c>
      <c r="L239" s="32" t="s">
        <v>32</v>
      </c>
      <c r="P239" t="s">
        <v>456</v>
      </c>
      <c r="Q239" t="s">
        <v>50</v>
      </c>
      <c r="R239" t="str">
        <f>VLOOKUP(E239,'Data Type Lookup'!$A$1:$C$21,3,FALSE)</f>
        <v>String</v>
      </c>
      <c r="W239" t="str">
        <f t="shared" si="4"/>
        <v>PROJECT.NAME</v>
      </c>
      <c r="X239" t="str">
        <f>VLOOKUP(W239,ColumnMapping[New Table.Column],1,)</f>
        <v>PROJECT.NAME</v>
      </c>
      <c r="Y239" t="str">
        <f>_xlfn.XLOOKUP(Table6[[#This Row],[Table.Column]],ColumnMapping[Add Column Name],ColumnMapping[Old Table.Column],"",0,1)</f>
        <v/>
      </c>
      <c r="Z239" t="str">
        <f>_xlfn.XLOOKUP(Table6[[#This Row],[Old Table.Column]],Cobra8.6[Table.Column],Cobra8.6[TYPE],"",0,1)</f>
        <v/>
      </c>
      <c r="AA239" t="str">
        <f>_xlfn.XLOOKUP(Table6[[#This Row],[Old Table.Column]],Cobra8.6[Table.Column],Cobra8.6[LENGTH],"",0,1)</f>
        <v/>
      </c>
    </row>
    <row r="240" spans="1:28" hidden="1" x14ac:dyDescent="0.2">
      <c r="A240" t="s">
        <v>450</v>
      </c>
      <c r="B240" t="s">
        <v>451</v>
      </c>
      <c r="C240" t="s">
        <v>15</v>
      </c>
      <c r="D240">
        <v>5</v>
      </c>
      <c r="E240" t="s">
        <v>48</v>
      </c>
      <c r="F240" t="str">
        <f>VLOOKUP($E240,'Data Type Lookup'!$A$1:$C$21,2,FALSE)</f>
        <v>NVARCHAR2</v>
      </c>
      <c r="G240">
        <v>256</v>
      </c>
      <c r="P240" t="s">
        <v>457</v>
      </c>
      <c r="Q240" t="s">
        <v>75</v>
      </c>
      <c r="R240" t="str">
        <f>VLOOKUP(E240,'Data Type Lookup'!$A$1:$C$21,3,FALSE)</f>
        <v>String</v>
      </c>
      <c r="W240" t="str">
        <f t="shared" si="4"/>
        <v>PROJECT.DESCRIPTION</v>
      </c>
      <c r="X240" t="str">
        <f>VLOOKUP(W240,ColumnMapping[New Table.Column],1,)</f>
        <v>PROJECT.DESCRIPTION</v>
      </c>
      <c r="Y240" t="str">
        <f>_xlfn.XLOOKUP(Table6[[#This Row],[Table.Column]],ColumnMapping[Add Column Name],ColumnMapping[Old Table.Column],"",0,1)</f>
        <v/>
      </c>
      <c r="Z240" t="str">
        <f>_xlfn.XLOOKUP(Table6[[#This Row],[Old Table.Column]],Cobra8.6[Table.Column],Cobra8.6[TYPE],"",0,1)</f>
        <v/>
      </c>
      <c r="AA240" t="str">
        <f>_xlfn.XLOOKUP(Table6[[#This Row],[Old Table.Column]],Cobra8.6[Table.Column],Cobra8.6[LENGTH],"",0,1)</f>
        <v/>
      </c>
    </row>
    <row r="241" spans="1:27" hidden="1" x14ac:dyDescent="0.2">
      <c r="A241" t="s">
        <v>450</v>
      </c>
      <c r="B241" t="s">
        <v>451</v>
      </c>
      <c r="C241" t="s">
        <v>458</v>
      </c>
      <c r="D241">
        <v>8</v>
      </c>
      <c r="E241" t="s">
        <v>31</v>
      </c>
      <c r="F241" t="str">
        <f>VLOOKUP($E241,'Data Type Lookup'!$A$1:$C$21,2,FALSE)</f>
        <v>RAW(16)</v>
      </c>
      <c r="M241" t="s">
        <v>40</v>
      </c>
      <c r="N241" t="s">
        <v>30</v>
      </c>
      <c r="O241" t="s">
        <v>41</v>
      </c>
      <c r="P241" t="s">
        <v>459</v>
      </c>
      <c r="Q241" t="s">
        <v>460</v>
      </c>
      <c r="R241" t="str">
        <f>VLOOKUP(E241,'Data Type Lookup'!$A$1:$C$21,3,FALSE)</f>
        <v>java.util.UUID</v>
      </c>
      <c r="S241">
        <v>1</v>
      </c>
      <c r="W241" t="str">
        <f t="shared" si="4"/>
        <v>PROJECT.WBS_CODE_FILE_UID</v>
      </c>
      <c r="X241" t="str">
        <f>VLOOKUP(W241,ColumnMapping[New Table.Column],1,)</f>
        <v>PROJECT.WBS_CODE_FILE_UID</v>
      </c>
      <c r="Y241" t="str">
        <f>_xlfn.XLOOKUP(Table6[[#This Row],[Table.Column]],ColumnMapping[Add Column Name],ColumnMapping[Old Table.Column],"",0,1)</f>
        <v/>
      </c>
      <c r="Z241" t="str">
        <f>_xlfn.XLOOKUP(Table6[[#This Row],[Old Table.Column]],Cobra8.6[Table.Column],Cobra8.6[TYPE],"",0,1)</f>
        <v/>
      </c>
      <c r="AA241" t="str">
        <f>_xlfn.XLOOKUP(Table6[[#This Row],[Old Table.Column]],Cobra8.6[Table.Column],Cobra8.6[LENGTH],"",0,1)</f>
        <v/>
      </c>
    </row>
    <row r="242" spans="1:27" hidden="1" x14ac:dyDescent="0.2">
      <c r="A242" t="s">
        <v>450</v>
      </c>
      <c r="B242" t="s">
        <v>451</v>
      </c>
      <c r="C242" t="s">
        <v>461</v>
      </c>
      <c r="D242">
        <v>9</v>
      </c>
      <c r="E242" t="s">
        <v>31</v>
      </c>
      <c r="F242" t="str">
        <f>VLOOKUP($E242,'Data Type Lookup'!$A$1:$C$21,2,FALSE)</f>
        <v>RAW(16)</v>
      </c>
      <c r="M242" t="s">
        <v>40</v>
      </c>
      <c r="N242" t="s">
        <v>30</v>
      </c>
      <c r="O242" t="s">
        <v>41</v>
      </c>
      <c r="P242" t="s">
        <v>462</v>
      </c>
      <c r="Q242" t="s">
        <v>463</v>
      </c>
      <c r="R242" t="str">
        <f>VLOOKUP(E242,'Data Type Lookup'!$A$1:$C$21,3,FALSE)</f>
        <v>java.util.UUID</v>
      </c>
      <c r="S242">
        <v>1</v>
      </c>
      <c r="W242" t="str">
        <f t="shared" si="4"/>
        <v>PROJECT.OBS_CODE_FILE_UID</v>
      </c>
      <c r="X242" t="str">
        <f>VLOOKUP(W242,ColumnMapping[New Table.Column],1,)</f>
        <v>PROJECT.OBS_CODE_FILE_UID</v>
      </c>
      <c r="Y242" t="str">
        <f>_xlfn.XLOOKUP(Table6[[#This Row],[Table.Column]],ColumnMapping[Add Column Name],ColumnMapping[Old Table.Column],"",0,1)</f>
        <v/>
      </c>
      <c r="Z242" t="str">
        <f>_xlfn.XLOOKUP(Table6[[#This Row],[Old Table.Column]],Cobra8.6[Table.Column],Cobra8.6[TYPE],"",0,1)</f>
        <v/>
      </c>
      <c r="AA242" t="str">
        <f>_xlfn.XLOOKUP(Table6[[#This Row],[Old Table.Column]],Cobra8.6[Table.Column],Cobra8.6[LENGTH],"",0,1)</f>
        <v/>
      </c>
    </row>
    <row r="243" spans="1:27" hidden="1" x14ac:dyDescent="0.2">
      <c r="A243" t="s">
        <v>450</v>
      </c>
      <c r="B243" t="s">
        <v>451</v>
      </c>
      <c r="C243" s="9" t="s">
        <v>464</v>
      </c>
      <c r="D243">
        <v>10</v>
      </c>
      <c r="E243" t="s">
        <v>31</v>
      </c>
      <c r="F243" t="str">
        <f>VLOOKUP($E243,'Data Type Lookup'!$A$1:$C$21,2,FALSE)</f>
        <v>RAW(16)</v>
      </c>
      <c r="M243" t="s">
        <v>40</v>
      </c>
      <c r="N243" t="s">
        <v>30</v>
      </c>
      <c r="O243" t="s">
        <v>41</v>
      </c>
      <c r="P243" t="s">
        <v>465</v>
      </c>
      <c r="Q243" t="s">
        <v>466</v>
      </c>
      <c r="R243" t="str">
        <f>VLOOKUP(E243,'Data Type Lookup'!$A$1:$C$21,3,FALSE)</f>
        <v>java.util.UUID</v>
      </c>
      <c r="S243">
        <v>1</v>
      </c>
      <c r="W243" t="str">
        <f t="shared" si="4"/>
        <v>PROJECT.CHANGE_NUMBER_CODE_FILE_UID</v>
      </c>
      <c r="X243" t="str">
        <f>VLOOKUP(W243,ColumnMapping[New Table.Column],1,)</f>
        <v>PROJECT.CHANGE_NUMBER_CODE_FILE_UID</v>
      </c>
      <c r="Y243" t="str">
        <f>_xlfn.XLOOKUP(Table6[[#This Row],[Table.Column]],ColumnMapping[Add Column Name],ColumnMapping[Old Table.Column],"",0,1)</f>
        <v/>
      </c>
      <c r="Z243" t="str">
        <f>_xlfn.XLOOKUP(Table6[[#This Row],[Old Table.Column]],Cobra8.6[Table.Column],Cobra8.6[TYPE],"",0,1)</f>
        <v/>
      </c>
      <c r="AA243" t="str">
        <f>_xlfn.XLOOKUP(Table6[[#This Row],[Old Table.Column]],Cobra8.6[Table.Column],Cobra8.6[LENGTH],"",0,1)</f>
        <v/>
      </c>
    </row>
    <row r="244" spans="1:27" hidden="1" x14ac:dyDescent="0.2">
      <c r="A244" t="s">
        <v>450</v>
      </c>
      <c r="B244" t="s">
        <v>451</v>
      </c>
      <c r="C244" t="s">
        <v>467</v>
      </c>
      <c r="D244">
        <v>11</v>
      </c>
      <c r="E244" t="s">
        <v>31</v>
      </c>
      <c r="F244" t="str">
        <f>VLOOKUP($E244,'Data Type Lookup'!$A$1:$C$21,2,FALSE)</f>
        <v>RAW(16)</v>
      </c>
      <c r="M244" t="s">
        <v>40</v>
      </c>
      <c r="N244" t="s">
        <v>30</v>
      </c>
      <c r="O244" t="s">
        <v>41</v>
      </c>
      <c r="P244" t="s">
        <v>468</v>
      </c>
      <c r="Q244" t="s">
        <v>469</v>
      </c>
      <c r="R244" t="str">
        <f>VLOOKUP(E244,'Data Type Lookup'!$A$1:$C$21,3,FALSE)</f>
        <v>java.util.UUID</v>
      </c>
      <c r="W244" t="str">
        <f t="shared" si="4"/>
        <v>PROJECT.CLIN_CODE_FILE_UID</v>
      </c>
      <c r="X244" t="str">
        <f>VLOOKUP(W244,ColumnMapping[New Table.Column],1,)</f>
        <v>PROJECT.CLIN_CODE_FILE_UID</v>
      </c>
      <c r="Y244" t="str">
        <f>_xlfn.XLOOKUP(Table6[[#This Row],[Table.Column]],ColumnMapping[Add Column Name],ColumnMapping[Old Table.Column],"",0,1)</f>
        <v/>
      </c>
      <c r="Z244" t="str">
        <f>_xlfn.XLOOKUP(Table6[[#This Row],[Old Table.Column]],Cobra8.6[Table.Column],Cobra8.6[TYPE],"",0,1)</f>
        <v/>
      </c>
      <c r="AA244" t="str">
        <f>_xlfn.XLOOKUP(Table6[[#This Row],[Old Table.Column]],Cobra8.6[Table.Column],Cobra8.6[LENGTH],"",0,1)</f>
        <v/>
      </c>
    </row>
    <row r="245" spans="1:27" hidden="1" x14ac:dyDescent="0.2">
      <c r="A245" t="s">
        <v>450</v>
      </c>
      <c r="B245" t="s">
        <v>451</v>
      </c>
      <c r="C245" t="s">
        <v>353</v>
      </c>
      <c r="D245">
        <v>12</v>
      </c>
      <c r="E245" t="s">
        <v>31</v>
      </c>
      <c r="F245" t="str">
        <f>VLOOKUP($E245,'Data Type Lookup'!$A$1:$C$21,2,FALSE)</f>
        <v>RAW(16)</v>
      </c>
      <c r="M245" t="s">
        <v>294</v>
      </c>
      <c r="N245" t="s">
        <v>30</v>
      </c>
      <c r="O245" t="s">
        <v>41</v>
      </c>
      <c r="P245" t="s">
        <v>295</v>
      </c>
      <c r="Q245" t="s">
        <v>470</v>
      </c>
      <c r="R245" t="str">
        <f>VLOOKUP(E245,'Data Type Lookup'!$A$1:$C$21,3,FALSE)</f>
        <v>java.util.UUID</v>
      </c>
      <c r="S245">
        <v>1</v>
      </c>
      <c r="W245" t="str">
        <f t="shared" si="4"/>
        <v>PROJECT.FISCAL_CALENDAR_UID</v>
      </c>
      <c r="X245" t="str">
        <f>VLOOKUP(W245,ColumnMapping[New Table.Column],1,)</f>
        <v>PROJECT.FISCAL_CALENDAR_UID</v>
      </c>
      <c r="Y245" t="str">
        <f>_xlfn.XLOOKUP(Table6[[#This Row],[Table.Column]],ColumnMapping[Add Column Name],ColumnMapping[Old Table.Column],"",0,1)</f>
        <v/>
      </c>
      <c r="Z245" t="str">
        <f>_xlfn.XLOOKUP(Table6[[#This Row],[Old Table.Column]],Cobra8.6[Table.Column],Cobra8.6[TYPE],"",0,1)</f>
        <v/>
      </c>
      <c r="AA245" t="str">
        <f>_xlfn.XLOOKUP(Table6[[#This Row],[Old Table.Column]],Cobra8.6[Table.Column],Cobra8.6[LENGTH],"",0,1)</f>
        <v/>
      </c>
    </row>
    <row r="246" spans="1:27" hidden="1" x14ac:dyDescent="0.2">
      <c r="A246" t="s">
        <v>450</v>
      </c>
      <c r="B246" t="s">
        <v>451</v>
      </c>
      <c r="C246" t="s">
        <v>471</v>
      </c>
      <c r="D246">
        <v>13</v>
      </c>
      <c r="E246" t="s">
        <v>31</v>
      </c>
      <c r="F246" t="str">
        <f>VLOOKUP($E246,'Data Type Lookup'!$A$1:$C$21,2,FALSE)</f>
        <v>RAW(16)</v>
      </c>
      <c r="M246" t="s">
        <v>472</v>
      </c>
      <c r="N246" t="s">
        <v>30</v>
      </c>
      <c r="O246" t="s">
        <v>41</v>
      </c>
      <c r="P246" t="s">
        <v>473</v>
      </c>
      <c r="Q246" t="s">
        <v>474</v>
      </c>
      <c r="R246" t="str">
        <f>VLOOKUP(E246,'Data Type Lookup'!$A$1:$C$21,3,FALSE)</f>
        <v>java.util.UUID</v>
      </c>
      <c r="S246">
        <v>1</v>
      </c>
      <c r="W246" t="str">
        <f t="shared" si="4"/>
        <v>PROJECT.RESOURCE_FILE_UID</v>
      </c>
      <c r="X246" t="str">
        <f>VLOOKUP(W246,ColumnMapping[New Table.Column],1,)</f>
        <v>PROJECT.RESOURCE_FILE_UID</v>
      </c>
      <c r="Y246" t="str">
        <f>_xlfn.XLOOKUP(Table6[[#This Row],[Table.Column]],ColumnMapping[Add Column Name],ColumnMapping[Old Table.Column],"",0,1)</f>
        <v/>
      </c>
      <c r="Z246" t="str">
        <f>_xlfn.XLOOKUP(Table6[[#This Row],[Old Table.Column]],Cobra8.6[Table.Column],Cobra8.6[TYPE],"",0,1)</f>
        <v/>
      </c>
      <c r="AA246" t="str">
        <f>_xlfn.XLOOKUP(Table6[[#This Row],[Old Table.Column]],Cobra8.6[Table.Column],Cobra8.6[LENGTH],"",0,1)</f>
        <v/>
      </c>
    </row>
    <row r="247" spans="1:27" hidden="1" x14ac:dyDescent="0.2">
      <c r="A247" t="s">
        <v>450</v>
      </c>
      <c r="B247" t="s">
        <v>451</v>
      </c>
      <c r="C247" t="s">
        <v>475</v>
      </c>
      <c r="D247">
        <v>14</v>
      </c>
      <c r="E247" t="s">
        <v>31</v>
      </c>
      <c r="F247" t="str">
        <f>VLOOKUP($E247,'Data Type Lookup'!$A$1:$C$21,2,FALSE)</f>
        <v>RAW(16)</v>
      </c>
      <c r="M247" t="s">
        <v>476</v>
      </c>
      <c r="N247" t="s">
        <v>30</v>
      </c>
      <c r="O247" t="s">
        <v>41</v>
      </c>
      <c r="P247" t="s">
        <v>477</v>
      </c>
      <c r="Q247" t="s">
        <v>478</v>
      </c>
      <c r="R247" t="str">
        <f>VLOOKUP(E247,'Data Type Lookup'!$A$1:$C$21,3,FALSE)</f>
        <v>java.util.UUID</v>
      </c>
      <c r="S247">
        <v>1</v>
      </c>
      <c r="W247" t="str">
        <f t="shared" si="4"/>
        <v>PROJECT.RATE_FILE_UID</v>
      </c>
      <c r="X247" t="str">
        <f>VLOOKUP(W247,ColumnMapping[New Table.Column],1,)</f>
        <v>PROJECT.RATE_FILE_UID</v>
      </c>
      <c r="Y247" t="str">
        <f>_xlfn.XLOOKUP(Table6[[#This Row],[Table.Column]],ColumnMapping[Add Column Name],ColumnMapping[Old Table.Column],"",0,1)</f>
        <v/>
      </c>
      <c r="Z247" t="str">
        <f>_xlfn.XLOOKUP(Table6[[#This Row],[Old Table.Column]],Cobra8.6[Table.Column],Cobra8.6[TYPE],"",0,1)</f>
        <v/>
      </c>
      <c r="AA247" t="str">
        <f>_xlfn.XLOOKUP(Table6[[#This Row],[Old Table.Column]],Cobra8.6[Table.Column],Cobra8.6[LENGTH],"",0,1)</f>
        <v/>
      </c>
    </row>
    <row r="248" spans="1:27" hidden="1" x14ac:dyDescent="0.2">
      <c r="A248" t="s">
        <v>450</v>
      </c>
      <c r="B248" t="s">
        <v>451</v>
      </c>
      <c r="C248" t="s">
        <v>479</v>
      </c>
      <c r="D248">
        <v>15</v>
      </c>
      <c r="E248" t="s">
        <v>31</v>
      </c>
      <c r="F248" t="str">
        <f>VLOOKUP($E248,'Data Type Lookup'!$A$1:$C$21,2,FALSE)</f>
        <v>RAW(16)</v>
      </c>
      <c r="M248" t="s">
        <v>294</v>
      </c>
      <c r="N248" t="s">
        <v>30</v>
      </c>
      <c r="O248" t="s">
        <v>41</v>
      </c>
      <c r="P248" t="s">
        <v>480</v>
      </c>
      <c r="Q248" t="s">
        <v>481</v>
      </c>
      <c r="R248" t="str">
        <f>VLOOKUP(E248,'Data Type Lookup'!$A$1:$C$21,3,FALSE)</f>
        <v>java.util.UUID</v>
      </c>
      <c r="S248">
        <v>1</v>
      </c>
      <c r="V248" s="9" t="s">
        <v>482</v>
      </c>
      <c r="W248" t="str">
        <f t="shared" si="4"/>
        <v>PROJECT.RW_FISCAL_CALENDAR_UID</v>
      </c>
      <c r="X248" t="str">
        <f>VLOOKUP(W248,ColumnMapping[New Table.Column],1,)</f>
        <v>PROJECT.RW_FISCAL_CALENDAR_UID</v>
      </c>
      <c r="Y248" t="str">
        <f>_xlfn.XLOOKUP(Table6[[#This Row],[Table.Column]],ColumnMapping[Add Column Name],ColumnMapping[Old Table.Column],"",0,1)</f>
        <v/>
      </c>
      <c r="Z248" t="str">
        <f>_xlfn.XLOOKUP(Table6[[#This Row],[Old Table.Column]],Cobra8.6[Table.Column],Cobra8.6[TYPE],"",0,1)</f>
        <v/>
      </c>
      <c r="AA248" t="str">
        <f>_xlfn.XLOOKUP(Table6[[#This Row],[Old Table.Column]],Cobra8.6[Table.Column],Cobra8.6[LENGTH],"",0,1)</f>
        <v/>
      </c>
    </row>
    <row r="249" spans="1:27" hidden="1" x14ac:dyDescent="0.2">
      <c r="A249" t="s">
        <v>450</v>
      </c>
      <c r="B249" t="s">
        <v>451</v>
      </c>
      <c r="C249" t="s">
        <v>483</v>
      </c>
      <c r="D249">
        <v>16</v>
      </c>
      <c r="E249" t="s">
        <v>356</v>
      </c>
      <c r="F249" t="str">
        <f>VLOOKUP($E249,'Data Type Lookup'!$A$1:$C$21,2,FALSE)</f>
        <v>DATE</v>
      </c>
      <c r="I249" s="32" t="s">
        <v>32</v>
      </c>
      <c r="P249" t="s">
        <v>484</v>
      </c>
      <c r="Q249" t="s">
        <v>485</v>
      </c>
      <c r="R249" t="str">
        <f>VLOOKUP(E249,'Data Type Lookup'!$A$1:$C$21,3,FALSE)</f>
        <v>java.time.Instant</v>
      </c>
      <c r="W249" t="str">
        <f t="shared" si="4"/>
        <v>PROJECT.PERIOD_START</v>
      </c>
      <c r="X249" t="str">
        <f>VLOOKUP(W249,ColumnMapping[New Table.Column],1,)</f>
        <v>PROJECT.PERIOD_START</v>
      </c>
      <c r="Y249" t="str">
        <f>_xlfn.XLOOKUP(Table6[[#This Row],[Table.Column]],ColumnMapping[Add Column Name],ColumnMapping[Old Table.Column],"",0,1)</f>
        <v/>
      </c>
      <c r="Z249" t="str">
        <f>_xlfn.XLOOKUP(Table6[[#This Row],[Old Table.Column]],Cobra8.6[Table.Column],Cobra8.6[TYPE],"",0,1)</f>
        <v/>
      </c>
      <c r="AA249" t="str">
        <f>_xlfn.XLOOKUP(Table6[[#This Row],[Old Table.Column]],Cobra8.6[Table.Column],Cobra8.6[LENGTH],"",0,1)</f>
        <v/>
      </c>
    </row>
    <row r="250" spans="1:27" hidden="1" x14ac:dyDescent="0.2">
      <c r="A250" t="s">
        <v>450</v>
      </c>
      <c r="B250" t="s">
        <v>451</v>
      </c>
      <c r="C250" t="s">
        <v>486</v>
      </c>
      <c r="D250">
        <v>17</v>
      </c>
      <c r="E250" t="s">
        <v>356</v>
      </c>
      <c r="F250" t="str">
        <f>VLOOKUP($E250,'Data Type Lookup'!$A$1:$C$21,2,FALSE)</f>
        <v>DATE</v>
      </c>
      <c r="I250" s="32" t="s">
        <v>32</v>
      </c>
      <c r="P250" t="s">
        <v>487</v>
      </c>
      <c r="Q250" t="s">
        <v>488</v>
      </c>
      <c r="R250" t="str">
        <f>VLOOKUP(E250,'Data Type Lookup'!$A$1:$C$21,3,FALSE)</f>
        <v>java.time.Instant</v>
      </c>
      <c r="W250" t="str">
        <f t="shared" si="4"/>
        <v>PROJECT.PERIOD_END</v>
      </c>
      <c r="X250" t="str">
        <f>VLOOKUP(W250,ColumnMapping[New Table.Column],1,)</f>
        <v>PROJECT.PERIOD_END</v>
      </c>
      <c r="Y250" t="str">
        <f>_xlfn.XLOOKUP(Table6[[#This Row],[Table.Column]],ColumnMapping[Add Column Name],ColumnMapping[Old Table.Column],"",0,1)</f>
        <v/>
      </c>
      <c r="Z250" t="str">
        <f>_xlfn.XLOOKUP(Table6[[#This Row],[Old Table.Column]],Cobra8.6[Table.Column],Cobra8.6[TYPE],"",0,1)</f>
        <v/>
      </c>
      <c r="AA250" t="str">
        <f>_xlfn.XLOOKUP(Table6[[#This Row],[Old Table.Column]],Cobra8.6[Table.Column],Cobra8.6[LENGTH],"",0,1)</f>
        <v/>
      </c>
    </row>
    <row r="251" spans="1:27" hidden="1" x14ac:dyDescent="0.2">
      <c r="A251" t="s">
        <v>450</v>
      </c>
      <c r="B251" t="s">
        <v>451</v>
      </c>
      <c r="C251" t="s">
        <v>489</v>
      </c>
      <c r="D251">
        <v>18</v>
      </c>
      <c r="E251" t="s">
        <v>52</v>
      </c>
      <c r="F251" t="str">
        <f>VLOOKUP($E251,'Data Type Lookup'!$A$1:$C$21,2,FALSE)</f>
        <v>NUMBER(5,0)</v>
      </c>
      <c r="J251" s="32">
        <v>0</v>
      </c>
      <c r="P251" t="s">
        <v>490</v>
      </c>
      <c r="Q251" t="s">
        <v>491</v>
      </c>
      <c r="R251" t="str">
        <f>VLOOKUP(E251,'Data Type Lookup'!$A$1:$C$21,3,FALSE)</f>
        <v>Short</v>
      </c>
      <c r="W251" t="str">
        <f t="shared" si="4"/>
        <v>PROJECT.SPTYPE</v>
      </c>
      <c r="X251" t="str">
        <f>VLOOKUP(W251,ColumnMapping[New Table.Column],1,)</f>
        <v>PROJECT.SPTYPE</v>
      </c>
      <c r="Y251" t="str">
        <f>_xlfn.XLOOKUP(Table6[[#This Row],[Table.Column]],ColumnMapping[Add Column Name],ColumnMapping[Old Table.Column],"",0,1)</f>
        <v>PROGRAM.SPTYPE</v>
      </c>
      <c r="Z251" t="str">
        <f>_xlfn.XLOOKUP(Table6[[#This Row],[Old Table.Column]],Cobra8.6[Table.Column],Cobra8.6[TYPE],"",0,1)</f>
        <v>INTE</v>
      </c>
      <c r="AA251">
        <f>_xlfn.XLOOKUP(Table6[[#This Row],[Old Table.Column]],Cobra8.6[Table.Column],Cobra8.6[LENGTH],"",0,1)</f>
        <v>-1</v>
      </c>
    </row>
    <row r="252" spans="1:27" hidden="1" x14ac:dyDescent="0.2">
      <c r="A252" t="s">
        <v>450</v>
      </c>
      <c r="B252" t="s">
        <v>451</v>
      </c>
      <c r="C252" t="s">
        <v>492</v>
      </c>
      <c r="D252">
        <v>19</v>
      </c>
      <c r="E252" t="s">
        <v>86</v>
      </c>
      <c r="F252" t="str">
        <f>VLOOKUP($E252,'Data Type Lookup'!$A$1:$C$21,2,FALSE)</f>
        <v>VARCHAR2</v>
      </c>
      <c r="G252">
        <v>3</v>
      </c>
      <c r="P252" t="s">
        <v>493</v>
      </c>
      <c r="Q252" t="s">
        <v>494</v>
      </c>
      <c r="R252" t="str">
        <f>VLOOKUP(E252,'Data Type Lookup'!$A$1:$C$21,3,FALSE)</f>
        <v>String</v>
      </c>
      <c r="W252" t="str">
        <f t="shared" si="4"/>
        <v>PROJECT.AUDIT_LOG_LEVEL</v>
      </c>
      <c r="X252" t="str">
        <f>VLOOKUP(W252,ColumnMapping[New Table.Column],1,)</f>
        <v>PROJECT.AUDIT_LOG_LEVEL</v>
      </c>
      <c r="Y252" t="str">
        <f>_xlfn.XLOOKUP(Table6[[#This Row],[Table.Column]],ColumnMapping[Add Column Name],ColumnMapping[Old Table.Column],"",0,1)</f>
        <v/>
      </c>
      <c r="Z252" t="str">
        <f>_xlfn.XLOOKUP(Table6[[#This Row],[Old Table.Column]],Cobra8.6[Table.Column],Cobra8.6[TYPE],"",0,1)</f>
        <v/>
      </c>
      <c r="AA252" t="str">
        <f>_xlfn.XLOOKUP(Table6[[#This Row],[Old Table.Column]],Cobra8.6[Table.Column],Cobra8.6[LENGTH],"",0,1)</f>
        <v/>
      </c>
    </row>
    <row r="253" spans="1:27" hidden="1" x14ac:dyDescent="0.2">
      <c r="A253" t="s">
        <v>450</v>
      </c>
      <c r="B253" t="s">
        <v>451</v>
      </c>
      <c r="C253" t="s">
        <v>495</v>
      </c>
      <c r="D253">
        <v>20</v>
      </c>
      <c r="E253" t="s">
        <v>86</v>
      </c>
      <c r="F253" t="str">
        <f>VLOOKUP($E253,'Data Type Lookup'!$A$1:$C$21,2,FALSE)</f>
        <v>VARCHAR2</v>
      </c>
      <c r="G253">
        <v>20</v>
      </c>
      <c r="P253" t="s">
        <v>496</v>
      </c>
      <c r="Q253" t="s">
        <v>497</v>
      </c>
      <c r="R253" t="str">
        <f>VLOOKUP(E253,'Data Type Lookup'!$A$1:$C$21,3,FALSE)</f>
        <v>String</v>
      </c>
      <c r="W253" t="str">
        <f t="shared" si="4"/>
        <v>PROJECT.SCALECAP</v>
      </c>
      <c r="X253" t="str">
        <f>VLOOKUP(W253,ColumnMapping[New Table.Column],1,)</f>
        <v>PROJECT.SCALECAP</v>
      </c>
      <c r="Y253" t="str">
        <f>_xlfn.XLOOKUP(Table6[[#This Row],[Table.Column]],ColumnMapping[Add Column Name],ColumnMapping[Old Table.Column],"",0,1)</f>
        <v/>
      </c>
      <c r="Z253" t="str">
        <f>_xlfn.XLOOKUP(Table6[[#This Row],[Old Table.Column]],Cobra8.6[Table.Column],Cobra8.6[TYPE],"",0,1)</f>
        <v/>
      </c>
      <c r="AA253" t="str">
        <f>_xlfn.XLOOKUP(Table6[[#This Row],[Old Table.Column]],Cobra8.6[Table.Column],Cobra8.6[LENGTH],"",0,1)</f>
        <v/>
      </c>
    </row>
    <row r="254" spans="1:27" hidden="1" x14ac:dyDescent="0.2">
      <c r="A254" t="s">
        <v>450</v>
      </c>
      <c r="B254" t="s">
        <v>451</v>
      </c>
      <c r="C254" t="s">
        <v>498</v>
      </c>
      <c r="D254">
        <v>21</v>
      </c>
      <c r="E254" t="s">
        <v>356</v>
      </c>
      <c r="F254" t="str">
        <f>VLOOKUP($E254,'Data Type Lookup'!$A$1:$C$21,2,FALSE)</f>
        <v>DATE</v>
      </c>
      <c r="I254" s="32" t="s">
        <v>32</v>
      </c>
      <c r="P254" t="s">
        <v>499</v>
      </c>
      <c r="Q254" t="s">
        <v>500</v>
      </c>
      <c r="R254" t="str">
        <f>VLOOKUP(E254,'Data Type Lookup'!$A$1:$C$21,3,FALSE)</f>
        <v>java.time.Instant</v>
      </c>
      <c r="W254" t="str">
        <f t="shared" si="4"/>
        <v>PROJECT.BASELINE_START</v>
      </c>
      <c r="X254" t="str">
        <f>VLOOKUP(W254,ColumnMapping[New Table.Column],1,)</f>
        <v>PROJECT.BASELINE_START</v>
      </c>
      <c r="Y254" t="str">
        <f>_xlfn.XLOOKUP(Table6[[#This Row],[Table.Column]],ColumnMapping[Add Column Name],ColumnMapping[Old Table.Column],"",0,1)</f>
        <v/>
      </c>
      <c r="Z254" t="str">
        <f>_xlfn.XLOOKUP(Table6[[#This Row],[Old Table.Column]],Cobra8.6[Table.Column],Cobra8.6[TYPE],"",0,1)</f>
        <v/>
      </c>
      <c r="AA254" t="str">
        <f>_xlfn.XLOOKUP(Table6[[#This Row],[Old Table.Column]],Cobra8.6[Table.Column],Cobra8.6[LENGTH],"",0,1)</f>
        <v/>
      </c>
    </row>
    <row r="255" spans="1:27" hidden="1" x14ac:dyDescent="0.2">
      <c r="A255" t="s">
        <v>450</v>
      </c>
      <c r="B255" t="s">
        <v>451</v>
      </c>
      <c r="C255" t="s">
        <v>501</v>
      </c>
      <c r="D255">
        <v>22</v>
      </c>
      <c r="E255" t="s">
        <v>356</v>
      </c>
      <c r="F255" t="str">
        <f>VLOOKUP($E255,'Data Type Lookup'!$A$1:$C$21,2,FALSE)</f>
        <v>DATE</v>
      </c>
      <c r="I255" s="32" t="s">
        <v>32</v>
      </c>
      <c r="P255" t="s">
        <v>502</v>
      </c>
      <c r="Q255" t="s">
        <v>503</v>
      </c>
      <c r="R255" t="str">
        <f>VLOOKUP(E255,'Data Type Lookup'!$A$1:$C$21,3,FALSE)</f>
        <v>java.time.Instant</v>
      </c>
      <c r="W255" t="str">
        <f t="shared" si="4"/>
        <v>PROJECT.BASELINE_FINISH</v>
      </c>
      <c r="X255" t="str">
        <f>VLOOKUP(W255,ColumnMapping[New Table.Column],1,)</f>
        <v>PROJECT.BASELINE_FINISH</v>
      </c>
      <c r="Y255" t="str">
        <f>_xlfn.XLOOKUP(Table6[[#This Row],[Table.Column]],ColumnMapping[Add Column Name],ColumnMapping[Old Table.Column],"",0,1)</f>
        <v/>
      </c>
      <c r="Z255" t="str">
        <f>_xlfn.XLOOKUP(Table6[[#This Row],[Old Table.Column]],Cobra8.6[Table.Column],Cobra8.6[TYPE],"",0,1)</f>
        <v/>
      </c>
      <c r="AA255" t="str">
        <f>_xlfn.XLOOKUP(Table6[[#This Row],[Old Table.Column]],Cobra8.6[Table.Column],Cobra8.6[LENGTH],"",0,1)</f>
        <v/>
      </c>
    </row>
    <row r="256" spans="1:27" hidden="1" x14ac:dyDescent="0.2">
      <c r="A256" t="s">
        <v>450</v>
      </c>
      <c r="B256" t="s">
        <v>451</v>
      </c>
      <c r="C256" t="s">
        <v>504</v>
      </c>
      <c r="D256">
        <v>23</v>
      </c>
      <c r="E256" t="s">
        <v>356</v>
      </c>
      <c r="F256" t="str">
        <f>VLOOKUP($E256,'Data Type Lookup'!$A$1:$C$21,2,FALSE)</f>
        <v>DATE</v>
      </c>
      <c r="I256" s="32" t="s">
        <v>32</v>
      </c>
      <c r="P256" t="s">
        <v>505</v>
      </c>
      <c r="Q256" t="s">
        <v>506</v>
      </c>
      <c r="R256" t="str">
        <f>VLOOKUP(E256,'Data Type Lookup'!$A$1:$C$21,3,FALSE)</f>
        <v>java.time.Instant</v>
      </c>
      <c r="W256" t="str">
        <f t="shared" si="4"/>
        <v>PROJECT.FORECAST_FINISH</v>
      </c>
      <c r="X256" t="str">
        <f>VLOOKUP(W256,ColumnMapping[New Table.Column],1,)</f>
        <v>PROJECT.FORECAST_FINISH</v>
      </c>
      <c r="Y256" t="str">
        <f>_xlfn.XLOOKUP(Table6[[#This Row],[Table.Column]],ColumnMapping[Add Column Name],ColumnMapping[Old Table.Column],"",0,1)</f>
        <v/>
      </c>
      <c r="Z256" t="str">
        <f>_xlfn.XLOOKUP(Table6[[#This Row],[Old Table.Column]],Cobra8.6[Table.Column],Cobra8.6[TYPE],"",0,1)</f>
        <v/>
      </c>
      <c r="AA256" t="str">
        <f>_xlfn.XLOOKUP(Table6[[#This Row],[Old Table.Column]],Cobra8.6[Table.Column],Cobra8.6[LENGTH],"",0,1)</f>
        <v/>
      </c>
    </row>
    <row r="257" spans="1:27" hidden="1" x14ac:dyDescent="0.2">
      <c r="A257" t="s">
        <v>450</v>
      </c>
      <c r="B257" t="s">
        <v>451</v>
      </c>
      <c r="C257" t="s">
        <v>507</v>
      </c>
      <c r="D257">
        <v>24</v>
      </c>
      <c r="E257" t="s">
        <v>52</v>
      </c>
      <c r="F257" t="str">
        <f>VLOOKUP($E257,'Data Type Lookup'!$A$1:$C$21,2,FALSE)</f>
        <v>NUMBER(5,0)</v>
      </c>
      <c r="J257" s="32">
        <v>0</v>
      </c>
      <c r="P257" t="s">
        <v>508</v>
      </c>
      <c r="Q257" t="s">
        <v>509</v>
      </c>
      <c r="R257" t="str">
        <f>VLOOKUP(E257,'Data Type Lookup'!$A$1:$C$21,3,FALSE)</f>
        <v>Short</v>
      </c>
      <c r="W257" t="str">
        <f t="shared" si="4"/>
        <v>PROJECT.SCALEFAC</v>
      </c>
      <c r="X257" t="str">
        <f>VLOOKUP(W257,ColumnMapping[New Table.Column],1,)</f>
        <v>PROJECT.SCALEFAC</v>
      </c>
      <c r="Y257" t="str">
        <f>_xlfn.XLOOKUP(Table6[[#This Row],[Table.Column]],ColumnMapping[Add Column Name],ColumnMapping[Old Table.Column],"",0,1)</f>
        <v/>
      </c>
      <c r="Z257" t="str">
        <f>_xlfn.XLOOKUP(Table6[[#This Row],[Old Table.Column]],Cobra8.6[Table.Column],Cobra8.6[TYPE],"",0,1)</f>
        <v/>
      </c>
      <c r="AA257" t="str">
        <f>_xlfn.XLOOKUP(Table6[[#This Row],[Old Table.Column]],Cobra8.6[Table.Column],Cobra8.6[LENGTH],"",0,1)</f>
        <v/>
      </c>
    </row>
    <row r="258" spans="1:27" hidden="1" x14ac:dyDescent="0.2">
      <c r="A258" t="s">
        <v>450</v>
      </c>
      <c r="B258" t="s">
        <v>451</v>
      </c>
      <c r="C258" t="s">
        <v>510</v>
      </c>
      <c r="D258">
        <v>25</v>
      </c>
      <c r="E258" t="s">
        <v>161</v>
      </c>
      <c r="F258" t="str">
        <f>VLOOKUP($E258,'Data Type Lookup'!$A$1:$C$21,2,FALSE)</f>
        <v>NUMBER(21,6)</v>
      </c>
      <c r="J258" s="32">
        <v>0</v>
      </c>
      <c r="P258" t="s">
        <v>511</v>
      </c>
      <c r="Q258" t="s">
        <v>512</v>
      </c>
      <c r="R258" t="str">
        <f>VLOOKUP(E258,'Data Type Lookup'!$A$1:$C$21,3,FALSE)</f>
        <v>java.math.BigDecimal</v>
      </c>
      <c r="W258" t="str">
        <f t="shared" ref="W258:W321" si="5">_xlfn.CONCAT(B258,".",C258)</f>
        <v>PROJECT.FEE_PRCENT</v>
      </c>
      <c r="X258" t="str">
        <f>VLOOKUP(W258,ColumnMapping[New Table.Column],1,)</f>
        <v>PROJECT.FEE_PRCENT</v>
      </c>
      <c r="Y258" t="str">
        <f>_xlfn.XLOOKUP(Table6[[#This Row],[Table.Column]],ColumnMapping[Add Column Name],ColumnMapping[Old Table.Column],"",0,1)</f>
        <v/>
      </c>
      <c r="Z258" t="str">
        <f>_xlfn.XLOOKUP(Table6[[#This Row],[Old Table.Column]],Cobra8.6[Table.Column],Cobra8.6[TYPE],"",0,1)</f>
        <v/>
      </c>
      <c r="AA258" t="str">
        <f>_xlfn.XLOOKUP(Table6[[#This Row],[Old Table.Column]],Cobra8.6[Table.Column],Cobra8.6[LENGTH],"",0,1)</f>
        <v/>
      </c>
    </row>
    <row r="259" spans="1:27" hidden="1" x14ac:dyDescent="0.2">
      <c r="A259" t="s">
        <v>450</v>
      </c>
      <c r="B259" t="s">
        <v>451</v>
      </c>
      <c r="C259" t="s">
        <v>513</v>
      </c>
      <c r="D259">
        <v>26</v>
      </c>
      <c r="E259" t="s">
        <v>161</v>
      </c>
      <c r="F259" t="str">
        <f>VLOOKUP($E259,'Data Type Lookup'!$A$1:$C$21,2,FALSE)</f>
        <v>NUMBER(21,6)</v>
      </c>
      <c r="J259" s="32">
        <v>0</v>
      </c>
      <c r="P259" t="s">
        <v>514</v>
      </c>
      <c r="Q259" t="s">
        <v>515</v>
      </c>
      <c r="R259" t="str">
        <f>VLOOKUP(E259,'Data Type Lookup'!$A$1:$C$21,3,FALSE)</f>
        <v>java.math.BigDecimal</v>
      </c>
      <c r="W259" t="str">
        <f t="shared" si="5"/>
        <v>PROJECT.CTC</v>
      </c>
      <c r="X259" t="str">
        <f>VLOOKUP(W259,ColumnMapping[New Table.Column],1,)</f>
        <v>PROJECT.CTC</v>
      </c>
      <c r="Y259" t="str">
        <f>_xlfn.XLOOKUP(Table6[[#This Row],[Table.Column]],ColumnMapping[Add Column Name],ColumnMapping[Old Table.Column],"",0,1)</f>
        <v/>
      </c>
      <c r="Z259" t="str">
        <f>_xlfn.XLOOKUP(Table6[[#This Row],[Old Table.Column]],Cobra8.6[Table.Column],Cobra8.6[TYPE],"",0,1)</f>
        <v/>
      </c>
      <c r="AA259" t="str">
        <f>_xlfn.XLOOKUP(Table6[[#This Row],[Old Table.Column]],Cobra8.6[Table.Column],Cobra8.6[LENGTH],"",0,1)</f>
        <v/>
      </c>
    </row>
    <row r="260" spans="1:27" hidden="1" x14ac:dyDescent="0.2">
      <c r="A260" t="s">
        <v>450</v>
      </c>
      <c r="B260" t="s">
        <v>451</v>
      </c>
      <c r="C260" t="s">
        <v>516</v>
      </c>
      <c r="D260">
        <v>27</v>
      </c>
      <c r="E260" t="s">
        <v>161</v>
      </c>
      <c r="F260" t="str">
        <f>VLOOKUP($E260,'Data Type Lookup'!$A$1:$C$21,2,FALSE)</f>
        <v>NUMBER(21,6)</v>
      </c>
      <c r="J260" s="32">
        <v>0</v>
      </c>
      <c r="P260" t="s">
        <v>517</v>
      </c>
      <c r="Q260" t="s">
        <v>518</v>
      </c>
      <c r="R260" t="str">
        <f>VLOOKUP(E260,'Data Type Lookup'!$A$1:$C$21,3,FALSE)</f>
        <v>java.math.BigDecimal</v>
      </c>
      <c r="W260" t="str">
        <f t="shared" si="5"/>
        <v>PROJECT.AUW</v>
      </c>
      <c r="X260" t="str">
        <f>VLOOKUP(W260,ColumnMapping[New Table.Column],1,)</f>
        <v>PROJECT.AUW</v>
      </c>
      <c r="Y260" t="str">
        <f>_xlfn.XLOOKUP(Table6[[#This Row],[Table.Column]],ColumnMapping[Add Column Name],ColumnMapping[Old Table.Column],"",0,1)</f>
        <v/>
      </c>
      <c r="Z260" t="str">
        <f>_xlfn.XLOOKUP(Table6[[#This Row],[Old Table.Column]],Cobra8.6[Table.Column],Cobra8.6[TYPE],"",0,1)</f>
        <v/>
      </c>
      <c r="AA260" t="str">
        <f>_xlfn.XLOOKUP(Table6[[#This Row],[Old Table.Column]],Cobra8.6[Table.Column],Cobra8.6[LENGTH],"",0,1)</f>
        <v/>
      </c>
    </row>
    <row r="261" spans="1:27" hidden="1" x14ac:dyDescent="0.2">
      <c r="A261" t="s">
        <v>450</v>
      </c>
      <c r="B261" t="s">
        <v>451</v>
      </c>
      <c r="C261" t="s">
        <v>519</v>
      </c>
      <c r="D261">
        <v>28</v>
      </c>
      <c r="E261" t="s">
        <v>161</v>
      </c>
      <c r="F261" t="str">
        <f>VLOOKUP($E261,'Data Type Lookup'!$A$1:$C$21,2,FALSE)</f>
        <v>NUMBER(21,6)</v>
      </c>
      <c r="J261" s="32">
        <v>0</v>
      </c>
      <c r="P261" t="s">
        <v>520</v>
      </c>
      <c r="Q261" t="s">
        <v>521</v>
      </c>
      <c r="R261" t="str">
        <f>VLOOKUP(E261,'Data Type Lookup'!$A$1:$C$21,3,FALSE)</f>
        <v>java.math.BigDecimal</v>
      </c>
      <c r="W261" t="str">
        <f t="shared" si="5"/>
        <v>PROJECT.OTC</v>
      </c>
      <c r="X261" t="str">
        <f>VLOOKUP(W261,ColumnMapping[New Table.Column],1,)</f>
        <v>PROJECT.OTC</v>
      </c>
      <c r="Y261" t="str">
        <f>_xlfn.XLOOKUP(Table6[[#This Row],[Table.Column]],ColumnMapping[Add Column Name],ColumnMapping[Old Table.Column],"",0,1)</f>
        <v/>
      </c>
      <c r="Z261" t="str">
        <f>_xlfn.XLOOKUP(Table6[[#This Row],[Old Table.Column]],Cobra8.6[Table.Column],Cobra8.6[TYPE],"",0,1)</f>
        <v/>
      </c>
      <c r="AA261" t="str">
        <f>_xlfn.XLOOKUP(Table6[[#This Row],[Old Table.Column]],Cobra8.6[Table.Column],Cobra8.6[LENGTH],"",0,1)</f>
        <v/>
      </c>
    </row>
    <row r="262" spans="1:27" hidden="1" x14ac:dyDescent="0.2">
      <c r="A262" t="s">
        <v>450</v>
      </c>
      <c r="B262" t="s">
        <v>451</v>
      </c>
      <c r="C262" t="s">
        <v>522</v>
      </c>
      <c r="D262">
        <v>29</v>
      </c>
      <c r="E262" t="s">
        <v>161</v>
      </c>
      <c r="F262" t="str">
        <f>VLOOKUP($E262,'Data Type Lookup'!$A$1:$C$21,2,FALSE)</f>
        <v>NUMBER(21,6)</v>
      </c>
      <c r="J262" s="32">
        <v>0</v>
      </c>
      <c r="P262" t="s">
        <v>523</v>
      </c>
      <c r="Q262" t="s">
        <v>524</v>
      </c>
      <c r="R262" t="str">
        <f>VLOOKUP(E262,'Data Type Lookup'!$A$1:$C$21,3,FALSE)</f>
        <v>java.math.BigDecimal</v>
      </c>
      <c r="W262" t="str">
        <f t="shared" si="5"/>
        <v>PROJECT.CBB</v>
      </c>
      <c r="X262" t="str">
        <f>VLOOKUP(W262,ColumnMapping[New Table.Column],1,)</f>
        <v>PROJECT.CBB</v>
      </c>
      <c r="Y262" t="str">
        <f>_xlfn.XLOOKUP(Table6[[#This Row],[Table.Column]],ColumnMapping[Add Column Name],ColumnMapping[Old Table.Column],"",0,1)</f>
        <v/>
      </c>
      <c r="Z262" t="str">
        <f>_xlfn.XLOOKUP(Table6[[#This Row],[Old Table.Column]],Cobra8.6[Table.Column],Cobra8.6[TYPE],"",0,1)</f>
        <v/>
      </c>
      <c r="AA262" t="str">
        <f>_xlfn.XLOOKUP(Table6[[#This Row],[Old Table.Column]],Cobra8.6[Table.Column],Cobra8.6[LENGTH],"",0,1)</f>
        <v/>
      </c>
    </row>
    <row r="263" spans="1:27" hidden="1" x14ac:dyDescent="0.2">
      <c r="A263" t="s">
        <v>450</v>
      </c>
      <c r="B263" t="s">
        <v>451</v>
      </c>
      <c r="C263" t="s">
        <v>525</v>
      </c>
      <c r="D263">
        <v>30</v>
      </c>
      <c r="E263" t="s">
        <v>161</v>
      </c>
      <c r="F263" t="str">
        <f>VLOOKUP($E263,'Data Type Lookup'!$A$1:$C$21,2,FALSE)</f>
        <v>NUMBER(21,6)</v>
      </c>
      <c r="J263" s="32">
        <v>0</v>
      </c>
      <c r="P263" t="s">
        <v>526</v>
      </c>
      <c r="Q263" t="s">
        <v>527</v>
      </c>
      <c r="R263" t="str">
        <f>VLOOKUP(E263,'Data Type Lookup'!$A$1:$C$21,3,FALSE)</f>
        <v>java.math.BigDecimal</v>
      </c>
      <c r="W263" t="str">
        <f t="shared" si="5"/>
        <v>PROJECT.FEE</v>
      </c>
      <c r="X263" t="str">
        <f>VLOOKUP(W263,ColumnMapping[New Table.Column],1,)</f>
        <v>PROJECT.FEE</v>
      </c>
      <c r="Y263" t="str">
        <f>_xlfn.XLOOKUP(Table6[[#This Row],[Table.Column]],ColumnMapping[Add Column Name],ColumnMapping[Old Table.Column],"",0,1)</f>
        <v/>
      </c>
      <c r="Z263" t="str">
        <f>_xlfn.XLOOKUP(Table6[[#This Row],[Old Table.Column]],Cobra8.6[Table.Column],Cobra8.6[TYPE],"",0,1)</f>
        <v/>
      </c>
      <c r="AA263" t="str">
        <f>_xlfn.XLOOKUP(Table6[[#This Row],[Old Table.Column]],Cobra8.6[Table.Column],Cobra8.6[LENGTH],"",0,1)</f>
        <v/>
      </c>
    </row>
    <row r="264" spans="1:27" hidden="1" x14ac:dyDescent="0.2">
      <c r="A264" t="s">
        <v>450</v>
      </c>
      <c r="B264" t="s">
        <v>451</v>
      </c>
      <c r="C264" t="s">
        <v>528</v>
      </c>
      <c r="D264">
        <v>31</v>
      </c>
      <c r="E264" t="s">
        <v>161</v>
      </c>
      <c r="F264" t="str">
        <f>VLOOKUP($E264,'Data Type Lookup'!$A$1:$C$21,2,FALSE)</f>
        <v>NUMBER(21,6)</v>
      </c>
      <c r="J264" s="32">
        <v>0</v>
      </c>
      <c r="P264" t="s">
        <v>529</v>
      </c>
      <c r="Q264" t="s">
        <v>530</v>
      </c>
      <c r="R264" t="str">
        <f>VLOOKUP(E264,'Data Type Lookup'!$A$1:$C$21,3,FALSE)</f>
        <v>java.math.BigDecimal</v>
      </c>
      <c r="W264" t="str">
        <f t="shared" si="5"/>
        <v>PROJECT.MR</v>
      </c>
      <c r="X264" t="str">
        <f>VLOOKUP(W264,ColumnMapping[New Table.Column],1,)</f>
        <v>PROJECT.MR</v>
      </c>
      <c r="Y264" t="str">
        <f>_xlfn.XLOOKUP(Table6[[#This Row],[Table.Column]],ColumnMapping[Add Column Name],ColumnMapping[Old Table.Column],"",0,1)</f>
        <v/>
      </c>
      <c r="Z264" t="str">
        <f>_xlfn.XLOOKUP(Table6[[#This Row],[Old Table.Column]],Cobra8.6[Table.Column],Cobra8.6[TYPE],"",0,1)</f>
        <v/>
      </c>
      <c r="AA264" t="str">
        <f>_xlfn.XLOOKUP(Table6[[#This Row],[Old Table.Column]],Cobra8.6[Table.Column],Cobra8.6[LENGTH],"",0,1)</f>
        <v/>
      </c>
    </row>
    <row r="265" spans="1:27" hidden="1" x14ac:dyDescent="0.2">
      <c r="A265" t="s">
        <v>450</v>
      </c>
      <c r="B265" t="s">
        <v>451</v>
      </c>
      <c r="C265" t="s">
        <v>531</v>
      </c>
      <c r="D265">
        <v>32</v>
      </c>
      <c r="E265" t="s">
        <v>161</v>
      </c>
      <c r="F265" t="str">
        <f>VLOOKUP($E265,'Data Type Lookup'!$A$1:$C$21,2,FALSE)</f>
        <v>NUMBER(21,6)</v>
      </c>
      <c r="J265" s="32">
        <v>0</v>
      </c>
      <c r="P265" t="s">
        <v>532</v>
      </c>
      <c r="Q265" t="s">
        <v>533</v>
      </c>
      <c r="R265" t="str">
        <f>VLOOKUP(E265,'Data Type Lookup'!$A$1:$C$21,3,FALSE)</f>
        <v>java.math.BigDecimal</v>
      </c>
      <c r="W265" t="str">
        <f t="shared" si="5"/>
        <v>PROJECT.UB</v>
      </c>
      <c r="X265" t="str">
        <f>VLOOKUP(W265,ColumnMapping[New Table.Column],1,)</f>
        <v>PROJECT.UB</v>
      </c>
      <c r="Y265" t="str">
        <f>_xlfn.XLOOKUP(Table6[[#This Row],[Table.Column]],ColumnMapping[Add Column Name],ColumnMapping[Old Table.Column],"",0,1)</f>
        <v/>
      </c>
      <c r="Z265" t="str">
        <f>_xlfn.XLOOKUP(Table6[[#This Row],[Old Table.Column]],Cobra8.6[Table.Column],Cobra8.6[TYPE],"",0,1)</f>
        <v/>
      </c>
      <c r="AA265" t="str">
        <f>_xlfn.XLOOKUP(Table6[[#This Row],[Old Table.Column]],Cobra8.6[Table.Column],Cobra8.6[LENGTH],"",0,1)</f>
        <v/>
      </c>
    </row>
    <row r="266" spans="1:27" hidden="1" x14ac:dyDescent="0.2">
      <c r="A266" t="s">
        <v>450</v>
      </c>
      <c r="B266" t="s">
        <v>451</v>
      </c>
      <c r="C266" t="s">
        <v>534</v>
      </c>
      <c r="D266">
        <v>33</v>
      </c>
      <c r="E266" t="s">
        <v>161</v>
      </c>
      <c r="F266" t="str">
        <f>VLOOKUP($E266,'Data Type Lookup'!$A$1:$C$21,2,FALSE)</f>
        <v>NUMBER(21,6)</v>
      </c>
      <c r="J266" s="32">
        <v>0</v>
      </c>
      <c r="P266" t="s">
        <v>535</v>
      </c>
      <c r="Q266" t="s">
        <v>536</v>
      </c>
      <c r="R266" t="str">
        <f>VLOOKUP(E266,'Data Type Lookup'!$A$1:$C$21,3,FALSE)</f>
        <v>java.math.BigDecimal</v>
      </c>
      <c r="W266" t="str">
        <f t="shared" si="5"/>
        <v>PROJECT.CEILING</v>
      </c>
      <c r="X266" t="str">
        <f>VLOOKUP(W266,ColumnMapping[New Table.Column],1,)</f>
        <v>PROJECT.CEILING</v>
      </c>
      <c r="Y266" t="str">
        <f>_xlfn.XLOOKUP(Table6[[#This Row],[Table.Column]],ColumnMapping[Add Column Name],ColumnMapping[Old Table.Column],"",0,1)</f>
        <v/>
      </c>
      <c r="Z266" t="str">
        <f>_xlfn.XLOOKUP(Table6[[#This Row],[Old Table.Column]],Cobra8.6[Table.Column],Cobra8.6[TYPE],"",0,1)</f>
        <v/>
      </c>
      <c r="AA266" t="str">
        <f>_xlfn.XLOOKUP(Table6[[#This Row],[Old Table.Column]],Cobra8.6[Table.Column],Cobra8.6[LENGTH],"",0,1)</f>
        <v/>
      </c>
    </row>
    <row r="267" spans="1:27" hidden="1" x14ac:dyDescent="0.2">
      <c r="A267" t="s">
        <v>450</v>
      </c>
      <c r="B267" t="s">
        <v>451</v>
      </c>
      <c r="C267" t="s">
        <v>537</v>
      </c>
      <c r="D267">
        <v>34</v>
      </c>
      <c r="E267" t="s">
        <v>161</v>
      </c>
      <c r="F267" t="str">
        <f>VLOOKUP($E267,'Data Type Lookup'!$A$1:$C$21,2,FALSE)</f>
        <v>NUMBER(21,6)</v>
      </c>
      <c r="J267" s="32">
        <v>0</v>
      </c>
      <c r="P267" t="s">
        <v>538</v>
      </c>
      <c r="Q267" t="s">
        <v>539</v>
      </c>
      <c r="R267" t="str">
        <f>VLOOKUP(E267,'Data Type Lookup'!$A$1:$C$21,3,FALSE)</f>
        <v>java.math.BigDecimal</v>
      </c>
      <c r="W267" t="str">
        <f t="shared" si="5"/>
        <v>PROJECT.LRE</v>
      </c>
      <c r="X267" t="str">
        <f>VLOOKUP(W267,ColumnMapping[New Table.Column],1,)</f>
        <v>PROJECT.LRE</v>
      </c>
      <c r="Y267" t="str">
        <f>_xlfn.XLOOKUP(Table6[[#This Row],[Table.Column]],ColumnMapping[Add Column Name],ColumnMapping[Old Table.Column],"",0,1)</f>
        <v/>
      </c>
      <c r="Z267" t="str">
        <f>_xlfn.XLOOKUP(Table6[[#This Row],[Old Table.Column]],Cobra8.6[Table.Column],Cobra8.6[TYPE],"",0,1)</f>
        <v/>
      </c>
      <c r="AA267" t="str">
        <f>_xlfn.XLOOKUP(Table6[[#This Row],[Old Table.Column]],Cobra8.6[Table.Column],Cobra8.6[LENGTH],"",0,1)</f>
        <v/>
      </c>
    </row>
    <row r="268" spans="1:27" hidden="1" x14ac:dyDescent="0.2">
      <c r="A268" t="s">
        <v>450</v>
      </c>
      <c r="B268" t="s">
        <v>451</v>
      </c>
      <c r="C268" t="s">
        <v>540</v>
      </c>
      <c r="D268">
        <v>35</v>
      </c>
      <c r="E268" t="s">
        <v>161</v>
      </c>
      <c r="F268" t="str">
        <f>VLOOKUP($E268,'Data Type Lookup'!$A$1:$C$21,2,FALSE)</f>
        <v>NUMBER(21,6)</v>
      </c>
      <c r="J268" s="32">
        <v>0</v>
      </c>
      <c r="P268" t="s">
        <v>541</v>
      </c>
      <c r="Q268" t="s">
        <v>542</v>
      </c>
      <c r="R268" t="str">
        <f>VLOOKUP(E268,'Data Type Lookup'!$A$1:$C$21,3,FALSE)</f>
        <v>java.math.BigDecimal</v>
      </c>
      <c r="W268" t="str">
        <f t="shared" si="5"/>
        <v>PROJECT.ESTCEILING</v>
      </c>
      <c r="X268" t="str">
        <f>VLOOKUP(W268,ColumnMapping[New Table.Column],1,)</f>
        <v>PROJECT.ESTCEILING</v>
      </c>
      <c r="Y268" t="str">
        <f>_xlfn.XLOOKUP(Table6[[#This Row],[Table.Column]],ColumnMapping[Add Column Name],ColumnMapping[Old Table.Column],"",0,1)</f>
        <v/>
      </c>
      <c r="Z268" t="str">
        <f>_xlfn.XLOOKUP(Table6[[#This Row],[Old Table.Column]],Cobra8.6[Table.Column],Cobra8.6[TYPE],"",0,1)</f>
        <v/>
      </c>
      <c r="AA268" t="str">
        <f>_xlfn.XLOOKUP(Table6[[#This Row],[Old Table.Column]],Cobra8.6[Table.Column],Cobra8.6[LENGTH],"",0,1)</f>
        <v/>
      </c>
    </row>
    <row r="269" spans="1:27" hidden="1" x14ac:dyDescent="0.2">
      <c r="A269" t="s">
        <v>450</v>
      </c>
      <c r="B269" t="s">
        <v>451</v>
      </c>
      <c r="C269" t="s">
        <v>543</v>
      </c>
      <c r="D269">
        <v>36</v>
      </c>
      <c r="E269" t="s">
        <v>161</v>
      </c>
      <c r="F269" t="str">
        <f>VLOOKUP($E269,'Data Type Lookup'!$A$1:$C$21,2,FALSE)</f>
        <v>NUMBER(21,6)</v>
      </c>
      <c r="J269" s="32">
        <v>0</v>
      </c>
      <c r="P269" t="s">
        <v>544</v>
      </c>
      <c r="Q269" t="s">
        <v>545</v>
      </c>
      <c r="R269" t="str">
        <f>VLOOKUP(E269,'Data Type Lookup'!$A$1:$C$21,3,FALSE)</f>
        <v>java.math.BigDecimal</v>
      </c>
      <c r="W269" t="str">
        <f t="shared" si="5"/>
        <v>PROJECT.ESTMR</v>
      </c>
      <c r="X269" t="str">
        <f>VLOOKUP(W269,ColumnMapping[New Table.Column],1,)</f>
        <v>PROJECT.ESTMR</v>
      </c>
      <c r="Y269" t="str">
        <f>_xlfn.XLOOKUP(Table6[[#This Row],[Table.Column]],ColumnMapping[Add Column Name],ColumnMapping[Old Table.Column],"",0,1)</f>
        <v/>
      </c>
      <c r="Z269" t="str">
        <f>_xlfn.XLOOKUP(Table6[[#This Row],[Old Table.Column]],Cobra8.6[Table.Column],Cobra8.6[TYPE],"",0,1)</f>
        <v/>
      </c>
      <c r="AA269" t="str">
        <f>_xlfn.XLOOKUP(Table6[[#This Row],[Old Table.Column]],Cobra8.6[Table.Column],Cobra8.6[LENGTH],"",0,1)</f>
        <v/>
      </c>
    </row>
    <row r="270" spans="1:27" hidden="1" x14ac:dyDescent="0.2">
      <c r="A270" t="s">
        <v>450</v>
      </c>
      <c r="B270" t="s">
        <v>451</v>
      </c>
      <c r="C270" t="s">
        <v>546</v>
      </c>
      <c r="D270">
        <v>37</v>
      </c>
      <c r="E270" t="s">
        <v>161</v>
      </c>
      <c r="F270" t="str">
        <f>VLOOKUP($E270,'Data Type Lookup'!$A$1:$C$21,2,FALSE)</f>
        <v>NUMBER(21,6)</v>
      </c>
      <c r="J270" s="32">
        <v>0</v>
      </c>
      <c r="P270" t="s">
        <v>547</v>
      </c>
      <c r="Q270" t="s">
        <v>548</v>
      </c>
      <c r="R270" t="str">
        <f>VLOOKUP(E270,'Data Type Lookup'!$A$1:$C$21,3,FALSE)</f>
        <v>java.math.BigDecimal</v>
      </c>
      <c r="W270" t="str">
        <f t="shared" si="5"/>
        <v>PROJECT.ESTUB</v>
      </c>
      <c r="X270" t="str">
        <f>VLOOKUP(W270,ColumnMapping[New Table.Column],1,)</f>
        <v>PROJECT.ESTUB</v>
      </c>
      <c r="Y270" t="str">
        <f>_xlfn.XLOOKUP(Table6[[#This Row],[Table.Column]],ColumnMapping[Add Column Name],ColumnMapping[Old Table.Column],"",0,1)</f>
        <v/>
      </c>
      <c r="Z270" t="str">
        <f>_xlfn.XLOOKUP(Table6[[#This Row],[Old Table.Column]],Cobra8.6[Table.Column],Cobra8.6[TYPE],"",0,1)</f>
        <v/>
      </c>
      <c r="AA270" t="str">
        <f>_xlfn.XLOOKUP(Table6[[#This Row],[Old Table.Column]],Cobra8.6[Table.Column],Cobra8.6[LENGTH],"",0,1)</f>
        <v/>
      </c>
    </row>
    <row r="271" spans="1:27" hidden="1" x14ac:dyDescent="0.2">
      <c r="A271" t="s">
        <v>450</v>
      </c>
      <c r="B271" t="s">
        <v>451</v>
      </c>
      <c r="C271" t="s">
        <v>549</v>
      </c>
      <c r="D271">
        <v>38</v>
      </c>
      <c r="E271" t="s">
        <v>288</v>
      </c>
      <c r="F271" t="str">
        <f>VLOOKUP($E271,'Data Type Lookup'!$A$1:$C$21,2,FALSE)</f>
        <v>NUMBER(1,0)</v>
      </c>
      <c r="I271" s="32" t="s">
        <v>32</v>
      </c>
      <c r="J271" s="37">
        <v>0</v>
      </c>
      <c r="P271" t="s">
        <v>550</v>
      </c>
      <c r="Q271" t="s">
        <v>551</v>
      </c>
      <c r="R271" t="str">
        <f>VLOOKUP(E271,'Data Type Lookup'!$A$1:$C$21,3,FALSE)</f>
        <v>Boolean</v>
      </c>
      <c r="W271" t="str">
        <f t="shared" si="5"/>
        <v>PROJECT.BASELINED</v>
      </c>
      <c r="X271" t="str">
        <f>VLOOKUP(W271,ColumnMapping[New Table.Column],1,)</f>
        <v>PROJECT.BASELINED</v>
      </c>
      <c r="Y271" t="str">
        <f>_xlfn.XLOOKUP(Table6[[#This Row],[Table.Column]],ColumnMapping[Add Column Name],ColumnMapping[Old Table.Column],"",0,1)</f>
        <v/>
      </c>
      <c r="Z271" t="str">
        <f>_xlfn.XLOOKUP(Table6[[#This Row],[Old Table.Column]],Cobra8.6[Table.Column],Cobra8.6[TYPE],"",0,1)</f>
        <v/>
      </c>
      <c r="AA271" t="str">
        <f>_xlfn.XLOOKUP(Table6[[#This Row],[Old Table.Column]],Cobra8.6[Table.Column],Cobra8.6[LENGTH],"",0,1)</f>
        <v/>
      </c>
    </row>
    <row r="272" spans="1:27" hidden="1" x14ac:dyDescent="0.2">
      <c r="A272" t="s">
        <v>450</v>
      </c>
      <c r="B272" t="s">
        <v>451</v>
      </c>
      <c r="C272" t="s">
        <v>552</v>
      </c>
      <c r="D272">
        <v>39</v>
      </c>
      <c r="E272" t="s">
        <v>161</v>
      </c>
      <c r="F272" t="str">
        <f>VLOOKUP($E272,'Data Type Lookup'!$A$1:$C$21,2,FALSE)</f>
        <v>NUMBER(21,6)</v>
      </c>
      <c r="J272" s="32">
        <v>0</v>
      </c>
      <c r="P272" t="s">
        <v>514</v>
      </c>
      <c r="Q272" t="s">
        <v>553</v>
      </c>
      <c r="R272" t="str">
        <f>VLOOKUP(E272,'Data Type Lookup'!$A$1:$C$21,3,FALSE)</f>
        <v>java.math.BigDecimal</v>
      </c>
      <c r="W272" t="str">
        <f t="shared" si="5"/>
        <v>PROJECT.OTB</v>
      </c>
      <c r="X272" t="str">
        <f>VLOOKUP(W272,ColumnMapping[New Table.Column],1,)</f>
        <v>PROJECT.OTB</v>
      </c>
      <c r="Y272" t="str">
        <f>_xlfn.XLOOKUP(Table6[[#This Row],[Table.Column]],ColumnMapping[Add Column Name],ColumnMapping[Old Table.Column],"",0,1)</f>
        <v/>
      </c>
      <c r="Z272" t="str">
        <f>_xlfn.XLOOKUP(Table6[[#This Row],[Old Table.Column]],Cobra8.6[Table.Column],Cobra8.6[TYPE],"",0,1)</f>
        <v/>
      </c>
      <c r="AA272" t="str">
        <f>_xlfn.XLOOKUP(Table6[[#This Row],[Old Table.Column]],Cobra8.6[Table.Column],Cobra8.6[LENGTH],"",0,1)</f>
        <v/>
      </c>
    </row>
    <row r="273" spans="1:28" hidden="1" x14ac:dyDescent="0.2">
      <c r="A273" t="s">
        <v>450</v>
      </c>
      <c r="B273" t="s">
        <v>451</v>
      </c>
      <c r="C273" t="s">
        <v>554</v>
      </c>
      <c r="D273">
        <v>40</v>
      </c>
      <c r="E273" t="s">
        <v>288</v>
      </c>
      <c r="F273" t="str">
        <f>VLOOKUP($E273,'Data Type Lookup'!$A$1:$C$21,2,FALSE)</f>
        <v>NUMBER(1,0)</v>
      </c>
      <c r="I273" s="32" t="s">
        <v>32</v>
      </c>
      <c r="J273" s="37">
        <v>0</v>
      </c>
      <c r="P273" t="s">
        <v>555</v>
      </c>
      <c r="Q273" t="s">
        <v>556</v>
      </c>
      <c r="R273" t="str">
        <f>VLOOKUP(E273,'Data Type Lookup'!$A$1:$C$21,3,FALSE)</f>
        <v>Boolean</v>
      </c>
      <c r="W273" t="str">
        <f t="shared" si="5"/>
        <v>PROJECT.CCN_USEBDN</v>
      </c>
      <c r="X273" t="str">
        <f>VLOOKUP(W273,ColumnMapping[New Table.Column],1,)</f>
        <v>PROJECT.CCN_USEBDN</v>
      </c>
      <c r="Y273" t="str">
        <f>_xlfn.XLOOKUP(Table6[[#This Row],[Table.Column]],ColumnMapping[Add Column Name],ColumnMapping[Old Table.Column],"",0,1)</f>
        <v/>
      </c>
      <c r="Z273" t="str">
        <f>_xlfn.XLOOKUP(Table6[[#This Row],[Old Table.Column]],Cobra8.6[Table.Column],Cobra8.6[TYPE],"",0,1)</f>
        <v/>
      </c>
      <c r="AA273" t="str">
        <f>_xlfn.XLOOKUP(Table6[[#This Row],[Old Table.Column]],Cobra8.6[Table.Column],Cobra8.6[LENGTH],"",0,1)</f>
        <v/>
      </c>
    </row>
    <row r="274" spans="1:28" hidden="1" x14ac:dyDescent="0.2">
      <c r="A274" t="s">
        <v>450</v>
      </c>
      <c r="B274" t="s">
        <v>451</v>
      </c>
      <c r="C274" t="s">
        <v>557</v>
      </c>
      <c r="D274">
        <v>41</v>
      </c>
      <c r="E274" t="s">
        <v>288</v>
      </c>
      <c r="F274" t="str">
        <f>VLOOKUP($E274,'Data Type Lookup'!$A$1:$C$21,2,FALSE)</f>
        <v>NUMBER(1,0)</v>
      </c>
      <c r="I274" s="32" t="s">
        <v>32</v>
      </c>
      <c r="J274" s="37">
        <v>0</v>
      </c>
      <c r="P274" t="s">
        <v>558</v>
      </c>
      <c r="Q274" t="s">
        <v>559</v>
      </c>
      <c r="R274" t="str">
        <f>VLOOKUP(E274,'Data Type Lookup'!$A$1:$C$21,3,FALSE)</f>
        <v>Boolean</v>
      </c>
      <c r="W274" t="str">
        <f t="shared" si="5"/>
        <v>PROJECT.CCN_REQUIRED</v>
      </c>
      <c r="X274" t="str">
        <f>VLOOKUP(W274,ColumnMapping[New Table.Column],1,)</f>
        <v>PROJECT.CCN_REQUIRED</v>
      </c>
      <c r="Y274" t="str">
        <f>_xlfn.XLOOKUP(Table6[[#This Row],[Table.Column]],ColumnMapping[Add Column Name],ColumnMapping[Old Table.Column],"",0,1)</f>
        <v/>
      </c>
      <c r="Z274" t="str">
        <f>_xlfn.XLOOKUP(Table6[[#This Row],[Old Table.Column]],Cobra8.6[Table.Column],Cobra8.6[TYPE],"",0,1)</f>
        <v/>
      </c>
      <c r="AA274" t="str">
        <f>_xlfn.XLOOKUP(Table6[[#This Row],[Old Table.Column]],Cobra8.6[Table.Column],Cobra8.6[LENGTH],"",0,1)</f>
        <v/>
      </c>
    </row>
    <row r="275" spans="1:28" hidden="1" x14ac:dyDescent="0.2">
      <c r="A275" t="s">
        <v>450</v>
      </c>
      <c r="B275" t="s">
        <v>451</v>
      </c>
      <c r="C275" t="s">
        <v>560</v>
      </c>
      <c r="D275">
        <v>42</v>
      </c>
      <c r="E275" t="s">
        <v>288</v>
      </c>
      <c r="F275" t="str">
        <f>VLOOKUP($E275,'Data Type Lookup'!$A$1:$C$21,2,FALSE)</f>
        <v>NUMBER(1,0)</v>
      </c>
      <c r="I275" s="32" t="s">
        <v>32</v>
      </c>
      <c r="J275" s="37">
        <v>0</v>
      </c>
      <c r="P275" t="s">
        <v>561</v>
      </c>
      <c r="Q275" t="s">
        <v>562</v>
      </c>
      <c r="R275" t="str">
        <f>VLOOKUP(E275,'Data Type Lookup'!$A$1:$C$21,3,FALSE)</f>
        <v>Boolean</v>
      </c>
      <c r="W275" t="str">
        <f t="shared" si="5"/>
        <v>PROJECT.CAM_REQUIRED</v>
      </c>
      <c r="X275" t="str">
        <f>VLOOKUP(W275,ColumnMapping[New Table.Column],1,)</f>
        <v>PROJECT.CAM_REQUIRED</v>
      </c>
      <c r="Y275" t="str">
        <f>_xlfn.XLOOKUP(Table6[[#This Row],[Table.Column]],ColumnMapping[Add Column Name],ColumnMapping[Old Table.Column],"",0,1)</f>
        <v/>
      </c>
      <c r="Z275" t="str">
        <f>_xlfn.XLOOKUP(Table6[[#This Row],[Old Table.Column]],Cobra8.6[Table.Column],Cobra8.6[TYPE],"",0,1)</f>
        <v/>
      </c>
      <c r="AA275" t="str">
        <f>_xlfn.XLOOKUP(Table6[[#This Row],[Old Table.Column]],Cobra8.6[Table.Column],Cobra8.6[LENGTH],"",0,1)</f>
        <v/>
      </c>
    </row>
    <row r="276" spans="1:28" hidden="1" x14ac:dyDescent="0.2">
      <c r="A276" t="s">
        <v>450</v>
      </c>
      <c r="B276" t="s">
        <v>451</v>
      </c>
      <c r="C276" t="s">
        <v>563</v>
      </c>
      <c r="D276">
        <v>43</v>
      </c>
      <c r="E276" t="s">
        <v>86</v>
      </c>
      <c r="F276" t="str">
        <f>VLOOKUP($E276,'Data Type Lookup'!$A$1:$C$21,2,FALSE)</f>
        <v>VARCHAR2</v>
      </c>
      <c r="G276">
        <v>60</v>
      </c>
      <c r="P276" t="s">
        <v>564</v>
      </c>
      <c r="Q276" t="s">
        <v>565</v>
      </c>
      <c r="R276" t="str">
        <f>VLOOKUP(E276,'Data Type Lookup'!$A$1:$C$21,3,FALSE)</f>
        <v>String</v>
      </c>
      <c r="W276" t="str">
        <f t="shared" si="5"/>
        <v>PROJECT.CLASSIFICATION</v>
      </c>
      <c r="X276" t="str">
        <f>VLOOKUP(W276,ColumnMapping[New Table.Column],1,)</f>
        <v>PROJECT.CLASSIFICATION</v>
      </c>
      <c r="Y276" t="str">
        <f>_xlfn.XLOOKUP(Table6[[#This Row],[Table.Column]],ColumnMapping[Add Column Name],ColumnMapping[Old Table.Column],"",0,1)</f>
        <v/>
      </c>
      <c r="Z276" t="str">
        <f>_xlfn.XLOOKUP(Table6[[#This Row],[Old Table.Column]],Cobra8.6[Table.Column],Cobra8.6[TYPE],"",0,1)</f>
        <v/>
      </c>
      <c r="AA276" t="str">
        <f>_xlfn.XLOOKUP(Table6[[#This Row],[Old Table.Column]],Cobra8.6[Table.Column],Cobra8.6[LENGTH],"",0,1)</f>
        <v/>
      </c>
    </row>
    <row r="277" spans="1:28" hidden="1" x14ac:dyDescent="0.2">
      <c r="A277" t="s">
        <v>450</v>
      </c>
      <c r="B277" t="s">
        <v>451</v>
      </c>
      <c r="C277" t="s">
        <v>566</v>
      </c>
      <c r="D277">
        <v>44</v>
      </c>
      <c r="E277" t="s">
        <v>567</v>
      </c>
      <c r="F277" t="str">
        <f>VLOOKUP($E277,'Data Type Lookup'!$A$1:$C$21,2,FALSE)</f>
        <v>NUMBER(10,0)</v>
      </c>
      <c r="J277" s="32">
        <v>0</v>
      </c>
      <c r="P277" t="s">
        <v>568</v>
      </c>
      <c r="Q277" t="s">
        <v>569</v>
      </c>
      <c r="R277" t="str">
        <f>VLOOKUP(E277,'Data Type Lookup'!$A$1:$C$21,3,FALSE)</f>
        <v>Integer</v>
      </c>
      <c r="W277" t="str">
        <f t="shared" si="5"/>
        <v>PROJECT.EVMS_ACCEPTANCE</v>
      </c>
      <c r="X277" t="str">
        <f>VLOOKUP(W277,ColumnMapping[New Table.Column],1,)</f>
        <v>PROJECT.EVMS_ACCEPTANCE</v>
      </c>
      <c r="Y277" t="str">
        <f>_xlfn.XLOOKUP(Table6[[#This Row],[Table.Column]],ColumnMapping[Add Column Name],ColumnMapping[Old Table.Column],"",0,1)</f>
        <v/>
      </c>
      <c r="Z277" t="str">
        <f>_xlfn.XLOOKUP(Table6[[#This Row],[Old Table.Column]],Cobra8.6[Table.Column],Cobra8.6[TYPE],"",0,1)</f>
        <v/>
      </c>
      <c r="AA277" t="str">
        <f>_xlfn.XLOOKUP(Table6[[#This Row],[Old Table.Column]],Cobra8.6[Table.Column],Cobra8.6[LENGTH],"",0,1)</f>
        <v/>
      </c>
    </row>
    <row r="278" spans="1:28" hidden="1" x14ac:dyDescent="0.2">
      <c r="A278" t="s">
        <v>450</v>
      </c>
      <c r="B278" t="s">
        <v>451</v>
      </c>
      <c r="C278" t="s">
        <v>570</v>
      </c>
      <c r="D278">
        <v>45</v>
      </c>
      <c r="E278" t="s">
        <v>356</v>
      </c>
      <c r="F278" t="str">
        <f>VLOOKUP($E278,'Data Type Lookup'!$A$1:$C$21,2,FALSE)</f>
        <v>DATE</v>
      </c>
      <c r="P278" t="s">
        <v>571</v>
      </c>
      <c r="Q278" t="s">
        <v>572</v>
      </c>
      <c r="R278" t="str">
        <f>VLOOKUP(E278,'Data Type Lookup'!$A$1:$C$21,3,FALSE)</f>
        <v>java.time.Instant</v>
      </c>
      <c r="W278" t="str">
        <f t="shared" si="5"/>
        <v>PROJECT.EVMS_ACCEPTANCE_DATE</v>
      </c>
      <c r="X278" t="str">
        <f>VLOOKUP(W278,ColumnMapping[New Table.Column],1,)</f>
        <v>PROJECT.EVMS_ACCEPTANCE_DATE</v>
      </c>
      <c r="Y278" t="str">
        <f>_xlfn.XLOOKUP(Table6[[#This Row],[Table.Column]],ColumnMapping[Add Column Name],ColumnMapping[Old Table.Column],"",0,1)</f>
        <v/>
      </c>
      <c r="Z278" t="str">
        <f>_xlfn.XLOOKUP(Table6[[#This Row],[Old Table.Column]],Cobra8.6[Table.Column],Cobra8.6[TYPE],"",0,1)</f>
        <v/>
      </c>
      <c r="AA278" t="str">
        <f>_xlfn.XLOOKUP(Table6[[#This Row],[Old Table.Column]],Cobra8.6[Table.Column],Cobra8.6[LENGTH],"",0,1)</f>
        <v/>
      </c>
    </row>
    <row r="279" spans="1:28" hidden="1" x14ac:dyDescent="0.2">
      <c r="A279" t="s">
        <v>450</v>
      </c>
      <c r="B279" t="s">
        <v>451</v>
      </c>
      <c r="C279" t="s">
        <v>573</v>
      </c>
      <c r="D279">
        <v>46</v>
      </c>
      <c r="E279" t="s">
        <v>356</v>
      </c>
      <c r="F279" t="str">
        <f>VLOOKUP($E279,'Data Type Lookup'!$A$1:$C$21,2,FALSE)</f>
        <v>DATE</v>
      </c>
      <c r="P279" t="s">
        <v>574</v>
      </c>
      <c r="Q279" t="s">
        <v>575</v>
      </c>
      <c r="R279" t="str">
        <f>VLOOKUP(E279,'Data Type Lookup'!$A$1:$C$21,3,FALSE)</f>
        <v>java.time.Instant</v>
      </c>
      <c r="W279" t="str">
        <f t="shared" si="5"/>
        <v>PROJECT.OTB_DATE</v>
      </c>
      <c r="X279" t="str">
        <f>VLOOKUP(W279,ColumnMapping[New Table.Column],1,)</f>
        <v>PROJECT.OTB_DATE</v>
      </c>
      <c r="Y279" t="str">
        <f>_xlfn.XLOOKUP(Table6[[#This Row],[Table.Column]],ColumnMapping[Add Column Name],ColumnMapping[Old Table.Column],"",0,1)</f>
        <v/>
      </c>
      <c r="Z279" t="str">
        <f>_xlfn.XLOOKUP(Table6[[#This Row],[Old Table.Column]],Cobra8.6[Table.Column],Cobra8.6[TYPE],"",0,1)</f>
        <v/>
      </c>
      <c r="AA279" t="str">
        <f>_xlfn.XLOOKUP(Table6[[#This Row],[Old Table.Column]],Cobra8.6[Table.Column],Cobra8.6[LENGTH],"",0,1)</f>
        <v/>
      </c>
    </row>
    <row r="280" spans="1:28" hidden="1" x14ac:dyDescent="0.2">
      <c r="A280" t="s">
        <v>450</v>
      </c>
      <c r="B280" t="s">
        <v>451</v>
      </c>
      <c r="C280" t="s">
        <v>576</v>
      </c>
      <c r="D280">
        <v>47</v>
      </c>
      <c r="E280" t="s">
        <v>161</v>
      </c>
      <c r="F280" t="str">
        <f>VLOOKUP($E280,'Data Type Lookup'!$A$1:$C$21,2,FALSE)</f>
        <v>NUMBER(21,6)</v>
      </c>
      <c r="J280" s="32">
        <v>0</v>
      </c>
      <c r="P280" t="s">
        <v>577</v>
      </c>
      <c r="Q280" t="s">
        <v>578</v>
      </c>
      <c r="R280" t="str">
        <f>VLOOKUP(E280,'Data Type Lookup'!$A$1:$C$21,3,FALSE)</f>
        <v>java.math.BigDecimal</v>
      </c>
      <c r="W280" t="str">
        <f t="shared" si="5"/>
        <v>PROJECT.EAC_BEST</v>
      </c>
      <c r="X280" t="str">
        <f>VLOOKUP(W280,ColumnMapping[New Table.Column],1,)</f>
        <v>PROJECT.EAC_BEST</v>
      </c>
      <c r="Y280" t="str">
        <f>_xlfn.XLOOKUP(Table6[[#This Row],[Table.Column]],ColumnMapping[Add Column Name],ColumnMapping[Old Table.Column],"",0,1)</f>
        <v/>
      </c>
      <c r="Z280" t="str">
        <f>_xlfn.XLOOKUP(Table6[[#This Row],[Old Table.Column]],Cobra8.6[Table.Column],Cobra8.6[TYPE],"",0,1)</f>
        <v/>
      </c>
      <c r="AA280" t="str">
        <f>_xlfn.XLOOKUP(Table6[[#This Row],[Old Table.Column]],Cobra8.6[Table.Column],Cobra8.6[LENGTH],"",0,1)</f>
        <v/>
      </c>
    </row>
    <row r="281" spans="1:28" hidden="1" x14ac:dyDescent="0.2">
      <c r="A281" t="s">
        <v>450</v>
      </c>
      <c r="B281" t="s">
        <v>451</v>
      </c>
      <c r="C281" t="s">
        <v>579</v>
      </c>
      <c r="D281">
        <v>48</v>
      </c>
      <c r="E281" t="s">
        <v>161</v>
      </c>
      <c r="F281" t="str">
        <f>VLOOKUP($E281,'Data Type Lookup'!$A$1:$C$21,2,FALSE)</f>
        <v>NUMBER(21,6)</v>
      </c>
      <c r="J281" s="32">
        <v>0</v>
      </c>
      <c r="P281" t="s">
        <v>580</v>
      </c>
      <c r="Q281" t="s">
        <v>581</v>
      </c>
      <c r="R281" t="str">
        <f>VLOOKUP(E281,'Data Type Lookup'!$A$1:$C$21,3,FALSE)</f>
        <v>java.math.BigDecimal</v>
      </c>
      <c r="W281" t="str">
        <f t="shared" si="5"/>
        <v>PROJECT.EAC_WORST</v>
      </c>
      <c r="X281" t="str">
        <f>VLOOKUP(W281,ColumnMapping[New Table.Column],1,)</f>
        <v>PROJECT.EAC_WORST</v>
      </c>
      <c r="Y281" t="str">
        <f>_xlfn.XLOOKUP(Table6[[#This Row],[Table.Column]],ColumnMapping[Add Column Name],ColumnMapping[Old Table.Column],"",0,1)</f>
        <v/>
      </c>
      <c r="Z281" t="str">
        <f>_xlfn.XLOOKUP(Table6[[#This Row],[Old Table.Column]],Cobra8.6[Table.Column],Cobra8.6[TYPE],"",0,1)</f>
        <v/>
      </c>
      <c r="AA281" t="str">
        <f>_xlfn.XLOOKUP(Table6[[#This Row],[Old Table.Column]],Cobra8.6[Table.Column],Cobra8.6[LENGTH],"",0,1)</f>
        <v/>
      </c>
    </row>
    <row r="282" spans="1:28" hidden="1" x14ac:dyDescent="0.2">
      <c r="A282" t="s">
        <v>450</v>
      </c>
      <c r="B282" t="s">
        <v>451</v>
      </c>
      <c r="C282" t="s">
        <v>582</v>
      </c>
      <c r="D282">
        <v>49</v>
      </c>
      <c r="E282" t="s">
        <v>356</v>
      </c>
      <c r="F282" t="str">
        <f>VLOOKUP($E282,'Data Type Lookup'!$A$1:$C$21,2,FALSE)</f>
        <v>DATE</v>
      </c>
      <c r="P282" t="s">
        <v>583</v>
      </c>
      <c r="Q282" t="s">
        <v>584</v>
      </c>
      <c r="R282" t="str">
        <f>VLOOKUP(E282,'Data Type Lookup'!$A$1:$C$21,3,FALSE)</f>
        <v>java.time.Instant</v>
      </c>
      <c r="W282" t="str">
        <f t="shared" si="5"/>
        <v>PROJECT.COMPLETE</v>
      </c>
      <c r="X282" t="str">
        <f>VLOOKUP(W282,ColumnMapping[New Table.Column],1,)</f>
        <v>PROJECT.COMPLETE</v>
      </c>
      <c r="Y282" t="str">
        <f>_xlfn.XLOOKUP(Table6[[#This Row],[Table.Column]],ColumnMapping[Add Column Name],ColumnMapping[Old Table.Column],"",0,1)</f>
        <v/>
      </c>
      <c r="Z282" t="str">
        <f>_xlfn.XLOOKUP(Table6[[#This Row],[Old Table.Column]],Cobra8.6[Table.Column],Cobra8.6[TYPE],"",0,1)</f>
        <v/>
      </c>
      <c r="AA282" t="str">
        <f>_xlfn.XLOOKUP(Table6[[#This Row],[Old Table.Column]],Cobra8.6[Table.Column],Cobra8.6[LENGTH],"",0,1)</f>
        <v/>
      </c>
    </row>
    <row r="283" spans="1:28" hidden="1" x14ac:dyDescent="0.2">
      <c r="A283" t="s">
        <v>450</v>
      </c>
      <c r="B283" t="s">
        <v>451</v>
      </c>
      <c r="C283" t="s">
        <v>585</v>
      </c>
      <c r="D283">
        <v>50</v>
      </c>
      <c r="E283" t="s">
        <v>356</v>
      </c>
      <c r="F283" t="str">
        <f>VLOOKUP($E283,'Data Type Lookup'!$A$1:$C$21,2,FALSE)</f>
        <v>DATE</v>
      </c>
      <c r="P283" t="s">
        <v>586</v>
      </c>
      <c r="Q283" t="s">
        <v>587</v>
      </c>
      <c r="R283" t="str">
        <f>VLOOKUP(E283,'Data Type Lookup'!$A$1:$C$21,3,FALSE)</f>
        <v>java.time.Instant</v>
      </c>
      <c r="W283" t="str">
        <f t="shared" si="5"/>
        <v>PROJECT.DEFINITE</v>
      </c>
      <c r="X283" t="str">
        <f>VLOOKUP(W283,ColumnMapping[New Table.Column],1,)</f>
        <v>PROJECT.DEFINITE</v>
      </c>
      <c r="Y283" t="str">
        <f>_xlfn.XLOOKUP(Table6[[#This Row],[Table.Column]],ColumnMapping[Add Column Name],ColumnMapping[Old Table.Column],"",0,1)</f>
        <v/>
      </c>
      <c r="Z283" t="str">
        <f>_xlfn.XLOOKUP(Table6[[#This Row],[Old Table.Column]],Cobra8.6[Table.Column],Cobra8.6[TYPE],"",0,1)</f>
        <v/>
      </c>
      <c r="AA283" t="str">
        <f>_xlfn.XLOOKUP(Table6[[#This Row],[Old Table.Column]],Cobra8.6[Table.Column],Cobra8.6[LENGTH],"",0,1)</f>
        <v/>
      </c>
    </row>
    <row r="284" spans="1:28" hidden="1" x14ac:dyDescent="0.2">
      <c r="A284" t="s">
        <v>450</v>
      </c>
      <c r="B284" t="s">
        <v>451</v>
      </c>
      <c r="C284" t="s">
        <v>588</v>
      </c>
      <c r="D284">
        <v>51</v>
      </c>
      <c r="E284" t="s">
        <v>86</v>
      </c>
      <c r="F284" t="str">
        <f>VLOOKUP($E284,'Data Type Lookup'!$A$1:$C$21,2,FALSE)</f>
        <v>VARCHAR2</v>
      </c>
      <c r="G284">
        <v>6</v>
      </c>
      <c r="P284" t="s">
        <v>589</v>
      </c>
      <c r="Q284" t="s">
        <v>590</v>
      </c>
      <c r="R284" t="str">
        <f>VLOOKUP(E284,'Data Type Lookup'!$A$1:$C$21,3,FALSE)</f>
        <v>String</v>
      </c>
      <c r="W284" t="str">
        <f t="shared" si="5"/>
        <v>PROJECT.CURRENCY_SYMBOL</v>
      </c>
      <c r="X284" t="str">
        <f>VLOOKUP(W284,ColumnMapping[New Table.Column],1,)</f>
        <v>PROJECT.CURRENCY_SYMBOL</v>
      </c>
      <c r="Y284" t="str">
        <f>_xlfn.XLOOKUP(Table6[[#This Row],[Table.Column]],ColumnMapping[Add Column Name],ColumnMapping[Old Table.Column],"",0,1)</f>
        <v/>
      </c>
      <c r="Z284" t="str">
        <f>_xlfn.XLOOKUP(Table6[[#This Row],[Old Table.Column]],Cobra8.6[Table.Column],Cobra8.6[TYPE],"",0,1)</f>
        <v/>
      </c>
      <c r="AA284" t="str">
        <f>_xlfn.XLOOKUP(Table6[[#This Row],[Old Table.Column]],Cobra8.6[Table.Column],Cobra8.6[LENGTH],"",0,1)</f>
        <v/>
      </c>
    </row>
    <row r="285" spans="1:28" hidden="1" x14ac:dyDescent="0.2">
      <c r="A285" t="s">
        <v>450</v>
      </c>
      <c r="B285" t="s">
        <v>451</v>
      </c>
      <c r="C285" t="s">
        <v>591</v>
      </c>
      <c r="D285">
        <v>52</v>
      </c>
      <c r="E285" t="s">
        <v>288</v>
      </c>
      <c r="F285" t="str">
        <f>VLOOKUP($E285,'Data Type Lookup'!$A$1:$C$21,2,FALSE)</f>
        <v>NUMBER(1,0)</v>
      </c>
      <c r="I285" s="32" t="s">
        <v>32</v>
      </c>
      <c r="J285" s="37">
        <v>0</v>
      </c>
      <c r="P285" t="s">
        <v>592</v>
      </c>
      <c r="Q285" t="s">
        <v>593</v>
      </c>
      <c r="R285" t="str">
        <f>VLOOKUP(E285,'Data Type Lookup'!$A$1:$C$21,3,FALSE)</f>
        <v>Boolean</v>
      </c>
      <c r="W285" t="str">
        <f t="shared" si="5"/>
        <v>PROJECT.CURRENCY_SYMBOL_RIGHT</v>
      </c>
      <c r="X285" t="str">
        <f>VLOOKUP(W285,ColumnMapping[New Table.Column],1,)</f>
        <v>PROJECT.CURRENCY_SYMBOL_RIGHT</v>
      </c>
      <c r="Y285" t="str">
        <f>_xlfn.XLOOKUP(Table6[[#This Row],[Table.Column]],ColumnMapping[Add Column Name],ColumnMapping[Old Table.Column],"",0,1)</f>
        <v/>
      </c>
      <c r="Z285" t="str">
        <f>_xlfn.XLOOKUP(Table6[[#This Row],[Old Table.Column]],Cobra8.6[Table.Column],Cobra8.6[TYPE],"",0,1)</f>
        <v/>
      </c>
      <c r="AA285" t="str">
        <f>_xlfn.XLOOKUP(Table6[[#This Row],[Old Table.Column]],Cobra8.6[Table.Column],Cobra8.6[LENGTH],"",0,1)</f>
        <v/>
      </c>
    </row>
    <row r="286" spans="1:28" hidden="1" x14ac:dyDescent="0.2">
      <c r="A286" t="s">
        <v>450</v>
      </c>
      <c r="B286" t="s">
        <v>451</v>
      </c>
      <c r="C286" t="s">
        <v>594</v>
      </c>
      <c r="D286">
        <v>53</v>
      </c>
      <c r="E286" t="s">
        <v>161</v>
      </c>
      <c r="F286" t="str">
        <f>VLOOKUP($E286,'Data Type Lookup'!$A$1:$C$21,2,FALSE)</f>
        <v>NUMBER(21,6)</v>
      </c>
      <c r="J286" s="32">
        <v>0</v>
      </c>
      <c r="P286" t="s">
        <v>595</v>
      </c>
      <c r="Q286" t="s">
        <v>596</v>
      </c>
      <c r="R286" t="str">
        <f>VLOOKUP(E286,'Data Type Lookup'!$A$1:$C$21,3,FALSE)</f>
        <v>java.math.BigDecimal</v>
      </c>
      <c r="W286" t="str">
        <f t="shared" si="5"/>
        <v>PROJECT.ESTPRICE</v>
      </c>
      <c r="X286" t="str">
        <f>VLOOKUP(W286,ColumnMapping[New Table.Column],1,)</f>
        <v>PROJECT.ESTPRICE</v>
      </c>
      <c r="Y286" t="str">
        <f>_xlfn.XLOOKUP(Table6[[#This Row],[Table.Column]],ColumnMapping[Add Column Name],ColumnMapping[Old Table.Column],"",0,1)</f>
        <v/>
      </c>
      <c r="Z286" t="str">
        <f>_xlfn.XLOOKUP(Table6[[#This Row],[Old Table.Column]],Cobra8.6[Table.Column],Cobra8.6[TYPE],"",0,1)</f>
        <v/>
      </c>
      <c r="AA286" t="str">
        <f>_xlfn.XLOOKUP(Table6[[#This Row],[Old Table.Column]],Cobra8.6[Table.Column],Cobra8.6[LENGTH],"",0,1)</f>
        <v/>
      </c>
      <c r="AB286" s="49" t="s">
        <v>32</v>
      </c>
    </row>
    <row r="287" spans="1:28" hidden="1" x14ac:dyDescent="0.2">
      <c r="A287" t="s">
        <v>450</v>
      </c>
      <c r="B287" t="s">
        <v>451</v>
      </c>
      <c r="C287" t="s">
        <v>597</v>
      </c>
      <c r="D287">
        <v>54</v>
      </c>
      <c r="E287" t="s">
        <v>161</v>
      </c>
      <c r="F287" t="str">
        <f>VLOOKUP($E287,'Data Type Lookup'!$A$1:$C$21,2,FALSE)</f>
        <v>NUMBER(21,6)</v>
      </c>
      <c r="J287" s="32">
        <v>0</v>
      </c>
      <c r="P287" t="s">
        <v>598</v>
      </c>
      <c r="Q287" t="s">
        <v>599</v>
      </c>
      <c r="R287" t="str">
        <f>VLOOKUP(E287,'Data Type Lookup'!$A$1:$C$21,3,FALSE)</f>
        <v>java.math.BigDecimal</v>
      </c>
      <c r="W287" t="str">
        <f t="shared" si="5"/>
        <v>PROJECT.OTB_MR</v>
      </c>
      <c r="X287" t="str">
        <f>VLOOKUP(W287,ColumnMapping[New Table.Column],1,)</f>
        <v>PROJECT.OTB_MR</v>
      </c>
      <c r="Y287" t="str">
        <f>_xlfn.XLOOKUP(Table6[[#This Row],[Table.Column]],ColumnMapping[Add Column Name],ColumnMapping[Old Table.Column],"",0,1)</f>
        <v/>
      </c>
      <c r="Z287" t="str">
        <f>_xlfn.XLOOKUP(Table6[[#This Row],[Old Table.Column]],Cobra8.6[Table.Column],Cobra8.6[TYPE],"",0,1)</f>
        <v/>
      </c>
      <c r="AA287" t="str">
        <f>_xlfn.XLOOKUP(Table6[[#This Row],[Old Table.Column]],Cobra8.6[Table.Column],Cobra8.6[LENGTH],"",0,1)</f>
        <v/>
      </c>
    </row>
    <row r="288" spans="1:28" ht="16" hidden="1" x14ac:dyDescent="0.2">
      <c r="A288" t="s">
        <v>450</v>
      </c>
      <c r="B288" t="s">
        <v>451</v>
      </c>
      <c r="C288" s="36" t="s">
        <v>600</v>
      </c>
      <c r="D288" s="17">
        <v>56</v>
      </c>
      <c r="E288" t="s">
        <v>161</v>
      </c>
      <c r="F288" t="str">
        <f>VLOOKUP($E288,'Data Type Lookup'!$A$1:$C$21,2,FALSE)</f>
        <v>NUMBER(21,6)</v>
      </c>
      <c r="I288" s="32" t="s">
        <v>32</v>
      </c>
      <c r="J288" s="32">
        <v>0</v>
      </c>
      <c r="K288" s="29"/>
      <c r="L288" s="29"/>
      <c r="M288" s="17"/>
      <c r="N288" s="17"/>
      <c r="O288" s="17"/>
      <c r="P288" s="17" t="s">
        <v>601</v>
      </c>
      <c r="Q288" s="17" t="str">
        <f t="shared" ref="Q288:Q325" si="6">IF(C288="","",LOWER(LEFT(TRIM(C288),FIND("_",TRIM(C288)&amp;"_")-1))&amp;SUBSTITUTE(PROPER(SUBSTITUTE(MID(TRIM(C288),FIND("_",TRIM(C288)&amp;"_"),LEN(TRIM(C288))),"_"," "))," ",""))</f>
        <v>acwp</v>
      </c>
      <c r="R288" t="str">
        <f>VLOOKUP(E288,'Data Type Lookup'!$A$1:$C$21,3,FALSE)</f>
        <v>java.math.BigDecimal</v>
      </c>
      <c r="S288" s="17"/>
      <c r="W288" t="str">
        <f t="shared" si="5"/>
        <v>PROJECT.ACWP</v>
      </c>
      <c r="X288" t="e">
        <f>VLOOKUP(W288,ColumnMapping[New Table.Column],1,)</f>
        <v>#N/A</v>
      </c>
      <c r="Y288" t="str">
        <f>_xlfn.XLOOKUP(Table6[[#This Row],[Table.Column]],ColumnMapping[Add Column Name],ColumnMapping[Old Table.Column],"",0,1)</f>
        <v>PROGRAM.ACWP</v>
      </c>
      <c r="Z288" t="str">
        <f>_xlfn.XLOOKUP(Table6[[#This Row],[Old Table.Column]],Cobra8.6[Table.Column],Cobra8.6[TYPE],"",0,1)</f>
        <v>DEC</v>
      </c>
      <c r="AA288">
        <f>_xlfn.XLOOKUP(Table6[[#This Row],[Old Table.Column]],Cobra8.6[Table.Column],Cobra8.6[LENGTH],"",0,1)</f>
        <v>21</v>
      </c>
      <c r="AB288" s="49" t="s">
        <v>32</v>
      </c>
    </row>
    <row r="289" spans="1:28" ht="16" hidden="1" x14ac:dyDescent="0.2">
      <c r="A289" t="s">
        <v>450</v>
      </c>
      <c r="B289" t="s">
        <v>451</v>
      </c>
      <c r="C289" s="36" t="s">
        <v>602</v>
      </c>
      <c r="D289" s="17">
        <v>57</v>
      </c>
      <c r="E289" t="s">
        <v>161</v>
      </c>
      <c r="F289" t="str">
        <f>VLOOKUP($E289,'Data Type Lookup'!$A$1:$C$21,2,FALSE)</f>
        <v>NUMBER(21,6)</v>
      </c>
      <c r="I289" s="32" t="s">
        <v>32</v>
      </c>
      <c r="J289" s="32">
        <v>0</v>
      </c>
      <c r="K289" s="29"/>
      <c r="L289" s="29"/>
      <c r="M289" s="17"/>
      <c r="N289" s="17"/>
      <c r="O289" s="17"/>
      <c r="P289" s="17" t="s">
        <v>603</v>
      </c>
      <c r="Q289" s="17" t="str">
        <f t="shared" si="6"/>
        <v>acwpHrs</v>
      </c>
      <c r="R289" t="str">
        <f>VLOOKUP(E289,'Data Type Lookup'!$A$1:$C$21,3,FALSE)</f>
        <v>java.math.BigDecimal</v>
      </c>
      <c r="S289" s="17"/>
      <c r="W289" t="str">
        <f t="shared" si="5"/>
        <v>PROJECT.ACWP_HRS</v>
      </c>
      <c r="X289" t="e">
        <f>VLOOKUP(W289,ColumnMapping[New Table.Column],1,)</f>
        <v>#N/A</v>
      </c>
      <c r="Y289" t="str">
        <f>_xlfn.XLOOKUP(Table6[[#This Row],[Table.Column]],ColumnMapping[Add Column Name],ColumnMapping[Old Table.Column],"",0,1)</f>
        <v>PROGRAM.ACWP_HRS</v>
      </c>
      <c r="Z289" t="str">
        <f>_xlfn.XLOOKUP(Table6[[#This Row],[Old Table.Column]],Cobra8.6[Table.Column],Cobra8.6[TYPE],"",0,1)</f>
        <v>DEC</v>
      </c>
      <c r="AA289">
        <f>_xlfn.XLOOKUP(Table6[[#This Row],[Old Table.Column]],Cobra8.6[Table.Column],Cobra8.6[LENGTH],"",0,1)</f>
        <v>21</v>
      </c>
      <c r="AB289" s="49" t="s">
        <v>32</v>
      </c>
    </row>
    <row r="290" spans="1:28" ht="16" hidden="1" x14ac:dyDescent="0.2">
      <c r="A290" t="s">
        <v>450</v>
      </c>
      <c r="B290" t="s">
        <v>451</v>
      </c>
      <c r="C290" s="36" t="s">
        <v>604</v>
      </c>
      <c r="D290" s="17">
        <v>58</v>
      </c>
      <c r="E290" s="17" t="s">
        <v>48</v>
      </c>
      <c r="F290" s="17" t="s">
        <v>349</v>
      </c>
      <c r="G290" s="17">
        <v>70</v>
      </c>
      <c r="H290" s="17"/>
      <c r="I290" s="29"/>
      <c r="J290" s="37" t="s">
        <v>605</v>
      </c>
      <c r="K290" s="29"/>
      <c r="L290" s="29"/>
      <c r="M290" s="17"/>
      <c r="N290" s="17"/>
      <c r="O290" s="17"/>
      <c r="P290" s="17" t="s">
        <v>606</v>
      </c>
      <c r="Q290" s="17" t="str">
        <f t="shared" si="6"/>
        <v>address</v>
      </c>
      <c r="R290" t="str">
        <f>VLOOKUP(E290,'Data Type Lookup'!$A$1:$C$21,3,FALSE)</f>
        <v>String</v>
      </c>
      <c r="S290" s="17"/>
      <c r="W290" t="str">
        <f t="shared" si="5"/>
        <v>PROJECT.ADDRESS</v>
      </c>
      <c r="X290" t="str">
        <f>VLOOKUP(W290,ColumnMapping[New Table.Column],1,)</f>
        <v>PROJECT.ADDRESS</v>
      </c>
      <c r="Y290" t="str">
        <f>_xlfn.XLOOKUP(Table6[[#This Row],[Table.Column]],ColumnMapping[Add Column Name],ColumnMapping[Old Table.Column],"",0,1)</f>
        <v/>
      </c>
      <c r="Z290" t="str">
        <f>_xlfn.XLOOKUP(Table6[[#This Row],[Old Table.Column]],Cobra8.6[Table.Column],Cobra8.6[TYPE],"",0,1)</f>
        <v/>
      </c>
      <c r="AA290" t="str">
        <f>_xlfn.XLOOKUP(Table6[[#This Row],[Old Table.Column]],Cobra8.6[Table.Column],Cobra8.6[LENGTH],"",0,1)</f>
        <v/>
      </c>
      <c r="AB290" s="49" t="s">
        <v>32</v>
      </c>
    </row>
    <row r="291" spans="1:28" ht="16" hidden="1" x14ac:dyDescent="0.2">
      <c r="A291" t="s">
        <v>450</v>
      </c>
      <c r="B291" t="s">
        <v>451</v>
      </c>
      <c r="C291" s="36" t="s">
        <v>607</v>
      </c>
      <c r="D291" s="17">
        <v>59</v>
      </c>
      <c r="E291" t="s">
        <v>161</v>
      </c>
      <c r="F291" t="str">
        <f>VLOOKUP($E291,'Data Type Lookup'!$A$1:$C$21,2,FALSE)</f>
        <v>NUMBER(21,6)</v>
      </c>
      <c r="I291" s="32" t="s">
        <v>32</v>
      </c>
      <c r="J291" s="32">
        <v>0</v>
      </c>
      <c r="K291" s="29"/>
      <c r="L291" s="29"/>
      <c r="M291" s="17"/>
      <c r="N291" s="17"/>
      <c r="O291" s="17"/>
      <c r="P291" s="17" t="s">
        <v>608</v>
      </c>
      <c r="Q291" s="17" t="str">
        <f t="shared" si="6"/>
        <v>bac</v>
      </c>
      <c r="R291" t="str">
        <f>VLOOKUP(E291,'Data Type Lookup'!$A$1:$C$21,3,FALSE)</f>
        <v>java.math.BigDecimal</v>
      </c>
      <c r="S291" s="17"/>
      <c r="W291" t="str">
        <f t="shared" si="5"/>
        <v>PROJECT.BAC</v>
      </c>
      <c r="X291" t="e">
        <f>VLOOKUP(W291,ColumnMapping[New Table.Column],1,)</f>
        <v>#N/A</v>
      </c>
      <c r="Y291" t="str">
        <f>_xlfn.XLOOKUP(Table6[[#This Row],[Table.Column]],ColumnMapping[Add Column Name],ColumnMapping[Old Table.Column],"",0,1)</f>
        <v>PROGRAM.BAC</v>
      </c>
      <c r="Z291" t="str">
        <f>_xlfn.XLOOKUP(Table6[[#This Row],[Old Table.Column]],Cobra8.6[Table.Column],Cobra8.6[TYPE],"",0,1)</f>
        <v>DEC</v>
      </c>
      <c r="AA291">
        <f>_xlfn.XLOOKUP(Table6[[#This Row],[Old Table.Column]],Cobra8.6[Table.Column],Cobra8.6[LENGTH],"",0,1)</f>
        <v>21</v>
      </c>
      <c r="AB291" s="49" t="s">
        <v>32</v>
      </c>
    </row>
    <row r="292" spans="1:28" ht="16" hidden="1" x14ac:dyDescent="0.2">
      <c r="A292" t="s">
        <v>450</v>
      </c>
      <c r="B292" t="s">
        <v>451</v>
      </c>
      <c r="C292" s="36" t="s">
        <v>609</v>
      </c>
      <c r="D292" s="17">
        <v>60</v>
      </c>
      <c r="E292" t="s">
        <v>161</v>
      </c>
      <c r="F292" t="str">
        <f>VLOOKUP($E292,'Data Type Lookup'!$A$1:$C$21,2,FALSE)</f>
        <v>NUMBER(21,6)</v>
      </c>
      <c r="I292" s="32" t="s">
        <v>32</v>
      </c>
      <c r="J292" s="32">
        <v>0</v>
      </c>
      <c r="K292" s="29"/>
      <c r="L292" s="29"/>
      <c r="M292" s="17"/>
      <c r="N292" s="17"/>
      <c r="O292" s="17"/>
      <c r="P292" s="17" t="s">
        <v>610</v>
      </c>
      <c r="Q292" s="17" t="str">
        <f t="shared" si="6"/>
        <v>bacHrs</v>
      </c>
      <c r="R292" t="str">
        <f>VLOOKUP(E292,'Data Type Lookup'!$A$1:$C$21,3,FALSE)</f>
        <v>java.math.BigDecimal</v>
      </c>
      <c r="S292" s="17"/>
      <c r="W292" t="str">
        <f t="shared" si="5"/>
        <v>PROJECT.BAC_HRS</v>
      </c>
      <c r="X292" t="e">
        <f>VLOOKUP(W292,ColumnMapping[New Table.Column],1,)</f>
        <v>#N/A</v>
      </c>
      <c r="Y292" t="str">
        <f>_xlfn.XLOOKUP(Table6[[#This Row],[Table.Column]],ColumnMapping[Add Column Name],ColumnMapping[Old Table.Column],"",0,1)</f>
        <v>PROGRAM.BAC_HRS</v>
      </c>
      <c r="Z292" t="str">
        <f>_xlfn.XLOOKUP(Table6[[#This Row],[Old Table.Column]],Cobra8.6[Table.Column],Cobra8.6[TYPE],"",0,1)</f>
        <v>DEC</v>
      </c>
      <c r="AA292">
        <f>_xlfn.XLOOKUP(Table6[[#This Row],[Old Table.Column]],Cobra8.6[Table.Column],Cobra8.6[LENGTH],"",0,1)</f>
        <v>21</v>
      </c>
      <c r="AB292" s="49" t="s">
        <v>32</v>
      </c>
    </row>
    <row r="293" spans="1:28" ht="16" hidden="1" x14ac:dyDescent="0.2">
      <c r="A293" t="s">
        <v>450</v>
      </c>
      <c r="B293" t="s">
        <v>451</v>
      </c>
      <c r="C293" s="36" t="s">
        <v>611</v>
      </c>
      <c r="D293" s="17">
        <v>61</v>
      </c>
      <c r="E293" t="s">
        <v>36</v>
      </c>
      <c r="F293" t="str">
        <f>VLOOKUP($E293,'Data Type Lookup'!$A$1:$C$21,2,FALSE)</f>
        <v>NUMBER(19,0)</v>
      </c>
      <c r="I293" s="32" t="s">
        <v>32</v>
      </c>
      <c r="J293" s="32">
        <v>0</v>
      </c>
      <c r="K293" s="29"/>
      <c r="L293" s="29"/>
      <c r="M293" s="17"/>
      <c r="N293" s="17"/>
      <c r="O293" s="17"/>
      <c r="P293" s="17" t="s">
        <v>612</v>
      </c>
      <c r="Q293" s="17" t="str">
        <f t="shared" si="6"/>
        <v>batchno</v>
      </c>
      <c r="R293" t="str">
        <f>VLOOKUP(E293,'Data Type Lookup'!$A$1:$C$21,3,FALSE)</f>
        <v>Long</v>
      </c>
      <c r="S293" s="17"/>
      <c r="W293" t="str">
        <f t="shared" si="5"/>
        <v>PROJECT.BATCHNO</v>
      </c>
      <c r="X293" t="str">
        <f>VLOOKUP(W293,ColumnMapping[New Table.Column],1,)</f>
        <v>PROJECT.BATCHNO</v>
      </c>
      <c r="Y293" t="str">
        <f>_xlfn.XLOOKUP(Table6[[#This Row],[Table.Column]],ColumnMapping[Add Column Name],ColumnMapping[Old Table.Column],"",0,1)</f>
        <v>PROGRAM.BATCHNO</v>
      </c>
      <c r="Z293" t="str">
        <f>_xlfn.XLOOKUP(Table6[[#This Row],[Old Table.Column]],Cobra8.6[Table.Column],Cobra8.6[TYPE],"",0,1)</f>
        <v>INTE</v>
      </c>
      <c r="AA293">
        <f>_xlfn.XLOOKUP(Table6[[#This Row],[Old Table.Column]],Cobra8.6[Table.Column],Cobra8.6[LENGTH],"",0,1)</f>
        <v>-1</v>
      </c>
      <c r="AB293" s="49" t="s">
        <v>32</v>
      </c>
    </row>
    <row r="294" spans="1:28" ht="16" hidden="1" x14ac:dyDescent="0.2">
      <c r="A294" t="s">
        <v>450</v>
      </c>
      <c r="B294" t="s">
        <v>451</v>
      </c>
      <c r="C294" s="36" t="s">
        <v>613</v>
      </c>
      <c r="D294" s="17">
        <v>62</v>
      </c>
      <c r="E294" t="s">
        <v>161</v>
      </c>
      <c r="F294" t="str">
        <f>VLOOKUP($E294,'Data Type Lookup'!$A$1:$C$21,2,FALSE)</f>
        <v>NUMBER(21,6)</v>
      </c>
      <c r="I294" s="32" t="s">
        <v>32</v>
      </c>
      <c r="J294" s="32">
        <v>0</v>
      </c>
      <c r="K294" s="29"/>
      <c r="L294" s="29"/>
      <c r="M294" s="17"/>
      <c r="N294" s="17"/>
      <c r="O294" s="17"/>
      <c r="P294" s="17" t="s">
        <v>614</v>
      </c>
      <c r="Q294" s="17" t="str">
        <f t="shared" si="6"/>
        <v>bcwp</v>
      </c>
      <c r="R294" t="str">
        <f>VLOOKUP(E294,'Data Type Lookup'!$A$1:$C$21,3,FALSE)</f>
        <v>java.math.BigDecimal</v>
      </c>
      <c r="S294" s="17"/>
      <c r="W294" t="str">
        <f t="shared" si="5"/>
        <v>PROJECT.BCWP</v>
      </c>
      <c r="X294" t="e">
        <f>VLOOKUP(W294,ColumnMapping[New Table.Column],1,)</f>
        <v>#N/A</v>
      </c>
      <c r="Y294" t="str">
        <f>_xlfn.XLOOKUP(Table6[[#This Row],[Table.Column]],ColumnMapping[Add Column Name],ColumnMapping[Old Table.Column],"",0,1)</f>
        <v>PROGRAM.BCWP</v>
      </c>
      <c r="Z294" t="str">
        <f>_xlfn.XLOOKUP(Table6[[#This Row],[Old Table.Column]],Cobra8.6[Table.Column],Cobra8.6[TYPE],"",0,1)</f>
        <v>DEC</v>
      </c>
      <c r="AA294">
        <f>_xlfn.XLOOKUP(Table6[[#This Row],[Old Table.Column]],Cobra8.6[Table.Column],Cobra8.6[LENGTH],"",0,1)</f>
        <v>21</v>
      </c>
      <c r="AB294" s="49" t="s">
        <v>32</v>
      </c>
    </row>
    <row r="295" spans="1:28" ht="16" hidden="1" x14ac:dyDescent="0.2">
      <c r="A295" t="s">
        <v>450</v>
      </c>
      <c r="B295" t="s">
        <v>451</v>
      </c>
      <c r="C295" s="36" t="s">
        <v>615</v>
      </c>
      <c r="D295" s="17">
        <v>63</v>
      </c>
      <c r="E295" t="s">
        <v>161</v>
      </c>
      <c r="F295" t="str">
        <f>VLOOKUP($E295,'Data Type Lookup'!$A$1:$C$21,2,FALSE)</f>
        <v>NUMBER(21,6)</v>
      </c>
      <c r="I295" s="32" t="s">
        <v>32</v>
      </c>
      <c r="J295" s="32">
        <v>0</v>
      </c>
      <c r="K295" s="29"/>
      <c r="L295" s="29"/>
      <c r="M295" s="17"/>
      <c r="N295" s="17"/>
      <c r="O295" s="17"/>
      <c r="P295" s="17" t="s">
        <v>616</v>
      </c>
      <c r="Q295" s="17" t="str">
        <f t="shared" si="6"/>
        <v>bcwpHrs</v>
      </c>
      <c r="R295" t="str">
        <f>VLOOKUP(E295,'Data Type Lookup'!$A$1:$C$21,3,FALSE)</f>
        <v>java.math.BigDecimal</v>
      </c>
      <c r="S295" s="17"/>
      <c r="W295" t="str">
        <f t="shared" si="5"/>
        <v>PROJECT.BCWP_HRS</v>
      </c>
      <c r="X295" t="e">
        <f>VLOOKUP(W295,ColumnMapping[New Table.Column],1,)</f>
        <v>#N/A</v>
      </c>
      <c r="Y295" t="str">
        <f>_xlfn.XLOOKUP(Table6[[#This Row],[Table.Column]],ColumnMapping[Add Column Name],ColumnMapping[Old Table.Column],"",0,1)</f>
        <v>PROGRAM.BCWP_HRS</v>
      </c>
      <c r="Z295" t="str">
        <f>_xlfn.XLOOKUP(Table6[[#This Row],[Old Table.Column]],Cobra8.6[Table.Column],Cobra8.6[TYPE],"",0,1)</f>
        <v>DEC</v>
      </c>
      <c r="AA295">
        <f>_xlfn.XLOOKUP(Table6[[#This Row],[Old Table.Column]],Cobra8.6[Table.Column],Cobra8.6[LENGTH],"",0,1)</f>
        <v>21</v>
      </c>
      <c r="AB295" s="49" t="s">
        <v>32</v>
      </c>
    </row>
    <row r="296" spans="1:28" ht="16" hidden="1" x14ac:dyDescent="0.2">
      <c r="A296" t="s">
        <v>450</v>
      </c>
      <c r="B296" t="s">
        <v>451</v>
      </c>
      <c r="C296" s="36" t="s">
        <v>617</v>
      </c>
      <c r="D296" s="17">
        <v>64</v>
      </c>
      <c r="E296" t="s">
        <v>161</v>
      </c>
      <c r="F296" t="str">
        <f>VLOOKUP($E296,'Data Type Lookup'!$A$1:$C$21,2,FALSE)</f>
        <v>NUMBER(21,6)</v>
      </c>
      <c r="I296" s="32" t="s">
        <v>32</v>
      </c>
      <c r="J296" s="32">
        <v>0</v>
      </c>
      <c r="K296" s="29"/>
      <c r="L296" s="29"/>
      <c r="M296" s="17"/>
      <c r="N296" s="17"/>
      <c r="O296" s="17"/>
      <c r="P296" s="17" t="s">
        <v>618</v>
      </c>
      <c r="Q296" s="17" t="str">
        <f t="shared" si="6"/>
        <v>bcws</v>
      </c>
      <c r="R296" t="str">
        <f>VLOOKUP(E296,'Data Type Lookup'!$A$1:$C$21,3,FALSE)</f>
        <v>java.math.BigDecimal</v>
      </c>
      <c r="S296" s="17"/>
      <c r="W296" t="str">
        <f t="shared" si="5"/>
        <v>PROJECT.BCWS</v>
      </c>
      <c r="X296" t="e">
        <f>VLOOKUP(W296,ColumnMapping[New Table.Column],1,)</f>
        <v>#N/A</v>
      </c>
      <c r="Y296" t="str">
        <f>_xlfn.XLOOKUP(Table6[[#This Row],[Table.Column]],ColumnMapping[Add Column Name],ColumnMapping[Old Table.Column],"",0,1)</f>
        <v>PROGRAM.BCWS</v>
      </c>
      <c r="Z296" t="str">
        <f>_xlfn.XLOOKUP(Table6[[#This Row],[Old Table.Column]],Cobra8.6[Table.Column],Cobra8.6[TYPE],"",0,1)</f>
        <v>DEC</v>
      </c>
      <c r="AA296">
        <f>_xlfn.XLOOKUP(Table6[[#This Row],[Old Table.Column]],Cobra8.6[Table.Column],Cobra8.6[LENGTH],"",0,1)</f>
        <v>21</v>
      </c>
      <c r="AB296" s="49" t="s">
        <v>32</v>
      </c>
    </row>
    <row r="297" spans="1:28" ht="16" hidden="1" x14ac:dyDescent="0.2">
      <c r="A297" t="s">
        <v>450</v>
      </c>
      <c r="B297" t="s">
        <v>451</v>
      </c>
      <c r="C297" s="36" t="s">
        <v>619</v>
      </c>
      <c r="D297" s="17">
        <v>65</v>
      </c>
      <c r="E297" t="s">
        <v>161</v>
      </c>
      <c r="F297" t="str">
        <f>VLOOKUP($E297,'Data Type Lookup'!$A$1:$C$21,2,FALSE)</f>
        <v>NUMBER(21,6)</v>
      </c>
      <c r="I297" s="32" t="s">
        <v>32</v>
      </c>
      <c r="J297" s="32">
        <v>0</v>
      </c>
      <c r="K297" s="29"/>
      <c r="L297" s="29"/>
      <c r="M297" s="17"/>
      <c r="N297" s="17"/>
      <c r="O297" s="17"/>
      <c r="P297" s="17" t="s">
        <v>620</v>
      </c>
      <c r="Q297" s="17" t="str">
        <f t="shared" si="6"/>
        <v>bcwsHrs</v>
      </c>
      <c r="R297" t="str">
        <f>VLOOKUP(E297,'Data Type Lookup'!$A$1:$C$21,3,FALSE)</f>
        <v>java.math.BigDecimal</v>
      </c>
      <c r="S297" s="17"/>
      <c r="W297" t="str">
        <f t="shared" si="5"/>
        <v>PROJECT.BCWS_HRS</v>
      </c>
      <c r="X297" t="e">
        <f>VLOOKUP(W297,ColumnMapping[New Table.Column],1,)</f>
        <v>#N/A</v>
      </c>
      <c r="Y297" t="str">
        <f>_xlfn.XLOOKUP(Table6[[#This Row],[Table.Column]],ColumnMapping[Add Column Name],ColumnMapping[Old Table.Column],"",0,1)</f>
        <v>PROGRAM.BCWS_HRS</v>
      </c>
      <c r="Z297" t="str">
        <f>_xlfn.XLOOKUP(Table6[[#This Row],[Old Table.Column]],Cobra8.6[Table.Column],Cobra8.6[TYPE],"",0,1)</f>
        <v>DEC</v>
      </c>
      <c r="AA297">
        <f>_xlfn.XLOOKUP(Table6[[#This Row],[Old Table.Column]],Cobra8.6[Table.Column],Cobra8.6[LENGTH],"",0,1)</f>
        <v>21</v>
      </c>
      <c r="AB297" s="49" t="s">
        <v>32</v>
      </c>
    </row>
    <row r="298" spans="1:28" ht="16" hidden="1" x14ac:dyDescent="0.2">
      <c r="A298" t="s">
        <v>450</v>
      </c>
      <c r="B298" t="s">
        <v>451</v>
      </c>
      <c r="C298" s="36" t="s">
        <v>621</v>
      </c>
      <c r="D298" s="17">
        <v>66</v>
      </c>
      <c r="E298" s="17" t="s">
        <v>48</v>
      </c>
      <c r="F298" s="17" t="s">
        <v>349</v>
      </c>
      <c r="G298" s="17">
        <v>1</v>
      </c>
      <c r="H298" s="17"/>
      <c r="I298" s="29"/>
      <c r="J298" s="37" t="s">
        <v>605</v>
      </c>
      <c r="K298" s="29"/>
      <c r="L298" s="29"/>
      <c r="M298" s="17"/>
      <c r="N298" s="17"/>
      <c r="O298" s="17"/>
      <c r="P298" s="17" t="s">
        <v>622</v>
      </c>
      <c r="Q298" s="17" t="str">
        <f t="shared" si="6"/>
        <v>caActual</v>
      </c>
      <c r="R298" t="str">
        <f>VLOOKUP(E298,'Data Type Lookup'!$A$1:$C$21,3,FALSE)</f>
        <v>String</v>
      </c>
      <c r="S298" s="17"/>
      <c r="W298" t="str">
        <f t="shared" si="5"/>
        <v>PROJECT.CA_ACTUAL</v>
      </c>
      <c r="X298" t="str">
        <f>VLOOKUP(W298,ColumnMapping[New Table.Column],1,)</f>
        <v>PROJECT.CA_ACTUAL</v>
      </c>
      <c r="Y298" t="str">
        <f>_xlfn.XLOOKUP(Table6[[#This Row],[Table.Column]],ColumnMapping[Add Column Name],ColumnMapping[Old Table.Column],"",0,1)</f>
        <v>PROGRAM.CA_ACTUAL</v>
      </c>
      <c r="Z298" t="str">
        <f>_xlfn.XLOOKUP(Table6[[#This Row],[Old Table.Column]],Cobra8.6[Table.Column],Cobra8.6[TYPE],"",0,1)</f>
        <v>TEXT</v>
      </c>
      <c r="AA298">
        <f>_xlfn.XLOOKUP(Table6[[#This Row],[Old Table.Column]],Cobra8.6[Table.Column],Cobra8.6[LENGTH],"",0,1)</f>
        <v>1</v>
      </c>
      <c r="AB298" s="49" t="s">
        <v>32</v>
      </c>
    </row>
    <row r="299" spans="1:28" ht="16" hidden="1" x14ac:dyDescent="0.2">
      <c r="A299" t="s">
        <v>450</v>
      </c>
      <c r="B299" t="s">
        <v>451</v>
      </c>
      <c r="C299" s="36" t="s">
        <v>623</v>
      </c>
      <c r="D299" s="17">
        <v>67</v>
      </c>
      <c r="E299" s="17" t="s">
        <v>48</v>
      </c>
      <c r="F299" s="17" t="s">
        <v>349</v>
      </c>
      <c r="G299" s="17">
        <v>22</v>
      </c>
      <c r="H299" s="17"/>
      <c r="I299" s="29"/>
      <c r="J299" s="29"/>
      <c r="K299" s="29"/>
      <c r="L299" s="29"/>
      <c r="M299" s="17"/>
      <c r="N299" s="17"/>
      <c r="O299" s="17"/>
      <c r="P299" s="17" t="s">
        <v>624</v>
      </c>
      <c r="Q299" s="17" t="str">
        <f t="shared" si="6"/>
        <v>caBd1</v>
      </c>
      <c r="R299" t="str">
        <f>VLOOKUP(E299,'Data Type Lookup'!$A$1:$C$21,3,FALSE)</f>
        <v>String</v>
      </c>
      <c r="S299" s="17"/>
      <c r="W299" t="str">
        <f t="shared" si="5"/>
        <v>PROJECT.CA_BD1</v>
      </c>
      <c r="X299" t="str">
        <f>VLOOKUP(W299,ColumnMapping[New Table.Column],1,)</f>
        <v>PROJECT.CA_BD1</v>
      </c>
      <c r="Y299" t="str">
        <f>_xlfn.XLOOKUP(Table6[[#This Row],[Table.Column]],ColumnMapping[Add Column Name],ColumnMapping[Old Table.Column],"",0,1)</f>
        <v>PROGRAM.CA_BD1</v>
      </c>
      <c r="Z299" t="str">
        <f>_xlfn.XLOOKUP(Table6[[#This Row],[Old Table.Column]],Cobra8.6[Table.Column],Cobra8.6[TYPE],"",0,1)</f>
        <v>TEXT</v>
      </c>
      <c r="AA299">
        <f>_xlfn.XLOOKUP(Table6[[#This Row],[Old Table.Column]],Cobra8.6[Table.Column],Cobra8.6[LENGTH],"",0,1)</f>
        <v>22</v>
      </c>
      <c r="AB299" s="49" t="s">
        <v>32</v>
      </c>
    </row>
    <row r="300" spans="1:28" ht="16" hidden="1" x14ac:dyDescent="0.2">
      <c r="A300" t="s">
        <v>450</v>
      </c>
      <c r="B300" t="s">
        <v>451</v>
      </c>
      <c r="C300" s="36" t="s">
        <v>625</v>
      </c>
      <c r="D300" s="17">
        <v>68</v>
      </c>
      <c r="E300" s="17" t="s">
        <v>48</v>
      </c>
      <c r="F300" s="17" t="s">
        <v>349</v>
      </c>
      <c r="G300" s="17">
        <v>22</v>
      </c>
      <c r="H300" s="17"/>
      <c r="I300" s="29"/>
      <c r="J300" s="29"/>
      <c r="K300" s="29"/>
      <c r="L300" s="29"/>
      <c r="M300" s="17"/>
      <c r="N300" s="17"/>
      <c r="O300" s="17"/>
      <c r="P300" s="17" t="s">
        <v>626</v>
      </c>
      <c r="Q300" s="17" t="str">
        <f t="shared" si="6"/>
        <v>caBd2</v>
      </c>
      <c r="R300" t="str">
        <f>VLOOKUP(E300,'Data Type Lookup'!$A$1:$C$21,3,FALSE)</f>
        <v>String</v>
      </c>
      <c r="S300" s="17"/>
      <c r="W300" t="str">
        <f t="shared" si="5"/>
        <v>PROJECT.CA_BD2</v>
      </c>
      <c r="X300" t="str">
        <f>VLOOKUP(W300,ColumnMapping[New Table.Column],1,)</f>
        <v>PROJECT.CA_BD2</v>
      </c>
      <c r="Y300" t="str">
        <f>_xlfn.XLOOKUP(Table6[[#This Row],[Table.Column]],ColumnMapping[Add Column Name],ColumnMapping[Old Table.Column],"",0,1)</f>
        <v>PROGRAM.CA_BD2</v>
      </c>
      <c r="Z300" t="str">
        <f>_xlfn.XLOOKUP(Table6[[#This Row],[Old Table.Column]],Cobra8.6[Table.Column],Cobra8.6[TYPE],"",0,1)</f>
        <v>TEXT</v>
      </c>
      <c r="AA300">
        <f>_xlfn.XLOOKUP(Table6[[#This Row],[Old Table.Column]],Cobra8.6[Table.Column],Cobra8.6[LENGTH],"",0,1)</f>
        <v>22</v>
      </c>
      <c r="AB300" s="49" t="s">
        <v>32</v>
      </c>
    </row>
    <row r="301" spans="1:28" ht="16" hidden="1" x14ac:dyDescent="0.2">
      <c r="A301" t="s">
        <v>450</v>
      </c>
      <c r="B301" t="s">
        <v>451</v>
      </c>
      <c r="C301" s="36" t="s">
        <v>627</v>
      </c>
      <c r="D301" s="17">
        <v>69</v>
      </c>
      <c r="E301" s="17" t="s">
        <v>48</v>
      </c>
      <c r="F301" s="17" t="s">
        <v>349</v>
      </c>
      <c r="G301" s="17">
        <v>22</v>
      </c>
      <c r="H301" s="17"/>
      <c r="I301" s="29"/>
      <c r="J301" s="29"/>
      <c r="K301" s="29"/>
      <c r="L301" s="29"/>
      <c r="M301" s="17"/>
      <c r="N301" s="17"/>
      <c r="O301" s="17"/>
      <c r="P301" s="17" t="s">
        <v>628</v>
      </c>
      <c r="Q301" s="17" t="str">
        <f t="shared" si="6"/>
        <v>caBd3</v>
      </c>
      <c r="R301" t="str">
        <f>VLOOKUP(E301,'Data Type Lookup'!$A$1:$C$21,3,FALSE)</f>
        <v>String</v>
      </c>
      <c r="S301" s="17"/>
      <c r="W301" t="str">
        <f t="shared" si="5"/>
        <v>PROJECT.CA_BD3</v>
      </c>
      <c r="X301" t="str">
        <f>VLOOKUP(W301,ColumnMapping[New Table.Column],1,)</f>
        <v>PROJECT.CA_BD3</v>
      </c>
      <c r="Y301" t="str">
        <f>_xlfn.XLOOKUP(Table6[[#This Row],[Table.Column]],ColumnMapping[Add Column Name],ColumnMapping[Old Table.Column],"",0,1)</f>
        <v>PROGRAM.CA_BD3</v>
      </c>
      <c r="Z301" t="str">
        <f>_xlfn.XLOOKUP(Table6[[#This Row],[Old Table.Column]],Cobra8.6[Table.Column],Cobra8.6[TYPE],"",0,1)</f>
        <v>TEXT</v>
      </c>
      <c r="AA301">
        <f>_xlfn.XLOOKUP(Table6[[#This Row],[Old Table.Column]],Cobra8.6[Table.Column],Cobra8.6[LENGTH],"",0,1)</f>
        <v>22</v>
      </c>
      <c r="AB301" s="49" t="s">
        <v>32</v>
      </c>
    </row>
    <row r="302" spans="1:28" ht="16" hidden="1" x14ac:dyDescent="0.2">
      <c r="A302" t="s">
        <v>450</v>
      </c>
      <c r="B302" t="s">
        <v>451</v>
      </c>
      <c r="C302" s="36" t="s">
        <v>629</v>
      </c>
      <c r="D302" s="17">
        <v>70</v>
      </c>
      <c r="E302" s="17" t="s">
        <v>48</v>
      </c>
      <c r="F302" s="17" t="s">
        <v>349</v>
      </c>
      <c r="G302" s="17">
        <v>10</v>
      </c>
      <c r="H302" s="17"/>
      <c r="I302" s="29"/>
      <c r="J302" s="37" t="s">
        <v>605</v>
      </c>
      <c r="K302" s="29"/>
      <c r="L302" s="29"/>
      <c r="M302" s="17"/>
      <c r="N302" s="17"/>
      <c r="O302" s="17"/>
      <c r="P302" s="17" t="s">
        <v>630</v>
      </c>
      <c r="Q302" s="17" t="str">
        <f t="shared" si="6"/>
        <v>caId1</v>
      </c>
      <c r="R302" t="str">
        <f>VLOOKUP(E302,'Data Type Lookup'!$A$1:$C$21,3,FALSE)</f>
        <v>String</v>
      </c>
      <c r="S302" s="17"/>
      <c r="W302" t="str">
        <f t="shared" si="5"/>
        <v>PROJECT.CA_ID1</v>
      </c>
      <c r="X302" t="str">
        <f>VLOOKUP(W302,ColumnMapping[New Table.Column],1,)</f>
        <v>PROJECT.CA_ID1</v>
      </c>
      <c r="Y302" t="str">
        <f>_xlfn.XLOOKUP(Table6[[#This Row],[Table.Column]],ColumnMapping[Add Column Name],ColumnMapping[Old Table.Column],"",0,1)</f>
        <v>PROGRAM.CA_ID1</v>
      </c>
      <c r="Z302" t="str">
        <f>_xlfn.XLOOKUP(Table6[[#This Row],[Old Table.Column]],Cobra8.6[Table.Column],Cobra8.6[TYPE],"",0,1)</f>
        <v>TEXT</v>
      </c>
      <c r="AA302">
        <f>_xlfn.XLOOKUP(Table6[[#This Row],[Old Table.Column]],Cobra8.6[Table.Column],Cobra8.6[LENGTH],"",0,1)</f>
        <v>10</v>
      </c>
      <c r="AB302" s="49" t="s">
        <v>32</v>
      </c>
    </row>
    <row r="303" spans="1:28" ht="16" hidden="1" x14ac:dyDescent="0.2">
      <c r="A303" t="s">
        <v>450</v>
      </c>
      <c r="B303" t="s">
        <v>451</v>
      </c>
      <c r="C303" s="36" t="s">
        <v>631</v>
      </c>
      <c r="D303" s="17">
        <v>71</v>
      </c>
      <c r="E303" s="17" t="s">
        <v>48</v>
      </c>
      <c r="F303" s="17" t="s">
        <v>349</v>
      </c>
      <c r="G303" s="17">
        <v>10</v>
      </c>
      <c r="H303" s="17"/>
      <c r="I303" s="29"/>
      <c r="J303" s="37" t="s">
        <v>605</v>
      </c>
      <c r="K303" s="29"/>
      <c r="L303" s="29"/>
      <c r="M303" s="17"/>
      <c r="N303" s="17"/>
      <c r="O303" s="17"/>
      <c r="P303" s="17" t="s">
        <v>632</v>
      </c>
      <c r="Q303" s="17" t="str">
        <f t="shared" si="6"/>
        <v>caId2</v>
      </c>
      <c r="R303" t="str">
        <f>VLOOKUP(E303,'Data Type Lookup'!$A$1:$C$21,3,FALSE)</f>
        <v>String</v>
      </c>
      <c r="S303" s="17"/>
      <c r="W303" t="str">
        <f t="shared" si="5"/>
        <v>PROJECT.CA_ID2</v>
      </c>
      <c r="X303" t="str">
        <f>VLOOKUP(W303,ColumnMapping[New Table.Column],1,)</f>
        <v>PROJECT.CA_ID2</v>
      </c>
      <c r="Y303" t="str">
        <f>_xlfn.XLOOKUP(Table6[[#This Row],[Table.Column]],ColumnMapping[Add Column Name],ColumnMapping[Old Table.Column],"",0,1)</f>
        <v>PROGRAM.CA_ID2</v>
      </c>
      <c r="Z303" t="str">
        <f>_xlfn.XLOOKUP(Table6[[#This Row],[Old Table.Column]],Cobra8.6[Table.Column],Cobra8.6[TYPE],"",0,1)</f>
        <v>TEXT</v>
      </c>
      <c r="AA303">
        <f>_xlfn.XLOOKUP(Table6[[#This Row],[Old Table.Column]],Cobra8.6[Table.Column],Cobra8.6[LENGTH],"",0,1)</f>
        <v>10</v>
      </c>
      <c r="AB303" s="49" t="s">
        <v>32</v>
      </c>
    </row>
    <row r="304" spans="1:28" ht="16" hidden="1" x14ac:dyDescent="0.2">
      <c r="A304" t="s">
        <v>450</v>
      </c>
      <c r="B304" t="s">
        <v>451</v>
      </c>
      <c r="C304" s="36" t="s">
        <v>633</v>
      </c>
      <c r="D304" s="17">
        <v>72</v>
      </c>
      <c r="E304" s="17" t="s">
        <v>48</v>
      </c>
      <c r="F304" s="17" t="s">
        <v>349</v>
      </c>
      <c r="G304" s="17">
        <v>10</v>
      </c>
      <c r="H304" s="17"/>
      <c r="I304" s="29"/>
      <c r="J304" s="37" t="s">
        <v>605</v>
      </c>
      <c r="K304" s="29"/>
      <c r="L304" s="29"/>
      <c r="M304" s="17"/>
      <c r="N304" s="17"/>
      <c r="O304" s="17"/>
      <c r="P304" s="17" t="s">
        <v>634</v>
      </c>
      <c r="Q304" s="17" t="str">
        <f t="shared" si="6"/>
        <v>caId3</v>
      </c>
      <c r="R304" t="str">
        <f>VLOOKUP(E304,'Data Type Lookup'!$A$1:$C$21,3,FALSE)</f>
        <v>String</v>
      </c>
      <c r="S304" s="17"/>
      <c r="W304" t="str">
        <f t="shared" si="5"/>
        <v>PROJECT.CA_ID3</v>
      </c>
      <c r="X304" t="str">
        <f>VLOOKUP(W304,ColumnMapping[New Table.Column],1,)</f>
        <v>PROJECT.CA_ID3</v>
      </c>
      <c r="Y304" t="str">
        <f>_xlfn.XLOOKUP(Table6[[#This Row],[Table.Column]],ColumnMapping[Add Column Name],ColumnMapping[Old Table.Column],"",0,1)</f>
        <v>PROGRAM.CA_ID3</v>
      </c>
      <c r="Z304" t="str">
        <f>_xlfn.XLOOKUP(Table6[[#This Row],[Old Table.Column]],Cobra8.6[Table.Column],Cobra8.6[TYPE],"",0,1)</f>
        <v>TEXT</v>
      </c>
      <c r="AA304">
        <f>_xlfn.XLOOKUP(Table6[[#This Row],[Old Table.Column]],Cobra8.6[Table.Column],Cobra8.6[LENGTH],"",0,1)</f>
        <v>10</v>
      </c>
      <c r="AB304" s="49" t="s">
        <v>32</v>
      </c>
    </row>
    <row r="305" spans="1:28" ht="16" hidden="1" x14ac:dyDescent="0.2">
      <c r="A305" t="s">
        <v>450</v>
      </c>
      <c r="B305" t="s">
        <v>451</v>
      </c>
      <c r="C305" s="36" t="s">
        <v>635</v>
      </c>
      <c r="D305" s="17">
        <v>73</v>
      </c>
      <c r="E305" s="17" t="s">
        <v>48</v>
      </c>
      <c r="F305" s="17" t="s">
        <v>349</v>
      </c>
      <c r="G305" s="17">
        <v>22</v>
      </c>
      <c r="H305" s="17"/>
      <c r="I305" s="29"/>
      <c r="J305" s="37" t="s">
        <v>605</v>
      </c>
      <c r="K305" s="29"/>
      <c r="L305" s="29"/>
      <c r="M305" s="17"/>
      <c r="N305" s="17"/>
      <c r="O305" s="17"/>
      <c r="P305" s="17" t="s">
        <v>636</v>
      </c>
      <c r="Q305" s="17" t="str">
        <f t="shared" si="6"/>
        <v>calcFile</v>
      </c>
      <c r="R305" t="str">
        <f>VLOOKUP(E305,'Data Type Lookup'!$A$1:$C$21,3,FALSE)</f>
        <v>String</v>
      </c>
      <c r="S305" s="17"/>
      <c r="W305" t="str">
        <f t="shared" si="5"/>
        <v>PROJECT.CALC_FILE</v>
      </c>
      <c r="X305" t="str">
        <f>VLOOKUP(W305,ColumnMapping[New Table.Column],1,)</f>
        <v>PROJECT.CALC_FILE</v>
      </c>
      <c r="Y305" t="str">
        <f>_xlfn.XLOOKUP(Table6[[#This Row],[Table.Column]],ColumnMapping[Add Column Name],ColumnMapping[Old Table.Column],"",0,1)</f>
        <v>PROGRAM.CALC_FILE</v>
      </c>
      <c r="Z305" t="str">
        <f>_xlfn.XLOOKUP(Table6[[#This Row],[Old Table.Column]],Cobra8.6[Table.Column],Cobra8.6[TYPE],"",0,1)</f>
        <v>TEXT</v>
      </c>
      <c r="AA305">
        <f>_xlfn.XLOOKUP(Table6[[#This Row],[Old Table.Column]],Cobra8.6[Table.Column],Cobra8.6[LENGTH],"",0,1)</f>
        <v>22</v>
      </c>
      <c r="AB305" s="49" t="s">
        <v>32</v>
      </c>
    </row>
    <row r="306" spans="1:28" ht="16" hidden="1" x14ac:dyDescent="0.2">
      <c r="A306" t="s">
        <v>450</v>
      </c>
      <c r="B306" t="s">
        <v>451</v>
      </c>
      <c r="C306" s="36" t="s">
        <v>637</v>
      </c>
      <c r="D306" s="17">
        <v>74</v>
      </c>
      <c r="E306" s="17" t="s">
        <v>48</v>
      </c>
      <c r="F306" s="17" t="s">
        <v>349</v>
      </c>
      <c r="G306" s="17">
        <v>59</v>
      </c>
      <c r="H306" s="17"/>
      <c r="I306" s="29"/>
      <c r="J306" s="29"/>
      <c r="K306" s="29"/>
      <c r="L306" s="29"/>
      <c r="M306" s="17"/>
      <c r="N306" s="17"/>
      <c r="O306" s="17"/>
      <c r="P306" s="17" t="s">
        <v>638</v>
      </c>
      <c r="Q306" s="17" t="str">
        <f t="shared" si="6"/>
        <v>camcode</v>
      </c>
      <c r="R306" t="str">
        <f>VLOOKUP(E306,'Data Type Lookup'!$A$1:$C$21,3,FALSE)</f>
        <v>String</v>
      </c>
      <c r="S306" s="17"/>
      <c r="W306" t="str">
        <f t="shared" si="5"/>
        <v>PROJECT.CAMCODE</v>
      </c>
      <c r="X306" t="str">
        <f>VLOOKUP(W306,ColumnMapping[New Table.Column],1,)</f>
        <v>PROJECT.CAMCODE</v>
      </c>
      <c r="Y306" t="str">
        <f>_xlfn.XLOOKUP(Table6[[#This Row],[Table.Column]],ColumnMapping[Add Column Name],ColumnMapping[Old Table.Column],"",0,1)</f>
        <v>PROGRAM.CAMCODE</v>
      </c>
      <c r="Z306" t="str">
        <f>_xlfn.XLOOKUP(Table6[[#This Row],[Old Table.Column]],Cobra8.6[Table.Column],Cobra8.6[TYPE],"",0,1)</f>
        <v>TEXT</v>
      </c>
      <c r="AA306">
        <f>_xlfn.XLOOKUP(Table6[[#This Row],[Old Table.Column]],Cobra8.6[Table.Column],Cobra8.6[LENGTH],"",0,1)</f>
        <v>59</v>
      </c>
      <c r="AB306" s="49" t="s">
        <v>32</v>
      </c>
    </row>
    <row r="307" spans="1:28" ht="16" hidden="1" x14ac:dyDescent="0.2">
      <c r="A307" t="s">
        <v>450</v>
      </c>
      <c r="B307" t="s">
        <v>451</v>
      </c>
      <c r="C307" s="36" t="s">
        <v>639</v>
      </c>
      <c r="D307" s="17">
        <v>75</v>
      </c>
      <c r="E307" s="17" t="s">
        <v>48</v>
      </c>
      <c r="F307" s="17" t="s">
        <v>349</v>
      </c>
      <c r="G307" s="17">
        <v>22</v>
      </c>
      <c r="H307" s="17"/>
      <c r="I307" s="29"/>
      <c r="J307" s="37" t="s">
        <v>605</v>
      </c>
      <c r="K307" s="29"/>
      <c r="L307" s="29"/>
      <c r="M307" s="17"/>
      <c r="N307" s="17"/>
      <c r="O307" s="17"/>
      <c r="P307" s="17" t="s">
        <v>640</v>
      </c>
      <c r="Q307" s="17" t="str">
        <f t="shared" si="6"/>
        <v>ccnBdn</v>
      </c>
      <c r="R307" t="str">
        <f>VLOOKUP(E307,'Data Type Lookup'!$A$1:$C$21,3,FALSE)</f>
        <v>String</v>
      </c>
      <c r="S307" s="17"/>
      <c r="W307" t="str">
        <f t="shared" si="5"/>
        <v>PROJECT.CCN_BDN</v>
      </c>
      <c r="X307" t="e">
        <f>VLOOKUP(W307,ColumnMapping[New Table.Column],1,)</f>
        <v>#N/A</v>
      </c>
      <c r="Y307" t="str">
        <f>_xlfn.XLOOKUP(Table6[[#This Row],[Table.Column]],ColumnMapping[Add Column Name],ColumnMapping[Old Table.Column],"",0,1)</f>
        <v/>
      </c>
      <c r="Z307" t="str">
        <f>_xlfn.XLOOKUP(Table6[[#This Row],[Old Table.Column]],Cobra8.6[Table.Column],Cobra8.6[TYPE],"",0,1)</f>
        <v/>
      </c>
      <c r="AA307" t="str">
        <f>_xlfn.XLOOKUP(Table6[[#This Row],[Old Table.Column]],Cobra8.6[Table.Column],Cobra8.6[LENGTH],"",0,1)</f>
        <v/>
      </c>
      <c r="AB307" s="49" t="s">
        <v>32</v>
      </c>
    </row>
    <row r="308" spans="1:28" ht="16" hidden="1" x14ac:dyDescent="0.2">
      <c r="A308" t="s">
        <v>450</v>
      </c>
      <c r="B308" t="s">
        <v>451</v>
      </c>
      <c r="C308" s="36" t="s">
        <v>641</v>
      </c>
      <c r="D308" s="17">
        <v>76</v>
      </c>
      <c r="E308" s="17" t="s">
        <v>48</v>
      </c>
      <c r="F308" s="17" t="s">
        <v>349</v>
      </c>
      <c r="G308" s="17">
        <v>22</v>
      </c>
      <c r="H308" s="17"/>
      <c r="I308" s="29"/>
      <c r="J308" s="37" t="s">
        <v>605</v>
      </c>
      <c r="K308" s="29"/>
      <c r="L308" s="29"/>
      <c r="M308" s="17"/>
      <c r="N308" s="17"/>
      <c r="O308" s="17"/>
      <c r="P308" s="17" t="s">
        <v>642</v>
      </c>
      <c r="Q308" s="17" t="str">
        <f t="shared" si="6"/>
        <v>ceBdn</v>
      </c>
      <c r="R308" t="str">
        <f>VLOOKUP(E308,'Data Type Lookup'!$A$1:$C$21,3,FALSE)</f>
        <v>String</v>
      </c>
      <c r="S308" s="17"/>
      <c r="W308" t="str">
        <f t="shared" si="5"/>
        <v>PROJECT.CE_BDN</v>
      </c>
      <c r="X308" t="e">
        <f>VLOOKUP(W308,ColumnMapping[New Table.Column],1,)</f>
        <v>#N/A</v>
      </c>
      <c r="Y308" t="str">
        <f>_xlfn.XLOOKUP(Table6[[#This Row],[Table.Column]],ColumnMapping[Add Column Name],ColumnMapping[Old Table.Column],"",0,1)</f>
        <v>PROGRAM.CE_BDN</v>
      </c>
      <c r="Z308" t="str">
        <f>_xlfn.XLOOKUP(Table6[[#This Row],[Old Table.Column]],Cobra8.6[Table.Column],Cobra8.6[TYPE],"",0,1)</f>
        <v>TEXT</v>
      </c>
      <c r="AA308">
        <f>_xlfn.XLOOKUP(Table6[[#This Row],[Old Table.Column]],Cobra8.6[Table.Column],Cobra8.6[LENGTH],"",0,1)</f>
        <v>22</v>
      </c>
      <c r="AB308" s="49" t="s">
        <v>32</v>
      </c>
    </row>
    <row r="309" spans="1:28" ht="16" hidden="1" x14ac:dyDescent="0.2">
      <c r="A309" t="s">
        <v>450</v>
      </c>
      <c r="B309" t="s">
        <v>451</v>
      </c>
      <c r="C309" s="36" t="s">
        <v>643</v>
      </c>
      <c r="D309" s="17">
        <v>77</v>
      </c>
      <c r="E309" s="17" t="s">
        <v>48</v>
      </c>
      <c r="F309" s="17" t="s">
        <v>349</v>
      </c>
      <c r="G309" s="17">
        <v>22</v>
      </c>
      <c r="H309" s="17"/>
      <c r="I309" s="29"/>
      <c r="J309" s="37" t="s">
        <v>605</v>
      </c>
      <c r="K309" s="29"/>
      <c r="L309" s="29"/>
      <c r="M309" s="17"/>
      <c r="N309" s="17"/>
      <c r="O309" s="17"/>
      <c r="P309" s="17" t="s">
        <v>644</v>
      </c>
      <c r="Q309" s="17" t="str">
        <f t="shared" si="6"/>
        <v>ceId</v>
      </c>
      <c r="R309" t="str">
        <f>VLOOKUP(E309,'Data Type Lookup'!$A$1:$C$21,3,FALSE)</f>
        <v>String</v>
      </c>
      <c r="S309" s="17"/>
      <c r="W309" t="str">
        <f t="shared" si="5"/>
        <v>PROJECT.CE_ID</v>
      </c>
      <c r="X309" t="str">
        <f>VLOOKUP(W309,ColumnMapping[New Table.Column],1,)</f>
        <v>PROJECT.CE_ID</v>
      </c>
      <c r="Y309" t="str">
        <f>_xlfn.XLOOKUP(Table6[[#This Row],[Table.Column]],ColumnMapping[Add Column Name],ColumnMapping[Old Table.Column],"",0,1)</f>
        <v>PROGRAM.CE_ID</v>
      </c>
      <c r="Z309" t="str">
        <f>_xlfn.XLOOKUP(Table6[[#This Row],[Old Table.Column]],Cobra8.6[Table.Column],Cobra8.6[TYPE],"",0,1)</f>
        <v>TEXT</v>
      </c>
      <c r="AA309">
        <f>_xlfn.XLOOKUP(Table6[[#This Row],[Old Table.Column]],Cobra8.6[Table.Column],Cobra8.6[LENGTH],"",0,1)</f>
        <v>10</v>
      </c>
      <c r="AB309" s="49" t="s">
        <v>32</v>
      </c>
    </row>
    <row r="310" spans="1:28" ht="16" hidden="1" x14ac:dyDescent="0.2">
      <c r="A310" t="s">
        <v>450</v>
      </c>
      <c r="B310" t="s">
        <v>451</v>
      </c>
      <c r="C310" s="36" t="s">
        <v>645</v>
      </c>
      <c r="D310" s="17">
        <v>78</v>
      </c>
      <c r="E310" s="17" t="s">
        <v>48</v>
      </c>
      <c r="F310" s="17" t="s">
        <v>349</v>
      </c>
      <c r="G310" s="17">
        <v>30</v>
      </c>
      <c r="H310" s="17"/>
      <c r="I310" s="29"/>
      <c r="J310" s="29"/>
      <c r="K310" s="29"/>
      <c r="L310" s="29"/>
      <c r="M310" s="17"/>
      <c r="N310" s="17"/>
      <c r="O310" s="17"/>
      <c r="P310" s="17" t="s">
        <v>646</v>
      </c>
      <c r="Q310" s="17" t="str">
        <f t="shared" si="6"/>
        <v>city</v>
      </c>
      <c r="R310" t="str">
        <f>VLOOKUP(E310,'Data Type Lookup'!$A$1:$C$21,3,FALSE)</f>
        <v>String</v>
      </c>
      <c r="S310" s="17"/>
      <c r="W310" t="str">
        <f t="shared" si="5"/>
        <v>PROJECT.CITY</v>
      </c>
      <c r="X310" t="str">
        <f>VLOOKUP(W310,ColumnMapping[New Table.Column],1,)</f>
        <v>PROJECT.CITY</v>
      </c>
      <c r="Y310" t="str">
        <f>_xlfn.XLOOKUP(Table6[[#This Row],[Table.Column]],ColumnMapping[Add Column Name],ColumnMapping[Old Table.Column],"",0,1)</f>
        <v/>
      </c>
      <c r="Z310" t="str">
        <f>_xlfn.XLOOKUP(Table6[[#This Row],[Old Table.Column]],Cobra8.6[Table.Column],Cobra8.6[TYPE],"",0,1)</f>
        <v/>
      </c>
      <c r="AA310" t="str">
        <f>_xlfn.XLOOKUP(Table6[[#This Row],[Old Table.Column]],Cobra8.6[Table.Column],Cobra8.6[LENGTH],"",0,1)</f>
        <v/>
      </c>
      <c r="AB310" s="49" t="s">
        <v>32</v>
      </c>
    </row>
    <row r="311" spans="1:28" ht="16" hidden="1" x14ac:dyDescent="0.2">
      <c r="A311" t="s">
        <v>450</v>
      </c>
      <c r="B311" t="s">
        <v>451</v>
      </c>
      <c r="C311" s="36" t="s">
        <v>647</v>
      </c>
      <c r="D311" s="17">
        <v>79</v>
      </c>
      <c r="E311" s="17" t="s">
        <v>48</v>
      </c>
      <c r="F311" s="17" t="s">
        <v>349</v>
      </c>
      <c r="G311" s="17">
        <v>20</v>
      </c>
      <c r="H311" s="17"/>
      <c r="I311" s="29"/>
      <c r="J311" s="37" t="s">
        <v>605</v>
      </c>
      <c r="K311" s="29"/>
      <c r="L311" s="29"/>
      <c r="M311" s="17"/>
      <c r="N311" s="17"/>
      <c r="O311" s="17"/>
      <c r="P311" s="17" t="s">
        <v>648</v>
      </c>
      <c r="Q311" s="17" t="str">
        <f t="shared" si="6"/>
        <v>clcPrompt</v>
      </c>
      <c r="R311" t="str">
        <f>VLOOKUP(E311,'Data Type Lookup'!$A$1:$C$21,3,FALSE)</f>
        <v>String</v>
      </c>
      <c r="S311" s="17"/>
      <c r="W311" t="str">
        <f t="shared" si="5"/>
        <v>PROJECT.CLC_PROMPT</v>
      </c>
      <c r="X311" t="str">
        <f>VLOOKUP(W311,ColumnMapping[New Table.Column],1,)</f>
        <v>PROJECT.CLC_PROMPT</v>
      </c>
      <c r="Y311" t="str">
        <f>_xlfn.XLOOKUP(Table6[[#This Row],[Table.Column]],ColumnMapping[Add Column Name],ColumnMapping[Old Table.Column],"",0,1)</f>
        <v>PROGRAM.CLC_PROMPT</v>
      </c>
      <c r="Z311" t="str">
        <f>_xlfn.XLOOKUP(Table6[[#This Row],[Old Table.Column]],Cobra8.6[Table.Column],Cobra8.6[TYPE],"",0,1)</f>
        <v>TEXT</v>
      </c>
      <c r="AA311">
        <f>_xlfn.XLOOKUP(Table6[[#This Row],[Old Table.Column]],Cobra8.6[Table.Column],Cobra8.6[LENGTH],"",0,1)</f>
        <v>20</v>
      </c>
      <c r="AB311" s="49" t="s">
        <v>32</v>
      </c>
    </row>
    <row r="312" spans="1:28" ht="16" hidden="1" x14ac:dyDescent="0.2">
      <c r="A312" t="s">
        <v>450</v>
      </c>
      <c r="B312" t="s">
        <v>451</v>
      </c>
      <c r="C312" s="36" t="s">
        <v>649</v>
      </c>
      <c r="D312" s="17">
        <v>80</v>
      </c>
      <c r="E312" s="17" t="s">
        <v>48</v>
      </c>
      <c r="F312" s="17" t="s">
        <v>349</v>
      </c>
      <c r="G312" s="17">
        <v>30</v>
      </c>
      <c r="H312" s="17"/>
      <c r="I312" s="29"/>
      <c r="J312" s="29"/>
      <c r="K312" s="29"/>
      <c r="L312" s="29"/>
      <c r="M312" s="17"/>
      <c r="N312" s="17"/>
      <c r="O312" s="17"/>
      <c r="P312" s="17" t="s">
        <v>650</v>
      </c>
      <c r="Q312" s="17" t="str">
        <f t="shared" si="6"/>
        <v>clinCode</v>
      </c>
      <c r="R312" t="str">
        <f>VLOOKUP(E312,'Data Type Lookup'!$A$1:$C$21,3,FALSE)</f>
        <v>String</v>
      </c>
      <c r="S312" s="17"/>
      <c r="W312" t="str">
        <f t="shared" si="5"/>
        <v>PROJECT.CLIN_CODE</v>
      </c>
      <c r="X312" t="str">
        <f>VLOOKUP(W312,ColumnMapping[New Table.Column],1,)</f>
        <v>PROJECT.CLIN_CODE</v>
      </c>
      <c r="Y312" t="str">
        <f>_xlfn.XLOOKUP(Table6[[#This Row],[Table.Column]],ColumnMapping[Add Column Name],ColumnMapping[Old Table.Column],"",0,1)</f>
        <v/>
      </c>
      <c r="Z312" t="str">
        <f>_xlfn.XLOOKUP(Table6[[#This Row],[Old Table.Column]],Cobra8.6[Table.Column],Cobra8.6[TYPE],"",0,1)</f>
        <v/>
      </c>
      <c r="AA312" t="str">
        <f>_xlfn.XLOOKUP(Table6[[#This Row],[Old Table.Column]],Cobra8.6[Table.Column],Cobra8.6[LENGTH],"",0,1)</f>
        <v/>
      </c>
      <c r="AB312" s="49" t="s">
        <v>32</v>
      </c>
    </row>
    <row r="313" spans="1:28" ht="16" hidden="1" x14ac:dyDescent="0.2">
      <c r="A313" t="s">
        <v>450</v>
      </c>
      <c r="B313" t="s">
        <v>451</v>
      </c>
      <c r="C313" s="36" t="s">
        <v>651</v>
      </c>
      <c r="D313" s="17">
        <v>81</v>
      </c>
      <c r="E313" s="17" t="s">
        <v>48</v>
      </c>
      <c r="F313" s="17" t="s">
        <v>349</v>
      </c>
      <c r="G313" s="17">
        <v>1</v>
      </c>
      <c r="H313" s="17"/>
      <c r="I313" s="29"/>
      <c r="J313" s="37" t="s">
        <v>605</v>
      </c>
      <c r="K313" s="29"/>
      <c r="L313" s="29"/>
      <c r="M313" s="17"/>
      <c r="N313" s="17"/>
      <c r="O313" s="17"/>
      <c r="P313" s="17" t="s">
        <v>652</v>
      </c>
      <c r="Q313" s="17" t="str">
        <f t="shared" si="6"/>
        <v>contFlag</v>
      </c>
      <c r="R313" t="str">
        <f>VLOOKUP(E313,'Data Type Lookup'!$A$1:$C$21,3,FALSE)</f>
        <v>String</v>
      </c>
      <c r="S313" s="17"/>
      <c r="W313" t="str">
        <f t="shared" si="5"/>
        <v>PROJECT.CONT_FLAG</v>
      </c>
      <c r="X313" t="str">
        <f>VLOOKUP(W313,ColumnMapping[New Table.Column],1,)</f>
        <v>PROJECT.CONT_FLAG</v>
      </c>
      <c r="Y313" t="str">
        <f>_xlfn.XLOOKUP(Table6[[#This Row],[Table.Column]],ColumnMapping[Add Column Name],ColumnMapping[Old Table.Column],"",0,1)</f>
        <v>PROGRAM.CONT_FLAG</v>
      </c>
      <c r="Z313" t="str">
        <f>_xlfn.XLOOKUP(Table6[[#This Row],[Old Table.Column]],Cobra8.6[Table.Column],Cobra8.6[TYPE],"",0,1)</f>
        <v>TEXT</v>
      </c>
      <c r="AA313">
        <f>_xlfn.XLOOKUP(Table6[[#This Row],[Old Table.Column]],Cobra8.6[Table.Column],Cobra8.6[LENGTH],"",0,1)</f>
        <v>1</v>
      </c>
      <c r="AB313" s="49" t="s">
        <v>32</v>
      </c>
    </row>
    <row r="314" spans="1:28" ht="16" hidden="1" x14ac:dyDescent="0.2">
      <c r="A314" t="s">
        <v>450</v>
      </c>
      <c r="B314" t="s">
        <v>451</v>
      </c>
      <c r="C314" s="36" t="s">
        <v>653</v>
      </c>
      <c r="D314" s="17">
        <v>82</v>
      </c>
      <c r="E314" s="17" t="s">
        <v>48</v>
      </c>
      <c r="F314" s="17" t="s">
        <v>349</v>
      </c>
      <c r="G314" s="17">
        <v>20</v>
      </c>
      <c r="H314" s="17"/>
      <c r="I314" s="29"/>
      <c r="J314" s="29"/>
      <c r="K314" s="29"/>
      <c r="L314" s="29"/>
      <c r="M314" s="17"/>
      <c r="N314" s="17"/>
      <c r="O314" s="17"/>
      <c r="P314" s="17" t="s">
        <v>654</v>
      </c>
      <c r="Q314" s="17" t="str">
        <f t="shared" si="6"/>
        <v>contIdcode</v>
      </c>
      <c r="R314" t="str">
        <f>VLOOKUP(E314,'Data Type Lookup'!$A$1:$C$21,3,FALSE)</f>
        <v>String</v>
      </c>
      <c r="S314" s="17"/>
      <c r="W314" t="str">
        <f t="shared" si="5"/>
        <v>PROJECT.CONT_IDCODE</v>
      </c>
      <c r="X314" t="str">
        <f>VLOOKUP(W314,ColumnMapping[New Table.Column],1,)</f>
        <v>PROJECT.CONT_IDCODE</v>
      </c>
      <c r="Y314" t="str">
        <f>_xlfn.XLOOKUP(Table6[[#This Row],[Table.Column]],ColumnMapping[Add Column Name],ColumnMapping[Old Table.Column],"",0,1)</f>
        <v/>
      </c>
      <c r="Z314" t="str">
        <f>_xlfn.XLOOKUP(Table6[[#This Row],[Old Table.Column]],Cobra8.6[Table.Column],Cobra8.6[TYPE],"",0,1)</f>
        <v/>
      </c>
      <c r="AA314" t="str">
        <f>_xlfn.XLOOKUP(Table6[[#This Row],[Old Table.Column]],Cobra8.6[Table.Column],Cobra8.6[LENGTH],"",0,1)</f>
        <v/>
      </c>
      <c r="AB314" s="49" t="s">
        <v>32</v>
      </c>
    </row>
    <row r="315" spans="1:28" ht="16" hidden="1" x14ac:dyDescent="0.2">
      <c r="A315" t="s">
        <v>450</v>
      </c>
      <c r="B315" t="s">
        <v>451</v>
      </c>
      <c r="C315" s="36" t="s">
        <v>655</v>
      </c>
      <c r="D315" s="17">
        <v>83</v>
      </c>
      <c r="E315" s="17" t="s">
        <v>48</v>
      </c>
      <c r="F315" s="17" t="s">
        <v>349</v>
      </c>
      <c r="G315" s="17">
        <v>15</v>
      </c>
      <c r="H315" s="17"/>
      <c r="I315" s="29"/>
      <c r="J315" s="29"/>
      <c r="K315" s="29"/>
      <c r="L315" s="29"/>
      <c r="M315" s="17"/>
      <c r="N315" s="17"/>
      <c r="O315" s="17"/>
      <c r="P315" s="17" t="s">
        <v>656</v>
      </c>
      <c r="Q315" s="17" t="str">
        <f t="shared" si="6"/>
        <v>contIdtype</v>
      </c>
      <c r="R315" t="str">
        <f>VLOOKUP(E315,'Data Type Lookup'!$A$1:$C$21,3,FALSE)</f>
        <v>String</v>
      </c>
      <c r="S315" s="17"/>
      <c r="W315" t="str">
        <f t="shared" si="5"/>
        <v>PROJECT.CONT_IDTYPE</v>
      </c>
      <c r="X315" t="str">
        <f>VLOOKUP(W315,ColumnMapping[New Table.Column],1,)</f>
        <v>PROJECT.CONT_IDTYPE</v>
      </c>
      <c r="Y315" t="str">
        <f>_xlfn.XLOOKUP(Table6[[#This Row],[Table.Column]],ColumnMapping[Add Column Name],ColumnMapping[Old Table.Column],"",0,1)</f>
        <v/>
      </c>
      <c r="Z315" t="str">
        <f>_xlfn.XLOOKUP(Table6[[#This Row],[Old Table.Column]],Cobra8.6[Table.Column],Cobra8.6[TYPE],"",0,1)</f>
        <v/>
      </c>
      <c r="AA315" t="str">
        <f>_xlfn.XLOOKUP(Table6[[#This Row],[Old Table.Column]],Cobra8.6[Table.Column],Cobra8.6[LENGTH],"",0,1)</f>
        <v/>
      </c>
      <c r="AB315" s="49" t="s">
        <v>32</v>
      </c>
    </row>
    <row r="316" spans="1:28" ht="16" hidden="1" x14ac:dyDescent="0.2">
      <c r="A316" t="s">
        <v>450</v>
      </c>
      <c r="B316" t="s">
        <v>451</v>
      </c>
      <c r="C316" s="36" t="s">
        <v>657</v>
      </c>
      <c r="D316" s="17">
        <v>84</v>
      </c>
      <c r="E316" s="17" t="s">
        <v>48</v>
      </c>
      <c r="F316" s="17" t="s">
        <v>349</v>
      </c>
      <c r="G316" s="17">
        <v>40</v>
      </c>
      <c r="H316" s="17"/>
      <c r="I316" s="29"/>
      <c r="J316" s="37" t="s">
        <v>605</v>
      </c>
      <c r="K316" s="29"/>
      <c r="L316" s="29"/>
      <c r="M316" s="17"/>
      <c r="N316" s="17"/>
      <c r="O316" s="17"/>
      <c r="P316" s="17" t="s">
        <v>658</v>
      </c>
      <c r="Q316" s="17" t="str">
        <f t="shared" si="6"/>
        <v>contLoc</v>
      </c>
      <c r="R316" t="str">
        <f>VLOOKUP(E316,'Data Type Lookup'!$A$1:$C$21,3,FALSE)</f>
        <v>String</v>
      </c>
      <c r="S316" s="17"/>
      <c r="W316" t="str">
        <f t="shared" si="5"/>
        <v>PROJECT.CONT_LOC</v>
      </c>
      <c r="X316" t="str">
        <f>VLOOKUP(W316,ColumnMapping[New Table.Column],1,)</f>
        <v>PROJECT.CONT_LOC</v>
      </c>
      <c r="Y316" t="str">
        <f>_xlfn.XLOOKUP(Table6[[#This Row],[Table.Column]],ColumnMapping[Add Column Name],ColumnMapping[Old Table.Column],"",0,1)</f>
        <v>PROGRAM.CONT_LOC</v>
      </c>
      <c r="Z316" t="str">
        <f>_xlfn.XLOOKUP(Table6[[#This Row],[Old Table.Column]],Cobra8.6[Table.Column],Cobra8.6[TYPE],"",0,1)</f>
        <v>TEXT</v>
      </c>
      <c r="AA316">
        <f>_xlfn.XLOOKUP(Table6[[#This Row],[Old Table.Column]],Cobra8.6[Table.Column],Cobra8.6[LENGTH],"",0,1)</f>
        <v>40</v>
      </c>
      <c r="AB316" s="49" t="s">
        <v>32</v>
      </c>
    </row>
    <row r="317" spans="1:28" ht="16" hidden="1" x14ac:dyDescent="0.2">
      <c r="A317" t="s">
        <v>450</v>
      </c>
      <c r="B317" t="s">
        <v>451</v>
      </c>
      <c r="C317" s="36" t="s">
        <v>659</v>
      </c>
      <c r="D317" s="17">
        <v>85</v>
      </c>
      <c r="E317" s="17" t="s">
        <v>48</v>
      </c>
      <c r="F317" s="17" t="s">
        <v>349</v>
      </c>
      <c r="G317" s="17">
        <v>250</v>
      </c>
      <c r="H317" s="17"/>
      <c r="I317" s="29"/>
      <c r="J317" s="37" t="s">
        <v>605</v>
      </c>
      <c r="K317" s="29"/>
      <c r="L317" s="29"/>
      <c r="M317" s="17"/>
      <c r="N317" s="17"/>
      <c r="O317" s="17"/>
      <c r="P317" s="17" t="s">
        <v>660</v>
      </c>
      <c r="Q317" s="17" t="str">
        <f t="shared" si="6"/>
        <v>contName</v>
      </c>
      <c r="R317" t="str">
        <f>VLOOKUP(E317,'Data Type Lookup'!$A$1:$C$21,3,FALSE)</f>
        <v>String</v>
      </c>
      <c r="S317" s="17"/>
      <c r="W317" t="str">
        <f t="shared" si="5"/>
        <v>PROJECT.CONT_NAME</v>
      </c>
      <c r="X317" t="str">
        <f>VLOOKUP(W317,ColumnMapping[New Table.Column],1,)</f>
        <v>PROJECT.CONT_NAME</v>
      </c>
      <c r="Y317" t="str">
        <f>_xlfn.XLOOKUP(Table6[[#This Row],[Table.Column]],ColumnMapping[Add Column Name],ColumnMapping[Old Table.Column],"",0,1)</f>
        <v>PROGRAM.CONT_NAME</v>
      </c>
      <c r="Z317" t="str">
        <f>_xlfn.XLOOKUP(Table6[[#This Row],[Old Table.Column]],Cobra8.6[Table.Column],Cobra8.6[TYPE],"",0,1)</f>
        <v>TEXT</v>
      </c>
      <c r="AA317">
        <f>_xlfn.XLOOKUP(Table6[[#This Row],[Old Table.Column]],Cobra8.6[Table.Column],Cobra8.6[LENGTH],"",0,1)</f>
        <v>250</v>
      </c>
      <c r="AB317" s="49" t="s">
        <v>32</v>
      </c>
    </row>
    <row r="318" spans="1:28" ht="16" hidden="1" x14ac:dyDescent="0.2">
      <c r="A318" t="s">
        <v>450</v>
      </c>
      <c r="B318" t="s">
        <v>451</v>
      </c>
      <c r="C318" s="36" t="s">
        <v>661</v>
      </c>
      <c r="D318" s="17">
        <v>86</v>
      </c>
      <c r="E318" s="17" t="s">
        <v>48</v>
      </c>
      <c r="F318" s="17" t="s">
        <v>349</v>
      </c>
      <c r="G318" s="17">
        <v>100</v>
      </c>
      <c r="H318" s="17"/>
      <c r="I318" s="29"/>
      <c r="J318" s="37" t="s">
        <v>605</v>
      </c>
      <c r="K318" s="29"/>
      <c r="L318" s="29"/>
      <c r="M318" s="17"/>
      <c r="N318" s="17"/>
      <c r="O318" s="17"/>
      <c r="P318" s="17" t="s">
        <v>662</v>
      </c>
      <c r="Q318" s="17" t="str">
        <f t="shared" si="6"/>
        <v>contNo</v>
      </c>
      <c r="R318" t="str">
        <f>VLOOKUP(E318,'Data Type Lookup'!$A$1:$C$21,3,FALSE)</f>
        <v>String</v>
      </c>
      <c r="S318" s="17"/>
      <c r="W318" t="str">
        <f t="shared" si="5"/>
        <v>PROJECT.CONT_NO</v>
      </c>
      <c r="X318" t="str">
        <f>VLOOKUP(W318,ColumnMapping[New Table.Column],1,)</f>
        <v>PROJECT.CONT_NO</v>
      </c>
      <c r="Y318" t="str">
        <f>_xlfn.XLOOKUP(Table6[[#This Row],[Table.Column]],ColumnMapping[Add Column Name],ColumnMapping[Old Table.Column],"",0,1)</f>
        <v>PROGRAM.CONT_NO</v>
      </c>
      <c r="Z318" t="str">
        <f>_xlfn.XLOOKUP(Table6[[#This Row],[Old Table.Column]],Cobra8.6[Table.Column],Cobra8.6[TYPE],"",0,1)</f>
        <v>TEXT</v>
      </c>
      <c r="AA318">
        <f>_xlfn.XLOOKUP(Table6[[#This Row],[Old Table.Column]],Cobra8.6[Table.Column],Cobra8.6[LENGTH],"",0,1)</f>
        <v>100</v>
      </c>
      <c r="AB318" s="49" t="s">
        <v>32</v>
      </c>
    </row>
    <row r="319" spans="1:28" ht="16" hidden="1" x14ac:dyDescent="0.2">
      <c r="A319" t="s">
        <v>450</v>
      </c>
      <c r="B319" t="s">
        <v>451</v>
      </c>
      <c r="C319" s="36" t="s">
        <v>663</v>
      </c>
      <c r="D319" s="17">
        <v>87</v>
      </c>
      <c r="E319" s="17" t="s">
        <v>48</v>
      </c>
      <c r="F319" s="17" t="s">
        <v>349</v>
      </c>
      <c r="G319" s="17">
        <v>20</v>
      </c>
      <c r="H319" s="17"/>
      <c r="I319" s="29"/>
      <c r="J319" s="37" t="s">
        <v>605</v>
      </c>
      <c r="K319" s="29"/>
      <c r="L319" s="29"/>
      <c r="M319" s="17"/>
      <c r="N319" s="17"/>
      <c r="O319" s="17"/>
      <c r="P319" s="17" t="s">
        <v>664</v>
      </c>
      <c r="Q319" s="17" t="str">
        <f t="shared" si="6"/>
        <v>contPhase</v>
      </c>
      <c r="R319" t="str">
        <f>VLOOKUP(E319,'Data Type Lookup'!$A$1:$C$21,3,FALSE)</f>
        <v>String</v>
      </c>
      <c r="S319" s="17"/>
      <c r="W319" t="str">
        <f t="shared" si="5"/>
        <v>PROJECT.CONT_PHASE</v>
      </c>
      <c r="X319" t="str">
        <f>VLOOKUP(W319,ColumnMapping[New Table.Column],1,)</f>
        <v>PROJECT.CONT_PHASE</v>
      </c>
      <c r="Y319" t="str">
        <f>_xlfn.XLOOKUP(Table6[[#This Row],[Table.Column]],ColumnMapping[Add Column Name],ColumnMapping[Old Table.Column],"",0,1)</f>
        <v>PROGRAM.CONT_PHASE</v>
      </c>
      <c r="Z319" t="str">
        <f>_xlfn.XLOOKUP(Table6[[#This Row],[Old Table.Column]],Cobra8.6[Table.Column],Cobra8.6[TYPE],"",0,1)</f>
        <v>TEXT</v>
      </c>
      <c r="AA319">
        <f>_xlfn.XLOOKUP(Table6[[#This Row],[Old Table.Column]],Cobra8.6[Table.Column],Cobra8.6[LENGTH],"",0,1)</f>
        <v>20</v>
      </c>
      <c r="AB319" s="49" t="s">
        <v>32</v>
      </c>
    </row>
    <row r="320" spans="1:28" ht="16" hidden="1" x14ac:dyDescent="0.2">
      <c r="A320" t="s">
        <v>450</v>
      </c>
      <c r="B320" t="s">
        <v>451</v>
      </c>
      <c r="C320" s="36" t="s">
        <v>665</v>
      </c>
      <c r="D320" s="17">
        <v>88</v>
      </c>
      <c r="E320" s="17" t="s">
        <v>48</v>
      </c>
      <c r="F320" s="17" t="s">
        <v>349</v>
      </c>
      <c r="G320" s="17">
        <v>80</v>
      </c>
      <c r="H320" s="17"/>
      <c r="I320" s="29"/>
      <c r="J320" s="29"/>
      <c r="K320" s="29"/>
      <c r="L320" s="29"/>
      <c r="M320" s="17"/>
      <c r="N320" s="17"/>
      <c r="O320" s="17"/>
      <c r="P320" s="17" t="s">
        <v>666</v>
      </c>
      <c r="Q320" s="17" t="str">
        <f t="shared" si="6"/>
        <v>contProgram</v>
      </c>
      <c r="R320" t="str">
        <f>VLOOKUP(E320,'Data Type Lookup'!$A$1:$C$21,3,FALSE)</f>
        <v>String</v>
      </c>
      <c r="S320" s="17"/>
      <c r="W320" t="str">
        <f t="shared" si="5"/>
        <v>PROJECT.CONT_PROGRAM</v>
      </c>
      <c r="X320" t="str">
        <f>VLOOKUP(W320,ColumnMapping[New Table.Column],1,)</f>
        <v>PROJECT.CONT_PROGRAM</v>
      </c>
      <c r="Y320" t="str">
        <f>_xlfn.XLOOKUP(Table6[[#This Row],[Table.Column]],ColumnMapping[Add Column Name],ColumnMapping[Old Table.Column],"",0,1)</f>
        <v/>
      </c>
      <c r="Z320" t="str">
        <f>_xlfn.XLOOKUP(Table6[[#This Row],[Old Table.Column]],Cobra8.6[Table.Column],Cobra8.6[TYPE],"",0,1)</f>
        <v/>
      </c>
      <c r="AA320" t="str">
        <f>_xlfn.XLOOKUP(Table6[[#This Row],[Old Table.Column]],Cobra8.6[Table.Column],Cobra8.6[LENGTH],"",0,1)</f>
        <v/>
      </c>
      <c r="AB320" s="49" t="s">
        <v>32</v>
      </c>
    </row>
    <row r="321" spans="1:28" ht="16" hidden="1" x14ac:dyDescent="0.2">
      <c r="A321" t="s">
        <v>450</v>
      </c>
      <c r="B321" t="s">
        <v>451</v>
      </c>
      <c r="C321" s="36" t="s">
        <v>667</v>
      </c>
      <c r="D321" s="17">
        <v>89</v>
      </c>
      <c r="E321" s="17" t="s">
        <v>48</v>
      </c>
      <c r="F321" s="17" t="s">
        <v>349</v>
      </c>
      <c r="G321" s="17">
        <v>2</v>
      </c>
      <c r="H321" s="17"/>
      <c r="I321" s="29"/>
      <c r="J321" s="62" t="s">
        <v>668</v>
      </c>
      <c r="K321" s="29"/>
      <c r="L321" s="29"/>
      <c r="M321" s="17"/>
      <c r="N321" s="17"/>
      <c r="O321" s="17"/>
      <c r="P321" s="17" t="s">
        <v>669</v>
      </c>
      <c r="Q321" s="17" t="str">
        <f t="shared" si="6"/>
        <v>contProgtype</v>
      </c>
      <c r="R321" t="str">
        <f>VLOOKUP(E321,'Data Type Lookup'!$A$1:$C$21,3,FALSE)</f>
        <v>String</v>
      </c>
      <c r="S321" s="17"/>
      <c r="W321" t="str">
        <f t="shared" si="5"/>
        <v>PROJECT.CONT_PROGTYPE</v>
      </c>
      <c r="X321" t="e">
        <f>VLOOKUP(W321,ColumnMapping[New Table.Column],1,)</f>
        <v>#N/A</v>
      </c>
      <c r="Y321" t="str">
        <f>_xlfn.XLOOKUP(Table6[[#This Row],[Table.Column]],ColumnMapping[Add Column Name],ColumnMapping[Old Table.Column],"",0,1)</f>
        <v/>
      </c>
      <c r="Z321" t="str">
        <f>_xlfn.XLOOKUP(Table6[[#This Row],[Old Table.Column]],Cobra8.6[Table.Column],Cobra8.6[TYPE],"",0,1)</f>
        <v/>
      </c>
      <c r="AA321" t="str">
        <f>_xlfn.XLOOKUP(Table6[[#This Row],[Old Table.Column]],Cobra8.6[Table.Column],Cobra8.6[LENGTH],"",0,1)</f>
        <v/>
      </c>
      <c r="AB321" s="49" t="s">
        <v>32</v>
      </c>
    </row>
    <row r="322" spans="1:28" ht="16" hidden="1" x14ac:dyDescent="0.2">
      <c r="A322" t="s">
        <v>450</v>
      </c>
      <c r="B322" t="s">
        <v>451</v>
      </c>
      <c r="C322" s="36" t="s">
        <v>670</v>
      </c>
      <c r="D322" s="17">
        <v>90</v>
      </c>
      <c r="E322" s="17" t="s">
        <v>48</v>
      </c>
      <c r="F322" s="17" t="s">
        <v>349</v>
      </c>
      <c r="G322" s="17">
        <v>60</v>
      </c>
      <c r="H322" s="17"/>
      <c r="I322" s="29"/>
      <c r="J322" s="29"/>
      <c r="K322" s="29"/>
      <c r="L322" s="29"/>
      <c r="M322" s="17"/>
      <c r="N322" s="17"/>
      <c r="O322" s="17"/>
      <c r="P322" s="17" t="s">
        <v>671</v>
      </c>
      <c r="Q322" s="17" t="str">
        <f t="shared" si="6"/>
        <v>contRepemail</v>
      </c>
      <c r="R322" t="str">
        <f>VLOOKUP(E322,'Data Type Lookup'!$A$1:$C$21,3,FALSE)</f>
        <v>String</v>
      </c>
      <c r="S322" s="17"/>
      <c r="W322" t="str">
        <f t="shared" ref="W322:W385" si="7">_xlfn.CONCAT(B322,".",C322)</f>
        <v>PROJECT.CONT_REPEMAIL</v>
      </c>
      <c r="X322" t="e">
        <f>VLOOKUP(W322,ColumnMapping[New Table.Column],1,)</f>
        <v>#N/A</v>
      </c>
      <c r="Y322" t="str">
        <f>_xlfn.XLOOKUP(Table6[[#This Row],[Table.Column]],ColumnMapping[Add Column Name],ColumnMapping[Old Table.Column],"",0,1)</f>
        <v/>
      </c>
      <c r="Z322" t="str">
        <f>_xlfn.XLOOKUP(Table6[[#This Row],[Old Table.Column]],Cobra8.6[Table.Column],Cobra8.6[TYPE],"",0,1)</f>
        <v/>
      </c>
      <c r="AA322" t="str">
        <f>_xlfn.XLOOKUP(Table6[[#This Row],[Old Table.Column]],Cobra8.6[Table.Column],Cobra8.6[LENGTH],"",0,1)</f>
        <v/>
      </c>
      <c r="AB322" s="49" t="s">
        <v>32</v>
      </c>
    </row>
    <row r="323" spans="1:28" ht="16" hidden="1" x14ac:dyDescent="0.2">
      <c r="A323" t="s">
        <v>450</v>
      </c>
      <c r="B323" t="s">
        <v>451</v>
      </c>
      <c r="C323" s="36" t="s">
        <v>672</v>
      </c>
      <c r="D323" s="17">
        <v>91</v>
      </c>
      <c r="E323" s="17" t="s">
        <v>48</v>
      </c>
      <c r="F323" s="17" t="s">
        <v>349</v>
      </c>
      <c r="G323" s="17">
        <v>60</v>
      </c>
      <c r="H323" s="17"/>
      <c r="I323" s="29"/>
      <c r="J323" s="37" t="s">
        <v>605</v>
      </c>
      <c r="K323" s="29"/>
      <c r="L323" s="29"/>
      <c r="M323" s="17"/>
      <c r="N323" s="17"/>
      <c r="O323" s="17"/>
      <c r="P323" s="17" t="s">
        <v>673</v>
      </c>
      <c r="Q323" s="17" t="str">
        <f t="shared" si="6"/>
        <v>contRepn</v>
      </c>
      <c r="R323" t="str">
        <f>VLOOKUP(E323,'Data Type Lookup'!$A$1:$C$21,3,FALSE)</f>
        <v>String</v>
      </c>
      <c r="S323" s="17"/>
      <c r="W323" t="str">
        <f t="shared" si="7"/>
        <v>PROJECT.CONT_REPN</v>
      </c>
      <c r="X323" t="str">
        <f>VLOOKUP(W323,ColumnMapping[New Table.Column],1,)</f>
        <v>PROJECT.CONT_REPN</v>
      </c>
      <c r="Y323" t="str">
        <f>_xlfn.XLOOKUP(Table6[[#This Row],[Table.Column]],ColumnMapping[Add Column Name],ColumnMapping[Old Table.Column],"",0,1)</f>
        <v>PROGRAM.CONT_REPN</v>
      </c>
      <c r="Z323" t="str">
        <f>_xlfn.XLOOKUP(Table6[[#This Row],[Old Table.Column]],Cobra8.6[Table.Column],Cobra8.6[TYPE],"",0,1)</f>
        <v>TEXT</v>
      </c>
      <c r="AA323">
        <f>_xlfn.XLOOKUP(Table6[[#This Row],[Old Table.Column]],Cobra8.6[Table.Column],Cobra8.6[LENGTH],"",0,1)</f>
        <v>60</v>
      </c>
      <c r="AB323" s="49" t="s">
        <v>32</v>
      </c>
    </row>
    <row r="324" spans="1:28" ht="16" hidden="1" x14ac:dyDescent="0.2">
      <c r="A324" t="s">
        <v>450</v>
      </c>
      <c r="B324" t="s">
        <v>451</v>
      </c>
      <c r="C324" s="36" t="s">
        <v>674</v>
      </c>
      <c r="D324" s="17">
        <v>92</v>
      </c>
      <c r="E324" s="17" t="s">
        <v>48</v>
      </c>
      <c r="F324" s="17" t="s">
        <v>349</v>
      </c>
      <c r="G324" s="17">
        <v>20</v>
      </c>
      <c r="H324" s="17"/>
      <c r="I324" s="29"/>
      <c r="J324" s="29"/>
      <c r="K324" s="29"/>
      <c r="L324" s="29"/>
      <c r="M324" s="17"/>
      <c r="N324" s="17"/>
      <c r="O324" s="17"/>
      <c r="P324" s="17" t="s">
        <v>675</v>
      </c>
      <c r="Q324" s="17" t="str">
        <f t="shared" si="6"/>
        <v>contRepphone</v>
      </c>
      <c r="R324" t="str">
        <f>VLOOKUP(E324,'Data Type Lookup'!$A$1:$C$21,3,FALSE)</f>
        <v>String</v>
      </c>
      <c r="S324" s="17"/>
      <c r="W324" t="str">
        <f t="shared" si="7"/>
        <v>PROJECT.CONT_REPPHONE</v>
      </c>
      <c r="X324" t="str">
        <f>VLOOKUP(W324,ColumnMapping[New Table.Column],1,)</f>
        <v>PROJECT.CONT_REPPHONE</v>
      </c>
      <c r="Y324" t="str">
        <f>_xlfn.XLOOKUP(Table6[[#This Row],[Table.Column]],ColumnMapping[Add Column Name],ColumnMapping[Old Table.Column],"",0,1)</f>
        <v/>
      </c>
      <c r="Z324" t="str">
        <f>_xlfn.XLOOKUP(Table6[[#This Row],[Old Table.Column]],Cobra8.6[Table.Column],Cobra8.6[TYPE],"",0,1)</f>
        <v/>
      </c>
      <c r="AA324" t="str">
        <f>_xlfn.XLOOKUP(Table6[[#This Row],[Old Table.Column]],Cobra8.6[Table.Column],Cobra8.6[LENGTH],"",0,1)</f>
        <v/>
      </c>
      <c r="AB324" s="49" t="s">
        <v>32</v>
      </c>
    </row>
    <row r="325" spans="1:28" ht="16" hidden="1" x14ac:dyDescent="0.2">
      <c r="A325" t="s">
        <v>450</v>
      </c>
      <c r="B325" t="s">
        <v>451</v>
      </c>
      <c r="C325" s="36" t="s">
        <v>676</v>
      </c>
      <c r="D325" s="17">
        <v>93</v>
      </c>
      <c r="E325" s="17" t="s">
        <v>48</v>
      </c>
      <c r="F325" s="17" t="s">
        <v>349</v>
      </c>
      <c r="G325" s="17">
        <v>60</v>
      </c>
      <c r="H325" s="17"/>
      <c r="I325" s="29"/>
      <c r="J325" s="37" t="s">
        <v>605</v>
      </c>
      <c r="K325" s="29"/>
      <c r="L325" s="29"/>
      <c r="M325" s="17"/>
      <c r="N325" s="17"/>
      <c r="O325" s="17"/>
      <c r="P325" s="17" t="s">
        <v>677</v>
      </c>
      <c r="Q325" s="17" t="str">
        <f t="shared" si="6"/>
        <v>contRept</v>
      </c>
      <c r="R325" t="str">
        <f>VLOOKUP(E325,'Data Type Lookup'!$A$1:$C$21,3,FALSE)</f>
        <v>String</v>
      </c>
      <c r="S325" s="17"/>
      <c r="W325" t="str">
        <f t="shared" si="7"/>
        <v>PROJECT.CONT_REPT</v>
      </c>
      <c r="X325" t="str">
        <f>VLOOKUP(W325,ColumnMapping[New Table.Column],1,)</f>
        <v>PROJECT.CONT_REPT</v>
      </c>
      <c r="Y325" t="str">
        <f>_xlfn.XLOOKUP(Table6[[#This Row],[Table.Column]],ColumnMapping[Add Column Name],ColumnMapping[Old Table.Column],"",0,1)</f>
        <v>PROGRAM.CONT_REPT</v>
      </c>
      <c r="Z325" t="str">
        <f>_xlfn.XLOOKUP(Table6[[#This Row],[Old Table.Column]],Cobra8.6[Table.Column],Cobra8.6[TYPE],"",0,1)</f>
        <v>TEXT</v>
      </c>
      <c r="AA325">
        <f>_xlfn.XLOOKUP(Table6[[#This Row],[Old Table.Column]],Cobra8.6[Table.Column],Cobra8.6[LENGTH],"",0,1)</f>
        <v>60</v>
      </c>
      <c r="AB325" s="49" t="s">
        <v>32</v>
      </c>
    </row>
    <row r="326" spans="1:28" ht="16" hidden="1" x14ac:dyDescent="0.2">
      <c r="A326" t="s">
        <v>450</v>
      </c>
      <c r="B326" t="s">
        <v>451</v>
      </c>
      <c r="C326" s="36" t="s">
        <v>678</v>
      </c>
      <c r="D326" s="17">
        <v>94</v>
      </c>
      <c r="E326" s="17" t="s">
        <v>679</v>
      </c>
      <c r="F326" s="17" t="s">
        <v>349</v>
      </c>
      <c r="G326" s="17">
        <v>100</v>
      </c>
      <c r="H326" s="17"/>
      <c r="I326" s="29"/>
      <c r="J326" s="29"/>
      <c r="K326" s="29"/>
      <c r="L326" s="29"/>
      <c r="M326" s="17"/>
      <c r="N326" s="17"/>
      <c r="O326" s="17"/>
      <c r="P326" s="17" t="s">
        <v>680</v>
      </c>
      <c r="Q326" s="17" t="str">
        <f t="shared" ref="Q326:Q365" si="8">LOWER(LEFT(C326,FIND("_",C326&amp;"_")-1))&amp;SUBSTITUTE(PROPER(SUBSTITUTE(MID(C326,FIND("_",C326&amp;"_"),LEN(C326)),"_"," "))," ","")</f>
        <v>contStatement</v>
      </c>
      <c r="R326" t="s">
        <v>681</v>
      </c>
      <c r="S326" s="17"/>
      <c r="W326" t="str">
        <f t="shared" si="7"/>
        <v>PROJECT.CONT_STATEMENT</v>
      </c>
      <c r="X326" t="e">
        <f>VLOOKUP(W326,ColumnMapping[New Table.Column],1,)</f>
        <v>#N/A</v>
      </c>
      <c r="Y326" t="str">
        <f>_xlfn.XLOOKUP(Table6[[#This Row],[Table.Column]],ColumnMapping[Add Column Name],ColumnMapping[Old Table.Column],"",0,1)</f>
        <v/>
      </c>
      <c r="Z326" t="str">
        <f>_xlfn.XLOOKUP(Table6[[#This Row],[Old Table.Column]],Cobra8.6[Table.Column],Cobra8.6[TYPE],"",0,1)</f>
        <v/>
      </c>
      <c r="AA326" t="str">
        <f>_xlfn.XLOOKUP(Table6[[#This Row],[Old Table.Column]],Cobra8.6[Table.Column],Cobra8.6[LENGTH],"",0,1)</f>
        <v/>
      </c>
      <c r="AB326" s="49" t="s">
        <v>32</v>
      </c>
    </row>
    <row r="327" spans="1:28" ht="16" hidden="1" x14ac:dyDescent="0.2">
      <c r="A327" t="s">
        <v>450</v>
      </c>
      <c r="B327" t="s">
        <v>451</v>
      </c>
      <c r="C327" s="36" t="s">
        <v>682</v>
      </c>
      <c r="D327" s="17">
        <v>95</v>
      </c>
      <c r="E327" s="17" t="s">
        <v>48</v>
      </c>
      <c r="F327" s="17" t="s">
        <v>349</v>
      </c>
      <c r="G327" s="17">
        <v>80</v>
      </c>
      <c r="H327" s="17"/>
      <c r="I327" s="29"/>
      <c r="J327" s="29"/>
      <c r="K327" s="29"/>
      <c r="L327" s="29"/>
      <c r="M327" s="17"/>
      <c r="N327" s="17"/>
      <c r="O327" s="17"/>
      <c r="P327" s="17" t="s">
        <v>683</v>
      </c>
      <c r="Q327" s="17" t="str">
        <f t="shared" si="8"/>
        <v>contTask</v>
      </c>
      <c r="R327" t="str">
        <f>VLOOKUP(E327,'Data Type Lookup'!$A$1:$C$21,3,FALSE)</f>
        <v>String</v>
      </c>
      <c r="S327" s="17"/>
      <c r="W327" t="str">
        <f t="shared" si="7"/>
        <v>PROJECT.CONT_TASK</v>
      </c>
      <c r="X327" t="e">
        <f>VLOOKUP(W327,ColumnMapping[New Table.Column],1,)</f>
        <v>#N/A</v>
      </c>
      <c r="Y327" t="str">
        <f>_xlfn.XLOOKUP(Table6[[#This Row],[Table.Column]],ColumnMapping[Add Column Name],ColumnMapping[Old Table.Column],"",0,1)</f>
        <v/>
      </c>
      <c r="Z327" t="str">
        <f>_xlfn.XLOOKUP(Table6[[#This Row],[Old Table.Column]],Cobra8.6[Table.Column],Cobra8.6[TYPE],"",0,1)</f>
        <v/>
      </c>
      <c r="AA327" t="str">
        <f>_xlfn.XLOOKUP(Table6[[#This Row],[Old Table.Column]],Cobra8.6[Table.Column],Cobra8.6[LENGTH],"",0,1)</f>
        <v/>
      </c>
      <c r="AB327" s="49" t="s">
        <v>32</v>
      </c>
    </row>
    <row r="328" spans="1:28" ht="16" hidden="1" x14ac:dyDescent="0.2">
      <c r="A328" t="s">
        <v>450</v>
      </c>
      <c r="B328" t="s">
        <v>451</v>
      </c>
      <c r="C328" s="36" t="s">
        <v>684</v>
      </c>
      <c r="D328" s="17">
        <v>96</v>
      </c>
      <c r="E328" s="17" t="s">
        <v>48</v>
      </c>
      <c r="F328" s="17" t="s">
        <v>349</v>
      </c>
      <c r="G328" s="17">
        <v>10</v>
      </c>
      <c r="H328" s="17"/>
      <c r="I328" s="29"/>
      <c r="J328" s="37" t="s">
        <v>605</v>
      </c>
      <c r="K328" s="29"/>
      <c r="L328" s="29"/>
      <c r="M328" s="17"/>
      <c r="N328" s="17"/>
      <c r="O328" s="17"/>
      <c r="P328" s="17" t="s">
        <v>685</v>
      </c>
      <c r="Q328" s="17" t="str">
        <f t="shared" si="8"/>
        <v>contType</v>
      </c>
      <c r="R328" t="str">
        <f>VLOOKUP(E328,'Data Type Lookup'!$A$1:$C$21,3,FALSE)</f>
        <v>String</v>
      </c>
      <c r="S328" s="17"/>
      <c r="W328" t="str">
        <f t="shared" si="7"/>
        <v>PROJECT.CONT_TYPE</v>
      </c>
      <c r="X328" t="str">
        <f>VLOOKUP(W328,ColumnMapping[New Table.Column],1,)</f>
        <v>PROJECT.CONT_TYPE</v>
      </c>
      <c r="Y328" t="str">
        <f>_xlfn.XLOOKUP(Table6[[#This Row],[Table.Column]],ColumnMapping[Add Column Name],ColumnMapping[Old Table.Column],"",0,1)</f>
        <v>PROGRAM.CONT_TYPE</v>
      </c>
      <c r="Z328" t="str">
        <f>_xlfn.XLOOKUP(Table6[[#This Row],[Old Table.Column]],Cobra8.6[Table.Column],Cobra8.6[TYPE],"",0,1)</f>
        <v>TEXT</v>
      </c>
      <c r="AA328">
        <f>_xlfn.XLOOKUP(Table6[[#This Row],[Old Table.Column]],Cobra8.6[Table.Column],Cobra8.6[LENGTH],"",0,1)</f>
        <v>10</v>
      </c>
      <c r="AB328" s="49" t="s">
        <v>32</v>
      </c>
    </row>
    <row r="329" spans="1:28" ht="16" hidden="1" x14ac:dyDescent="0.2">
      <c r="A329" t="s">
        <v>450</v>
      </c>
      <c r="B329" t="s">
        <v>451</v>
      </c>
      <c r="C329" s="36" t="s">
        <v>686</v>
      </c>
      <c r="D329" s="17">
        <v>97</v>
      </c>
      <c r="E329" s="17" t="s">
        <v>48</v>
      </c>
      <c r="F329" s="17" t="s">
        <v>349</v>
      </c>
      <c r="G329" s="17">
        <v>100</v>
      </c>
      <c r="H329" s="17"/>
      <c r="I329" s="29"/>
      <c r="J329" s="37" t="s">
        <v>605</v>
      </c>
      <c r="K329" s="29"/>
      <c r="L329" s="29"/>
      <c r="M329" s="17"/>
      <c r="N329" s="17"/>
      <c r="O329" s="17"/>
      <c r="P329" s="17" t="s">
        <v>687</v>
      </c>
      <c r="Q329" s="17" t="str">
        <f t="shared" si="8"/>
        <v>contract</v>
      </c>
      <c r="R329" t="str">
        <f>VLOOKUP(E329,'Data Type Lookup'!$A$1:$C$21,3,FALSE)</f>
        <v>String</v>
      </c>
      <c r="S329" s="17"/>
      <c r="W329" t="str">
        <f t="shared" si="7"/>
        <v>PROJECT.CONTRACT</v>
      </c>
      <c r="X329" t="str">
        <f>VLOOKUP(W329,ColumnMapping[New Table.Column],1,)</f>
        <v>PROJECT.CONTRACT</v>
      </c>
      <c r="Y329" t="str">
        <f>_xlfn.XLOOKUP(Table6[[#This Row],[Table.Column]],ColumnMapping[Add Column Name],ColumnMapping[Old Table.Column],"",0,1)</f>
        <v>PROGRAM.CONTRACT</v>
      </c>
      <c r="Z329" t="str">
        <f>_xlfn.XLOOKUP(Table6[[#This Row],[Old Table.Column]],Cobra8.6[Table.Column],Cobra8.6[TYPE],"",0,1)</f>
        <v>TEXT</v>
      </c>
      <c r="AA329">
        <f>_xlfn.XLOOKUP(Table6[[#This Row],[Old Table.Column]],Cobra8.6[Table.Column],Cobra8.6[LENGTH],"",0,1)</f>
        <v>100</v>
      </c>
      <c r="AB329" s="49" t="s">
        <v>32</v>
      </c>
    </row>
    <row r="330" spans="1:28" ht="16" hidden="1" x14ac:dyDescent="0.2">
      <c r="A330" t="s">
        <v>450</v>
      </c>
      <c r="B330" t="s">
        <v>451</v>
      </c>
      <c r="C330" s="36" t="s">
        <v>688</v>
      </c>
      <c r="D330" s="17">
        <v>98</v>
      </c>
      <c r="E330" s="17" t="s">
        <v>48</v>
      </c>
      <c r="F330" s="17" t="s">
        <v>349</v>
      </c>
      <c r="G330" s="17">
        <v>20</v>
      </c>
      <c r="H330" s="17"/>
      <c r="I330" s="29"/>
      <c r="J330" s="29"/>
      <c r="K330" s="29"/>
      <c r="L330" s="29"/>
      <c r="M330" s="17"/>
      <c r="N330" s="17"/>
      <c r="O330" s="17"/>
      <c r="P330" s="17" t="s">
        <v>689</v>
      </c>
      <c r="Q330" s="17" t="str">
        <f t="shared" si="8"/>
        <v>country</v>
      </c>
      <c r="R330" t="str">
        <f>VLOOKUP(E330,'Data Type Lookup'!$A$1:$C$21,3,FALSE)</f>
        <v>String</v>
      </c>
      <c r="S330" s="17"/>
      <c r="W330" t="str">
        <f t="shared" si="7"/>
        <v>PROJECT.COUNTRY</v>
      </c>
      <c r="X330" t="str">
        <f>VLOOKUP(W330,ColumnMapping[New Table.Column],1,)</f>
        <v>PROJECT.COUNTRY</v>
      </c>
      <c r="Y330" t="str">
        <f>_xlfn.XLOOKUP(Table6[[#This Row],[Table.Column]],ColumnMapping[Add Column Name],ColumnMapping[Old Table.Column],"",0,1)</f>
        <v/>
      </c>
      <c r="Z330" t="str">
        <f>_xlfn.XLOOKUP(Table6[[#This Row],[Old Table.Column]],Cobra8.6[Table.Column],Cobra8.6[TYPE],"",0,1)</f>
        <v/>
      </c>
      <c r="AA330" t="str">
        <f>_xlfn.XLOOKUP(Table6[[#This Row],[Old Table.Column]],Cobra8.6[Table.Column],Cobra8.6[LENGTH],"",0,1)</f>
        <v/>
      </c>
      <c r="AB330" s="49" t="s">
        <v>32</v>
      </c>
    </row>
    <row r="331" spans="1:28" ht="16" hidden="1" x14ac:dyDescent="0.2">
      <c r="A331" t="s">
        <v>450</v>
      </c>
      <c r="B331" t="s">
        <v>451</v>
      </c>
      <c r="C331" s="36" t="s">
        <v>690</v>
      </c>
      <c r="D331" s="17">
        <v>99</v>
      </c>
      <c r="E331" t="s">
        <v>161</v>
      </c>
      <c r="F331" t="str">
        <f>VLOOKUP($E331,'Data Type Lookup'!$A$1:$C$21,2,FALSE)</f>
        <v>NUMBER(21,6)</v>
      </c>
      <c r="I331" s="32" t="s">
        <v>32</v>
      </c>
      <c r="J331" s="32">
        <v>0</v>
      </c>
      <c r="K331" s="29"/>
      <c r="L331" s="29"/>
      <c r="M331" s="17"/>
      <c r="N331" s="17"/>
      <c r="O331" s="17"/>
      <c r="P331" s="17" t="s">
        <v>691</v>
      </c>
      <c r="Q331" s="17" t="str">
        <f t="shared" si="8"/>
        <v>eac</v>
      </c>
      <c r="R331" t="str">
        <f>VLOOKUP(E331,'Data Type Lookup'!$A$1:$C$21,3,FALSE)</f>
        <v>java.math.BigDecimal</v>
      </c>
      <c r="S331" s="17"/>
      <c r="W331" t="str">
        <f t="shared" si="7"/>
        <v>PROJECT.EAC</v>
      </c>
      <c r="X331" t="e">
        <f>VLOOKUP(W331,ColumnMapping[New Table.Column],1,)</f>
        <v>#N/A</v>
      </c>
      <c r="Y331" t="str">
        <f>_xlfn.XLOOKUP(Table6[[#This Row],[Table.Column]],ColumnMapping[Add Column Name],ColumnMapping[Old Table.Column],"",0,1)</f>
        <v>PROGRAM.EAC</v>
      </c>
      <c r="Z331" t="str">
        <f>_xlfn.XLOOKUP(Table6[[#This Row],[Old Table.Column]],Cobra8.6[Table.Column],Cobra8.6[TYPE],"",0,1)</f>
        <v>DEC</v>
      </c>
      <c r="AA331">
        <f>_xlfn.XLOOKUP(Table6[[#This Row],[Old Table.Column]],Cobra8.6[Table.Column],Cobra8.6[LENGTH],"",0,1)</f>
        <v>21</v>
      </c>
      <c r="AB331" s="49" t="s">
        <v>32</v>
      </c>
    </row>
    <row r="332" spans="1:28" ht="16" hidden="1" x14ac:dyDescent="0.2">
      <c r="A332" t="s">
        <v>450</v>
      </c>
      <c r="B332" t="s">
        <v>451</v>
      </c>
      <c r="C332" s="36" t="s">
        <v>692</v>
      </c>
      <c r="D332" s="17">
        <v>100</v>
      </c>
      <c r="E332" t="s">
        <v>161</v>
      </c>
      <c r="F332" t="str">
        <f>VLOOKUP($E332,'Data Type Lookup'!$A$1:$C$21,2,FALSE)</f>
        <v>NUMBER(21,6)</v>
      </c>
      <c r="I332" s="32" t="s">
        <v>32</v>
      </c>
      <c r="J332" s="32">
        <v>0</v>
      </c>
      <c r="K332" s="29"/>
      <c r="L332" s="29"/>
      <c r="M332" s="17"/>
      <c r="N332" s="17"/>
      <c r="O332" s="17"/>
      <c r="P332" s="17" t="s">
        <v>693</v>
      </c>
      <c r="Q332" s="17" t="str">
        <f t="shared" si="8"/>
        <v>eacHrs</v>
      </c>
      <c r="R332" t="str">
        <f>VLOOKUP(E332,'Data Type Lookup'!$A$1:$C$21,3,FALSE)</f>
        <v>java.math.BigDecimal</v>
      </c>
      <c r="S332" s="17"/>
      <c r="W332" t="str">
        <f t="shared" si="7"/>
        <v>PROJECT.EAC_HRS</v>
      </c>
      <c r="X332" t="e">
        <f>VLOOKUP(W332,ColumnMapping[New Table.Column],1,)</f>
        <v>#N/A</v>
      </c>
      <c r="Y332" t="str">
        <f>_xlfn.XLOOKUP(Table6[[#This Row],[Table.Column]],ColumnMapping[Add Column Name],ColumnMapping[Old Table.Column],"",0,1)</f>
        <v>PROGRAM.EAC_HRS</v>
      </c>
      <c r="Z332" t="str">
        <f>_xlfn.XLOOKUP(Table6[[#This Row],[Old Table.Column]],Cobra8.6[Table.Column],Cobra8.6[TYPE],"",0,1)</f>
        <v>DEC</v>
      </c>
      <c r="AA332">
        <f>_xlfn.XLOOKUP(Table6[[#This Row],[Old Table.Column]],Cobra8.6[Table.Column],Cobra8.6[LENGTH],"",0,1)</f>
        <v>21</v>
      </c>
      <c r="AB332" s="49" t="s">
        <v>32</v>
      </c>
    </row>
    <row r="333" spans="1:28" ht="16" hidden="1" x14ac:dyDescent="0.2">
      <c r="A333" t="s">
        <v>450</v>
      </c>
      <c r="B333" t="s">
        <v>451</v>
      </c>
      <c r="C333" s="36" t="s">
        <v>694</v>
      </c>
      <c r="D333" s="17">
        <v>101</v>
      </c>
      <c r="E333" s="17" t="s">
        <v>48</v>
      </c>
      <c r="F333" s="17" t="s">
        <v>349</v>
      </c>
      <c r="G333" s="17">
        <v>1</v>
      </c>
      <c r="H333" s="17"/>
      <c r="I333" s="29"/>
      <c r="J333" s="37" t="s">
        <v>605</v>
      </c>
      <c r="K333" s="29"/>
      <c r="L333" s="29"/>
      <c r="M333" s="17"/>
      <c r="N333" s="17"/>
      <c r="O333" s="17"/>
      <c r="P333" s="17" t="s">
        <v>695</v>
      </c>
      <c r="Q333" s="17" t="str">
        <f t="shared" si="8"/>
        <v>fcType1</v>
      </c>
      <c r="R333" t="str">
        <f>VLOOKUP(E333,'Data Type Lookup'!$A$1:$C$21,3,FALSE)</f>
        <v>String</v>
      </c>
      <c r="S333" s="17"/>
      <c r="W333" t="str">
        <f t="shared" si="7"/>
        <v>PROJECT.FC_TYPE1</v>
      </c>
      <c r="X333" t="e">
        <f>VLOOKUP(W333,ColumnMapping[New Table.Column],1,)</f>
        <v>#N/A</v>
      </c>
      <c r="Y333" t="str">
        <f>_xlfn.XLOOKUP(Table6[[#This Row],[Table.Column]],ColumnMapping[Add Column Name],ColumnMapping[Old Table.Column],"",0,1)</f>
        <v>PROGRAM.FC_TYPE1</v>
      </c>
      <c r="Z333" t="str">
        <f>_xlfn.XLOOKUP(Table6[[#This Row],[Old Table.Column]],Cobra8.6[Table.Column],Cobra8.6[TYPE],"",0,1)</f>
        <v>TEXT</v>
      </c>
      <c r="AA333">
        <f>_xlfn.XLOOKUP(Table6[[#This Row],[Old Table.Column]],Cobra8.6[Table.Column],Cobra8.6[LENGTH],"",0,1)</f>
        <v>1</v>
      </c>
      <c r="AB333" s="49" t="s">
        <v>32</v>
      </c>
    </row>
    <row r="334" spans="1:28" ht="16" hidden="1" x14ac:dyDescent="0.2">
      <c r="A334" t="s">
        <v>450</v>
      </c>
      <c r="B334" t="s">
        <v>451</v>
      </c>
      <c r="C334" s="36" t="s">
        <v>696</v>
      </c>
      <c r="D334" s="17">
        <v>102</v>
      </c>
      <c r="E334" s="17" t="s">
        <v>48</v>
      </c>
      <c r="F334" s="17" t="s">
        <v>349</v>
      </c>
      <c r="G334" s="17">
        <v>1</v>
      </c>
      <c r="H334" s="17"/>
      <c r="I334" s="29"/>
      <c r="J334" s="37" t="s">
        <v>605</v>
      </c>
      <c r="K334" s="29"/>
      <c r="L334" s="29"/>
      <c r="M334" s="17"/>
      <c r="N334" s="17"/>
      <c r="O334" s="17"/>
      <c r="P334" s="17" t="s">
        <v>697</v>
      </c>
      <c r="Q334" s="17" t="str">
        <f t="shared" si="8"/>
        <v>fcType2</v>
      </c>
      <c r="R334" t="str">
        <f>VLOOKUP(E334,'Data Type Lookup'!$A$1:$C$21,3,FALSE)</f>
        <v>String</v>
      </c>
      <c r="S334" s="17"/>
      <c r="W334" t="str">
        <f t="shared" si="7"/>
        <v>PROJECT.FC_TYPE2</v>
      </c>
      <c r="X334" t="e">
        <f>VLOOKUP(W334,ColumnMapping[New Table.Column],1,)</f>
        <v>#N/A</v>
      </c>
      <c r="Y334" t="str">
        <f>_xlfn.XLOOKUP(Table6[[#This Row],[Table.Column]],ColumnMapping[Add Column Name],ColumnMapping[Old Table.Column],"",0,1)</f>
        <v>PROGRAM.FC_TYPE2</v>
      </c>
      <c r="Z334" t="str">
        <f>_xlfn.XLOOKUP(Table6[[#This Row],[Old Table.Column]],Cobra8.6[Table.Column],Cobra8.6[TYPE],"",0,1)</f>
        <v>TEXT</v>
      </c>
      <c r="AA334">
        <f>_xlfn.XLOOKUP(Table6[[#This Row],[Old Table.Column]],Cobra8.6[Table.Column],Cobra8.6[LENGTH],"",0,1)</f>
        <v>1</v>
      </c>
      <c r="AB334" s="49" t="s">
        <v>32</v>
      </c>
    </row>
    <row r="335" spans="1:28" ht="16" hidden="1" x14ac:dyDescent="0.2">
      <c r="A335" t="s">
        <v>450</v>
      </c>
      <c r="B335" t="s">
        <v>451</v>
      </c>
      <c r="C335" s="36" t="s">
        <v>698</v>
      </c>
      <c r="D335" s="17">
        <v>103</v>
      </c>
      <c r="E335" s="17" t="s">
        <v>48</v>
      </c>
      <c r="F335" s="17" t="s">
        <v>349</v>
      </c>
      <c r="G335" s="17">
        <v>1</v>
      </c>
      <c r="H335" s="17"/>
      <c r="I335" s="29"/>
      <c r="J335" s="37" t="s">
        <v>605</v>
      </c>
      <c r="K335" s="29"/>
      <c r="L335" s="29"/>
      <c r="M335" s="17"/>
      <c r="N335" s="17"/>
      <c r="O335" s="17"/>
      <c r="P335" s="17" t="s">
        <v>699</v>
      </c>
      <c r="Q335" s="17" t="str">
        <f t="shared" si="8"/>
        <v>fcType3</v>
      </c>
      <c r="R335" t="str">
        <f>VLOOKUP(E335,'Data Type Lookup'!$A$1:$C$21,3,FALSE)</f>
        <v>String</v>
      </c>
      <c r="S335" s="17"/>
      <c r="W335" t="str">
        <f t="shared" si="7"/>
        <v>PROJECT.FC_TYPE3</v>
      </c>
      <c r="X335" t="e">
        <f>VLOOKUP(W335,ColumnMapping[New Table.Column],1,)</f>
        <v>#N/A</v>
      </c>
      <c r="Y335" t="str">
        <f>_xlfn.XLOOKUP(Table6[[#This Row],[Table.Column]],ColumnMapping[Add Column Name],ColumnMapping[Old Table.Column],"",0,1)</f>
        <v>PROGRAM.FC_TYPE3</v>
      </c>
      <c r="Z335" t="str">
        <f>_xlfn.XLOOKUP(Table6[[#This Row],[Old Table.Column]],Cobra8.6[Table.Column],Cobra8.6[TYPE],"",0,1)</f>
        <v>TEXT</v>
      </c>
      <c r="AA335">
        <f>_xlfn.XLOOKUP(Table6[[#This Row],[Old Table.Column]],Cobra8.6[Table.Column],Cobra8.6[LENGTH],"",0,1)</f>
        <v>1</v>
      </c>
      <c r="AB335" s="49" t="s">
        <v>32</v>
      </c>
    </row>
    <row r="336" spans="1:28" ht="16" hidden="1" x14ac:dyDescent="0.2">
      <c r="A336" t="s">
        <v>450</v>
      </c>
      <c r="B336" t="s">
        <v>451</v>
      </c>
      <c r="C336" s="36" t="s">
        <v>700</v>
      </c>
      <c r="D336" s="17">
        <v>104</v>
      </c>
      <c r="E336" s="17" t="s">
        <v>48</v>
      </c>
      <c r="F336" s="17" t="s">
        <v>349</v>
      </c>
      <c r="G336" s="17">
        <v>1</v>
      </c>
      <c r="H336" s="17"/>
      <c r="I336" s="29"/>
      <c r="J336" s="37" t="s">
        <v>605</v>
      </c>
      <c r="K336" s="29"/>
      <c r="L336" s="29"/>
      <c r="M336" s="17"/>
      <c r="N336" s="17"/>
      <c r="O336" s="17"/>
      <c r="P336" s="17" t="s">
        <v>701</v>
      </c>
      <c r="Q336" s="17" t="str">
        <f t="shared" si="8"/>
        <v>fcType4</v>
      </c>
      <c r="R336" t="str">
        <f>VLOOKUP(E336,'Data Type Lookup'!$A$1:$C$21,3,FALSE)</f>
        <v>String</v>
      </c>
      <c r="S336" s="17"/>
      <c r="W336" t="str">
        <f t="shared" si="7"/>
        <v>PROJECT.FC_TYPE4</v>
      </c>
      <c r="X336" t="e">
        <f>VLOOKUP(W336,ColumnMapping[New Table.Column],1,)</f>
        <v>#N/A</v>
      </c>
      <c r="Y336" t="str">
        <f>_xlfn.XLOOKUP(Table6[[#This Row],[Table.Column]],ColumnMapping[Add Column Name],ColumnMapping[Old Table.Column],"",0,1)</f>
        <v>PROGRAM.FC_TYPE4</v>
      </c>
      <c r="Z336" t="str">
        <f>_xlfn.XLOOKUP(Table6[[#This Row],[Old Table.Column]],Cobra8.6[Table.Column],Cobra8.6[TYPE],"",0,1)</f>
        <v>TEXT</v>
      </c>
      <c r="AA336">
        <f>_xlfn.XLOOKUP(Table6[[#This Row],[Old Table.Column]],Cobra8.6[Table.Column],Cobra8.6[LENGTH],"",0,1)</f>
        <v>1</v>
      </c>
      <c r="AB336" s="49" t="s">
        <v>32</v>
      </c>
    </row>
    <row r="337" spans="1:28" ht="16" hidden="1" x14ac:dyDescent="0.2">
      <c r="A337" t="s">
        <v>450</v>
      </c>
      <c r="B337" t="s">
        <v>451</v>
      </c>
      <c r="C337" s="36" t="s">
        <v>702</v>
      </c>
      <c r="D337" s="17">
        <v>105</v>
      </c>
      <c r="E337" s="17" t="s">
        <v>48</v>
      </c>
      <c r="F337" s="17" t="s">
        <v>349</v>
      </c>
      <c r="G337" s="17">
        <v>22</v>
      </c>
      <c r="H337" s="17"/>
      <c r="I337" s="29"/>
      <c r="J337" s="37" t="s">
        <v>605</v>
      </c>
      <c r="K337" s="29"/>
      <c r="L337" s="29"/>
      <c r="M337" s="17"/>
      <c r="N337" s="17"/>
      <c r="O337" s="17"/>
      <c r="P337" s="17" t="s">
        <v>703</v>
      </c>
      <c r="Q337" s="17" t="str">
        <f t="shared" si="8"/>
        <v>fiscFile</v>
      </c>
      <c r="R337" t="str">
        <f>VLOOKUP(E337,'Data Type Lookup'!$A$1:$C$21,3,FALSE)</f>
        <v>String</v>
      </c>
      <c r="S337" s="17"/>
      <c r="W337" t="str">
        <f t="shared" si="7"/>
        <v>PROJECT.FISC_FILE</v>
      </c>
      <c r="X337" t="str">
        <f>VLOOKUP(W337,ColumnMapping[New Table.Column],1,)</f>
        <v>PROJECT.FISC_FILE</v>
      </c>
      <c r="Y337" t="str">
        <f>_xlfn.XLOOKUP(Table6[[#This Row],[Table.Column]],ColumnMapping[Add Column Name],ColumnMapping[Old Table.Column],"",0,1)</f>
        <v>PROGRAM.FISC_FILE</v>
      </c>
      <c r="Z337" t="str">
        <f>_xlfn.XLOOKUP(Table6[[#This Row],[Old Table.Column]],Cobra8.6[Table.Column],Cobra8.6[TYPE],"",0,1)</f>
        <v>TEXT</v>
      </c>
      <c r="AA337">
        <f>_xlfn.XLOOKUP(Table6[[#This Row],[Old Table.Column]],Cobra8.6[Table.Column],Cobra8.6[LENGTH],"",0,1)</f>
        <v>22</v>
      </c>
      <c r="AB337" s="49" t="s">
        <v>32</v>
      </c>
    </row>
    <row r="338" spans="1:28" ht="16" hidden="1" x14ac:dyDescent="0.2">
      <c r="A338" t="s">
        <v>450</v>
      </c>
      <c r="B338" t="s">
        <v>451</v>
      </c>
      <c r="C338" s="36" t="s">
        <v>704</v>
      </c>
      <c r="D338" s="17">
        <v>106</v>
      </c>
      <c r="E338" s="17" t="s">
        <v>48</v>
      </c>
      <c r="F338" s="17" t="s">
        <v>349</v>
      </c>
      <c r="G338" s="17">
        <v>22</v>
      </c>
      <c r="H338" s="17"/>
      <c r="I338" s="29"/>
      <c r="J338" s="37" t="s">
        <v>605</v>
      </c>
      <c r="K338" s="29"/>
      <c r="L338" s="29"/>
      <c r="M338" s="17"/>
      <c r="N338" s="17"/>
      <c r="O338" s="17"/>
      <c r="P338" s="17" t="s">
        <v>705</v>
      </c>
      <c r="Q338" s="17" t="str">
        <f t="shared" si="8"/>
        <v>fiscRw</v>
      </c>
      <c r="R338" t="str">
        <f>VLOOKUP(E338,'Data Type Lookup'!$A$1:$C$21,3,FALSE)</f>
        <v>String</v>
      </c>
      <c r="S338" s="17"/>
      <c r="W338" t="str">
        <f t="shared" si="7"/>
        <v>PROJECT.FISC_RW</v>
      </c>
      <c r="X338" t="str">
        <f>VLOOKUP(W338,ColumnMapping[New Table.Column],1,)</f>
        <v>PROJECT.FISC_RW</v>
      </c>
      <c r="Y338" t="str">
        <f>_xlfn.XLOOKUP(Table6[[#This Row],[Table.Column]],ColumnMapping[Add Column Name],ColumnMapping[Old Table.Column],"",0,1)</f>
        <v/>
      </c>
      <c r="Z338" t="str">
        <f>_xlfn.XLOOKUP(Table6[[#This Row],[Old Table.Column]],Cobra8.6[Table.Column],Cobra8.6[TYPE],"",0,1)</f>
        <v/>
      </c>
      <c r="AA338" t="str">
        <f>_xlfn.XLOOKUP(Table6[[#This Row],[Old Table.Column]],Cobra8.6[Table.Column],Cobra8.6[LENGTH],"",0,1)</f>
        <v/>
      </c>
      <c r="AB338" s="49" t="s">
        <v>32</v>
      </c>
    </row>
    <row r="339" spans="1:28" ht="16" hidden="1" x14ac:dyDescent="0.2">
      <c r="A339" t="s">
        <v>450</v>
      </c>
      <c r="B339" t="s">
        <v>451</v>
      </c>
      <c r="C339" s="36" t="s">
        <v>706</v>
      </c>
      <c r="D339" s="17">
        <v>107</v>
      </c>
      <c r="E339" s="17" t="s">
        <v>48</v>
      </c>
      <c r="F339" s="17" t="s">
        <v>349</v>
      </c>
      <c r="G339" s="17">
        <v>30</v>
      </c>
      <c r="H339" s="17"/>
      <c r="I339" s="29"/>
      <c r="J339" s="29"/>
      <c r="K339" s="29"/>
      <c r="L339" s="29"/>
      <c r="M339" s="17"/>
      <c r="N339" s="17"/>
      <c r="O339" s="17"/>
      <c r="P339" s="17" t="s">
        <v>707</v>
      </c>
      <c r="Q339" s="17" t="str">
        <f t="shared" si="8"/>
        <v>ipmr2Code</v>
      </c>
      <c r="R339" t="str">
        <f>VLOOKUP(E339,'Data Type Lookup'!$A$1:$C$21,3,FALSE)</f>
        <v>String</v>
      </c>
      <c r="S339" s="17"/>
      <c r="W339" t="str">
        <f t="shared" si="7"/>
        <v>PROJECT.IPMR2_CODE</v>
      </c>
      <c r="X339" t="str">
        <f>VLOOKUP(W339,ColumnMapping[New Table.Column],1,)</f>
        <v>PROJECT.IPMR2_CODE</v>
      </c>
      <c r="Y339" t="str">
        <f>_xlfn.XLOOKUP(Table6[[#This Row],[Table.Column]],ColumnMapping[Add Column Name],ColumnMapping[Old Table.Column],"",0,1)</f>
        <v>PROGRAM.IPMR2_CODE</v>
      </c>
      <c r="Z339" t="str">
        <f>_xlfn.XLOOKUP(Table6[[#This Row],[Old Table.Column]],Cobra8.6[Table.Column],Cobra8.6[TYPE],"",0,1)</f>
        <v>TEXT</v>
      </c>
      <c r="AA339">
        <f>_xlfn.XLOOKUP(Table6[[#This Row],[Old Table.Column]],Cobra8.6[Table.Column],Cobra8.6[LENGTH],"",0,1)</f>
        <v>30</v>
      </c>
      <c r="AB339" s="49" t="s">
        <v>32</v>
      </c>
    </row>
    <row r="340" spans="1:28" ht="16" hidden="1" x14ac:dyDescent="0.2">
      <c r="A340" t="s">
        <v>450</v>
      </c>
      <c r="B340" t="s">
        <v>451</v>
      </c>
      <c r="C340" s="36" t="s">
        <v>708</v>
      </c>
      <c r="D340" s="17">
        <v>108</v>
      </c>
      <c r="E340" t="s">
        <v>36</v>
      </c>
      <c r="F340" t="str">
        <f>VLOOKUP($E340,'Data Type Lookup'!$A$1:$C$21,2,FALSE)</f>
        <v>NUMBER(19,0)</v>
      </c>
      <c r="I340" s="32" t="s">
        <v>32</v>
      </c>
      <c r="J340" s="32">
        <v>0</v>
      </c>
      <c r="K340" s="29"/>
      <c r="L340" s="29"/>
      <c r="M340" s="17"/>
      <c r="N340" s="17"/>
      <c r="O340" s="17"/>
      <c r="P340" s="17" t="s">
        <v>709</v>
      </c>
      <c r="Q340" s="17" t="str">
        <f t="shared" si="8"/>
        <v>ismaster</v>
      </c>
      <c r="R340" t="str">
        <f>VLOOKUP(E340,'Data Type Lookup'!$A$1:$C$21,3,FALSE)</f>
        <v>Long</v>
      </c>
      <c r="S340" s="17"/>
      <c r="W340" t="str">
        <f t="shared" si="7"/>
        <v>PROJECT.ISMASTER</v>
      </c>
      <c r="X340" t="str">
        <f>VLOOKUP(W340,ColumnMapping[New Table.Column],1,)</f>
        <v>PROJECT.ISMASTER</v>
      </c>
      <c r="Y340" t="str">
        <f>_xlfn.XLOOKUP(Table6[[#This Row],[Table.Column]],ColumnMapping[Add Column Name],ColumnMapping[Old Table.Column],"",0,1)</f>
        <v>PROGRAM.ISMASTER</v>
      </c>
      <c r="Z340" t="str">
        <f>_xlfn.XLOOKUP(Table6[[#This Row],[Old Table.Column]],Cobra8.6[Table.Column],Cobra8.6[TYPE],"",0,1)</f>
        <v>INTE</v>
      </c>
      <c r="AA340">
        <f>_xlfn.XLOOKUP(Table6[[#This Row],[Old Table.Column]],Cobra8.6[Table.Column],Cobra8.6[LENGTH],"",0,1)</f>
        <v>-1</v>
      </c>
      <c r="AB340" s="49" t="s">
        <v>32</v>
      </c>
    </row>
    <row r="341" spans="1:28" ht="16" hidden="1" x14ac:dyDescent="0.2">
      <c r="A341" t="s">
        <v>450</v>
      </c>
      <c r="B341" t="s">
        <v>451</v>
      </c>
      <c r="C341" s="36" t="s">
        <v>710</v>
      </c>
      <c r="D341" s="17">
        <v>109</v>
      </c>
      <c r="E341" s="17" t="s">
        <v>48</v>
      </c>
      <c r="F341" s="17" t="s">
        <v>349</v>
      </c>
      <c r="G341" s="17">
        <v>22</v>
      </c>
      <c r="H341" s="17"/>
      <c r="I341" s="29"/>
      <c r="J341" s="29"/>
      <c r="K341" s="29"/>
      <c r="L341" s="29"/>
      <c r="M341" s="17"/>
      <c r="N341" s="17"/>
      <c r="O341" s="17"/>
      <c r="P341" s="17" t="s">
        <v>711</v>
      </c>
      <c r="Q341" s="17" t="str">
        <f t="shared" si="8"/>
        <v>mgrfile</v>
      </c>
      <c r="R341" t="str">
        <f>VLOOKUP(E341,'Data Type Lookup'!$A$1:$C$21,3,FALSE)</f>
        <v>String</v>
      </c>
      <c r="S341" s="17"/>
      <c r="W341" t="str">
        <f t="shared" si="7"/>
        <v>PROJECT.MGRFILE</v>
      </c>
      <c r="X341" t="e">
        <f>VLOOKUP(W341,ColumnMapping[New Table.Column],1,)</f>
        <v>#N/A</v>
      </c>
      <c r="Y341" t="str">
        <f>_xlfn.XLOOKUP(Table6[[#This Row],[Table.Column]],ColumnMapping[Add Column Name],ColumnMapping[Old Table.Column],"",0,1)</f>
        <v/>
      </c>
      <c r="Z341" t="str">
        <f>_xlfn.XLOOKUP(Table6[[#This Row],[Old Table.Column]],Cobra8.6[Table.Column],Cobra8.6[TYPE],"",0,1)</f>
        <v/>
      </c>
      <c r="AA341" t="str">
        <f>_xlfn.XLOOKUP(Table6[[#This Row],[Old Table.Column]],Cobra8.6[Table.Column],Cobra8.6[LENGTH],"",0,1)</f>
        <v/>
      </c>
      <c r="AB341" s="49" t="s">
        <v>32</v>
      </c>
    </row>
    <row r="342" spans="1:28" ht="16" hidden="1" x14ac:dyDescent="0.2">
      <c r="A342" t="s">
        <v>450</v>
      </c>
      <c r="B342" t="s">
        <v>451</v>
      </c>
      <c r="C342" s="36" t="s">
        <v>712</v>
      </c>
      <c r="D342" s="17">
        <v>110</v>
      </c>
      <c r="E342" s="17" t="s">
        <v>48</v>
      </c>
      <c r="F342" s="17" t="s">
        <v>349</v>
      </c>
      <c r="G342" s="17">
        <v>1</v>
      </c>
      <c r="H342" s="17"/>
      <c r="I342" s="29"/>
      <c r="J342" s="37" t="s">
        <v>605</v>
      </c>
      <c r="K342" s="29"/>
      <c r="L342" s="29"/>
      <c r="M342" s="17"/>
      <c r="N342" s="17"/>
      <c r="O342" s="17"/>
      <c r="P342" s="17" t="s">
        <v>713</v>
      </c>
      <c r="Q342" s="17" t="str">
        <f t="shared" si="8"/>
        <v>mgrtype</v>
      </c>
      <c r="R342" t="str">
        <f>VLOOKUP(E342,'Data Type Lookup'!$A$1:$C$21,3,FALSE)</f>
        <v>String</v>
      </c>
      <c r="S342" s="17"/>
      <c r="W342" t="str">
        <f t="shared" si="7"/>
        <v>PROJECT.MGRTYPE</v>
      </c>
      <c r="X342" t="str">
        <f>VLOOKUP(W342,ColumnMapping[New Table.Column],1,)</f>
        <v>PROJECT.MGRTYPE</v>
      </c>
      <c r="Y342" t="str">
        <f>_xlfn.XLOOKUP(Table6[[#This Row],[Table.Column]],ColumnMapping[Add Column Name],ColumnMapping[Old Table.Column],"",0,1)</f>
        <v>PROGRAM.MGRTYPE</v>
      </c>
      <c r="Z342" t="str">
        <f>_xlfn.XLOOKUP(Table6[[#This Row],[Old Table.Column]],Cobra8.6[Table.Column],Cobra8.6[TYPE],"",0,1)</f>
        <v>TEXT</v>
      </c>
      <c r="AA342">
        <f>_xlfn.XLOOKUP(Table6[[#This Row],[Old Table.Column]],Cobra8.6[Table.Column],Cobra8.6[LENGTH],"",0,1)</f>
        <v>1</v>
      </c>
      <c r="AB342" s="49" t="s">
        <v>32</v>
      </c>
    </row>
    <row r="343" spans="1:28" ht="16" hidden="1" x14ac:dyDescent="0.2">
      <c r="A343" t="s">
        <v>450</v>
      </c>
      <c r="B343" t="s">
        <v>451</v>
      </c>
      <c r="C343" s="36" t="s">
        <v>714</v>
      </c>
      <c r="D343" s="17">
        <v>111</v>
      </c>
      <c r="E343" s="17" t="s">
        <v>48</v>
      </c>
      <c r="F343" s="17" t="s">
        <v>349</v>
      </c>
      <c r="G343" s="17">
        <v>59</v>
      </c>
      <c r="H343" s="17"/>
      <c r="I343" s="29"/>
      <c r="J343" s="37" t="s">
        <v>605</v>
      </c>
      <c r="K343" s="29"/>
      <c r="L343" s="29"/>
      <c r="M343" s="17"/>
      <c r="N343" s="17"/>
      <c r="O343" s="17"/>
      <c r="P343" s="17" t="s">
        <v>715</v>
      </c>
      <c r="Q343" s="17" t="str">
        <f t="shared" si="8"/>
        <v>mpscode</v>
      </c>
      <c r="R343" t="str">
        <f>VLOOKUP(E343,'Data Type Lookup'!$A$1:$C$21,3,FALSE)</f>
        <v>String</v>
      </c>
      <c r="S343" s="17"/>
      <c r="W343" t="str">
        <f t="shared" si="7"/>
        <v>PROJECT.MPSCODE</v>
      </c>
      <c r="X343" t="str">
        <f>VLOOKUP(W343,ColumnMapping[New Table.Column],1,)</f>
        <v>PROJECT.MPSCODE</v>
      </c>
      <c r="Y343" t="str">
        <f>_xlfn.XLOOKUP(Table6[[#This Row],[Table.Column]],ColumnMapping[Add Column Name],ColumnMapping[Old Table.Column],"",0,1)</f>
        <v>PROGRAM.MPSCODE</v>
      </c>
      <c r="Z343" t="str">
        <f>_xlfn.XLOOKUP(Table6[[#This Row],[Old Table.Column]],Cobra8.6[Table.Column],Cobra8.6[TYPE],"",0,1)</f>
        <v>TEXT</v>
      </c>
      <c r="AA343">
        <f>_xlfn.XLOOKUP(Table6[[#This Row],[Old Table.Column]],Cobra8.6[Table.Column],Cobra8.6[LENGTH],"",0,1)</f>
        <v>59</v>
      </c>
      <c r="AB343" s="49" t="s">
        <v>32</v>
      </c>
    </row>
    <row r="344" spans="1:28" ht="16" hidden="1" x14ac:dyDescent="0.2">
      <c r="A344" t="s">
        <v>450</v>
      </c>
      <c r="B344" t="s">
        <v>451</v>
      </c>
      <c r="C344" s="36" t="s">
        <v>716</v>
      </c>
      <c r="D344" s="17">
        <v>112</v>
      </c>
      <c r="E344" s="17" t="s">
        <v>48</v>
      </c>
      <c r="F344" s="17" t="s">
        <v>349</v>
      </c>
      <c r="G344" s="17">
        <v>255</v>
      </c>
      <c r="H344" s="17"/>
      <c r="I344" s="29"/>
      <c r="J344" s="37" t="s">
        <v>605</v>
      </c>
      <c r="K344" s="29"/>
      <c r="L344" s="29"/>
      <c r="M344" s="17"/>
      <c r="N344" s="17"/>
      <c r="O344" s="17"/>
      <c r="P344" s="17" t="s">
        <v>717</v>
      </c>
      <c r="Q344" s="17" t="str">
        <f t="shared" si="8"/>
        <v>oppProj</v>
      </c>
      <c r="R344" t="str">
        <f>VLOOKUP(E344,'Data Type Lookup'!$A$1:$C$21,3,FALSE)</f>
        <v>String</v>
      </c>
      <c r="S344" s="17"/>
      <c r="W344" t="str">
        <f t="shared" si="7"/>
        <v>PROJECT.OPP_PROJ</v>
      </c>
      <c r="X344" t="str">
        <f>VLOOKUP(W344,ColumnMapping[New Table.Column],1,)</f>
        <v>PROJECT.OPP_PROJ</v>
      </c>
      <c r="Y344" t="str">
        <f>_xlfn.XLOOKUP(Table6[[#This Row],[Table.Column]],ColumnMapping[Add Column Name],ColumnMapping[Old Table.Column],"",0,1)</f>
        <v>PROGRAM.OPP_PROJ</v>
      </c>
      <c r="Z344" t="str">
        <f>_xlfn.XLOOKUP(Table6[[#This Row],[Old Table.Column]],Cobra8.6[Table.Column],Cobra8.6[TYPE],"",0,1)</f>
        <v>TEXT</v>
      </c>
      <c r="AA344">
        <f>_xlfn.XLOOKUP(Table6[[#This Row],[Old Table.Column]],Cobra8.6[Table.Column],Cobra8.6[LENGTH],"",0,1)</f>
        <v>254</v>
      </c>
      <c r="AB344" s="49" t="s">
        <v>32</v>
      </c>
    </row>
    <row r="345" spans="1:28" ht="16" hidden="1" x14ac:dyDescent="0.2">
      <c r="A345" t="s">
        <v>450</v>
      </c>
      <c r="B345" t="s">
        <v>451</v>
      </c>
      <c r="C345" s="36" t="s">
        <v>718</v>
      </c>
      <c r="D345" s="17">
        <v>113</v>
      </c>
      <c r="E345" s="17" t="s">
        <v>48</v>
      </c>
      <c r="F345" s="17" t="s">
        <v>349</v>
      </c>
      <c r="G345" s="17">
        <v>59</v>
      </c>
      <c r="H345" s="17"/>
      <c r="I345" s="29"/>
      <c r="J345" s="29"/>
      <c r="K345" s="29"/>
      <c r="L345" s="29"/>
      <c r="M345" s="17"/>
      <c r="N345" s="17"/>
      <c r="O345" s="17"/>
      <c r="P345" s="17" t="s">
        <v>719</v>
      </c>
      <c r="Q345" s="17" t="str">
        <f t="shared" si="8"/>
        <v>p1</v>
      </c>
      <c r="R345" t="str">
        <f>VLOOKUP(E345,'Data Type Lookup'!$A$1:$C$21,3,FALSE)</f>
        <v>String</v>
      </c>
      <c r="S345" s="17"/>
      <c r="W345" t="str">
        <f t="shared" si="7"/>
        <v>PROJECT.P1</v>
      </c>
      <c r="X345" t="e">
        <f>VLOOKUP(W345,ColumnMapping[New Table.Column],1,)</f>
        <v>#N/A</v>
      </c>
      <c r="Y345" t="str">
        <f>_xlfn.XLOOKUP(Table6[[#This Row],[Table.Column]],ColumnMapping[Add Column Name],ColumnMapping[Old Table.Column],"",0,1)</f>
        <v/>
      </c>
      <c r="Z345" t="str">
        <f>_xlfn.XLOOKUP(Table6[[#This Row],[Old Table.Column]],Cobra8.6[Table.Column],Cobra8.6[TYPE],"",0,1)</f>
        <v/>
      </c>
      <c r="AA345" t="str">
        <f>_xlfn.XLOOKUP(Table6[[#This Row],[Old Table.Column]],Cobra8.6[Table.Column],Cobra8.6[LENGTH],"",0,1)</f>
        <v/>
      </c>
      <c r="AB345" s="49" t="s">
        <v>32</v>
      </c>
    </row>
    <row r="346" spans="1:28" ht="16" hidden="1" x14ac:dyDescent="0.2">
      <c r="A346" t="s">
        <v>450</v>
      </c>
      <c r="B346" t="s">
        <v>451</v>
      </c>
      <c r="C346" s="36" t="s">
        <v>720</v>
      </c>
      <c r="D346" s="17">
        <v>114</v>
      </c>
      <c r="E346" s="17" t="s">
        <v>48</v>
      </c>
      <c r="F346" s="17" t="s">
        <v>349</v>
      </c>
      <c r="G346" s="17">
        <v>59</v>
      </c>
      <c r="H346" s="17"/>
      <c r="I346" s="29"/>
      <c r="J346" s="29"/>
      <c r="K346" s="29"/>
      <c r="L346" s="29"/>
      <c r="M346" s="17"/>
      <c r="N346" s="17"/>
      <c r="O346" s="17"/>
      <c r="P346" s="17" t="s">
        <v>721</v>
      </c>
      <c r="Q346" s="17" t="str">
        <f t="shared" si="8"/>
        <v>p2</v>
      </c>
      <c r="R346" t="str">
        <f>VLOOKUP(E346,'Data Type Lookup'!$A$1:$C$21,3,FALSE)</f>
        <v>String</v>
      </c>
      <c r="S346" s="17"/>
      <c r="W346" t="str">
        <f t="shared" si="7"/>
        <v>PROJECT.P2</v>
      </c>
      <c r="X346" t="e">
        <f>VLOOKUP(W346,ColumnMapping[New Table.Column],1,)</f>
        <v>#N/A</v>
      </c>
      <c r="Y346" t="str">
        <f>_xlfn.XLOOKUP(Table6[[#This Row],[Table.Column]],ColumnMapping[Add Column Name],ColumnMapping[Old Table.Column],"",0,1)</f>
        <v/>
      </c>
      <c r="Z346" t="str">
        <f>_xlfn.XLOOKUP(Table6[[#This Row],[Old Table.Column]],Cobra8.6[Table.Column],Cobra8.6[TYPE],"",0,1)</f>
        <v/>
      </c>
      <c r="AA346" t="str">
        <f>_xlfn.XLOOKUP(Table6[[#This Row],[Old Table.Column]],Cobra8.6[Table.Column],Cobra8.6[LENGTH],"",0,1)</f>
        <v/>
      </c>
      <c r="AB346" s="49" t="s">
        <v>32</v>
      </c>
    </row>
    <row r="347" spans="1:28" ht="16" hidden="1" x14ac:dyDescent="0.2">
      <c r="A347" t="s">
        <v>450</v>
      </c>
      <c r="B347" t="s">
        <v>451</v>
      </c>
      <c r="C347" s="36" t="s">
        <v>722</v>
      </c>
      <c r="D347" s="17">
        <v>115</v>
      </c>
      <c r="E347" s="17" t="s">
        <v>48</v>
      </c>
      <c r="F347" s="17" t="s">
        <v>349</v>
      </c>
      <c r="G347" s="17">
        <v>59</v>
      </c>
      <c r="H347" s="17"/>
      <c r="I347" s="29"/>
      <c r="J347" s="29"/>
      <c r="K347" s="29"/>
      <c r="L347" s="29"/>
      <c r="M347" s="17"/>
      <c r="N347" s="17"/>
      <c r="O347" s="17"/>
      <c r="P347" s="17" t="s">
        <v>723</v>
      </c>
      <c r="Q347" s="17" t="str">
        <f t="shared" si="8"/>
        <v>p3</v>
      </c>
      <c r="R347" t="str">
        <f>VLOOKUP(E347,'Data Type Lookup'!$A$1:$C$21,3,FALSE)</f>
        <v>String</v>
      </c>
      <c r="S347" s="17"/>
      <c r="W347" t="str">
        <f t="shared" si="7"/>
        <v>PROJECT.P3</v>
      </c>
      <c r="X347" t="e">
        <f>VLOOKUP(W347,ColumnMapping[New Table.Column],1,)</f>
        <v>#N/A</v>
      </c>
      <c r="Y347" t="str">
        <f>_xlfn.XLOOKUP(Table6[[#This Row],[Table.Column]],ColumnMapping[Add Column Name],ColumnMapping[Old Table.Column],"",0,1)</f>
        <v/>
      </c>
      <c r="Z347" t="str">
        <f>_xlfn.XLOOKUP(Table6[[#This Row],[Old Table.Column]],Cobra8.6[Table.Column],Cobra8.6[TYPE],"",0,1)</f>
        <v/>
      </c>
      <c r="AA347" t="str">
        <f>_xlfn.XLOOKUP(Table6[[#This Row],[Old Table.Column]],Cobra8.6[Table.Column],Cobra8.6[LENGTH],"",0,1)</f>
        <v/>
      </c>
      <c r="AB347" s="49" t="s">
        <v>32</v>
      </c>
    </row>
    <row r="348" spans="1:28" ht="16" hidden="1" x14ac:dyDescent="0.2">
      <c r="A348" t="s">
        <v>450</v>
      </c>
      <c r="B348" t="s">
        <v>451</v>
      </c>
      <c r="C348" s="36" t="s">
        <v>724</v>
      </c>
      <c r="D348" s="17">
        <v>116</v>
      </c>
      <c r="E348" s="17" t="s">
        <v>48</v>
      </c>
      <c r="F348" s="17" t="s">
        <v>349</v>
      </c>
      <c r="G348" s="17">
        <v>59</v>
      </c>
      <c r="H348" s="17"/>
      <c r="I348" s="29"/>
      <c r="J348" s="29"/>
      <c r="K348" s="29"/>
      <c r="L348" s="29"/>
      <c r="M348" s="17"/>
      <c r="N348" s="17"/>
      <c r="O348" s="17"/>
      <c r="P348" s="17" t="s">
        <v>725</v>
      </c>
      <c r="Q348" s="17" t="str">
        <f t="shared" si="8"/>
        <v>p4</v>
      </c>
      <c r="R348" t="str">
        <f>VLOOKUP(E348,'Data Type Lookup'!$A$1:$C$21,3,FALSE)</f>
        <v>String</v>
      </c>
      <c r="S348" s="17"/>
      <c r="W348" t="str">
        <f t="shared" si="7"/>
        <v>PROJECT.P4</v>
      </c>
      <c r="X348" t="e">
        <f>VLOOKUP(W348,ColumnMapping[New Table.Column],1,)</f>
        <v>#N/A</v>
      </c>
      <c r="Y348" t="str">
        <f>_xlfn.XLOOKUP(Table6[[#This Row],[Table.Column]],ColumnMapping[Add Column Name],ColumnMapping[Old Table.Column],"",0,1)</f>
        <v/>
      </c>
      <c r="Z348" t="str">
        <f>_xlfn.XLOOKUP(Table6[[#This Row],[Old Table.Column]],Cobra8.6[Table.Column],Cobra8.6[TYPE],"",0,1)</f>
        <v/>
      </c>
      <c r="AA348" t="str">
        <f>_xlfn.XLOOKUP(Table6[[#This Row],[Old Table.Column]],Cobra8.6[Table.Column],Cobra8.6[LENGTH],"",0,1)</f>
        <v/>
      </c>
      <c r="AB348" s="49" t="s">
        <v>32</v>
      </c>
    </row>
    <row r="349" spans="1:28" ht="16" hidden="1" x14ac:dyDescent="0.2">
      <c r="A349" t="s">
        <v>450</v>
      </c>
      <c r="B349" t="s">
        <v>451</v>
      </c>
      <c r="C349" s="36" t="s">
        <v>726</v>
      </c>
      <c r="D349" s="17">
        <v>117</v>
      </c>
      <c r="E349" s="17" t="s">
        <v>48</v>
      </c>
      <c r="F349" s="17" t="s">
        <v>349</v>
      </c>
      <c r="G349" s="17">
        <v>59</v>
      </c>
      <c r="H349" s="17"/>
      <c r="I349" s="29"/>
      <c r="J349" s="29"/>
      <c r="K349" s="29"/>
      <c r="L349" s="29"/>
      <c r="M349" s="17"/>
      <c r="N349" s="17"/>
      <c r="O349" s="17"/>
      <c r="P349" s="17" t="s">
        <v>727</v>
      </c>
      <c r="Q349" s="17" t="str">
        <f t="shared" si="8"/>
        <v>p5</v>
      </c>
      <c r="R349" t="str">
        <f>VLOOKUP(E349,'Data Type Lookup'!$A$1:$C$21,3,FALSE)</f>
        <v>String</v>
      </c>
      <c r="S349" s="17"/>
      <c r="W349" t="str">
        <f t="shared" si="7"/>
        <v>PROJECT.P5</v>
      </c>
      <c r="X349" t="e">
        <f>VLOOKUP(W349,ColumnMapping[New Table.Column],1,)</f>
        <v>#N/A</v>
      </c>
      <c r="Y349" t="str">
        <f>_xlfn.XLOOKUP(Table6[[#This Row],[Table.Column]],ColumnMapping[Add Column Name],ColumnMapping[Old Table.Column],"",0,1)</f>
        <v/>
      </c>
      <c r="Z349" t="str">
        <f>_xlfn.XLOOKUP(Table6[[#This Row],[Old Table.Column]],Cobra8.6[Table.Column],Cobra8.6[TYPE],"",0,1)</f>
        <v/>
      </c>
      <c r="AA349" t="str">
        <f>_xlfn.XLOOKUP(Table6[[#This Row],[Old Table.Column]],Cobra8.6[Table.Column],Cobra8.6[LENGTH],"",0,1)</f>
        <v/>
      </c>
      <c r="AB349" s="49" t="s">
        <v>32</v>
      </c>
    </row>
    <row r="350" spans="1:28" ht="16" hidden="1" x14ac:dyDescent="0.2">
      <c r="A350" t="s">
        <v>450</v>
      </c>
      <c r="B350" t="s">
        <v>451</v>
      </c>
      <c r="C350" s="36" t="s">
        <v>728</v>
      </c>
      <c r="D350" s="17">
        <v>118</v>
      </c>
      <c r="E350" s="17" t="s">
        <v>48</v>
      </c>
      <c r="F350" s="17" t="s">
        <v>349</v>
      </c>
      <c r="G350" s="17">
        <v>59</v>
      </c>
      <c r="H350" s="17"/>
      <c r="I350" s="29"/>
      <c r="J350" s="29"/>
      <c r="K350" s="29"/>
      <c r="L350" s="29"/>
      <c r="M350" s="17"/>
      <c r="N350" s="17"/>
      <c r="O350" s="17"/>
      <c r="P350" s="17" t="s">
        <v>729</v>
      </c>
      <c r="Q350" s="17" t="str">
        <f t="shared" si="8"/>
        <v>p6</v>
      </c>
      <c r="R350" t="str">
        <f>VLOOKUP(E350,'Data Type Lookup'!$A$1:$C$21,3,FALSE)</f>
        <v>String</v>
      </c>
      <c r="S350" s="17"/>
      <c r="W350" t="str">
        <f t="shared" si="7"/>
        <v>PROJECT.P6</v>
      </c>
      <c r="X350" t="e">
        <f>VLOOKUP(W350,ColumnMapping[New Table.Column],1,)</f>
        <v>#N/A</v>
      </c>
      <c r="Y350" t="str">
        <f>_xlfn.XLOOKUP(Table6[[#This Row],[Table.Column]],ColumnMapping[Add Column Name],ColumnMapping[Old Table.Column],"",0,1)</f>
        <v/>
      </c>
      <c r="Z350" t="str">
        <f>_xlfn.XLOOKUP(Table6[[#This Row],[Old Table.Column]],Cobra8.6[Table.Column],Cobra8.6[TYPE],"",0,1)</f>
        <v/>
      </c>
      <c r="AA350" t="str">
        <f>_xlfn.XLOOKUP(Table6[[#This Row],[Old Table.Column]],Cobra8.6[Table.Column],Cobra8.6[LENGTH],"",0,1)</f>
        <v/>
      </c>
      <c r="AB350" s="49" t="s">
        <v>32</v>
      </c>
    </row>
    <row r="351" spans="1:28" ht="16" hidden="1" x14ac:dyDescent="0.2">
      <c r="A351" t="s">
        <v>450</v>
      </c>
      <c r="B351" t="s">
        <v>451</v>
      </c>
      <c r="C351" s="36" t="s">
        <v>730</v>
      </c>
      <c r="D351" s="17">
        <v>119</v>
      </c>
      <c r="E351" s="17" t="s">
        <v>48</v>
      </c>
      <c r="F351" s="17" t="s">
        <v>349</v>
      </c>
      <c r="G351" s="17">
        <v>59</v>
      </c>
      <c r="H351" s="17"/>
      <c r="I351" s="29"/>
      <c r="J351" s="29"/>
      <c r="K351" s="29"/>
      <c r="L351" s="29"/>
      <c r="M351" s="17"/>
      <c r="N351" s="17"/>
      <c r="O351" s="17"/>
      <c r="P351" s="17" t="s">
        <v>731</v>
      </c>
      <c r="Q351" s="17" t="str">
        <f t="shared" si="8"/>
        <v>p7</v>
      </c>
      <c r="R351" t="str">
        <f>VLOOKUP(E351,'Data Type Lookup'!$A$1:$C$21,3,FALSE)</f>
        <v>String</v>
      </c>
      <c r="S351" s="17"/>
      <c r="W351" t="str">
        <f t="shared" si="7"/>
        <v>PROJECT.P7</v>
      </c>
      <c r="X351" t="e">
        <f>VLOOKUP(W351,ColumnMapping[New Table.Column],1,)</f>
        <v>#N/A</v>
      </c>
      <c r="Y351" t="str">
        <f>_xlfn.XLOOKUP(Table6[[#This Row],[Table.Column]],ColumnMapping[Add Column Name],ColumnMapping[Old Table.Column],"",0,1)</f>
        <v/>
      </c>
      <c r="Z351" t="str">
        <f>_xlfn.XLOOKUP(Table6[[#This Row],[Old Table.Column]],Cobra8.6[Table.Column],Cobra8.6[TYPE],"",0,1)</f>
        <v/>
      </c>
      <c r="AA351" t="str">
        <f>_xlfn.XLOOKUP(Table6[[#This Row],[Old Table.Column]],Cobra8.6[Table.Column],Cobra8.6[LENGTH],"",0,1)</f>
        <v/>
      </c>
      <c r="AB351" s="49" t="s">
        <v>32</v>
      </c>
    </row>
    <row r="352" spans="1:28" ht="16" hidden="1" x14ac:dyDescent="0.2">
      <c r="A352" t="s">
        <v>450</v>
      </c>
      <c r="B352" t="s">
        <v>451</v>
      </c>
      <c r="C352" s="36" t="s">
        <v>732</v>
      </c>
      <c r="D352" s="17">
        <v>120</v>
      </c>
      <c r="E352" s="17" t="s">
        <v>48</v>
      </c>
      <c r="F352" s="17" t="s">
        <v>349</v>
      </c>
      <c r="G352" s="17">
        <v>59</v>
      </c>
      <c r="H352" s="17"/>
      <c r="I352" s="29"/>
      <c r="J352" s="29"/>
      <c r="K352" s="29"/>
      <c r="L352" s="29"/>
      <c r="M352" s="17"/>
      <c r="N352" s="17"/>
      <c r="O352" s="17"/>
      <c r="P352" s="17" t="s">
        <v>733</v>
      </c>
      <c r="Q352" s="17" t="str">
        <f t="shared" si="8"/>
        <v>p8</v>
      </c>
      <c r="R352" t="str">
        <f>VLOOKUP(E352,'Data Type Lookup'!$A$1:$C$21,3,FALSE)</f>
        <v>String</v>
      </c>
      <c r="S352" s="17"/>
      <c r="W352" t="str">
        <f t="shared" si="7"/>
        <v>PROJECT.P8</v>
      </c>
      <c r="X352" t="e">
        <f>VLOOKUP(W352,ColumnMapping[New Table.Column],1,)</f>
        <v>#N/A</v>
      </c>
      <c r="Y352" t="str">
        <f>_xlfn.XLOOKUP(Table6[[#This Row],[Table.Column]],ColumnMapping[Add Column Name],ColumnMapping[Old Table.Column],"",0,1)</f>
        <v/>
      </c>
      <c r="Z352" t="str">
        <f>_xlfn.XLOOKUP(Table6[[#This Row],[Old Table.Column]],Cobra8.6[Table.Column],Cobra8.6[TYPE],"",0,1)</f>
        <v/>
      </c>
      <c r="AA352" t="str">
        <f>_xlfn.XLOOKUP(Table6[[#This Row],[Old Table.Column]],Cobra8.6[Table.Column],Cobra8.6[LENGTH],"",0,1)</f>
        <v/>
      </c>
      <c r="AB352" s="49" t="s">
        <v>32</v>
      </c>
    </row>
    <row r="353" spans="1:28" ht="16" hidden="1" x14ac:dyDescent="0.2">
      <c r="A353" t="s">
        <v>450</v>
      </c>
      <c r="B353" t="s">
        <v>451</v>
      </c>
      <c r="C353" s="36" t="s">
        <v>734</v>
      </c>
      <c r="D353" s="17">
        <v>121</v>
      </c>
      <c r="E353" s="17" t="s">
        <v>48</v>
      </c>
      <c r="F353" s="17" t="s">
        <v>349</v>
      </c>
      <c r="G353" s="17">
        <v>59</v>
      </c>
      <c r="H353" s="17"/>
      <c r="I353" s="29"/>
      <c r="J353" s="29"/>
      <c r="K353" s="29"/>
      <c r="L353" s="29"/>
      <c r="M353" s="17"/>
      <c r="N353" s="17"/>
      <c r="O353" s="17"/>
      <c r="P353" s="17" t="s">
        <v>735</v>
      </c>
      <c r="Q353" s="17" t="str">
        <f t="shared" si="8"/>
        <v>p9</v>
      </c>
      <c r="R353" t="str">
        <f>VLOOKUP(E353,'Data Type Lookup'!$A$1:$C$21,3,FALSE)</f>
        <v>String</v>
      </c>
      <c r="S353" s="17"/>
      <c r="W353" t="str">
        <f t="shared" si="7"/>
        <v>PROJECT.P9</v>
      </c>
      <c r="X353" t="e">
        <f>VLOOKUP(W353,ColumnMapping[New Table.Column],1,)</f>
        <v>#N/A</v>
      </c>
      <c r="Y353" t="str">
        <f>_xlfn.XLOOKUP(Table6[[#This Row],[Table.Column]],ColumnMapping[Add Column Name],ColumnMapping[Old Table.Column],"",0,1)</f>
        <v/>
      </c>
      <c r="Z353" t="str">
        <f>_xlfn.XLOOKUP(Table6[[#This Row],[Old Table.Column]],Cobra8.6[Table.Column],Cobra8.6[TYPE],"",0,1)</f>
        <v/>
      </c>
      <c r="AA353" t="str">
        <f>_xlfn.XLOOKUP(Table6[[#This Row],[Old Table.Column]],Cobra8.6[Table.Column],Cobra8.6[LENGTH],"",0,1)</f>
        <v/>
      </c>
      <c r="AB353" s="49" t="s">
        <v>32</v>
      </c>
    </row>
    <row r="354" spans="1:28" ht="16" hidden="1" x14ac:dyDescent="0.2">
      <c r="A354" t="s">
        <v>450</v>
      </c>
      <c r="B354" t="s">
        <v>451</v>
      </c>
      <c r="C354" s="36" t="s">
        <v>736</v>
      </c>
      <c r="D354" s="17">
        <v>122</v>
      </c>
      <c r="E354" t="s">
        <v>36</v>
      </c>
      <c r="F354" t="str">
        <f>VLOOKUP($E354,'Data Type Lookup'!$A$1:$C$21,2,FALSE)</f>
        <v>NUMBER(19,0)</v>
      </c>
      <c r="I354" s="32" t="s">
        <v>32</v>
      </c>
      <c r="J354" s="32">
        <v>0</v>
      </c>
      <c r="K354" s="29"/>
      <c r="L354" s="29"/>
      <c r="M354" s="17"/>
      <c r="N354" s="17"/>
      <c r="O354" s="17"/>
      <c r="P354" s="17" t="s">
        <v>737</v>
      </c>
      <c r="Q354" s="17" t="str">
        <f t="shared" si="8"/>
        <v>percent1</v>
      </c>
      <c r="R354" t="str">
        <f>VLOOKUP(E354,'Data Type Lookup'!$A$1:$C$21,3,FALSE)</f>
        <v>Long</v>
      </c>
      <c r="S354" s="17"/>
      <c r="W354" t="str">
        <f t="shared" si="7"/>
        <v>PROJECT.PERCENT1</v>
      </c>
      <c r="X354" t="e">
        <f>VLOOKUP(W354,ColumnMapping[New Table.Column],1,)</f>
        <v>#N/A</v>
      </c>
      <c r="Y354" t="str">
        <f>_xlfn.XLOOKUP(Table6[[#This Row],[Table.Column]],ColumnMapping[Add Column Name],ColumnMapping[Old Table.Column],"",0,1)</f>
        <v>PROGRAM.PERCENT1</v>
      </c>
      <c r="Z354" t="str">
        <f>_xlfn.XLOOKUP(Table6[[#This Row],[Old Table.Column]],Cobra8.6[Table.Column],Cobra8.6[TYPE],"",0,1)</f>
        <v>INTE</v>
      </c>
      <c r="AA354">
        <f>_xlfn.XLOOKUP(Table6[[#This Row],[Old Table.Column]],Cobra8.6[Table.Column],Cobra8.6[LENGTH],"",0,1)</f>
        <v>-1</v>
      </c>
      <c r="AB354" s="49" t="s">
        <v>32</v>
      </c>
    </row>
    <row r="355" spans="1:28" ht="16" hidden="1" x14ac:dyDescent="0.2">
      <c r="A355" t="s">
        <v>450</v>
      </c>
      <c r="B355" t="s">
        <v>451</v>
      </c>
      <c r="C355" s="36" t="s">
        <v>738</v>
      </c>
      <c r="D355" s="17">
        <v>123</v>
      </c>
      <c r="E355" t="s">
        <v>36</v>
      </c>
      <c r="F355" t="str">
        <f>VLOOKUP($E355,'Data Type Lookup'!$A$1:$C$21,2,FALSE)</f>
        <v>NUMBER(19,0)</v>
      </c>
      <c r="I355" s="32" t="s">
        <v>32</v>
      </c>
      <c r="J355" s="32">
        <v>0</v>
      </c>
      <c r="K355" s="29"/>
      <c r="L355" s="29"/>
      <c r="M355" s="17"/>
      <c r="N355" s="17"/>
      <c r="O355" s="17"/>
      <c r="P355" s="17" t="s">
        <v>739</v>
      </c>
      <c r="Q355" s="17" t="str">
        <f t="shared" si="8"/>
        <v>percent2</v>
      </c>
      <c r="R355" t="str">
        <f>VLOOKUP(E355,'Data Type Lookup'!$A$1:$C$21,3,FALSE)</f>
        <v>Long</v>
      </c>
      <c r="S355" s="17"/>
      <c r="W355" t="str">
        <f t="shared" si="7"/>
        <v>PROJECT.PERCENT2</v>
      </c>
      <c r="X355" t="e">
        <f>VLOOKUP(W355,ColumnMapping[New Table.Column],1,)</f>
        <v>#N/A</v>
      </c>
      <c r="Y355" t="str">
        <f>_xlfn.XLOOKUP(Table6[[#This Row],[Table.Column]],ColumnMapping[Add Column Name],ColumnMapping[Old Table.Column],"",0,1)</f>
        <v>PROGRAM.PERCENT2</v>
      </c>
      <c r="Z355" t="str">
        <f>_xlfn.XLOOKUP(Table6[[#This Row],[Old Table.Column]],Cobra8.6[Table.Column],Cobra8.6[TYPE],"",0,1)</f>
        <v>INTE</v>
      </c>
      <c r="AA355">
        <f>_xlfn.XLOOKUP(Table6[[#This Row],[Old Table.Column]],Cobra8.6[Table.Column],Cobra8.6[LENGTH],"",0,1)</f>
        <v>-1</v>
      </c>
      <c r="AB355" s="49" t="s">
        <v>32</v>
      </c>
    </row>
    <row r="356" spans="1:28" ht="16" hidden="1" x14ac:dyDescent="0.2">
      <c r="A356" t="s">
        <v>450</v>
      </c>
      <c r="B356" t="s">
        <v>451</v>
      </c>
      <c r="C356" s="36" t="s">
        <v>740</v>
      </c>
      <c r="D356" s="17">
        <v>124</v>
      </c>
      <c r="E356" t="s">
        <v>36</v>
      </c>
      <c r="F356" t="str">
        <f>VLOOKUP($E356,'Data Type Lookup'!$A$1:$C$21,2,FALSE)</f>
        <v>NUMBER(19,0)</v>
      </c>
      <c r="I356" s="32" t="s">
        <v>32</v>
      </c>
      <c r="J356" s="32">
        <v>0</v>
      </c>
      <c r="K356" s="29"/>
      <c r="L356" s="29"/>
      <c r="M356" s="17"/>
      <c r="N356" s="17"/>
      <c r="O356" s="17"/>
      <c r="P356" s="17" t="s">
        <v>741</v>
      </c>
      <c r="Q356" s="17" t="str">
        <f t="shared" si="8"/>
        <v>percent3</v>
      </c>
      <c r="R356" t="str">
        <f>VLOOKUP(E356,'Data Type Lookup'!$A$1:$C$21,3,FALSE)</f>
        <v>Long</v>
      </c>
      <c r="S356" s="17"/>
      <c r="W356" t="str">
        <f t="shared" si="7"/>
        <v>PROJECT.PERCENT3</v>
      </c>
      <c r="X356" t="e">
        <f>VLOOKUP(W356,ColumnMapping[New Table.Column],1,)</f>
        <v>#N/A</v>
      </c>
      <c r="Y356" t="str">
        <f>_xlfn.XLOOKUP(Table6[[#This Row],[Table.Column]],ColumnMapping[Add Column Name],ColumnMapping[Old Table.Column],"",0,1)</f>
        <v>PROGRAM.PERCENT3</v>
      </c>
      <c r="Z356" t="str">
        <f>_xlfn.XLOOKUP(Table6[[#This Row],[Old Table.Column]],Cobra8.6[Table.Column],Cobra8.6[TYPE],"",0,1)</f>
        <v>INTE</v>
      </c>
      <c r="AA356">
        <f>_xlfn.XLOOKUP(Table6[[#This Row],[Old Table.Column]],Cobra8.6[Table.Column],Cobra8.6[LENGTH],"",0,1)</f>
        <v>-1</v>
      </c>
      <c r="AB356" s="49" t="s">
        <v>32</v>
      </c>
    </row>
    <row r="357" spans="1:28" ht="16" hidden="1" x14ac:dyDescent="0.2">
      <c r="A357" t="s">
        <v>450</v>
      </c>
      <c r="B357" t="s">
        <v>451</v>
      </c>
      <c r="C357" s="36" t="s">
        <v>742</v>
      </c>
      <c r="D357" s="17">
        <v>125</v>
      </c>
      <c r="E357" t="s">
        <v>36</v>
      </c>
      <c r="F357" t="str">
        <f>VLOOKUP($E357,'Data Type Lookup'!$A$1:$C$21,2,FALSE)</f>
        <v>NUMBER(19,0)</v>
      </c>
      <c r="I357" s="32" t="s">
        <v>32</v>
      </c>
      <c r="J357" s="32">
        <v>0</v>
      </c>
      <c r="K357" s="29"/>
      <c r="L357" s="29"/>
      <c r="M357" s="17"/>
      <c r="N357" s="17"/>
      <c r="O357" s="17"/>
      <c r="P357" s="17" t="s">
        <v>743</v>
      </c>
      <c r="Q357" s="17" t="str">
        <f t="shared" si="8"/>
        <v>prodvis</v>
      </c>
      <c r="R357" t="str">
        <f>VLOOKUP(E357,'Data Type Lookup'!$A$1:$C$21,3,FALSE)</f>
        <v>Long</v>
      </c>
      <c r="S357" s="17"/>
      <c r="W357" t="str">
        <f t="shared" si="7"/>
        <v>PROJECT.PRODVIS</v>
      </c>
      <c r="X357" t="str">
        <f>VLOOKUP(W357,ColumnMapping[New Table.Column],1,)</f>
        <v>PROJECT.PRODVIS</v>
      </c>
      <c r="Y357" t="str">
        <f>_xlfn.XLOOKUP(Table6[[#This Row],[Table.Column]],ColumnMapping[Add Column Name],ColumnMapping[Old Table.Column],"",0,1)</f>
        <v>PROGRAM.PRODVIS</v>
      </c>
      <c r="Z357" t="str">
        <f>_xlfn.XLOOKUP(Table6[[#This Row],[Old Table.Column]],Cobra8.6[Table.Column],Cobra8.6[TYPE],"",0,1)</f>
        <v>INTE</v>
      </c>
      <c r="AA357">
        <f>_xlfn.XLOOKUP(Table6[[#This Row],[Old Table.Column]],Cobra8.6[Table.Column],Cobra8.6[LENGTH],"",0,1)</f>
        <v>-1</v>
      </c>
      <c r="AB357" s="49" t="s">
        <v>32</v>
      </c>
    </row>
    <row r="358" spans="1:28" ht="16" hidden="1" x14ac:dyDescent="0.2">
      <c r="A358" t="s">
        <v>450</v>
      </c>
      <c r="B358" t="s">
        <v>451</v>
      </c>
      <c r="C358" s="36" t="s">
        <v>744</v>
      </c>
      <c r="D358" s="17">
        <v>126</v>
      </c>
      <c r="E358" s="17" t="s">
        <v>48</v>
      </c>
      <c r="F358" s="17" t="s">
        <v>349</v>
      </c>
      <c r="G358" s="17">
        <v>22</v>
      </c>
      <c r="H358" s="17"/>
      <c r="I358" s="29"/>
      <c r="J358" s="37" t="s">
        <v>605</v>
      </c>
      <c r="K358" s="29"/>
      <c r="L358" s="29"/>
      <c r="M358" s="17"/>
      <c r="N358" s="17"/>
      <c r="O358" s="17"/>
      <c r="P358" s="17" t="s">
        <v>745</v>
      </c>
      <c r="Q358" s="17" t="str">
        <f t="shared" si="8"/>
        <v>program</v>
      </c>
      <c r="R358" t="str">
        <f>VLOOKUP(E358,'Data Type Lookup'!$A$1:$C$21,3,FALSE)</f>
        <v>String</v>
      </c>
      <c r="S358" s="17"/>
      <c r="W358" t="str">
        <f t="shared" si="7"/>
        <v>PROJECT.PROGRAM</v>
      </c>
      <c r="X358" t="e">
        <f>VLOOKUP(W358,ColumnMapping[New Table.Column],1,)</f>
        <v>#N/A</v>
      </c>
      <c r="Y358" t="str">
        <f>_xlfn.XLOOKUP(Table6[[#This Row],[Table.Column]],ColumnMapping[Add Column Name],ColumnMapping[Old Table.Column],"",0,1)</f>
        <v/>
      </c>
      <c r="Z358" t="str">
        <f>_xlfn.XLOOKUP(Table6[[#This Row],[Old Table.Column]],Cobra8.6[Table.Column],Cobra8.6[TYPE],"",0,1)</f>
        <v/>
      </c>
      <c r="AA358" t="str">
        <f>_xlfn.XLOOKUP(Table6[[#This Row],[Old Table.Column]],Cobra8.6[Table.Column],Cobra8.6[LENGTH],"",0,1)</f>
        <v/>
      </c>
      <c r="AB358" s="49" t="s">
        <v>32</v>
      </c>
    </row>
    <row r="359" spans="1:28" ht="16" hidden="1" x14ac:dyDescent="0.2">
      <c r="A359" t="s">
        <v>450</v>
      </c>
      <c r="B359" t="s">
        <v>451</v>
      </c>
      <c r="C359" s="36" t="s">
        <v>746</v>
      </c>
      <c r="D359" s="17">
        <v>127</v>
      </c>
      <c r="E359" t="s">
        <v>36</v>
      </c>
      <c r="F359" t="str">
        <f>VLOOKUP($E359,'Data Type Lookup'!$A$1:$C$21,2,FALSE)</f>
        <v>NUMBER(19,0)</v>
      </c>
      <c r="I359" s="32" t="s">
        <v>32</v>
      </c>
      <c r="J359" s="32">
        <v>0</v>
      </c>
      <c r="K359" s="29"/>
      <c r="L359" s="29"/>
      <c r="M359" s="17"/>
      <c r="N359" s="17"/>
      <c r="O359" s="17"/>
      <c r="P359" s="17" t="s">
        <v>747</v>
      </c>
      <c r="Q359" s="17" t="str">
        <f t="shared" si="8"/>
        <v>quantity</v>
      </c>
      <c r="R359" t="str">
        <f>VLOOKUP(E359,'Data Type Lookup'!$A$1:$C$21,3,FALSE)</f>
        <v>Long</v>
      </c>
      <c r="S359" s="17"/>
      <c r="W359" t="str">
        <f t="shared" si="7"/>
        <v>PROJECT.QUANTITY</v>
      </c>
      <c r="X359" t="str">
        <f>VLOOKUP(W359,ColumnMapping[New Table.Column],1,)</f>
        <v>PROJECT.QUANTITY</v>
      </c>
      <c r="Y359" t="str">
        <f>_xlfn.XLOOKUP(Table6[[#This Row],[Table.Column]],ColumnMapping[Add Column Name],ColumnMapping[Old Table.Column],"",0,1)</f>
        <v>PROGRAM.QUANTITY</v>
      </c>
      <c r="Z359" t="str">
        <f>_xlfn.XLOOKUP(Table6[[#This Row],[Old Table.Column]],Cobra8.6[Table.Column],Cobra8.6[TYPE],"",0,1)</f>
        <v>INTE</v>
      </c>
      <c r="AA359">
        <f>_xlfn.XLOOKUP(Table6[[#This Row],[Old Table.Column]],Cobra8.6[Table.Column],Cobra8.6[LENGTH],"",0,1)</f>
        <v>-1</v>
      </c>
      <c r="AB359" s="49" t="s">
        <v>32</v>
      </c>
    </row>
    <row r="360" spans="1:28" ht="16" hidden="1" x14ac:dyDescent="0.2">
      <c r="A360" t="s">
        <v>450</v>
      </c>
      <c r="B360" t="s">
        <v>451</v>
      </c>
      <c r="C360" s="36" t="s">
        <v>476</v>
      </c>
      <c r="D360" s="17">
        <v>128</v>
      </c>
      <c r="E360" s="17" t="s">
        <v>48</v>
      </c>
      <c r="F360" s="17" t="s">
        <v>349</v>
      </c>
      <c r="G360" s="17">
        <v>22</v>
      </c>
      <c r="H360" s="17"/>
      <c r="I360" s="29"/>
      <c r="J360" s="37" t="s">
        <v>605</v>
      </c>
      <c r="K360" s="29"/>
      <c r="L360" s="29"/>
      <c r="M360" s="17"/>
      <c r="N360" s="17"/>
      <c r="O360" s="17"/>
      <c r="P360" s="17" t="s">
        <v>748</v>
      </c>
      <c r="Q360" s="17" t="str">
        <f t="shared" si="8"/>
        <v>rateFile</v>
      </c>
      <c r="R360" t="str">
        <f>VLOOKUP(E360,'Data Type Lookup'!$A$1:$C$21,3,FALSE)</f>
        <v>String</v>
      </c>
      <c r="S360" s="17"/>
      <c r="W360" t="str">
        <f t="shared" si="7"/>
        <v>PROJECT.RATE_FILE</v>
      </c>
      <c r="X360" t="str">
        <f>VLOOKUP(W360,ColumnMapping[New Table.Column],1,)</f>
        <v>PROJECT.RATE_FILE</v>
      </c>
      <c r="Y360" t="str">
        <f>_xlfn.XLOOKUP(Table6[[#This Row],[Table.Column]],ColumnMapping[Add Column Name],ColumnMapping[Old Table.Column],"",0,1)</f>
        <v>PROGRAM.RATE_FILE</v>
      </c>
      <c r="Z360" t="str">
        <f>_xlfn.XLOOKUP(Table6[[#This Row],[Old Table.Column]],Cobra8.6[Table.Column],Cobra8.6[TYPE],"",0,1)</f>
        <v>TEXT</v>
      </c>
      <c r="AA360">
        <f>_xlfn.XLOOKUP(Table6[[#This Row],[Old Table.Column]],Cobra8.6[Table.Column],Cobra8.6[LENGTH],"",0,1)</f>
        <v>22</v>
      </c>
      <c r="AB360" s="49" t="s">
        <v>32</v>
      </c>
    </row>
    <row r="361" spans="1:28" ht="16" hidden="1" x14ac:dyDescent="0.2">
      <c r="A361" t="s">
        <v>450</v>
      </c>
      <c r="B361" t="s">
        <v>451</v>
      </c>
      <c r="C361" s="36" t="s">
        <v>749</v>
      </c>
      <c r="D361" s="17">
        <v>129</v>
      </c>
      <c r="E361" s="17" t="s">
        <v>48</v>
      </c>
      <c r="F361" s="17" t="s">
        <v>349</v>
      </c>
      <c r="G361" s="17">
        <v>20</v>
      </c>
      <c r="H361" s="17"/>
      <c r="I361" s="29"/>
      <c r="J361" s="37" t="s">
        <v>605</v>
      </c>
      <c r="K361" s="29"/>
      <c r="L361" s="29"/>
      <c r="M361" s="17"/>
      <c r="N361" s="17"/>
      <c r="O361" s="17"/>
      <c r="P361" s="17" t="s">
        <v>750</v>
      </c>
      <c r="Q361" s="17" t="str">
        <f t="shared" si="8"/>
        <v>shareratio</v>
      </c>
      <c r="R361" t="str">
        <f>VLOOKUP(E361,'Data Type Lookup'!$A$1:$C$21,3,FALSE)</f>
        <v>String</v>
      </c>
      <c r="S361" s="17"/>
      <c r="W361" t="str">
        <f t="shared" si="7"/>
        <v>PROJECT.SHARERATIO</v>
      </c>
      <c r="X361" t="str">
        <f>VLOOKUP(W361,ColumnMapping[New Table.Column],1,)</f>
        <v>PROJECT.SHARERATIO</v>
      </c>
      <c r="Y361" t="str">
        <f>_xlfn.XLOOKUP(Table6[[#This Row],[Table.Column]],ColumnMapping[Add Column Name],ColumnMapping[Old Table.Column],"",0,1)</f>
        <v>PROGRAM.SHARERATIO</v>
      </c>
      <c r="Z361" t="str">
        <f>_xlfn.XLOOKUP(Table6[[#This Row],[Old Table.Column]],Cobra8.6[Table.Column],Cobra8.6[TYPE],"",0,1)</f>
        <v>TEXT</v>
      </c>
      <c r="AA361">
        <f>_xlfn.XLOOKUP(Table6[[#This Row],[Old Table.Column]],Cobra8.6[Table.Column],Cobra8.6[LENGTH],"",0,1)</f>
        <v>20</v>
      </c>
      <c r="AB361" s="49" t="s">
        <v>32</v>
      </c>
    </row>
    <row r="362" spans="1:28" ht="16" hidden="1" x14ac:dyDescent="0.2">
      <c r="A362" t="s">
        <v>450</v>
      </c>
      <c r="B362" t="s">
        <v>451</v>
      </c>
      <c r="C362" s="36" t="s">
        <v>751</v>
      </c>
      <c r="D362" s="17">
        <v>130</v>
      </c>
      <c r="E362" s="17" t="s">
        <v>48</v>
      </c>
      <c r="F362" s="17" t="s">
        <v>349</v>
      </c>
      <c r="G362" s="17">
        <v>3</v>
      </c>
      <c r="H362" s="17"/>
      <c r="I362" s="29"/>
      <c r="J362" s="37" t="s">
        <v>605</v>
      </c>
      <c r="K362" s="29"/>
      <c r="L362" s="29"/>
      <c r="M362" s="17"/>
      <c r="N362" s="17"/>
      <c r="O362" s="17"/>
      <c r="P362" s="17" t="s">
        <v>752</v>
      </c>
      <c r="Q362" s="17" t="str">
        <f t="shared" si="8"/>
        <v>state</v>
      </c>
      <c r="R362" t="str">
        <f>VLOOKUP(E362,'Data Type Lookup'!$A$1:$C$21,3,FALSE)</f>
        <v>String</v>
      </c>
      <c r="S362" s="17"/>
      <c r="W362" t="str">
        <f t="shared" si="7"/>
        <v>PROJECT.STATE</v>
      </c>
      <c r="X362" t="str">
        <f>VLOOKUP(W362,ColumnMapping[New Table.Column],1,)</f>
        <v>PROJECT.STATE</v>
      </c>
      <c r="Y362" t="str">
        <f>_xlfn.XLOOKUP(Table6[[#This Row],[Table.Column]],ColumnMapping[Add Column Name],ColumnMapping[Old Table.Column],"",0,1)</f>
        <v/>
      </c>
      <c r="Z362" t="str">
        <f>_xlfn.XLOOKUP(Table6[[#This Row],[Old Table.Column]],Cobra8.6[Table.Column],Cobra8.6[TYPE],"",0,1)</f>
        <v/>
      </c>
      <c r="AA362" t="str">
        <f>_xlfn.XLOOKUP(Table6[[#This Row],[Old Table.Column]],Cobra8.6[Table.Column],Cobra8.6[LENGTH],"",0,1)</f>
        <v/>
      </c>
      <c r="AB362" s="49" t="s">
        <v>32</v>
      </c>
    </row>
    <row r="363" spans="1:28" ht="16" hidden="1" x14ac:dyDescent="0.2">
      <c r="A363" t="s">
        <v>450</v>
      </c>
      <c r="B363" t="s">
        <v>451</v>
      </c>
      <c r="C363" s="36" t="s">
        <v>753</v>
      </c>
      <c r="D363" s="17">
        <v>131</v>
      </c>
      <c r="E363" s="17" t="s">
        <v>48</v>
      </c>
      <c r="F363" s="17" t="s">
        <v>349</v>
      </c>
      <c r="G363" s="17">
        <v>22</v>
      </c>
      <c r="H363" s="17"/>
      <c r="I363" s="29"/>
      <c r="J363" s="37" t="s">
        <v>605</v>
      </c>
      <c r="K363" s="29"/>
      <c r="L363" s="29"/>
      <c r="M363" s="17"/>
      <c r="N363" s="17"/>
      <c r="O363" s="17"/>
      <c r="P363" s="17" t="s">
        <v>754</v>
      </c>
      <c r="Q363" s="17" t="str">
        <f t="shared" si="8"/>
        <v>wpBdn</v>
      </c>
      <c r="R363" t="str">
        <f>VLOOKUP(E363,'Data Type Lookup'!$A$1:$C$21,3,FALSE)</f>
        <v>String</v>
      </c>
      <c r="S363" s="17"/>
      <c r="W363" t="str">
        <f t="shared" si="7"/>
        <v>PROJECT.WP_BDN</v>
      </c>
      <c r="X363" t="str">
        <f>VLOOKUP(W363,ColumnMapping[New Table.Column],1,)</f>
        <v>PROJECT.WP_BDN</v>
      </c>
      <c r="Y363" t="str">
        <f>_xlfn.XLOOKUP(Table6[[#This Row],[Table.Column]],ColumnMapping[Add Column Name],ColumnMapping[Old Table.Column],"",0,1)</f>
        <v>PROGRAM.WP_BDN</v>
      </c>
      <c r="Z363" t="str">
        <f>_xlfn.XLOOKUP(Table6[[#This Row],[Old Table.Column]],Cobra8.6[Table.Column],Cobra8.6[TYPE],"",0,1)</f>
        <v>TEXT</v>
      </c>
      <c r="AA363">
        <f>_xlfn.XLOOKUP(Table6[[#This Row],[Old Table.Column]],Cobra8.6[Table.Column],Cobra8.6[LENGTH],"",0,1)</f>
        <v>22</v>
      </c>
      <c r="AB363" s="49" t="s">
        <v>32</v>
      </c>
    </row>
    <row r="364" spans="1:28" ht="16" hidden="1" x14ac:dyDescent="0.2">
      <c r="A364" t="s">
        <v>450</v>
      </c>
      <c r="B364" t="s">
        <v>451</v>
      </c>
      <c r="C364" s="36" t="s">
        <v>755</v>
      </c>
      <c r="D364" s="17">
        <v>132</v>
      </c>
      <c r="E364" s="17" t="s">
        <v>48</v>
      </c>
      <c r="F364" s="17" t="s">
        <v>349</v>
      </c>
      <c r="G364" s="17">
        <v>10</v>
      </c>
      <c r="H364" s="17"/>
      <c r="I364" s="29"/>
      <c r="J364" s="37" t="s">
        <v>605</v>
      </c>
      <c r="K364" s="29"/>
      <c r="L364" s="29"/>
      <c r="M364" s="17"/>
      <c r="N364" s="17"/>
      <c r="O364" s="17"/>
      <c r="P364" s="17" t="s">
        <v>756</v>
      </c>
      <c r="Q364" s="17" t="str">
        <f t="shared" si="8"/>
        <v>wpId</v>
      </c>
      <c r="R364" t="str">
        <f>VLOOKUP(E364,'Data Type Lookup'!$A$1:$C$21,3,FALSE)</f>
        <v>String</v>
      </c>
      <c r="S364" s="17"/>
      <c r="W364" t="str">
        <f t="shared" si="7"/>
        <v>PROJECT.WP_ID</v>
      </c>
      <c r="X364" t="str">
        <f>VLOOKUP(W364,ColumnMapping[New Table.Column],1,)</f>
        <v>PROJECT.WP_ID</v>
      </c>
      <c r="Y364" t="str">
        <f>_xlfn.XLOOKUP(Table6[[#This Row],[Table.Column]],ColumnMapping[Add Column Name],ColumnMapping[Old Table.Column],"",0,1)</f>
        <v>PROGRAM.WP_ID</v>
      </c>
      <c r="Z364" t="str">
        <f>_xlfn.XLOOKUP(Table6[[#This Row],[Old Table.Column]],Cobra8.6[Table.Column],Cobra8.6[TYPE],"",0,1)</f>
        <v>TEXT</v>
      </c>
      <c r="AA364">
        <f>_xlfn.XLOOKUP(Table6[[#This Row],[Old Table.Column]],Cobra8.6[Table.Column],Cobra8.6[LENGTH],"",0,1)</f>
        <v>10</v>
      </c>
      <c r="AB364" s="49" t="s">
        <v>32</v>
      </c>
    </row>
    <row r="365" spans="1:28" ht="16" hidden="1" x14ac:dyDescent="0.2">
      <c r="A365" t="s">
        <v>450</v>
      </c>
      <c r="B365" t="s">
        <v>451</v>
      </c>
      <c r="C365" s="36" t="s">
        <v>757</v>
      </c>
      <c r="D365" s="17">
        <v>133</v>
      </c>
      <c r="E365" s="17" t="s">
        <v>48</v>
      </c>
      <c r="F365" s="17" t="s">
        <v>349</v>
      </c>
      <c r="G365" s="17">
        <v>11</v>
      </c>
      <c r="H365" s="17"/>
      <c r="I365" s="29"/>
      <c r="J365" s="37" t="s">
        <v>605</v>
      </c>
      <c r="K365" s="29"/>
      <c r="L365" s="29"/>
      <c r="M365" s="17"/>
      <c r="N365" s="17"/>
      <c r="O365" s="17"/>
      <c r="P365" s="17" t="s">
        <v>758</v>
      </c>
      <c r="Q365" s="17" t="str">
        <f t="shared" si="8"/>
        <v>zip</v>
      </c>
      <c r="R365" t="str">
        <f>VLOOKUP(E365,'Data Type Lookup'!$A$1:$C$21,3,FALSE)</f>
        <v>String</v>
      </c>
      <c r="S365" s="17"/>
      <c r="W365" t="str">
        <f t="shared" si="7"/>
        <v>PROJECT.ZIP</v>
      </c>
      <c r="X365" t="str">
        <f>VLOOKUP(W365,ColumnMapping[New Table.Column],1,)</f>
        <v>PROJECT.ZIP</v>
      </c>
      <c r="Y365" t="str">
        <f>_xlfn.XLOOKUP(Table6[[#This Row],[Table.Column]],ColumnMapping[Add Column Name],ColumnMapping[Old Table.Column],"",0,1)</f>
        <v/>
      </c>
      <c r="Z365" t="str">
        <f>_xlfn.XLOOKUP(Table6[[#This Row],[Old Table.Column]],Cobra8.6[Table.Column],Cobra8.6[TYPE],"",0,1)</f>
        <v/>
      </c>
      <c r="AA365" t="str">
        <f>_xlfn.XLOOKUP(Table6[[#This Row],[Old Table.Column]],Cobra8.6[Table.Column],Cobra8.6[LENGTH],"",0,1)</f>
        <v/>
      </c>
      <c r="AB365" s="49" t="s">
        <v>32</v>
      </c>
    </row>
    <row r="366" spans="1:28" hidden="1" x14ac:dyDescent="0.2">
      <c r="A366" t="s">
        <v>450</v>
      </c>
      <c r="B366" t="s">
        <v>451</v>
      </c>
      <c r="C366" t="s">
        <v>104</v>
      </c>
      <c r="D366">
        <v>134</v>
      </c>
      <c r="E366" t="s">
        <v>31</v>
      </c>
      <c r="F366" t="str">
        <f>VLOOKUP($E366,'Data Type Lookup'!$A$1:$C$21,2,FALSE)</f>
        <v>RAW(16)</v>
      </c>
      <c r="I366" s="32" t="s">
        <v>32</v>
      </c>
      <c r="P366" t="s">
        <v>759</v>
      </c>
      <c r="Q366" t="s">
        <v>106</v>
      </c>
      <c r="R366" t="str">
        <f>VLOOKUP(E366,'Data Type Lookup'!$A$1:$C$21,3,FALSE)</f>
        <v>java.util.UUID</v>
      </c>
      <c r="W366" t="str">
        <f t="shared" si="7"/>
        <v>PROJECT.OWNER_USER_UID</v>
      </c>
      <c r="X366" t="str">
        <f>VLOOKUP(W366,ColumnMapping[New Table.Column],1,)</f>
        <v>PROJECT.OWNER_USER_UID</v>
      </c>
      <c r="Y366" t="str">
        <f>_xlfn.XLOOKUP(Table6[[#This Row],[Table.Column]],ColumnMapping[Add Column Name],ColumnMapping[Old Table.Column],"",0,1)</f>
        <v/>
      </c>
      <c r="Z366" t="str">
        <f>_xlfn.XLOOKUP(Table6[[#This Row],[Old Table.Column]],Cobra8.6[Table.Column],Cobra8.6[TYPE],"",0,1)</f>
        <v/>
      </c>
      <c r="AA366" t="str">
        <f>_xlfn.XLOOKUP(Table6[[#This Row],[Old Table.Column]],Cobra8.6[Table.Column],Cobra8.6[LENGTH],"",0,1)</f>
        <v/>
      </c>
    </row>
    <row r="367" spans="1:28" hidden="1" x14ac:dyDescent="0.2">
      <c r="A367" t="s">
        <v>450</v>
      </c>
      <c r="B367" t="s">
        <v>451</v>
      </c>
      <c r="C367" t="s">
        <v>61</v>
      </c>
      <c r="D367">
        <v>135</v>
      </c>
      <c r="E367" t="s">
        <v>31</v>
      </c>
      <c r="F367" t="str">
        <f>VLOOKUP($E367,'Data Type Lookup'!$A$1:$C$21,2,FALSE)</f>
        <v>RAW(16)</v>
      </c>
      <c r="I367" s="32" t="s">
        <v>32</v>
      </c>
      <c r="P367" t="s">
        <v>760</v>
      </c>
      <c r="Q367" t="s">
        <v>63</v>
      </c>
      <c r="R367" t="str">
        <f>VLOOKUP(E367,'Data Type Lookup'!$A$1:$C$21,3,FALSE)</f>
        <v>java.util.UUID</v>
      </c>
      <c r="S367">
        <v>2</v>
      </c>
      <c r="W367" t="str">
        <f t="shared" si="7"/>
        <v>PROJECT.CREATED_BY_USER_UID</v>
      </c>
      <c r="X367" t="str">
        <f>VLOOKUP(W367,ColumnMapping[New Table.Column],1,)</f>
        <v>PROJECT.CREATED_BY_USER_UID</v>
      </c>
      <c r="Y367" t="str">
        <f>_xlfn.XLOOKUP(Table6[[#This Row],[Table.Column]],ColumnMapping[Add Column Name],ColumnMapping[Old Table.Column],"",0,1)</f>
        <v/>
      </c>
      <c r="Z367" t="str">
        <f>_xlfn.XLOOKUP(Table6[[#This Row],[Old Table.Column]],Cobra8.6[Table.Column],Cobra8.6[TYPE],"",0,1)</f>
        <v/>
      </c>
      <c r="AA367" t="str">
        <f>_xlfn.XLOOKUP(Table6[[#This Row],[Old Table.Column]],Cobra8.6[Table.Column],Cobra8.6[LENGTH],"",0,1)</f>
        <v/>
      </c>
    </row>
    <row r="368" spans="1:28" hidden="1" x14ac:dyDescent="0.2">
      <c r="A368" t="s">
        <v>450</v>
      </c>
      <c r="B368" t="s">
        <v>451</v>
      </c>
      <c r="C368" t="s">
        <v>64</v>
      </c>
      <c r="D368">
        <v>136</v>
      </c>
      <c r="E368" t="s">
        <v>65</v>
      </c>
      <c r="F368" t="str">
        <f>VLOOKUP($E368,'Data Type Lookup'!$A$1:$C$21,2,FALSE)</f>
        <v>TIMESTAMP</v>
      </c>
      <c r="I368" s="32" t="s">
        <v>32</v>
      </c>
      <c r="P368" t="s">
        <v>761</v>
      </c>
      <c r="Q368" t="s">
        <v>67</v>
      </c>
      <c r="R368" t="str">
        <f>VLOOKUP(E368,'Data Type Lookup'!$A$1:$C$21,3,FALSE)</f>
        <v>java.time.Instant</v>
      </c>
      <c r="S368">
        <v>2</v>
      </c>
      <c r="W368" t="str">
        <f t="shared" si="7"/>
        <v>PROJECT.CREATED_DATE</v>
      </c>
      <c r="X368" t="str">
        <f>VLOOKUP(W368,ColumnMapping[New Table.Column],1,)</f>
        <v>PROJECT.CREATED_DATE</v>
      </c>
      <c r="Y368" t="str">
        <f>_xlfn.XLOOKUP(Table6[[#This Row],[Table.Column]],ColumnMapping[Add Column Name],ColumnMapping[Old Table.Column],"",0,1)</f>
        <v/>
      </c>
      <c r="Z368" t="str">
        <f>_xlfn.XLOOKUP(Table6[[#This Row],[Old Table.Column]],Cobra8.6[Table.Column],Cobra8.6[TYPE],"",0,1)</f>
        <v/>
      </c>
      <c r="AA368" t="str">
        <f>_xlfn.XLOOKUP(Table6[[#This Row],[Old Table.Column]],Cobra8.6[Table.Column],Cobra8.6[LENGTH],"",0,1)</f>
        <v/>
      </c>
    </row>
    <row r="369" spans="1:28" hidden="1" x14ac:dyDescent="0.2">
      <c r="A369" t="s">
        <v>450</v>
      </c>
      <c r="B369" t="s">
        <v>451</v>
      </c>
      <c r="C369" t="s">
        <v>68</v>
      </c>
      <c r="D369">
        <v>137</v>
      </c>
      <c r="E369" t="s">
        <v>31</v>
      </c>
      <c r="F369" t="str">
        <f>VLOOKUP($E369,'Data Type Lookup'!$A$1:$C$21,2,FALSE)</f>
        <v>RAW(16)</v>
      </c>
      <c r="I369" s="32" t="s">
        <v>32</v>
      </c>
      <c r="P369" t="s">
        <v>762</v>
      </c>
      <c r="Q369" t="s">
        <v>70</v>
      </c>
      <c r="R369" t="str">
        <f>VLOOKUP(E369,'Data Type Lookup'!$A$1:$C$21,3,FALSE)</f>
        <v>java.util.UUID</v>
      </c>
      <c r="S369">
        <v>2</v>
      </c>
      <c r="W369" t="str">
        <f t="shared" si="7"/>
        <v>PROJECT.LAST_MODIFIED_BY_USER_UID</v>
      </c>
      <c r="X369" t="str">
        <f>VLOOKUP(W369,ColumnMapping[New Table.Column],1,)</f>
        <v>PROJECT.LAST_MODIFIED_BY_USER_UID</v>
      </c>
      <c r="Y369" t="str">
        <f>_xlfn.XLOOKUP(Table6[[#This Row],[Table.Column]],ColumnMapping[Add Column Name],ColumnMapping[Old Table.Column],"",0,1)</f>
        <v/>
      </c>
      <c r="Z369" t="str">
        <f>_xlfn.XLOOKUP(Table6[[#This Row],[Old Table.Column]],Cobra8.6[Table.Column],Cobra8.6[TYPE],"",0,1)</f>
        <v/>
      </c>
      <c r="AA369" t="str">
        <f>_xlfn.XLOOKUP(Table6[[#This Row],[Old Table.Column]],Cobra8.6[Table.Column],Cobra8.6[LENGTH],"",0,1)</f>
        <v/>
      </c>
    </row>
    <row r="370" spans="1:28" hidden="1" x14ac:dyDescent="0.2">
      <c r="A370" t="s">
        <v>450</v>
      </c>
      <c r="B370" t="s">
        <v>451</v>
      </c>
      <c r="C370" t="s">
        <v>71</v>
      </c>
      <c r="D370">
        <v>138</v>
      </c>
      <c r="E370" t="s">
        <v>65</v>
      </c>
      <c r="F370" t="str">
        <f>VLOOKUP($E370,'Data Type Lookup'!$A$1:$C$21,2,FALSE)</f>
        <v>TIMESTAMP</v>
      </c>
      <c r="I370" s="32" t="s">
        <v>32</v>
      </c>
      <c r="P370" t="s">
        <v>763</v>
      </c>
      <c r="Q370" t="s">
        <v>73</v>
      </c>
      <c r="R370" t="str">
        <f>VLOOKUP(E370,'Data Type Lookup'!$A$1:$C$21,3,FALSE)</f>
        <v>java.time.Instant</v>
      </c>
      <c r="S370">
        <v>2</v>
      </c>
      <c r="W370" t="str">
        <f t="shared" si="7"/>
        <v>PROJECT.LAST_MODIFIED_DATE</v>
      </c>
      <c r="X370" t="str">
        <f>VLOOKUP(W370,ColumnMapping[New Table.Column],1,)</f>
        <v>PROJECT.LAST_MODIFIED_DATE</v>
      </c>
      <c r="Y370" t="str">
        <f>_xlfn.XLOOKUP(Table6[[#This Row],[Table.Column]],ColumnMapping[Add Column Name],ColumnMapping[Old Table.Column],"",0,1)</f>
        <v/>
      </c>
      <c r="Z370" t="str">
        <f>_xlfn.XLOOKUP(Table6[[#This Row],[Old Table.Column]],Cobra8.6[Table.Column],Cobra8.6[TYPE],"",0,1)</f>
        <v/>
      </c>
      <c r="AA370" t="str">
        <f>_xlfn.XLOOKUP(Table6[[#This Row],[Old Table.Column]],Cobra8.6[Table.Column],Cobra8.6[LENGTH],"",0,1)</f>
        <v/>
      </c>
    </row>
    <row r="371" spans="1:28" hidden="1" x14ac:dyDescent="0.2">
      <c r="A371" s="17" t="s">
        <v>450</v>
      </c>
      <c r="B371" s="17" t="s">
        <v>764</v>
      </c>
      <c r="C371" s="17" t="s">
        <v>30</v>
      </c>
      <c r="D371" s="17">
        <v>1</v>
      </c>
      <c r="E371" s="17" t="s">
        <v>31</v>
      </c>
      <c r="F371" s="17" t="s">
        <v>765</v>
      </c>
      <c r="G371" s="17"/>
      <c r="H371" s="17"/>
      <c r="I371" s="29" t="s">
        <v>32</v>
      </c>
      <c r="J371" s="29"/>
      <c r="K371" s="29" t="s">
        <v>32</v>
      </c>
      <c r="L371" s="29"/>
      <c r="M371" s="17"/>
      <c r="N371" s="17"/>
      <c r="O371" s="17"/>
      <c r="P371" s="17" t="s">
        <v>766</v>
      </c>
      <c r="Q371" s="17" t="s">
        <v>34</v>
      </c>
      <c r="R371" s="17" t="s">
        <v>767</v>
      </c>
      <c r="S371" s="17">
        <v>3</v>
      </c>
      <c r="W371" t="str">
        <f t="shared" si="7"/>
        <v>PROJECT_AUDIT_LOG.ROW_UID</v>
      </c>
      <c r="X371" t="str">
        <f>VLOOKUP(W371,ColumnMapping[New Table.Column],1,)</f>
        <v>PROJECT_AUDIT_LOG.ROW_UID</v>
      </c>
      <c r="Y371" t="str">
        <f>_xlfn.XLOOKUP(Table6[[#This Row],[Table.Column]],ColumnMapping[Add Column Name],ColumnMapping[Old Table.Column],"",0,1)</f>
        <v/>
      </c>
      <c r="Z371" t="str">
        <f>_xlfn.XLOOKUP(Table6[[#This Row],[Old Table.Column]],Cobra8.6[Table.Column],Cobra8.6[TYPE],"",0,1)</f>
        <v/>
      </c>
      <c r="AA371" t="str">
        <f>_xlfn.XLOOKUP(Table6[[#This Row],[Old Table.Column]],Cobra8.6[Table.Column],Cobra8.6[LENGTH],"",0,1)</f>
        <v/>
      </c>
      <c r="AB371"/>
    </row>
    <row r="372" spans="1:28" hidden="1" x14ac:dyDescent="0.2">
      <c r="A372" s="17" t="s">
        <v>450</v>
      </c>
      <c r="B372" s="17" t="s">
        <v>764</v>
      </c>
      <c r="C372" s="17" t="s">
        <v>35</v>
      </c>
      <c r="D372" s="17">
        <v>2</v>
      </c>
      <c r="E372" s="17" t="s">
        <v>36</v>
      </c>
      <c r="F372" s="17" t="s">
        <v>768</v>
      </c>
      <c r="G372" s="17"/>
      <c r="H372" s="17"/>
      <c r="I372" s="29" t="s">
        <v>32</v>
      </c>
      <c r="J372" s="29">
        <v>0</v>
      </c>
      <c r="K372" s="29"/>
      <c r="L372" s="29"/>
      <c r="M372" s="17"/>
      <c r="N372" s="17"/>
      <c r="O372" s="17"/>
      <c r="P372" s="17" t="s">
        <v>37</v>
      </c>
      <c r="Q372" s="17" t="s">
        <v>38</v>
      </c>
      <c r="R372" s="17" t="s">
        <v>769</v>
      </c>
      <c r="S372" s="17">
        <v>3</v>
      </c>
      <c r="W372" t="str">
        <f t="shared" si="7"/>
        <v>PROJECT_AUDIT_LOG.SEQUENCE</v>
      </c>
      <c r="X372" t="str">
        <f>VLOOKUP(W372,ColumnMapping[New Table.Column],1,)</f>
        <v>PROJECT_AUDIT_LOG.SEQUENCE</v>
      </c>
      <c r="Y372" t="str">
        <f>_xlfn.XLOOKUP(Table6[[#This Row],[Table.Column]],ColumnMapping[Add Column Name],ColumnMapping[Old Table.Column],"",0,1)</f>
        <v/>
      </c>
      <c r="Z372" t="str">
        <f>_xlfn.XLOOKUP(Table6[[#This Row],[Old Table.Column]],Cobra8.6[Table.Column],Cobra8.6[TYPE],"",0,1)</f>
        <v/>
      </c>
      <c r="AA372" t="str">
        <f>_xlfn.XLOOKUP(Table6[[#This Row],[Old Table.Column]],Cobra8.6[Table.Column],Cobra8.6[LENGTH],"",0,1)</f>
        <v/>
      </c>
      <c r="AB372"/>
    </row>
    <row r="373" spans="1:28" hidden="1" x14ac:dyDescent="0.2">
      <c r="A373" s="17" t="s">
        <v>450</v>
      </c>
      <c r="B373" s="17" t="s">
        <v>764</v>
      </c>
      <c r="C373" s="17" t="s">
        <v>770</v>
      </c>
      <c r="D373" s="17">
        <v>3</v>
      </c>
      <c r="E373" s="17" t="s">
        <v>31</v>
      </c>
      <c r="F373" s="17" t="s">
        <v>765</v>
      </c>
      <c r="G373" s="17"/>
      <c r="H373" s="17"/>
      <c r="I373" s="29" t="s">
        <v>32</v>
      </c>
      <c r="J373" s="29"/>
      <c r="K373" s="29"/>
      <c r="L373" s="29"/>
      <c r="M373" s="17" t="s">
        <v>451</v>
      </c>
      <c r="N373" s="17" t="s">
        <v>30</v>
      </c>
      <c r="O373" s="17" t="s">
        <v>41</v>
      </c>
      <c r="P373" s="17" t="s">
        <v>452</v>
      </c>
      <c r="Q373" s="17" t="s">
        <v>771</v>
      </c>
      <c r="R373" s="17" t="s">
        <v>767</v>
      </c>
      <c r="S373" s="17">
        <v>1</v>
      </c>
      <c r="W373" t="str">
        <f t="shared" si="7"/>
        <v>PROJECT_AUDIT_LOG.PROJECT_UID</v>
      </c>
      <c r="X373" t="str">
        <f>VLOOKUP(W373,ColumnMapping[New Table.Column],1,)</f>
        <v>PROJECT_AUDIT_LOG.PROJECT_UID</v>
      </c>
      <c r="Y373" t="str">
        <f>_xlfn.XLOOKUP(Table6[[#This Row],[Table.Column]],ColumnMapping[Add Column Name],ColumnMapping[Old Table.Column],"",0,1)</f>
        <v/>
      </c>
      <c r="Z373" t="str">
        <f>_xlfn.XLOOKUP(Table6[[#This Row],[Old Table.Column]],Cobra8.6[Table.Column],Cobra8.6[TYPE],"",0,1)</f>
        <v/>
      </c>
      <c r="AA373" t="str">
        <f>_xlfn.XLOOKUP(Table6[[#This Row],[Old Table.Column]],Cobra8.6[Table.Column],Cobra8.6[LENGTH],"",0,1)</f>
        <v/>
      </c>
      <c r="AB373"/>
    </row>
    <row r="374" spans="1:28" hidden="1" x14ac:dyDescent="0.2">
      <c r="A374" s="17" t="s">
        <v>450</v>
      </c>
      <c r="B374" s="17" t="s">
        <v>764</v>
      </c>
      <c r="C374" s="17" t="s">
        <v>772</v>
      </c>
      <c r="D374" s="17">
        <v>4</v>
      </c>
      <c r="E374" s="17" t="s">
        <v>48</v>
      </c>
      <c r="F374" s="17" t="s">
        <v>773</v>
      </c>
      <c r="G374" s="17">
        <v>100</v>
      </c>
      <c r="H374" s="17"/>
      <c r="I374" s="29"/>
      <c r="J374" s="29"/>
      <c r="K374" s="29"/>
      <c r="L374" s="29"/>
      <c r="M374" s="17"/>
      <c r="N374" s="17"/>
      <c r="O374" s="17"/>
      <c r="P374" s="17" t="s">
        <v>774</v>
      </c>
      <c r="Q374" s="17" t="s">
        <v>50</v>
      </c>
      <c r="R374" s="17" t="s">
        <v>681</v>
      </c>
      <c r="S374" s="17"/>
      <c r="W374" t="str">
        <f t="shared" si="7"/>
        <v>PROJECT_AUDIT_LOG.PROJECT_CONTROL_ACCOUNT_NAME</v>
      </c>
      <c r="X374" t="str">
        <f>VLOOKUP(W374,ColumnMapping[New Table.Column],1,)</f>
        <v>PROJECT_AUDIT_LOG.PROJECT_CONTROL_ACCOUNT_NAME</v>
      </c>
      <c r="Y374" t="str">
        <f>_xlfn.XLOOKUP(Table6[[#This Row],[Table.Column]],ColumnMapping[Add Column Name],ColumnMapping[Old Table.Column],"",0,1)</f>
        <v/>
      </c>
      <c r="Z374" t="str">
        <f>_xlfn.XLOOKUP(Table6[[#This Row],[Old Table.Column]],Cobra8.6[Table.Column],Cobra8.6[TYPE],"",0,1)</f>
        <v/>
      </c>
      <c r="AA374" t="str">
        <f>_xlfn.XLOOKUP(Table6[[#This Row],[Old Table.Column]],Cobra8.6[Table.Column],Cobra8.6[LENGTH],"",0,1)</f>
        <v/>
      </c>
      <c r="AB374"/>
    </row>
    <row r="375" spans="1:28" hidden="1" x14ac:dyDescent="0.2">
      <c r="A375" s="17" t="s">
        <v>450</v>
      </c>
      <c r="B375" s="17" t="s">
        <v>764</v>
      </c>
      <c r="C375" s="17" t="s">
        <v>775</v>
      </c>
      <c r="D375" s="17">
        <v>5</v>
      </c>
      <c r="E375" s="17" t="s">
        <v>48</v>
      </c>
      <c r="F375" s="17" t="s">
        <v>773</v>
      </c>
      <c r="G375" s="17">
        <v>100</v>
      </c>
      <c r="H375" s="17"/>
      <c r="I375" s="29"/>
      <c r="J375" s="29"/>
      <c r="K375" s="29"/>
      <c r="L375" s="29"/>
      <c r="M375" s="17"/>
      <c r="N375" s="17"/>
      <c r="O375" s="17"/>
      <c r="P375" s="17" t="s">
        <v>776</v>
      </c>
      <c r="Q375" s="17" t="s">
        <v>50</v>
      </c>
      <c r="R375" s="17" t="s">
        <v>681</v>
      </c>
      <c r="S375" s="17"/>
      <c r="W375" t="str">
        <f t="shared" si="7"/>
        <v>PROJECT_AUDIT_LOG.PROJECT_WORK_PACKAGE_NAME</v>
      </c>
      <c r="X375" t="str">
        <f>VLOOKUP(W375,ColumnMapping[New Table.Column],1,)</f>
        <v>PROJECT_AUDIT_LOG.PROJECT_WORK_PACKAGE_NAME</v>
      </c>
      <c r="Y375" t="str">
        <f>_xlfn.XLOOKUP(Table6[[#This Row],[Table.Column]],ColumnMapping[Add Column Name],ColumnMapping[Old Table.Column],"",0,1)</f>
        <v/>
      </c>
      <c r="Z375" t="str">
        <f>_xlfn.XLOOKUP(Table6[[#This Row],[Old Table.Column]],Cobra8.6[Table.Column],Cobra8.6[TYPE],"",0,1)</f>
        <v/>
      </c>
      <c r="AA375" t="str">
        <f>_xlfn.XLOOKUP(Table6[[#This Row],[Old Table.Column]],Cobra8.6[Table.Column],Cobra8.6[LENGTH],"",0,1)</f>
        <v/>
      </c>
      <c r="AB375"/>
    </row>
    <row r="376" spans="1:28" hidden="1" x14ac:dyDescent="0.2">
      <c r="A376" s="17" t="s">
        <v>450</v>
      </c>
      <c r="B376" s="17" t="s">
        <v>764</v>
      </c>
      <c r="C376" s="17" t="s">
        <v>777</v>
      </c>
      <c r="D376" s="17">
        <v>6</v>
      </c>
      <c r="E376" s="17" t="s">
        <v>48</v>
      </c>
      <c r="F376" s="17" t="s">
        <v>773</v>
      </c>
      <c r="G376" s="17">
        <v>100</v>
      </c>
      <c r="H376" s="17"/>
      <c r="I376" s="29"/>
      <c r="J376" s="29"/>
      <c r="K376" s="29"/>
      <c r="L376" s="29"/>
      <c r="M376" s="17"/>
      <c r="N376" s="17"/>
      <c r="O376" s="17"/>
      <c r="P376" s="17" t="s">
        <v>778</v>
      </c>
      <c r="Q376" s="17" t="s">
        <v>50</v>
      </c>
      <c r="R376" s="17" t="s">
        <v>681</v>
      </c>
      <c r="S376" s="17"/>
      <c r="W376" t="str">
        <f t="shared" si="7"/>
        <v>PROJECT_AUDIT_LOG.PROJECT_CAWP_RESOURCE_NAME</v>
      </c>
      <c r="X376" t="str">
        <f>VLOOKUP(W376,ColumnMapping[New Table.Column],1,)</f>
        <v>PROJECT_AUDIT_LOG.PROJECT_CAWP_RESOURCE_NAME</v>
      </c>
      <c r="Y376" t="str">
        <f>_xlfn.XLOOKUP(Table6[[#This Row],[Table.Column]],ColumnMapping[Add Column Name],ColumnMapping[Old Table.Column],"",0,1)</f>
        <v/>
      </c>
      <c r="Z376" t="str">
        <f>_xlfn.XLOOKUP(Table6[[#This Row],[Old Table.Column]],Cobra8.6[Table.Column],Cobra8.6[TYPE],"",0,1)</f>
        <v/>
      </c>
      <c r="AA376" t="str">
        <f>_xlfn.XLOOKUP(Table6[[#This Row],[Old Table.Column]],Cobra8.6[Table.Column],Cobra8.6[LENGTH],"",0,1)</f>
        <v/>
      </c>
      <c r="AB376"/>
    </row>
    <row r="377" spans="1:28" hidden="1" x14ac:dyDescent="0.2">
      <c r="A377" s="17" t="s">
        <v>450</v>
      </c>
      <c r="B377" s="17" t="s">
        <v>764</v>
      </c>
      <c r="C377" s="17" t="s">
        <v>486</v>
      </c>
      <c r="D377" s="17">
        <v>7</v>
      </c>
      <c r="E377" s="17" t="s">
        <v>356</v>
      </c>
      <c r="F377" s="17" t="s">
        <v>356</v>
      </c>
      <c r="G377" s="17"/>
      <c r="H377" s="17"/>
      <c r="I377" s="29" t="s">
        <v>32</v>
      </c>
      <c r="J377" s="29"/>
      <c r="K377" s="29"/>
      <c r="L377" s="29"/>
      <c r="M377" s="17"/>
      <c r="N377" s="17"/>
      <c r="O377" s="17"/>
      <c r="P377" s="17" t="s">
        <v>779</v>
      </c>
      <c r="Q377" s="17" t="s">
        <v>488</v>
      </c>
      <c r="R377" s="17" t="s">
        <v>780</v>
      </c>
      <c r="S377" s="17"/>
      <c r="W377" t="str">
        <f t="shared" si="7"/>
        <v>PROJECT_AUDIT_LOG.PERIOD_END</v>
      </c>
      <c r="X377" t="str">
        <f>VLOOKUP(W377,ColumnMapping[New Table.Column],1,)</f>
        <v>PROJECT_AUDIT_LOG.PERIOD_END</v>
      </c>
      <c r="Y377" t="str">
        <f>_xlfn.XLOOKUP(Table6[[#This Row],[Table.Column]],ColumnMapping[Add Column Name],ColumnMapping[Old Table.Column],"",0,1)</f>
        <v/>
      </c>
      <c r="Z377" t="str">
        <f>_xlfn.XLOOKUP(Table6[[#This Row],[Old Table.Column]],Cobra8.6[Table.Column],Cobra8.6[TYPE],"",0,1)</f>
        <v/>
      </c>
      <c r="AA377" t="str">
        <f>_xlfn.XLOOKUP(Table6[[#This Row],[Old Table.Column]],Cobra8.6[Table.Column],Cobra8.6[LENGTH],"",0,1)</f>
        <v/>
      </c>
      <c r="AB377"/>
    </row>
    <row r="378" spans="1:28" hidden="1" x14ac:dyDescent="0.2">
      <c r="A378" s="17" t="s">
        <v>450</v>
      </c>
      <c r="B378" s="17" t="s">
        <v>764</v>
      </c>
      <c r="C378" s="17" t="s">
        <v>781</v>
      </c>
      <c r="D378" s="17">
        <v>8</v>
      </c>
      <c r="E378" s="17" t="s">
        <v>36</v>
      </c>
      <c r="F378" s="17" t="s">
        <v>782</v>
      </c>
      <c r="G378" s="17"/>
      <c r="H378" s="17"/>
      <c r="I378" s="29" t="s">
        <v>32</v>
      </c>
      <c r="J378" s="29">
        <v>0</v>
      </c>
      <c r="K378" s="29"/>
      <c r="L378" s="29"/>
      <c r="M378" s="17"/>
      <c r="N378" s="17"/>
      <c r="O378" s="17"/>
      <c r="P378" s="17" t="s">
        <v>783</v>
      </c>
      <c r="Q378" s="17" t="s">
        <v>784</v>
      </c>
      <c r="R378" s="17" t="s">
        <v>681</v>
      </c>
      <c r="S378" s="17"/>
      <c r="W378" t="str">
        <f t="shared" si="7"/>
        <v>PROJECT_AUDIT_LOG.REFERENCE_NUMBER</v>
      </c>
      <c r="X378" t="str">
        <f>VLOOKUP(W378,ColumnMapping[New Table.Column],1,)</f>
        <v>PROJECT_AUDIT_LOG.REFERENCE_NUMBER</v>
      </c>
      <c r="Y378" t="str">
        <f>_xlfn.XLOOKUP(Table6[[#This Row],[Table.Column]],ColumnMapping[Add Column Name],ColumnMapping[Old Table.Column],"",0,1)</f>
        <v/>
      </c>
      <c r="Z378" t="str">
        <f>_xlfn.XLOOKUP(Table6[[#This Row],[Old Table.Column]],Cobra8.6[Table.Column],Cobra8.6[TYPE],"",0,1)</f>
        <v/>
      </c>
      <c r="AA378" t="str">
        <f>_xlfn.XLOOKUP(Table6[[#This Row],[Old Table.Column]],Cobra8.6[Table.Column],Cobra8.6[LENGTH],"",0,1)</f>
        <v/>
      </c>
      <c r="AB378"/>
    </row>
    <row r="379" spans="1:28" hidden="1" x14ac:dyDescent="0.2">
      <c r="A379" s="17" t="s">
        <v>450</v>
      </c>
      <c r="B379" s="17" t="s">
        <v>764</v>
      </c>
      <c r="C379" s="17" t="s">
        <v>785</v>
      </c>
      <c r="D379" s="17">
        <v>9</v>
      </c>
      <c r="E379" s="17" t="s">
        <v>31</v>
      </c>
      <c r="F379" s="17" t="s">
        <v>765</v>
      </c>
      <c r="G379" s="17"/>
      <c r="H379" s="17"/>
      <c r="I379" s="29" t="s">
        <v>32</v>
      </c>
      <c r="J379" s="29"/>
      <c r="K379" s="29"/>
      <c r="L379" s="29"/>
      <c r="M379" s="17"/>
      <c r="N379" s="17"/>
      <c r="O379" s="17"/>
      <c r="P379" s="17" t="s">
        <v>786</v>
      </c>
      <c r="Q379" s="17" t="s">
        <v>787</v>
      </c>
      <c r="R379" s="17" t="s">
        <v>767</v>
      </c>
      <c r="S379" s="17"/>
      <c r="W379" t="str">
        <f t="shared" si="7"/>
        <v>PROJECT_AUDIT_LOG.TRANSACTION_UID</v>
      </c>
      <c r="X379" t="str">
        <f>VLOOKUP(W379,ColumnMapping[New Table.Column],1,)</f>
        <v>PROJECT_AUDIT_LOG.TRANSACTION_UID</v>
      </c>
      <c r="Y379" t="str">
        <f>_xlfn.XLOOKUP(Table6[[#This Row],[Table.Column]],ColumnMapping[Add Column Name],ColumnMapping[Old Table.Column],"",0,1)</f>
        <v/>
      </c>
      <c r="Z379" t="str">
        <f>_xlfn.XLOOKUP(Table6[[#This Row],[Old Table.Column]],Cobra8.6[Table.Column],Cobra8.6[TYPE],"",0,1)</f>
        <v/>
      </c>
      <c r="AA379" t="str">
        <f>_xlfn.XLOOKUP(Table6[[#This Row],[Old Table.Column]],Cobra8.6[Table.Column],Cobra8.6[LENGTH],"",0,1)</f>
        <v/>
      </c>
      <c r="AB379"/>
    </row>
    <row r="380" spans="1:28" hidden="1" x14ac:dyDescent="0.2">
      <c r="A380" s="17" t="s">
        <v>450</v>
      </c>
      <c r="B380" s="17" t="s">
        <v>764</v>
      </c>
      <c r="C380" s="17" t="s">
        <v>788</v>
      </c>
      <c r="D380" s="17">
        <v>10</v>
      </c>
      <c r="E380" s="17" t="s">
        <v>288</v>
      </c>
      <c r="F380" s="17" t="s">
        <v>789</v>
      </c>
      <c r="G380" s="17"/>
      <c r="H380" s="17"/>
      <c r="I380" s="29" t="s">
        <v>32</v>
      </c>
      <c r="J380" s="29">
        <v>0</v>
      </c>
      <c r="K380" s="29"/>
      <c r="L380" s="29"/>
      <c r="M380" s="17"/>
      <c r="N380" s="17"/>
      <c r="O380" s="17"/>
      <c r="P380" s="17"/>
      <c r="Q380" s="17" t="s">
        <v>790</v>
      </c>
      <c r="R380" s="17" t="s">
        <v>791</v>
      </c>
      <c r="S380" s="17"/>
      <c r="W380" t="str">
        <f t="shared" si="7"/>
        <v>PROJECT_AUDIT_LOG.DEBIT</v>
      </c>
      <c r="X380" t="str">
        <f>VLOOKUP(W380,ColumnMapping[New Table.Column],1,)</f>
        <v>PROJECT_AUDIT_LOG.DEBIT</v>
      </c>
      <c r="Y380" t="str">
        <f>_xlfn.XLOOKUP(Table6[[#This Row],[Table.Column]],ColumnMapping[Add Column Name],ColumnMapping[Old Table.Column],"",0,1)</f>
        <v/>
      </c>
      <c r="Z380" t="str">
        <f>_xlfn.XLOOKUP(Table6[[#This Row],[Old Table.Column]],Cobra8.6[Table.Column],Cobra8.6[TYPE],"",0,1)</f>
        <v/>
      </c>
      <c r="AA380" t="str">
        <f>_xlfn.XLOOKUP(Table6[[#This Row],[Old Table.Column]],Cobra8.6[Table.Column],Cobra8.6[LENGTH],"",0,1)</f>
        <v/>
      </c>
      <c r="AB380"/>
    </row>
    <row r="381" spans="1:28" hidden="1" x14ac:dyDescent="0.2">
      <c r="A381" s="17" t="s">
        <v>450</v>
      </c>
      <c r="B381" s="17" t="s">
        <v>764</v>
      </c>
      <c r="C381" s="17" t="s">
        <v>792</v>
      </c>
      <c r="D381" s="17">
        <v>11</v>
      </c>
      <c r="E381" s="17" t="s">
        <v>288</v>
      </c>
      <c r="F381" s="17" t="s">
        <v>789</v>
      </c>
      <c r="G381" s="17"/>
      <c r="H381" s="17"/>
      <c r="I381" s="29" t="s">
        <v>32</v>
      </c>
      <c r="J381" s="29">
        <v>0</v>
      </c>
      <c r="K381" s="29"/>
      <c r="L381" s="29"/>
      <c r="M381" s="17"/>
      <c r="N381" s="17"/>
      <c r="O381" s="17"/>
      <c r="P381" s="17"/>
      <c r="Q381" s="17" t="s">
        <v>793</v>
      </c>
      <c r="R381" s="17" t="s">
        <v>791</v>
      </c>
      <c r="S381" s="17"/>
      <c r="W381" t="str">
        <f t="shared" si="7"/>
        <v>PROJECT_AUDIT_LOG.CREDIT</v>
      </c>
      <c r="X381" t="str">
        <f>VLOOKUP(W381,ColumnMapping[New Table.Column],1,)</f>
        <v>PROJECT_AUDIT_LOG.CREDIT</v>
      </c>
      <c r="Y381" t="str">
        <f>_xlfn.XLOOKUP(Table6[[#This Row],[Table.Column]],ColumnMapping[Add Column Name],ColumnMapping[Old Table.Column],"",0,1)</f>
        <v/>
      </c>
      <c r="Z381" t="str">
        <f>_xlfn.XLOOKUP(Table6[[#This Row],[Old Table.Column]],Cobra8.6[Table.Column],Cobra8.6[TYPE],"",0,1)</f>
        <v/>
      </c>
      <c r="AA381" t="str">
        <f>_xlfn.XLOOKUP(Table6[[#This Row],[Old Table.Column]],Cobra8.6[Table.Column],Cobra8.6[LENGTH],"",0,1)</f>
        <v/>
      </c>
      <c r="AB381"/>
    </row>
    <row r="382" spans="1:28" hidden="1" x14ac:dyDescent="0.2">
      <c r="A382" s="17" t="s">
        <v>450</v>
      </c>
      <c r="B382" s="17" t="s">
        <v>764</v>
      </c>
      <c r="C382" s="17" t="s">
        <v>794</v>
      </c>
      <c r="D382" s="17">
        <v>12</v>
      </c>
      <c r="E382" s="17" t="s">
        <v>161</v>
      </c>
      <c r="F382" s="17" t="s">
        <v>795</v>
      </c>
      <c r="G382" s="17"/>
      <c r="H382" s="17"/>
      <c r="I382" s="29" t="s">
        <v>32</v>
      </c>
      <c r="J382" s="29">
        <v>0</v>
      </c>
      <c r="K382" s="29"/>
      <c r="L382" s="29"/>
      <c r="M382" s="17"/>
      <c r="N382" s="17"/>
      <c r="O382" s="17"/>
      <c r="P382" s="17"/>
      <c r="Q382" s="17" t="s">
        <v>796</v>
      </c>
      <c r="R382" s="17" t="s">
        <v>797</v>
      </c>
      <c r="S382" s="17"/>
      <c r="W382" t="str">
        <f t="shared" si="7"/>
        <v>PROJECT_AUDIT_LOG.AMOUNT</v>
      </c>
      <c r="X382" t="str">
        <f>VLOOKUP(W382,ColumnMapping[New Table.Column],1,)</f>
        <v>PROJECT_AUDIT_LOG.AMOUNT</v>
      </c>
      <c r="Y382" t="str">
        <f>_xlfn.XLOOKUP(Table6[[#This Row],[Table.Column]],ColumnMapping[Add Column Name],ColumnMapping[Old Table.Column],"",0,1)</f>
        <v/>
      </c>
      <c r="Z382" t="str">
        <f>_xlfn.XLOOKUP(Table6[[#This Row],[Old Table.Column]],Cobra8.6[Table.Column],Cobra8.6[TYPE],"",0,1)</f>
        <v/>
      </c>
      <c r="AA382" t="str">
        <f>_xlfn.XLOOKUP(Table6[[#This Row],[Old Table.Column]],Cobra8.6[Table.Column],Cobra8.6[LENGTH],"",0,1)</f>
        <v/>
      </c>
      <c r="AB382"/>
    </row>
    <row r="383" spans="1:28" hidden="1" x14ac:dyDescent="0.2">
      <c r="A383" s="17" t="s">
        <v>450</v>
      </c>
      <c r="B383" s="17" t="s">
        <v>764</v>
      </c>
      <c r="C383" s="17" t="s">
        <v>798</v>
      </c>
      <c r="D383" s="17">
        <v>13</v>
      </c>
      <c r="E383" s="17" t="s">
        <v>48</v>
      </c>
      <c r="F383" s="17" t="s">
        <v>773</v>
      </c>
      <c r="G383" s="17">
        <v>200</v>
      </c>
      <c r="H383" s="17"/>
      <c r="I383" s="29"/>
      <c r="J383" s="29"/>
      <c r="K383" s="29"/>
      <c r="L383" s="29"/>
      <c r="M383" s="17"/>
      <c r="N383" s="17"/>
      <c r="O383" s="17"/>
      <c r="P383" s="17"/>
      <c r="Q383" s="17" t="s">
        <v>799</v>
      </c>
      <c r="R383" s="17" t="s">
        <v>681</v>
      </c>
      <c r="S383" s="17"/>
      <c r="W383" t="str">
        <f t="shared" si="7"/>
        <v>PROJECT_AUDIT_LOG.LOG_COMMENT</v>
      </c>
      <c r="X383" t="str">
        <f>VLOOKUP(W383,ColumnMapping[New Table.Column],1,)</f>
        <v>PROJECT_AUDIT_LOG.LOG_COMMENT</v>
      </c>
      <c r="Y383" t="str">
        <f>_xlfn.XLOOKUP(Table6[[#This Row],[Table.Column]],ColumnMapping[Add Column Name],ColumnMapping[Old Table.Column],"",0,1)</f>
        <v/>
      </c>
      <c r="Z383" t="str">
        <f>_xlfn.XLOOKUP(Table6[[#This Row],[Old Table.Column]],Cobra8.6[Table.Column],Cobra8.6[TYPE],"",0,1)</f>
        <v/>
      </c>
      <c r="AA383" t="str">
        <f>_xlfn.XLOOKUP(Table6[[#This Row],[Old Table.Column]],Cobra8.6[Table.Column],Cobra8.6[LENGTH],"",0,1)</f>
        <v/>
      </c>
      <c r="AB383"/>
    </row>
    <row r="384" spans="1:28" hidden="1" x14ac:dyDescent="0.2">
      <c r="A384" s="17" t="s">
        <v>450</v>
      </c>
      <c r="B384" s="17" t="s">
        <v>764</v>
      </c>
      <c r="C384" s="17" t="s">
        <v>800</v>
      </c>
      <c r="D384" s="17">
        <v>14</v>
      </c>
      <c r="E384" s="17" t="s">
        <v>288</v>
      </c>
      <c r="F384" s="17" t="s">
        <v>789</v>
      </c>
      <c r="G384" s="17"/>
      <c r="H384" s="17"/>
      <c r="I384" s="29" t="s">
        <v>32</v>
      </c>
      <c r="J384" s="29">
        <v>0</v>
      </c>
      <c r="K384" s="29"/>
      <c r="L384" s="29"/>
      <c r="M384" s="17"/>
      <c r="N384" s="17"/>
      <c r="O384" s="17"/>
      <c r="P384" s="17"/>
      <c r="Q384" s="17" t="s">
        <v>801</v>
      </c>
      <c r="R384" s="17" t="s">
        <v>791</v>
      </c>
      <c r="S384" s="17"/>
      <c r="W384" t="str">
        <f t="shared" si="7"/>
        <v>PROJECT_AUDIT_LOG.CPR3</v>
      </c>
      <c r="X384" t="str">
        <f>VLOOKUP(W384,ColumnMapping[New Table.Column],1,)</f>
        <v>PROJECT_AUDIT_LOG.CPR3</v>
      </c>
      <c r="Y384" t="str">
        <f>_xlfn.XLOOKUP(Table6[[#This Row],[Table.Column]],ColumnMapping[Add Column Name],ColumnMapping[Old Table.Column],"",0,1)</f>
        <v/>
      </c>
      <c r="Z384" t="str">
        <f>_xlfn.XLOOKUP(Table6[[#This Row],[Old Table.Column]],Cobra8.6[Table.Column],Cobra8.6[TYPE],"",0,1)</f>
        <v/>
      </c>
      <c r="AA384" t="str">
        <f>_xlfn.XLOOKUP(Table6[[#This Row],[Old Table.Column]],Cobra8.6[Table.Column],Cobra8.6[LENGTH],"",0,1)</f>
        <v/>
      </c>
      <c r="AB384"/>
    </row>
    <row r="385" spans="1:28" hidden="1" x14ac:dyDescent="0.2">
      <c r="A385" s="17" t="s">
        <v>450</v>
      </c>
      <c r="B385" s="17" t="s">
        <v>764</v>
      </c>
      <c r="C385" s="17" t="s">
        <v>802</v>
      </c>
      <c r="D385" s="17">
        <v>15</v>
      </c>
      <c r="E385" s="17" t="s">
        <v>48</v>
      </c>
      <c r="F385" s="17" t="s">
        <v>773</v>
      </c>
      <c r="G385" s="17">
        <v>100</v>
      </c>
      <c r="H385" s="17"/>
      <c r="I385" s="29"/>
      <c r="J385" s="29"/>
      <c r="K385" s="29"/>
      <c r="L385" s="29"/>
      <c r="M385" s="17"/>
      <c r="N385" s="17"/>
      <c r="O385" s="17"/>
      <c r="P385" s="17"/>
      <c r="Q385" s="17" t="s">
        <v>803</v>
      </c>
      <c r="R385" s="17" t="s">
        <v>681</v>
      </c>
      <c r="S385" s="17"/>
      <c r="W385" t="str">
        <f t="shared" si="7"/>
        <v>PROJECT_AUDIT_LOG.CHANGE_NUMBER</v>
      </c>
      <c r="X385" t="str">
        <f>VLOOKUP(W385,ColumnMapping[New Table.Column],1,)</f>
        <v>PROJECT_AUDIT_LOG.CHANGE_NUMBER</v>
      </c>
      <c r="Y385" t="str">
        <f>_xlfn.XLOOKUP(Table6[[#This Row],[Table.Column]],ColumnMapping[Add Column Name],ColumnMapping[Old Table.Column],"",0,1)</f>
        <v/>
      </c>
      <c r="Z385" t="str">
        <f>_xlfn.XLOOKUP(Table6[[#This Row],[Old Table.Column]],Cobra8.6[Table.Column],Cobra8.6[TYPE],"",0,1)</f>
        <v/>
      </c>
      <c r="AA385" t="str">
        <f>_xlfn.XLOOKUP(Table6[[#This Row],[Old Table.Column]],Cobra8.6[Table.Column],Cobra8.6[LENGTH],"",0,1)</f>
        <v/>
      </c>
      <c r="AB385"/>
    </row>
    <row r="386" spans="1:28" hidden="1" x14ac:dyDescent="0.2">
      <c r="A386" s="17" t="s">
        <v>450</v>
      </c>
      <c r="B386" s="17" t="s">
        <v>764</v>
      </c>
      <c r="C386" s="17" t="s">
        <v>804</v>
      </c>
      <c r="D386" s="17">
        <v>16</v>
      </c>
      <c r="E386" s="17" t="s">
        <v>288</v>
      </c>
      <c r="F386" s="17" t="s">
        <v>789</v>
      </c>
      <c r="G386" s="17"/>
      <c r="H386" s="17"/>
      <c r="I386" s="29" t="s">
        <v>32</v>
      </c>
      <c r="J386" s="29">
        <v>0</v>
      </c>
      <c r="K386" s="29"/>
      <c r="L386" s="29"/>
      <c r="M386" s="17"/>
      <c r="N386" s="17"/>
      <c r="O386" s="17"/>
      <c r="P386" s="17"/>
      <c r="Q386" s="17" t="s">
        <v>805</v>
      </c>
      <c r="R386" s="17" t="s">
        <v>791</v>
      </c>
      <c r="S386" s="17"/>
      <c r="W386" t="str">
        <f t="shared" ref="W386:W454" si="9">_xlfn.CONCAT(B386,".",C386)</f>
        <v>PROJECT_AUDIT_LOG.SIGNIFICANT_CHANGE</v>
      </c>
      <c r="X386" t="str">
        <f>VLOOKUP(W386,ColumnMapping[New Table.Column],1,)</f>
        <v>PROJECT_AUDIT_LOG.SIGNIFICANT_CHANGE</v>
      </c>
      <c r="Y386" t="str">
        <f>_xlfn.XLOOKUP(Table6[[#This Row],[Table.Column]],ColumnMapping[Add Column Name],ColumnMapping[Old Table.Column],"",0,1)</f>
        <v/>
      </c>
      <c r="Z386" t="str">
        <f>_xlfn.XLOOKUP(Table6[[#This Row],[Old Table.Column]],Cobra8.6[Table.Column],Cobra8.6[TYPE],"",0,1)</f>
        <v/>
      </c>
      <c r="AA386" t="str">
        <f>_xlfn.XLOOKUP(Table6[[#This Row],[Old Table.Column]],Cobra8.6[Table.Column],Cobra8.6[LENGTH],"",0,1)</f>
        <v/>
      </c>
      <c r="AB386"/>
    </row>
    <row r="387" spans="1:28" hidden="1" x14ac:dyDescent="0.2">
      <c r="A387" s="17" t="s">
        <v>450</v>
      </c>
      <c r="B387" s="17" t="s">
        <v>764</v>
      </c>
      <c r="C387" s="17" t="s">
        <v>299</v>
      </c>
      <c r="D387" s="17">
        <v>17</v>
      </c>
      <c r="E387" s="17" t="s">
        <v>161</v>
      </c>
      <c r="F387" s="17" t="s">
        <v>806</v>
      </c>
      <c r="G387" s="17"/>
      <c r="H387" s="17"/>
      <c r="I387" s="29" t="s">
        <v>32</v>
      </c>
      <c r="J387" s="29">
        <v>0</v>
      </c>
      <c r="K387" s="29"/>
      <c r="L387" s="29"/>
      <c r="M387" s="17"/>
      <c r="N387" s="17"/>
      <c r="O387" s="17"/>
      <c r="P387" s="17"/>
      <c r="Q387" s="17" t="s">
        <v>370</v>
      </c>
      <c r="R387" s="17" t="s">
        <v>797</v>
      </c>
      <c r="S387" s="17"/>
      <c r="W387" t="str">
        <f t="shared" si="9"/>
        <v>PROJECT_AUDIT_LOG.HOURS</v>
      </c>
      <c r="X387" t="str">
        <f>VLOOKUP(W387,ColumnMapping[New Table.Column],1,)</f>
        <v>PROJECT_AUDIT_LOG.HOURS</v>
      </c>
      <c r="Y387" t="str">
        <f>_xlfn.XLOOKUP(Table6[[#This Row],[Table.Column]],ColumnMapping[Add Column Name],ColumnMapping[Old Table.Column],"",0,1)</f>
        <v/>
      </c>
      <c r="Z387" t="str">
        <f>_xlfn.XLOOKUP(Table6[[#This Row],[Old Table.Column]],Cobra8.6[Table.Column],Cobra8.6[TYPE],"",0,1)</f>
        <v/>
      </c>
      <c r="AA387" t="str">
        <f>_xlfn.XLOOKUP(Table6[[#This Row],[Old Table.Column]],Cobra8.6[Table.Column],Cobra8.6[LENGTH],"",0,1)</f>
        <v/>
      </c>
      <c r="AB387"/>
    </row>
    <row r="388" spans="1:28" hidden="1" x14ac:dyDescent="0.2">
      <c r="A388" s="17" t="s">
        <v>450</v>
      </c>
      <c r="B388" s="17" t="s">
        <v>764</v>
      </c>
      <c r="C388" s="17" t="s">
        <v>807</v>
      </c>
      <c r="D388" s="17">
        <v>18</v>
      </c>
      <c r="E388" s="17" t="s">
        <v>48</v>
      </c>
      <c r="F388" s="17" t="s">
        <v>773</v>
      </c>
      <c r="G388" s="17">
        <v>100</v>
      </c>
      <c r="H388" s="17"/>
      <c r="I388" s="29"/>
      <c r="J388" s="29"/>
      <c r="K388" s="29"/>
      <c r="L388" s="29"/>
      <c r="M388" s="17"/>
      <c r="N388" s="17"/>
      <c r="O388" s="17"/>
      <c r="P388" s="17"/>
      <c r="Q388" s="17" t="s">
        <v>808</v>
      </c>
      <c r="R388" s="17" t="s">
        <v>681</v>
      </c>
      <c r="S388" s="17"/>
      <c r="W388" t="str">
        <f t="shared" si="9"/>
        <v>PROJECT_AUDIT_LOG.CLIN_NAME</v>
      </c>
      <c r="X388" t="str">
        <f>VLOOKUP(W388,ColumnMapping[New Table.Column],1,)</f>
        <v>PROJECT_AUDIT_LOG.CLIN_NAME</v>
      </c>
      <c r="Y388" t="str">
        <f>_xlfn.XLOOKUP(Table6[[#This Row],[Table.Column]],ColumnMapping[Add Column Name],ColumnMapping[Old Table.Column],"",0,1)</f>
        <v/>
      </c>
      <c r="Z388" t="str">
        <f>_xlfn.XLOOKUP(Table6[[#This Row],[Old Table.Column]],Cobra8.6[Table.Column],Cobra8.6[TYPE],"",0,1)</f>
        <v/>
      </c>
      <c r="AA388" t="str">
        <f>_xlfn.XLOOKUP(Table6[[#This Row],[Old Table.Column]],Cobra8.6[Table.Column],Cobra8.6[LENGTH],"",0,1)</f>
        <v/>
      </c>
      <c r="AB388"/>
    </row>
    <row r="389" spans="1:28" hidden="1" x14ac:dyDescent="0.2">
      <c r="A389" s="17" t="s">
        <v>450</v>
      </c>
      <c r="B389" s="17" t="s">
        <v>764</v>
      </c>
      <c r="C389" s="17" t="s">
        <v>61</v>
      </c>
      <c r="D389" s="17">
        <v>19</v>
      </c>
      <c r="E389" s="17" t="s">
        <v>31</v>
      </c>
      <c r="F389" s="17" t="s">
        <v>765</v>
      </c>
      <c r="G389" s="17"/>
      <c r="H389" s="17"/>
      <c r="I389" s="29" t="s">
        <v>32</v>
      </c>
      <c r="J389" s="29"/>
      <c r="K389" s="29"/>
      <c r="L389" s="29"/>
      <c r="M389" s="17"/>
      <c r="N389" s="17"/>
      <c r="O389" s="17"/>
      <c r="P389" s="17" t="s">
        <v>809</v>
      </c>
      <c r="Q389" s="17" t="s">
        <v>63</v>
      </c>
      <c r="R389" s="17" t="s">
        <v>767</v>
      </c>
      <c r="S389" s="17">
        <v>2</v>
      </c>
      <c r="W389" t="str">
        <f t="shared" si="9"/>
        <v>PROJECT_AUDIT_LOG.CREATED_BY_USER_UID</v>
      </c>
      <c r="X389" t="str">
        <f>VLOOKUP(W389,ColumnMapping[New Table.Column],1,)</f>
        <v>PROJECT_AUDIT_LOG.CREATED_BY_USER_UID</v>
      </c>
      <c r="Y389" t="str">
        <f>_xlfn.XLOOKUP(Table6[[#This Row],[Table.Column]],ColumnMapping[Add Column Name],ColumnMapping[Old Table.Column],"",0,1)</f>
        <v/>
      </c>
      <c r="Z389" t="str">
        <f>_xlfn.XLOOKUP(Table6[[#This Row],[Old Table.Column]],Cobra8.6[Table.Column],Cobra8.6[TYPE],"",0,1)</f>
        <v/>
      </c>
      <c r="AA389" t="str">
        <f>_xlfn.XLOOKUP(Table6[[#This Row],[Old Table.Column]],Cobra8.6[Table.Column],Cobra8.6[LENGTH],"",0,1)</f>
        <v/>
      </c>
      <c r="AB389"/>
    </row>
    <row r="390" spans="1:28" hidden="1" x14ac:dyDescent="0.2">
      <c r="A390" s="17" t="s">
        <v>450</v>
      </c>
      <c r="B390" s="17" t="s">
        <v>764</v>
      </c>
      <c r="C390" s="17" t="s">
        <v>64</v>
      </c>
      <c r="D390" s="17">
        <v>20</v>
      </c>
      <c r="E390" s="17" t="s">
        <v>65</v>
      </c>
      <c r="F390" s="17" t="s">
        <v>65</v>
      </c>
      <c r="G390" s="17"/>
      <c r="H390" s="17"/>
      <c r="I390" s="29" t="s">
        <v>32</v>
      </c>
      <c r="J390" s="29"/>
      <c r="K390" s="29"/>
      <c r="L390" s="29"/>
      <c r="M390" s="17"/>
      <c r="N390" s="17"/>
      <c r="O390" s="17"/>
      <c r="P390" s="17" t="s">
        <v>810</v>
      </c>
      <c r="Q390" s="17" t="s">
        <v>67</v>
      </c>
      <c r="R390" s="17" t="s">
        <v>780</v>
      </c>
      <c r="S390" s="17">
        <v>2</v>
      </c>
      <c r="W390" t="str">
        <f t="shared" si="9"/>
        <v>PROJECT_AUDIT_LOG.CREATED_DATE</v>
      </c>
      <c r="X390" t="str">
        <f>VLOOKUP(W390,ColumnMapping[New Table.Column],1,)</f>
        <v>PROJECT_AUDIT_LOG.CREATED_DATE</v>
      </c>
      <c r="Y390" t="str">
        <f>_xlfn.XLOOKUP(Table6[[#This Row],[Table.Column]],ColumnMapping[Add Column Name],ColumnMapping[Old Table.Column],"",0,1)</f>
        <v/>
      </c>
      <c r="Z390" t="str">
        <f>_xlfn.XLOOKUP(Table6[[#This Row],[Old Table.Column]],Cobra8.6[Table.Column],Cobra8.6[TYPE],"",0,1)</f>
        <v/>
      </c>
      <c r="AA390" t="str">
        <f>_xlfn.XLOOKUP(Table6[[#This Row],[Old Table.Column]],Cobra8.6[Table.Column],Cobra8.6[LENGTH],"",0,1)</f>
        <v/>
      </c>
      <c r="AB390"/>
    </row>
    <row r="391" spans="1:28" hidden="1" x14ac:dyDescent="0.2">
      <c r="A391" s="17" t="s">
        <v>450</v>
      </c>
      <c r="B391" s="17" t="s">
        <v>764</v>
      </c>
      <c r="C391" s="17" t="s">
        <v>68</v>
      </c>
      <c r="D391" s="17">
        <v>21</v>
      </c>
      <c r="E391" s="17" t="s">
        <v>31</v>
      </c>
      <c r="F391" s="17" t="s">
        <v>765</v>
      </c>
      <c r="G391" s="17"/>
      <c r="H391" s="17"/>
      <c r="I391" s="29" t="s">
        <v>32</v>
      </c>
      <c r="J391" s="29"/>
      <c r="K391" s="29"/>
      <c r="L391" s="29"/>
      <c r="M391" s="17"/>
      <c r="N391" s="17"/>
      <c r="O391" s="17"/>
      <c r="P391" s="17" t="s">
        <v>811</v>
      </c>
      <c r="Q391" s="17" t="s">
        <v>70</v>
      </c>
      <c r="R391" s="17" t="s">
        <v>767</v>
      </c>
      <c r="S391" s="17">
        <v>2</v>
      </c>
      <c r="W391" t="str">
        <f t="shared" si="9"/>
        <v>PROJECT_AUDIT_LOG.LAST_MODIFIED_BY_USER_UID</v>
      </c>
      <c r="X391" t="str">
        <f>VLOOKUP(W391,ColumnMapping[New Table.Column],1,)</f>
        <v>PROJECT_AUDIT_LOG.LAST_MODIFIED_BY_USER_UID</v>
      </c>
      <c r="Y391" t="str">
        <f>_xlfn.XLOOKUP(Table6[[#This Row],[Table.Column]],ColumnMapping[Add Column Name],ColumnMapping[Old Table.Column],"",0,1)</f>
        <v/>
      </c>
      <c r="Z391" t="str">
        <f>_xlfn.XLOOKUP(Table6[[#This Row],[Old Table.Column]],Cobra8.6[Table.Column],Cobra8.6[TYPE],"",0,1)</f>
        <v/>
      </c>
      <c r="AA391" t="str">
        <f>_xlfn.XLOOKUP(Table6[[#This Row],[Old Table.Column]],Cobra8.6[Table.Column],Cobra8.6[LENGTH],"",0,1)</f>
        <v/>
      </c>
      <c r="AB391"/>
    </row>
    <row r="392" spans="1:28" hidden="1" x14ac:dyDescent="0.2">
      <c r="A392" s="17" t="s">
        <v>450</v>
      </c>
      <c r="B392" s="17" t="s">
        <v>764</v>
      </c>
      <c r="C392" s="17" t="s">
        <v>71</v>
      </c>
      <c r="D392" s="17">
        <v>22</v>
      </c>
      <c r="E392" s="17" t="s">
        <v>65</v>
      </c>
      <c r="F392" s="17" t="s">
        <v>65</v>
      </c>
      <c r="G392" s="17"/>
      <c r="H392" s="17"/>
      <c r="I392" s="29" t="s">
        <v>32</v>
      </c>
      <c r="J392" s="29"/>
      <c r="K392" s="29"/>
      <c r="L392" s="29"/>
      <c r="M392" s="17"/>
      <c r="N392" s="17"/>
      <c r="O392" s="17"/>
      <c r="P392" s="17" t="s">
        <v>812</v>
      </c>
      <c r="Q392" s="17" t="s">
        <v>73</v>
      </c>
      <c r="R392" s="17" t="s">
        <v>780</v>
      </c>
      <c r="S392" s="17">
        <v>2</v>
      </c>
      <c r="W392" t="str">
        <f t="shared" si="9"/>
        <v>PROJECT_AUDIT_LOG.LAST_MODIFIED_DATE</v>
      </c>
      <c r="X392" t="str">
        <f>VLOOKUP(W392,ColumnMapping[New Table.Column],1,)</f>
        <v>PROJECT_AUDIT_LOG.LAST_MODIFIED_DATE</v>
      </c>
      <c r="Y392" t="str">
        <f>_xlfn.XLOOKUP(Table6[[#This Row],[Table.Column]],ColumnMapping[Add Column Name],ColumnMapping[Old Table.Column],"",0,1)</f>
        <v/>
      </c>
      <c r="Z392" t="str">
        <f>_xlfn.XLOOKUP(Table6[[#This Row],[Old Table.Column]],Cobra8.6[Table.Column],Cobra8.6[TYPE],"",0,1)</f>
        <v/>
      </c>
      <c r="AA392" t="str">
        <f>_xlfn.XLOOKUP(Table6[[#This Row],[Old Table.Column]],Cobra8.6[Table.Column],Cobra8.6[LENGTH],"",0,1)</f>
        <v/>
      </c>
      <c r="AB392"/>
    </row>
    <row r="393" spans="1:28" hidden="1" x14ac:dyDescent="0.2">
      <c r="A393" s="17" t="s">
        <v>450</v>
      </c>
      <c r="B393" s="39" t="s">
        <v>764</v>
      </c>
      <c r="C393" s="39" t="s">
        <v>744</v>
      </c>
      <c r="D393" s="39">
        <v>23</v>
      </c>
      <c r="E393" s="39" t="s">
        <v>86</v>
      </c>
      <c r="F393" s="39" t="s">
        <v>349</v>
      </c>
      <c r="G393" s="39">
        <v>22</v>
      </c>
      <c r="H393" s="39"/>
      <c r="I393" s="47"/>
      <c r="J393" s="47"/>
      <c r="K393" s="47"/>
      <c r="L393" s="47"/>
      <c r="M393" s="39"/>
      <c r="N393" s="39"/>
      <c r="O393" s="39"/>
      <c r="P393" s="39" t="s">
        <v>813</v>
      </c>
      <c r="Q393" s="39" t="s">
        <v>814</v>
      </c>
      <c r="R393" s="39" t="s">
        <v>681</v>
      </c>
      <c r="S393" s="39"/>
      <c r="W393" t="str">
        <f>_xlfn.CONCAT(B393,".",C393)</f>
        <v>PROJECT_AUDIT_LOG.PROGRAM</v>
      </c>
      <c r="X393" t="str">
        <f>VLOOKUP(W393,ColumnMapping[New Table.Column],1,)</f>
        <v>PROJECT_AUDIT_LOG.PROGRAM</v>
      </c>
      <c r="Y393" t="str">
        <f>_xlfn.XLOOKUP(Table6[[#This Row],[Table.Column]],ColumnMapping[Add Column Name],ColumnMapping[Old Table.Column],"",0,1)</f>
        <v/>
      </c>
      <c r="Z393" t="str">
        <f>_xlfn.XLOOKUP(Table6[[#This Row],[Old Table.Column]],Cobra8.6[Table.Column],Cobra8.6[TYPE],"",0,1)</f>
        <v/>
      </c>
      <c r="AA393" t="str">
        <f>_xlfn.XLOOKUP(Table6[[#This Row],[Old Table.Column]],Cobra8.6[Table.Column],Cobra8.6[LENGTH],"",0,1)</f>
        <v/>
      </c>
      <c r="AB393"/>
    </row>
    <row r="394" spans="1:28" hidden="1" x14ac:dyDescent="0.2">
      <c r="A394" s="17" t="s">
        <v>450</v>
      </c>
      <c r="B394" s="17" t="s">
        <v>815</v>
      </c>
      <c r="C394" s="17" t="s">
        <v>30</v>
      </c>
      <c r="D394" s="17">
        <v>1</v>
      </c>
      <c r="E394" s="17" t="s">
        <v>31</v>
      </c>
      <c r="F394" s="17" t="s">
        <v>765</v>
      </c>
      <c r="G394" s="17"/>
      <c r="H394" s="17"/>
      <c r="I394" s="29" t="s">
        <v>32</v>
      </c>
      <c r="J394" s="29"/>
      <c r="K394" s="29" t="s">
        <v>32</v>
      </c>
      <c r="L394" s="29"/>
      <c r="M394" s="17"/>
      <c r="N394" s="17"/>
      <c r="O394" s="17"/>
      <c r="P394" s="17" t="s">
        <v>816</v>
      </c>
      <c r="Q394" s="17" t="s">
        <v>34</v>
      </c>
      <c r="R394" s="17" t="s">
        <v>767</v>
      </c>
      <c r="S394" s="17">
        <v>3</v>
      </c>
      <c r="W394" t="str">
        <f t="shared" si="9"/>
        <v>PROJECT_AUDIT_LOG_ACCOUNTS.ROW_UID</v>
      </c>
      <c r="X394" t="str">
        <f>VLOOKUP(W394,ColumnMapping[New Table.Column],1,)</f>
        <v>PROJECT_AUDIT_LOG_ACCOUNTS.ROW_UID</v>
      </c>
      <c r="Y394" t="str">
        <f>_xlfn.XLOOKUP(Table6[[#This Row],[Table.Column]],ColumnMapping[Add Column Name],ColumnMapping[Old Table.Column],"",0,1)</f>
        <v/>
      </c>
      <c r="Z394" t="str">
        <f>_xlfn.XLOOKUP(Table6[[#This Row],[Old Table.Column]],Cobra8.6[Table.Column],Cobra8.6[TYPE],"",0,1)</f>
        <v/>
      </c>
      <c r="AA394" t="str">
        <f>_xlfn.XLOOKUP(Table6[[#This Row],[Old Table.Column]],Cobra8.6[Table.Column],Cobra8.6[LENGTH],"",0,1)</f>
        <v/>
      </c>
      <c r="AB394"/>
    </row>
    <row r="395" spans="1:28" hidden="1" x14ac:dyDescent="0.2">
      <c r="A395" s="17" t="s">
        <v>450</v>
      </c>
      <c r="B395" s="17" t="s">
        <v>815</v>
      </c>
      <c r="C395" s="17" t="s">
        <v>35</v>
      </c>
      <c r="D395" s="22">
        <v>2</v>
      </c>
      <c r="E395" s="17" t="s">
        <v>36</v>
      </c>
      <c r="F395" s="17" t="s">
        <v>768</v>
      </c>
      <c r="G395" s="17"/>
      <c r="H395" s="17"/>
      <c r="I395" s="29" t="s">
        <v>32</v>
      </c>
      <c r="J395" s="29">
        <v>0</v>
      </c>
      <c r="K395" s="29"/>
      <c r="L395" s="29"/>
      <c r="M395" s="17"/>
      <c r="N395" s="17"/>
      <c r="O395" s="17"/>
      <c r="P395" s="17" t="s">
        <v>37</v>
      </c>
      <c r="Q395" s="17" t="s">
        <v>38</v>
      </c>
      <c r="R395" s="17" t="s">
        <v>769</v>
      </c>
      <c r="S395" s="17">
        <v>3</v>
      </c>
      <c r="W395" t="str">
        <f t="shared" si="9"/>
        <v>PROJECT_AUDIT_LOG_ACCOUNTS.SEQUENCE</v>
      </c>
      <c r="X395" t="str">
        <f>VLOOKUP(W395,ColumnMapping[New Table.Column],1,)</f>
        <v>PROJECT_AUDIT_LOG_ACCOUNTS.SEQUENCE</v>
      </c>
      <c r="Y395" t="str">
        <f>_xlfn.XLOOKUP(Table6[[#This Row],[Table.Column]],ColumnMapping[Add Column Name],ColumnMapping[Old Table.Column],"",0,1)</f>
        <v/>
      </c>
      <c r="Z395" t="str">
        <f>_xlfn.XLOOKUP(Table6[[#This Row],[Old Table.Column]],Cobra8.6[Table.Column],Cobra8.6[TYPE],"",0,1)</f>
        <v/>
      </c>
      <c r="AA395" t="str">
        <f>_xlfn.XLOOKUP(Table6[[#This Row],[Old Table.Column]],Cobra8.6[Table.Column],Cobra8.6[LENGTH],"",0,1)</f>
        <v/>
      </c>
      <c r="AB395"/>
    </row>
    <row r="396" spans="1:28" hidden="1" x14ac:dyDescent="0.2">
      <c r="A396" s="17" t="s">
        <v>450</v>
      </c>
      <c r="B396" s="17" t="s">
        <v>815</v>
      </c>
      <c r="C396" s="17" t="s">
        <v>770</v>
      </c>
      <c r="D396" s="17">
        <v>3</v>
      </c>
      <c r="E396" s="17" t="s">
        <v>31</v>
      </c>
      <c r="F396" s="17" t="s">
        <v>765</v>
      </c>
      <c r="G396" s="17"/>
      <c r="H396" s="17"/>
      <c r="I396" s="29" t="s">
        <v>32</v>
      </c>
      <c r="J396" s="29"/>
      <c r="K396" s="29"/>
      <c r="L396" s="29"/>
      <c r="M396" s="17" t="s">
        <v>451</v>
      </c>
      <c r="N396" s="17" t="s">
        <v>30</v>
      </c>
      <c r="O396" s="17" t="s">
        <v>41</v>
      </c>
      <c r="P396" s="17" t="s">
        <v>452</v>
      </c>
      <c r="Q396" s="17" t="s">
        <v>771</v>
      </c>
      <c r="R396" s="17" t="s">
        <v>767</v>
      </c>
      <c r="S396" s="17">
        <v>1</v>
      </c>
      <c r="W396" t="str">
        <f t="shared" si="9"/>
        <v>PROJECT_AUDIT_LOG_ACCOUNTS.PROJECT_UID</v>
      </c>
      <c r="X396" t="str">
        <f>VLOOKUP(W396,ColumnMapping[New Table.Column],1,)</f>
        <v>PROJECT_AUDIT_LOG_ACCOUNTS.PROJECT_UID</v>
      </c>
      <c r="Y396" t="str">
        <f>_xlfn.XLOOKUP(Table6[[#This Row],[Table.Column]],ColumnMapping[Add Column Name],ColumnMapping[Old Table.Column],"",0,1)</f>
        <v/>
      </c>
      <c r="Z396" t="str">
        <f>_xlfn.XLOOKUP(Table6[[#This Row],[Old Table.Column]],Cobra8.6[Table.Column],Cobra8.6[TYPE],"",0,1)</f>
        <v/>
      </c>
      <c r="AA396" t="str">
        <f>_xlfn.XLOOKUP(Table6[[#This Row],[Old Table.Column]],Cobra8.6[Table.Column],Cobra8.6[LENGTH],"",0,1)</f>
        <v/>
      </c>
      <c r="AB396"/>
    </row>
    <row r="397" spans="1:28" hidden="1" x14ac:dyDescent="0.2">
      <c r="A397" s="17" t="s">
        <v>450</v>
      </c>
      <c r="B397" s="17" t="s">
        <v>815</v>
      </c>
      <c r="C397" s="17" t="s">
        <v>781</v>
      </c>
      <c r="D397" s="17">
        <v>4</v>
      </c>
      <c r="E397" s="17" t="s">
        <v>36</v>
      </c>
      <c r="F397" s="17" t="s">
        <v>782</v>
      </c>
      <c r="G397" s="17"/>
      <c r="H397" s="17"/>
      <c r="I397" s="29" t="s">
        <v>32</v>
      </c>
      <c r="J397" s="29">
        <v>0</v>
      </c>
      <c r="K397" s="29"/>
      <c r="L397" s="29"/>
      <c r="M397" s="17"/>
      <c r="N397" s="17"/>
      <c r="O397" s="17"/>
      <c r="P397" s="17" t="s">
        <v>783</v>
      </c>
      <c r="Q397" s="17" t="s">
        <v>784</v>
      </c>
      <c r="R397" s="17" t="s">
        <v>681</v>
      </c>
      <c r="S397" s="17"/>
      <c r="W397" t="str">
        <f t="shared" si="9"/>
        <v>PROJECT_AUDIT_LOG_ACCOUNTS.REFERENCE_NUMBER</v>
      </c>
      <c r="X397" t="str">
        <f>VLOOKUP(W397,ColumnMapping[New Table.Column],1,)</f>
        <v>PROJECT_AUDIT_LOG_ACCOUNTS.REFERENCE_NUMBER</v>
      </c>
      <c r="Y397" t="str">
        <f>_xlfn.XLOOKUP(Table6[[#This Row],[Table.Column]],ColumnMapping[Add Column Name],ColumnMapping[Old Table.Column],"",0,1)</f>
        <v/>
      </c>
      <c r="Z397" t="str">
        <f>_xlfn.XLOOKUP(Table6[[#This Row],[Old Table.Column]],Cobra8.6[Table.Column],Cobra8.6[TYPE],"",0,1)</f>
        <v/>
      </c>
      <c r="AA397" t="str">
        <f>_xlfn.XLOOKUP(Table6[[#This Row],[Old Table.Column]],Cobra8.6[Table.Column],Cobra8.6[LENGTH],"",0,1)</f>
        <v/>
      </c>
      <c r="AB397"/>
    </row>
    <row r="398" spans="1:28" hidden="1" x14ac:dyDescent="0.2">
      <c r="A398" s="17" t="s">
        <v>450</v>
      </c>
      <c r="B398" s="17" t="s">
        <v>815</v>
      </c>
      <c r="C398" s="17" t="s">
        <v>785</v>
      </c>
      <c r="D398" s="17">
        <v>5</v>
      </c>
      <c r="E398" s="17" t="s">
        <v>48</v>
      </c>
      <c r="F398" s="17" t="s">
        <v>773</v>
      </c>
      <c r="G398" s="17">
        <v>100</v>
      </c>
      <c r="H398" s="17"/>
      <c r="I398" s="29" t="s">
        <v>32</v>
      </c>
      <c r="J398" s="29"/>
      <c r="K398" s="29"/>
      <c r="L398" s="29"/>
      <c r="M398" s="17"/>
      <c r="N398" s="17"/>
      <c r="O398" s="17"/>
      <c r="P398" s="17" t="s">
        <v>786</v>
      </c>
      <c r="Q398" s="17" t="s">
        <v>787</v>
      </c>
      <c r="R398" s="17" t="s">
        <v>681</v>
      </c>
      <c r="S398" s="17"/>
      <c r="W398" t="str">
        <f t="shared" si="9"/>
        <v>PROJECT_AUDIT_LOG_ACCOUNTS.TRANSACTION_UID</v>
      </c>
      <c r="X398" t="str">
        <f>VLOOKUP(W398,ColumnMapping[New Table.Column],1,)</f>
        <v>PROJECT_AUDIT_LOG_ACCOUNTS.TRANSACTION_UID</v>
      </c>
      <c r="Y398" t="str">
        <f>_xlfn.XLOOKUP(Table6[[#This Row],[Table.Column]],ColumnMapping[Add Column Name],ColumnMapping[Old Table.Column],"",0,1)</f>
        <v/>
      </c>
      <c r="Z398" t="str">
        <f>_xlfn.XLOOKUP(Table6[[#This Row],[Old Table.Column]],Cobra8.6[Table.Column],Cobra8.6[TYPE],"",0,1)</f>
        <v/>
      </c>
      <c r="AA398" t="str">
        <f>_xlfn.XLOOKUP(Table6[[#This Row],[Old Table.Column]],Cobra8.6[Table.Column],Cobra8.6[LENGTH],"",0,1)</f>
        <v/>
      </c>
      <c r="AB398"/>
    </row>
    <row r="399" spans="1:28" hidden="1" x14ac:dyDescent="0.2">
      <c r="A399" s="17" t="s">
        <v>450</v>
      </c>
      <c r="B399" s="17" t="s">
        <v>815</v>
      </c>
      <c r="C399" s="17" t="s">
        <v>486</v>
      </c>
      <c r="D399" s="17">
        <v>6</v>
      </c>
      <c r="E399" s="17" t="s">
        <v>356</v>
      </c>
      <c r="F399" s="17" t="s">
        <v>356</v>
      </c>
      <c r="G399" s="17"/>
      <c r="H399" s="17"/>
      <c r="I399" s="29" t="s">
        <v>32</v>
      </c>
      <c r="J399" s="29"/>
      <c r="K399" s="29"/>
      <c r="L399" s="29"/>
      <c r="M399" s="17"/>
      <c r="N399" s="17"/>
      <c r="O399" s="17"/>
      <c r="P399" s="17" t="s">
        <v>817</v>
      </c>
      <c r="Q399" s="17" t="s">
        <v>488</v>
      </c>
      <c r="R399" s="17" t="s">
        <v>780</v>
      </c>
      <c r="S399" s="17"/>
      <c r="W399" t="str">
        <f t="shared" si="9"/>
        <v>PROJECT_AUDIT_LOG_ACCOUNTS.PERIOD_END</v>
      </c>
      <c r="X399" t="str">
        <f>VLOOKUP(W399,ColumnMapping[New Table.Column],1,)</f>
        <v>PROJECT_AUDIT_LOG_ACCOUNTS.PERIOD_END</v>
      </c>
      <c r="Y399" t="str">
        <f>_xlfn.XLOOKUP(Table6[[#This Row],[Table.Column]],ColumnMapping[Add Column Name],ColumnMapping[Old Table.Column],"",0,1)</f>
        <v/>
      </c>
      <c r="Z399" t="str">
        <f>_xlfn.XLOOKUP(Table6[[#This Row],[Old Table.Column]],Cobra8.6[Table.Column],Cobra8.6[TYPE],"",0,1)</f>
        <v/>
      </c>
      <c r="AA399" t="str">
        <f>_xlfn.XLOOKUP(Table6[[#This Row],[Old Table.Column]],Cobra8.6[Table.Column],Cobra8.6[LENGTH],"",0,1)</f>
        <v/>
      </c>
      <c r="AB399"/>
    </row>
    <row r="400" spans="1:28" hidden="1" x14ac:dyDescent="0.2">
      <c r="A400" s="17" t="s">
        <v>450</v>
      </c>
      <c r="B400" s="17" t="s">
        <v>815</v>
      </c>
      <c r="C400" s="17" t="s">
        <v>440</v>
      </c>
      <c r="D400" s="17">
        <v>7</v>
      </c>
      <c r="E400" s="17" t="s">
        <v>48</v>
      </c>
      <c r="F400" s="17" t="s">
        <v>773</v>
      </c>
      <c r="G400" s="17">
        <v>10</v>
      </c>
      <c r="H400" s="17"/>
      <c r="I400" s="29" t="s">
        <v>32</v>
      </c>
      <c r="J400" s="29"/>
      <c r="K400" s="29"/>
      <c r="L400" s="29"/>
      <c r="M400" s="17"/>
      <c r="N400" s="17"/>
      <c r="O400" s="17"/>
      <c r="P400" s="17" t="s">
        <v>818</v>
      </c>
      <c r="Q400" s="17" t="s">
        <v>442</v>
      </c>
      <c r="R400" s="17" t="s">
        <v>681</v>
      </c>
      <c r="S400" s="17"/>
      <c r="W400" t="str">
        <f t="shared" si="9"/>
        <v>PROJECT_AUDIT_LOG_ACCOUNTS.LABEL</v>
      </c>
      <c r="X400" t="str">
        <f>VLOOKUP(W400,ColumnMapping[New Table.Column],1,)</f>
        <v>PROJECT_AUDIT_LOG_ACCOUNTS.LABEL</v>
      </c>
      <c r="Y400" t="str">
        <f>_xlfn.XLOOKUP(Table6[[#This Row],[Table.Column]],ColumnMapping[Add Column Name],ColumnMapping[Old Table.Column],"",0,1)</f>
        <v/>
      </c>
      <c r="Z400" t="str">
        <f>_xlfn.XLOOKUP(Table6[[#This Row],[Old Table.Column]],Cobra8.6[Table.Column],Cobra8.6[TYPE],"",0,1)</f>
        <v/>
      </c>
      <c r="AA400" t="str">
        <f>_xlfn.XLOOKUP(Table6[[#This Row],[Old Table.Column]],Cobra8.6[Table.Column],Cobra8.6[LENGTH],"",0,1)</f>
        <v/>
      </c>
      <c r="AB400"/>
    </row>
    <row r="401" spans="1:28" hidden="1" x14ac:dyDescent="0.2">
      <c r="A401" s="17" t="s">
        <v>450</v>
      </c>
      <c r="B401" s="17" t="s">
        <v>815</v>
      </c>
      <c r="C401" s="17" t="s">
        <v>798</v>
      </c>
      <c r="D401" s="17">
        <v>8</v>
      </c>
      <c r="E401" s="17" t="s">
        <v>48</v>
      </c>
      <c r="F401" s="17" t="s">
        <v>773</v>
      </c>
      <c r="G401" s="17">
        <v>200</v>
      </c>
      <c r="H401" s="17"/>
      <c r="I401" s="29"/>
      <c r="J401" s="29"/>
      <c r="K401" s="29"/>
      <c r="L401" s="29"/>
      <c r="M401" s="17"/>
      <c r="N401" s="17"/>
      <c r="O401" s="17"/>
      <c r="P401" s="17"/>
      <c r="Q401" s="17" t="s">
        <v>799</v>
      </c>
      <c r="R401" s="17" t="s">
        <v>681</v>
      </c>
      <c r="S401" s="17"/>
      <c r="W401" t="str">
        <f t="shared" si="9"/>
        <v>PROJECT_AUDIT_LOG_ACCOUNTS.LOG_COMMENT</v>
      </c>
      <c r="X401" t="str">
        <f>VLOOKUP(W401,ColumnMapping[New Table.Column],1,)</f>
        <v>PROJECT_AUDIT_LOG_ACCOUNTS.LOG_COMMENT</v>
      </c>
      <c r="Y401" t="str">
        <f>_xlfn.XLOOKUP(Table6[[#This Row],[Table.Column]],ColumnMapping[Add Column Name],ColumnMapping[Old Table.Column],"",0,1)</f>
        <v/>
      </c>
      <c r="Z401" t="str">
        <f>_xlfn.XLOOKUP(Table6[[#This Row],[Old Table.Column]],Cobra8.6[Table.Column],Cobra8.6[TYPE],"",0,1)</f>
        <v/>
      </c>
      <c r="AA401" t="str">
        <f>_xlfn.XLOOKUP(Table6[[#This Row],[Old Table.Column]],Cobra8.6[Table.Column],Cobra8.6[LENGTH],"",0,1)</f>
        <v/>
      </c>
      <c r="AB401"/>
    </row>
    <row r="402" spans="1:28" hidden="1" x14ac:dyDescent="0.2">
      <c r="A402" s="17" t="s">
        <v>450</v>
      </c>
      <c r="B402" s="17" t="s">
        <v>815</v>
      </c>
      <c r="C402" s="17" t="s">
        <v>531</v>
      </c>
      <c r="D402" s="17">
        <v>9</v>
      </c>
      <c r="E402" s="17" t="s">
        <v>161</v>
      </c>
      <c r="F402" s="17" t="s">
        <v>795</v>
      </c>
      <c r="G402" s="17"/>
      <c r="H402" s="17"/>
      <c r="I402" s="29" t="s">
        <v>32</v>
      </c>
      <c r="J402" s="29">
        <v>0</v>
      </c>
      <c r="K402" s="29"/>
      <c r="L402" s="29"/>
      <c r="M402" s="17"/>
      <c r="N402" s="17"/>
      <c r="O402" s="17"/>
      <c r="P402" s="17" t="s">
        <v>819</v>
      </c>
      <c r="Q402" s="17" t="s">
        <v>533</v>
      </c>
      <c r="R402" s="17" t="s">
        <v>797</v>
      </c>
      <c r="S402" s="17"/>
      <c r="W402" t="str">
        <f t="shared" si="9"/>
        <v>PROJECT_AUDIT_LOG_ACCOUNTS.UB</v>
      </c>
      <c r="X402" t="str">
        <f>VLOOKUP(W402,ColumnMapping[New Table.Column],1,)</f>
        <v>PROJECT_AUDIT_LOG_ACCOUNTS.UB</v>
      </c>
      <c r="Y402" t="str">
        <f>_xlfn.XLOOKUP(Table6[[#This Row],[Table.Column]],ColumnMapping[Add Column Name],ColumnMapping[Old Table.Column],"",0,1)</f>
        <v/>
      </c>
      <c r="Z402" t="str">
        <f>_xlfn.XLOOKUP(Table6[[#This Row],[Old Table.Column]],Cobra8.6[Table.Column],Cobra8.6[TYPE],"",0,1)</f>
        <v/>
      </c>
      <c r="AA402" t="str">
        <f>_xlfn.XLOOKUP(Table6[[#This Row],[Old Table.Column]],Cobra8.6[Table.Column],Cobra8.6[LENGTH],"",0,1)</f>
        <v/>
      </c>
      <c r="AB402"/>
    </row>
    <row r="403" spans="1:28" hidden="1" x14ac:dyDescent="0.2">
      <c r="A403" s="17" t="s">
        <v>450</v>
      </c>
      <c r="B403" s="17" t="s">
        <v>815</v>
      </c>
      <c r="C403" s="17" t="s">
        <v>528</v>
      </c>
      <c r="D403" s="17">
        <v>10</v>
      </c>
      <c r="E403" s="17" t="s">
        <v>161</v>
      </c>
      <c r="F403" s="17" t="s">
        <v>795</v>
      </c>
      <c r="G403" s="17"/>
      <c r="H403" s="17"/>
      <c r="I403" s="29" t="s">
        <v>32</v>
      </c>
      <c r="J403" s="29">
        <v>0</v>
      </c>
      <c r="K403" s="29"/>
      <c r="L403" s="29"/>
      <c r="M403" s="17"/>
      <c r="N403" s="17"/>
      <c r="O403" s="17"/>
      <c r="P403" s="17" t="s">
        <v>820</v>
      </c>
      <c r="Q403" s="17" t="s">
        <v>530</v>
      </c>
      <c r="R403" s="17" t="s">
        <v>797</v>
      </c>
      <c r="S403" s="17"/>
      <c r="W403" t="str">
        <f t="shared" si="9"/>
        <v>PROJECT_AUDIT_LOG_ACCOUNTS.MR</v>
      </c>
      <c r="X403" t="str">
        <f>VLOOKUP(W403,ColumnMapping[New Table.Column],1,)</f>
        <v>PROJECT_AUDIT_LOG_ACCOUNTS.MR</v>
      </c>
      <c r="Y403" t="str">
        <f>_xlfn.XLOOKUP(Table6[[#This Row],[Table.Column]],ColumnMapping[Add Column Name],ColumnMapping[Old Table.Column],"",0,1)</f>
        <v/>
      </c>
      <c r="Z403" t="str">
        <f>_xlfn.XLOOKUP(Table6[[#This Row],[Old Table.Column]],Cobra8.6[Table.Column],Cobra8.6[TYPE],"",0,1)</f>
        <v/>
      </c>
      <c r="AA403" t="str">
        <f>_xlfn.XLOOKUP(Table6[[#This Row],[Old Table.Column]],Cobra8.6[Table.Column],Cobra8.6[LENGTH],"",0,1)</f>
        <v/>
      </c>
      <c r="AB403"/>
    </row>
    <row r="404" spans="1:28" hidden="1" x14ac:dyDescent="0.2">
      <c r="A404" s="17" t="s">
        <v>450</v>
      </c>
      <c r="B404" s="17" t="s">
        <v>815</v>
      </c>
      <c r="C404" s="17" t="s">
        <v>516</v>
      </c>
      <c r="D404" s="17">
        <v>11</v>
      </c>
      <c r="E404" s="17" t="s">
        <v>161</v>
      </c>
      <c r="F404" s="17" t="s">
        <v>795</v>
      </c>
      <c r="G404" s="17"/>
      <c r="H404" s="17"/>
      <c r="I404" s="29" t="s">
        <v>32</v>
      </c>
      <c r="J404" s="29">
        <v>0</v>
      </c>
      <c r="K404" s="29"/>
      <c r="L404" s="29"/>
      <c r="M404" s="17"/>
      <c r="N404" s="17"/>
      <c r="O404" s="17"/>
      <c r="P404" s="17" t="s">
        <v>821</v>
      </c>
      <c r="Q404" s="17" t="s">
        <v>518</v>
      </c>
      <c r="R404" s="17" t="s">
        <v>797</v>
      </c>
      <c r="S404" s="17"/>
      <c r="W404" t="str">
        <f t="shared" si="9"/>
        <v>PROJECT_AUDIT_LOG_ACCOUNTS.AUW</v>
      </c>
      <c r="X404" t="str">
        <f>VLOOKUP(W404,ColumnMapping[New Table.Column],1,)</f>
        <v>PROJECT_AUDIT_LOG_ACCOUNTS.AUW</v>
      </c>
      <c r="Y404" t="str">
        <f>_xlfn.XLOOKUP(Table6[[#This Row],[Table.Column]],ColumnMapping[Add Column Name],ColumnMapping[Old Table.Column],"",0,1)</f>
        <v/>
      </c>
      <c r="Z404" t="str">
        <f>_xlfn.XLOOKUP(Table6[[#This Row],[Old Table.Column]],Cobra8.6[Table.Column],Cobra8.6[TYPE],"",0,1)</f>
        <v/>
      </c>
      <c r="AA404" t="str">
        <f>_xlfn.XLOOKUP(Table6[[#This Row],[Old Table.Column]],Cobra8.6[Table.Column],Cobra8.6[LENGTH],"",0,1)</f>
        <v/>
      </c>
      <c r="AB404"/>
    </row>
    <row r="405" spans="1:28" hidden="1" x14ac:dyDescent="0.2">
      <c r="A405" s="17" t="s">
        <v>450</v>
      </c>
      <c r="B405" s="17" t="s">
        <v>815</v>
      </c>
      <c r="C405" s="17" t="s">
        <v>513</v>
      </c>
      <c r="D405" s="17">
        <v>12</v>
      </c>
      <c r="E405" s="17" t="s">
        <v>161</v>
      </c>
      <c r="F405" s="17" t="s">
        <v>795</v>
      </c>
      <c r="G405" s="17"/>
      <c r="H405" s="17"/>
      <c r="I405" s="29" t="s">
        <v>32</v>
      </c>
      <c r="J405" s="29">
        <v>0</v>
      </c>
      <c r="K405" s="29"/>
      <c r="L405" s="29"/>
      <c r="M405" s="17"/>
      <c r="N405" s="17"/>
      <c r="O405" s="17"/>
      <c r="P405" s="17" t="s">
        <v>822</v>
      </c>
      <c r="Q405" s="17" t="s">
        <v>515</v>
      </c>
      <c r="R405" s="17" t="s">
        <v>797</v>
      </c>
      <c r="S405" s="17"/>
      <c r="W405" t="str">
        <f t="shared" si="9"/>
        <v>PROJECT_AUDIT_LOG_ACCOUNTS.CTC</v>
      </c>
      <c r="X405" t="str">
        <f>VLOOKUP(W405,ColumnMapping[New Table.Column],1,)</f>
        <v>PROJECT_AUDIT_LOG_ACCOUNTS.CTC</v>
      </c>
      <c r="Y405" t="str">
        <f>_xlfn.XLOOKUP(Table6[[#This Row],[Table.Column]],ColumnMapping[Add Column Name],ColumnMapping[Old Table.Column],"",0,1)</f>
        <v/>
      </c>
      <c r="Z405" t="str">
        <f>_xlfn.XLOOKUP(Table6[[#This Row],[Old Table.Column]],Cobra8.6[Table.Column],Cobra8.6[TYPE],"",0,1)</f>
        <v/>
      </c>
      <c r="AA405" t="str">
        <f>_xlfn.XLOOKUP(Table6[[#This Row],[Old Table.Column]],Cobra8.6[Table.Column],Cobra8.6[LENGTH],"",0,1)</f>
        <v/>
      </c>
      <c r="AB405"/>
    </row>
    <row r="406" spans="1:28" hidden="1" x14ac:dyDescent="0.2">
      <c r="A406" s="17" t="s">
        <v>450</v>
      </c>
      <c r="B406" s="17" t="s">
        <v>815</v>
      </c>
      <c r="C406" s="17" t="s">
        <v>823</v>
      </c>
      <c r="D406" s="17">
        <v>13</v>
      </c>
      <c r="E406" s="17" t="s">
        <v>161</v>
      </c>
      <c r="F406" s="17" t="s">
        <v>795</v>
      </c>
      <c r="G406" s="17"/>
      <c r="H406" s="17"/>
      <c r="I406" s="29" t="s">
        <v>32</v>
      </c>
      <c r="J406" s="29">
        <v>0</v>
      </c>
      <c r="K406" s="29"/>
      <c r="L406" s="29"/>
      <c r="M406" s="17"/>
      <c r="N406" s="17"/>
      <c r="O406" s="17"/>
      <c r="P406" s="17" t="s">
        <v>824</v>
      </c>
      <c r="Q406" s="17" t="s">
        <v>825</v>
      </c>
      <c r="R406" s="17" t="s">
        <v>797</v>
      </c>
      <c r="S406" s="17"/>
      <c r="W406" t="str">
        <f t="shared" si="9"/>
        <v>PROJECT_AUDIT_LOG_ACCOUNTS.DB</v>
      </c>
      <c r="X406" t="str">
        <f>VLOOKUP(W406,ColumnMapping[New Table.Column],1,)</f>
        <v>PROJECT_AUDIT_LOG_ACCOUNTS.DB</v>
      </c>
      <c r="Y406" t="str">
        <f>_xlfn.XLOOKUP(Table6[[#This Row],[Table.Column]],ColumnMapping[Add Column Name],ColumnMapping[Old Table.Column],"",0,1)</f>
        <v/>
      </c>
      <c r="Z406" t="str">
        <f>_xlfn.XLOOKUP(Table6[[#This Row],[Old Table.Column]],Cobra8.6[Table.Column],Cobra8.6[TYPE],"",0,1)</f>
        <v/>
      </c>
      <c r="AA406" t="str">
        <f>_xlfn.XLOOKUP(Table6[[#This Row],[Old Table.Column]],Cobra8.6[Table.Column],Cobra8.6[LENGTH],"",0,1)</f>
        <v/>
      </c>
      <c r="AB406"/>
    </row>
    <row r="407" spans="1:28" hidden="1" x14ac:dyDescent="0.2">
      <c r="A407" s="17" t="s">
        <v>450</v>
      </c>
      <c r="B407" s="17" t="s">
        <v>815</v>
      </c>
      <c r="C407" s="17" t="s">
        <v>690</v>
      </c>
      <c r="D407" s="17">
        <v>14</v>
      </c>
      <c r="E407" s="17" t="s">
        <v>161</v>
      </c>
      <c r="F407" s="17" t="s">
        <v>795</v>
      </c>
      <c r="G407" s="17"/>
      <c r="H407" s="17"/>
      <c r="I407" s="29" t="s">
        <v>32</v>
      </c>
      <c r="J407" s="29">
        <v>0</v>
      </c>
      <c r="K407" s="29"/>
      <c r="L407" s="29"/>
      <c r="M407" s="17"/>
      <c r="N407" s="17"/>
      <c r="O407" s="17"/>
      <c r="P407" s="17"/>
      <c r="Q407" s="17" t="s">
        <v>826</v>
      </c>
      <c r="R407" s="17" t="s">
        <v>797</v>
      </c>
      <c r="S407" s="17"/>
      <c r="W407" t="str">
        <f t="shared" si="9"/>
        <v>PROJECT_AUDIT_LOG_ACCOUNTS.EAC</v>
      </c>
      <c r="X407" t="str">
        <f>VLOOKUP(W407,ColumnMapping[New Table.Column],1,)</f>
        <v>PROJECT_AUDIT_LOG_ACCOUNTS.EAC</v>
      </c>
      <c r="Y407" t="str">
        <f>_xlfn.XLOOKUP(Table6[[#This Row],[Table.Column]],ColumnMapping[Add Column Name],ColumnMapping[Old Table.Column],"",0,1)</f>
        <v/>
      </c>
      <c r="Z407" t="str">
        <f>_xlfn.XLOOKUP(Table6[[#This Row],[Old Table.Column]],Cobra8.6[Table.Column],Cobra8.6[TYPE],"",0,1)</f>
        <v/>
      </c>
      <c r="AA407" t="str">
        <f>_xlfn.XLOOKUP(Table6[[#This Row],[Old Table.Column]],Cobra8.6[Table.Column],Cobra8.6[LENGTH],"",0,1)</f>
        <v/>
      </c>
      <c r="AB407"/>
    </row>
    <row r="408" spans="1:28" hidden="1" x14ac:dyDescent="0.2">
      <c r="A408" s="17" t="s">
        <v>450</v>
      </c>
      <c r="B408" s="17" t="s">
        <v>815</v>
      </c>
      <c r="C408" s="17" t="s">
        <v>525</v>
      </c>
      <c r="D408" s="17">
        <v>15</v>
      </c>
      <c r="E408" s="17" t="s">
        <v>161</v>
      </c>
      <c r="F408" s="17" t="s">
        <v>795</v>
      </c>
      <c r="G408" s="17"/>
      <c r="H408" s="17"/>
      <c r="I408" s="29" t="s">
        <v>32</v>
      </c>
      <c r="J408" s="29">
        <v>0</v>
      </c>
      <c r="K408" s="29"/>
      <c r="L408" s="29"/>
      <c r="M408" s="17"/>
      <c r="N408" s="17"/>
      <c r="O408" s="17"/>
      <c r="P408" s="17"/>
      <c r="Q408" s="17" t="s">
        <v>527</v>
      </c>
      <c r="R408" s="17" t="s">
        <v>797</v>
      </c>
      <c r="S408" s="17"/>
      <c r="W408" t="str">
        <f t="shared" si="9"/>
        <v>PROJECT_AUDIT_LOG_ACCOUNTS.FEE</v>
      </c>
      <c r="X408" t="str">
        <f>VLOOKUP(W408,ColumnMapping[New Table.Column],1,)</f>
        <v>PROJECT_AUDIT_LOG_ACCOUNTS.FEE</v>
      </c>
      <c r="Y408" t="str">
        <f>_xlfn.XLOOKUP(Table6[[#This Row],[Table.Column]],ColumnMapping[Add Column Name],ColumnMapping[Old Table.Column],"",0,1)</f>
        <v/>
      </c>
      <c r="Z408" t="str">
        <f>_xlfn.XLOOKUP(Table6[[#This Row],[Old Table.Column]],Cobra8.6[Table.Column],Cobra8.6[TYPE],"",0,1)</f>
        <v/>
      </c>
      <c r="AA408" t="str">
        <f>_xlfn.XLOOKUP(Table6[[#This Row],[Old Table.Column]],Cobra8.6[Table.Column],Cobra8.6[LENGTH],"",0,1)</f>
        <v/>
      </c>
      <c r="AB408"/>
    </row>
    <row r="409" spans="1:28" hidden="1" x14ac:dyDescent="0.2">
      <c r="A409" s="17" t="s">
        <v>450</v>
      </c>
      <c r="B409" s="17" t="s">
        <v>815</v>
      </c>
      <c r="C409" s="17" t="s">
        <v>61</v>
      </c>
      <c r="D409" s="17">
        <v>16</v>
      </c>
      <c r="E409" s="17" t="s">
        <v>31</v>
      </c>
      <c r="F409" s="17" t="s">
        <v>765</v>
      </c>
      <c r="G409" s="17"/>
      <c r="H409" s="17"/>
      <c r="I409" s="29" t="s">
        <v>32</v>
      </c>
      <c r="J409" s="29"/>
      <c r="K409" s="29"/>
      <c r="L409" s="29"/>
      <c r="M409" s="17"/>
      <c r="N409" s="17"/>
      <c r="O409" s="17"/>
      <c r="P409" s="17" t="s">
        <v>827</v>
      </c>
      <c r="Q409" s="17" t="s">
        <v>63</v>
      </c>
      <c r="R409" s="17" t="s">
        <v>767</v>
      </c>
      <c r="S409" s="17">
        <v>2</v>
      </c>
      <c r="W409" t="str">
        <f t="shared" si="9"/>
        <v>PROJECT_AUDIT_LOG_ACCOUNTS.CREATED_BY_USER_UID</v>
      </c>
      <c r="X409" t="str">
        <f>VLOOKUP(W409,ColumnMapping[New Table.Column],1,)</f>
        <v>PROJECT_AUDIT_LOG_ACCOUNTS.CREATED_BY_USER_UID</v>
      </c>
      <c r="Y409" t="str">
        <f>_xlfn.XLOOKUP(Table6[[#This Row],[Table.Column]],ColumnMapping[Add Column Name],ColumnMapping[Old Table.Column],"",0,1)</f>
        <v/>
      </c>
      <c r="Z409" t="str">
        <f>_xlfn.XLOOKUP(Table6[[#This Row],[Old Table.Column]],Cobra8.6[Table.Column],Cobra8.6[TYPE],"",0,1)</f>
        <v/>
      </c>
      <c r="AA409" t="str">
        <f>_xlfn.XLOOKUP(Table6[[#This Row],[Old Table.Column]],Cobra8.6[Table.Column],Cobra8.6[LENGTH],"",0,1)</f>
        <v/>
      </c>
      <c r="AB409"/>
    </row>
    <row r="410" spans="1:28" hidden="1" x14ac:dyDescent="0.2">
      <c r="A410" s="17" t="s">
        <v>450</v>
      </c>
      <c r="B410" s="17" t="s">
        <v>815</v>
      </c>
      <c r="C410" s="17" t="s">
        <v>64</v>
      </c>
      <c r="D410" s="17">
        <v>17</v>
      </c>
      <c r="E410" s="17" t="s">
        <v>65</v>
      </c>
      <c r="F410" s="17" t="s">
        <v>65</v>
      </c>
      <c r="G410" s="17"/>
      <c r="H410" s="17"/>
      <c r="I410" s="29" t="s">
        <v>32</v>
      </c>
      <c r="J410" s="29"/>
      <c r="K410" s="29"/>
      <c r="L410" s="29"/>
      <c r="M410" s="17"/>
      <c r="N410" s="17"/>
      <c r="O410" s="17"/>
      <c r="P410" s="17" t="s">
        <v>828</v>
      </c>
      <c r="Q410" s="17" t="s">
        <v>67</v>
      </c>
      <c r="R410" s="17" t="s">
        <v>780</v>
      </c>
      <c r="S410" s="17">
        <v>2</v>
      </c>
      <c r="W410" t="str">
        <f t="shared" si="9"/>
        <v>PROJECT_AUDIT_LOG_ACCOUNTS.CREATED_DATE</v>
      </c>
      <c r="X410" t="str">
        <f>VLOOKUP(W410,ColumnMapping[New Table.Column],1,)</f>
        <v>PROJECT_AUDIT_LOG_ACCOUNTS.CREATED_DATE</v>
      </c>
      <c r="Y410" t="str">
        <f>_xlfn.XLOOKUP(Table6[[#This Row],[Table.Column]],ColumnMapping[Add Column Name],ColumnMapping[Old Table.Column],"",0,1)</f>
        <v/>
      </c>
      <c r="Z410" t="str">
        <f>_xlfn.XLOOKUP(Table6[[#This Row],[Old Table.Column]],Cobra8.6[Table.Column],Cobra8.6[TYPE],"",0,1)</f>
        <v/>
      </c>
      <c r="AA410" t="str">
        <f>_xlfn.XLOOKUP(Table6[[#This Row],[Old Table.Column]],Cobra8.6[Table.Column],Cobra8.6[LENGTH],"",0,1)</f>
        <v/>
      </c>
      <c r="AB410"/>
    </row>
    <row r="411" spans="1:28" hidden="1" x14ac:dyDescent="0.2">
      <c r="A411" s="17" t="s">
        <v>450</v>
      </c>
      <c r="B411" s="17" t="s">
        <v>815</v>
      </c>
      <c r="C411" s="17" t="s">
        <v>68</v>
      </c>
      <c r="D411" s="17">
        <v>18</v>
      </c>
      <c r="E411" s="17" t="s">
        <v>31</v>
      </c>
      <c r="F411" s="17" t="s">
        <v>765</v>
      </c>
      <c r="G411" s="17"/>
      <c r="H411" s="17"/>
      <c r="I411" s="29" t="s">
        <v>32</v>
      </c>
      <c r="J411" s="29"/>
      <c r="K411" s="29"/>
      <c r="L411" s="29"/>
      <c r="M411" s="17"/>
      <c r="N411" s="17"/>
      <c r="O411" s="17"/>
      <c r="P411" s="17" t="s">
        <v>829</v>
      </c>
      <c r="Q411" s="17" t="s">
        <v>70</v>
      </c>
      <c r="R411" s="17" t="s">
        <v>767</v>
      </c>
      <c r="S411" s="17">
        <v>2</v>
      </c>
      <c r="W411" t="str">
        <f t="shared" si="9"/>
        <v>PROJECT_AUDIT_LOG_ACCOUNTS.LAST_MODIFIED_BY_USER_UID</v>
      </c>
      <c r="X411" t="str">
        <f>VLOOKUP(W411,ColumnMapping[New Table.Column],1,)</f>
        <v>PROJECT_AUDIT_LOG_ACCOUNTS.LAST_MODIFIED_BY_USER_UID</v>
      </c>
      <c r="Y411" t="str">
        <f>_xlfn.XLOOKUP(Table6[[#This Row],[Table.Column]],ColumnMapping[Add Column Name],ColumnMapping[Old Table.Column],"",0,1)</f>
        <v/>
      </c>
      <c r="Z411" t="str">
        <f>_xlfn.XLOOKUP(Table6[[#This Row],[Old Table.Column]],Cobra8.6[Table.Column],Cobra8.6[TYPE],"",0,1)</f>
        <v/>
      </c>
      <c r="AA411" t="str">
        <f>_xlfn.XLOOKUP(Table6[[#This Row],[Old Table.Column]],Cobra8.6[Table.Column],Cobra8.6[LENGTH],"",0,1)</f>
        <v/>
      </c>
      <c r="AB411"/>
    </row>
    <row r="412" spans="1:28" hidden="1" x14ac:dyDescent="0.2">
      <c r="A412" s="17" t="s">
        <v>450</v>
      </c>
      <c r="B412" s="17" t="s">
        <v>815</v>
      </c>
      <c r="C412" s="17" t="s">
        <v>71</v>
      </c>
      <c r="D412" s="17">
        <v>19</v>
      </c>
      <c r="E412" s="17" t="s">
        <v>65</v>
      </c>
      <c r="F412" s="17" t="s">
        <v>65</v>
      </c>
      <c r="G412" s="17"/>
      <c r="H412" s="17"/>
      <c r="I412" s="29" t="s">
        <v>32</v>
      </c>
      <c r="J412" s="29"/>
      <c r="K412" s="29"/>
      <c r="L412" s="29"/>
      <c r="M412" s="17"/>
      <c r="N412" s="17"/>
      <c r="O412" s="17"/>
      <c r="P412" s="17" t="s">
        <v>830</v>
      </c>
      <c r="Q412" s="17" t="s">
        <v>73</v>
      </c>
      <c r="R412" s="17" t="s">
        <v>780</v>
      </c>
      <c r="S412" s="17">
        <v>2</v>
      </c>
      <c r="W412" t="str">
        <f t="shared" si="9"/>
        <v>PROJECT_AUDIT_LOG_ACCOUNTS.LAST_MODIFIED_DATE</v>
      </c>
      <c r="X412" t="str">
        <f>VLOOKUP(W412,ColumnMapping[New Table.Column],1,)</f>
        <v>PROJECT_AUDIT_LOG_ACCOUNTS.LAST_MODIFIED_DATE</v>
      </c>
      <c r="Y412" t="str">
        <f>_xlfn.XLOOKUP(Table6[[#This Row],[Table.Column]],ColumnMapping[Add Column Name],ColumnMapping[Old Table.Column],"",0,1)</f>
        <v/>
      </c>
      <c r="Z412" t="str">
        <f>_xlfn.XLOOKUP(Table6[[#This Row],[Old Table.Column]],Cobra8.6[Table.Column],Cobra8.6[TYPE],"",0,1)</f>
        <v/>
      </c>
      <c r="AA412" t="str">
        <f>_xlfn.XLOOKUP(Table6[[#This Row],[Old Table.Column]],Cobra8.6[Table.Column],Cobra8.6[LENGTH],"",0,1)</f>
        <v/>
      </c>
      <c r="AB412"/>
    </row>
    <row r="413" spans="1:28" hidden="1" x14ac:dyDescent="0.2">
      <c r="A413" s="39" t="s">
        <v>450</v>
      </c>
      <c r="B413" s="17" t="s">
        <v>815</v>
      </c>
      <c r="C413" s="39" t="s">
        <v>744</v>
      </c>
      <c r="D413" s="39">
        <v>20</v>
      </c>
      <c r="E413" s="39" t="s">
        <v>86</v>
      </c>
      <c r="F413" s="39" t="s">
        <v>349</v>
      </c>
      <c r="G413" s="39">
        <v>22</v>
      </c>
      <c r="H413" s="39"/>
      <c r="I413" s="47"/>
      <c r="J413" s="47"/>
      <c r="K413" s="47"/>
      <c r="L413" s="47"/>
      <c r="M413" s="39"/>
      <c r="N413" s="39"/>
      <c r="O413" s="39"/>
      <c r="P413" s="39" t="s">
        <v>813</v>
      </c>
      <c r="Q413" s="39" t="s">
        <v>814</v>
      </c>
      <c r="R413" s="39" t="s">
        <v>681</v>
      </c>
      <c r="S413" s="39"/>
      <c r="W413" t="str">
        <f>_xlfn.CONCAT(B413,".",C413)</f>
        <v>PROJECT_AUDIT_LOG_ACCOUNTS.PROGRAM</v>
      </c>
      <c r="X413" t="str">
        <f>VLOOKUP(W413,ColumnMapping[New Table.Column],1,)</f>
        <v>PROJECT_AUDIT_LOG_ACCOUNTS.PROGRAM</v>
      </c>
      <c r="Y413" t="str">
        <f>_xlfn.XLOOKUP(Table6[[#This Row],[Table.Column]],ColumnMapping[Add Column Name],ColumnMapping[Old Table.Column],"",0,1)</f>
        <v/>
      </c>
      <c r="Z413" t="str">
        <f>_xlfn.XLOOKUP(Table6[[#This Row],[Old Table.Column]],Cobra8.6[Table.Column],Cobra8.6[TYPE],"",0,1)</f>
        <v/>
      </c>
      <c r="AA413" t="str">
        <f>_xlfn.XLOOKUP(Table6[[#This Row],[Old Table.Column]],Cobra8.6[Table.Column],Cobra8.6[LENGTH],"",0,1)</f>
        <v/>
      </c>
      <c r="AB413"/>
    </row>
    <row r="414" spans="1:28" hidden="1" x14ac:dyDescent="0.2">
      <c r="A414" s="17" t="s">
        <v>450</v>
      </c>
      <c r="B414" s="17" t="s">
        <v>831</v>
      </c>
      <c r="C414" s="17" t="s">
        <v>30</v>
      </c>
      <c r="D414" s="17">
        <v>1</v>
      </c>
      <c r="E414" s="17" t="s">
        <v>31</v>
      </c>
      <c r="F414" s="17" t="s">
        <v>765</v>
      </c>
      <c r="G414" s="17"/>
      <c r="H414" s="17"/>
      <c r="I414" s="29" t="s">
        <v>32</v>
      </c>
      <c r="J414" s="29"/>
      <c r="K414" s="29" t="s">
        <v>32</v>
      </c>
      <c r="L414" s="29"/>
      <c r="M414" s="17"/>
      <c r="N414" s="17"/>
      <c r="O414" s="17"/>
      <c r="P414" s="17" t="s">
        <v>832</v>
      </c>
      <c r="Q414" s="17" t="s">
        <v>34</v>
      </c>
      <c r="R414" s="17" t="s">
        <v>767</v>
      </c>
      <c r="S414" s="17">
        <v>3</v>
      </c>
      <c r="W414" t="str">
        <f t="shared" si="9"/>
        <v>PROJECT_AUDIT_LOG_HISTORY.ROW_UID</v>
      </c>
      <c r="X414" t="str">
        <f>VLOOKUP(W414,ColumnMapping[New Table.Column],1,)</f>
        <v>PROJECT_AUDIT_LOG_HISTORY.ROW_UID</v>
      </c>
      <c r="Y414" t="str">
        <f>_xlfn.XLOOKUP(Table6[[#This Row],[Table.Column]],ColumnMapping[Add Column Name],ColumnMapping[Old Table.Column],"",0,1)</f>
        <v/>
      </c>
      <c r="Z414" t="str">
        <f>_xlfn.XLOOKUP(Table6[[#This Row],[Old Table.Column]],Cobra8.6[Table.Column],Cobra8.6[TYPE],"",0,1)</f>
        <v/>
      </c>
      <c r="AA414" t="str">
        <f>_xlfn.XLOOKUP(Table6[[#This Row],[Old Table.Column]],Cobra8.6[Table.Column],Cobra8.6[LENGTH],"",0,1)</f>
        <v/>
      </c>
      <c r="AB414"/>
    </row>
    <row r="415" spans="1:28" hidden="1" x14ac:dyDescent="0.2">
      <c r="A415" s="17" t="s">
        <v>450</v>
      </c>
      <c r="B415" s="17" t="s">
        <v>831</v>
      </c>
      <c r="C415" s="17" t="s">
        <v>35</v>
      </c>
      <c r="D415" s="17">
        <v>2</v>
      </c>
      <c r="E415" s="17" t="s">
        <v>36</v>
      </c>
      <c r="F415" s="17" t="s">
        <v>768</v>
      </c>
      <c r="G415" s="17"/>
      <c r="H415" s="17"/>
      <c r="I415" s="29" t="s">
        <v>32</v>
      </c>
      <c r="J415" s="29">
        <v>0</v>
      </c>
      <c r="K415" s="29"/>
      <c r="L415" s="29"/>
      <c r="M415" s="17"/>
      <c r="N415" s="17"/>
      <c r="O415" s="17"/>
      <c r="P415" s="17" t="s">
        <v>37</v>
      </c>
      <c r="Q415" s="17" t="s">
        <v>38</v>
      </c>
      <c r="R415" s="17" t="s">
        <v>769</v>
      </c>
      <c r="S415" s="17">
        <v>3</v>
      </c>
      <c r="W415" t="str">
        <f t="shared" si="9"/>
        <v>PROJECT_AUDIT_LOG_HISTORY.SEQUENCE</v>
      </c>
      <c r="X415" t="str">
        <f>VLOOKUP(W415,ColumnMapping[New Table.Column],1,)</f>
        <v>PROJECT_AUDIT_LOG_HISTORY.SEQUENCE</v>
      </c>
      <c r="Y415" t="str">
        <f>_xlfn.XLOOKUP(Table6[[#This Row],[Table.Column]],ColumnMapping[Add Column Name],ColumnMapping[Old Table.Column],"",0,1)</f>
        <v/>
      </c>
      <c r="Z415" t="str">
        <f>_xlfn.XLOOKUP(Table6[[#This Row],[Old Table.Column]],Cobra8.6[Table.Column],Cobra8.6[TYPE],"",0,1)</f>
        <v/>
      </c>
      <c r="AA415" t="str">
        <f>_xlfn.XLOOKUP(Table6[[#This Row],[Old Table.Column]],Cobra8.6[Table.Column],Cobra8.6[LENGTH],"",0,1)</f>
        <v/>
      </c>
      <c r="AB415"/>
    </row>
    <row r="416" spans="1:28" hidden="1" x14ac:dyDescent="0.2">
      <c r="A416" s="17" t="s">
        <v>450</v>
      </c>
      <c r="B416" s="17" t="s">
        <v>831</v>
      </c>
      <c r="C416" s="17" t="s">
        <v>770</v>
      </c>
      <c r="D416" s="17">
        <v>3</v>
      </c>
      <c r="E416" s="17" t="s">
        <v>31</v>
      </c>
      <c r="F416" s="17" t="s">
        <v>765</v>
      </c>
      <c r="G416" s="17"/>
      <c r="H416" s="17"/>
      <c r="I416" s="29" t="s">
        <v>32</v>
      </c>
      <c r="J416" s="29"/>
      <c r="K416" s="29"/>
      <c r="L416" s="29"/>
      <c r="M416" s="17" t="s">
        <v>451</v>
      </c>
      <c r="N416" s="17" t="s">
        <v>30</v>
      </c>
      <c r="O416" s="17" t="s">
        <v>41</v>
      </c>
      <c r="P416" s="17" t="s">
        <v>452</v>
      </c>
      <c r="Q416" s="17" t="s">
        <v>771</v>
      </c>
      <c r="R416" s="17" t="s">
        <v>767</v>
      </c>
      <c r="S416" s="17">
        <v>1</v>
      </c>
      <c r="W416" t="str">
        <f t="shared" si="9"/>
        <v>PROJECT_AUDIT_LOG_HISTORY.PROJECT_UID</v>
      </c>
      <c r="X416" t="str">
        <f>VLOOKUP(W416,ColumnMapping[New Table.Column],1,)</f>
        <v>PROJECT_AUDIT_LOG_HISTORY.PROJECT_UID</v>
      </c>
      <c r="Y416" t="str">
        <f>_xlfn.XLOOKUP(Table6[[#This Row],[Table.Column]],ColumnMapping[Add Column Name],ColumnMapping[Old Table.Column],"",0,1)</f>
        <v/>
      </c>
      <c r="Z416" t="str">
        <f>_xlfn.XLOOKUP(Table6[[#This Row],[Old Table.Column]],Cobra8.6[Table.Column],Cobra8.6[TYPE],"",0,1)</f>
        <v/>
      </c>
      <c r="AA416" t="str">
        <f>_xlfn.XLOOKUP(Table6[[#This Row],[Old Table.Column]],Cobra8.6[Table.Column],Cobra8.6[LENGTH],"",0,1)</f>
        <v/>
      </c>
      <c r="AB416"/>
    </row>
    <row r="417" spans="1:28" hidden="1" x14ac:dyDescent="0.2">
      <c r="A417" s="17" t="s">
        <v>450</v>
      </c>
      <c r="B417" s="17" t="s">
        <v>831</v>
      </c>
      <c r="C417" s="17" t="s">
        <v>833</v>
      </c>
      <c r="D417" s="17">
        <v>4</v>
      </c>
      <c r="E417" s="17" t="s">
        <v>31</v>
      </c>
      <c r="F417" s="17" t="s">
        <v>765</v>
      </c>
      <c r="G417" s="17"/>
      <c r="H417" s="17"/>
      <c r="I417" s="29" t="s">
        <v>32</v>
      </c>
      <c r="J417" s="29"/>
      <c r="K417" s="29"/>
      <c r="L417" s="29"/>
      <c r="M417" s="17"/>
      <c r="N417" s="17"/>
      <c r="O417" s="17"/>
      <c r="P417" s="17" t="s">
        <v>834</v>
      </c>
      <c r="Q417" s="17" t="s">
        <v>835</v>
      </c>
      <c r="R417" s="17" t="s">
        <v>767</v>
      </c>
      <c r="S417" s="17"/>
      <c r="W417" t="str">
        <f t="shared" si="9"/>
        <v>PROJECT_AUDIT_LOG_HISTORY.PROJECT_CAWP_UID</v>
      </c>
      <c r="X417" t="str">
        <f>VLOOKUP(W417,ColumnMapping[New Table.Column],1,)</f>
        <v>PROJECT_AUDIT_LOG_HISTORY.PROJECT_CAWP_UID</v>
      </c>
      <c r="Y417" t="str">
        <f>_xlfn.XLOOKUP(Table6[[#This Row],[Table.Column]],ColumnMapping[Add Column Name],ColumnMapping[Old Table.Column],"",0,1)</f>
        <v/>
      </c>
      <c r="Z417" t="str">
        <f>_xlfn.XLOOKUP(Table6[[#This Row],[Old Table.Column]],Cobra8.6[Table.Column],Cobra8.6[TYPE],"",0,1)</f>
        <v/>
      </c>
      <c r="AA417" t="str">
        <f>_xlfn.XLOOKUP(Table6[[#This Row],[Old Table.Column]],Cobra8.6[Table.Column],Cobra8.6[LENGTH],"",0,1)</f>
        <v/>
      </c>
      <c r="AB417"/>
    </row>
    <row r="418" spans="1:28" hidden="1" x14ac:dyDescent="0.2">
      <c r="A418" s="17" t="s">
        <v>450</v>
      </c>
      <c r="B418" s="17" t="s">
        <v>831</v>
      </c>
      <c r="C418" s="17" t="s">
        <v>486</v>
      </c>
      <c r="D418" s="17">
        <v>5</v>
      </c>
      <c r="E418" s="17" t="s">
        <v>356</v>
      </c>
      <c r="F418" s="17" t="s">
        <v>356</v>
      </c>
      <c r="G418" s="17"/>
      <c r="H418" s="17"/>
      <c r="I418" s="29" t="s">
        <v>32</v>
      </c>
      <c r="J418" s="29"/>
      <c r="K418" s="29"/>
      <c r="L418" s="29"/>
      <c r="M418" s="17"/>
      <c r="N418" s="17"/>
      <c r="O418" s="17"/>
      <c r="P418" s="17"/>
      <c r="Q418" s="17" t="s">
        <v>488</v>
      </c>
      <c r="R418" s="17" t="s">
        <v>780</v>
      </c>
      <c r="S418" s="17"/>
      <c r="W418" t="str">
        <f t="shared" si="9"/>
        <v>PROJECT_AUDIT_LOG_HISTORY.PERIOD_END</v>
      </c>
      <c r="X418" t="str">
        <f>VLOOKUP(W418,ColumnMapping[New Table.Column],1,)</f>
        <v>PROJECT_AUDIT_LOG_HISTORY.PERIOD_END</v>
      </c>
      <c r="Y418" t="str">
        <f>_xlfn.XLOOKUP(Table6[[#This Row],[Table.Column]],ColumnMapping[Add Column Name],ColumnMapping[Old Table.Column],"",0,1)</f>
        <v/>
      </c>
      <c r="Z418" t="str">
        <f>_xlfn.XLOOKUP(Table6[[#This Row],[Old Table.Column]],Cobra8.6[Table.Column],Cobra8.6[TYPE],"",0,1)</f>
        <v/>
      </c>
      <c r="AA418" t="str">
        <f>_xlfn.XLOOKUP(Table6[[#This Row],[Old Table.Column]],Cobra8.6[Table.Column],Cobra8.6[LENGTH],"",0,1)</f>
        <v/>
      </c>
      <c r="AB418"/>
    </row>
    <row r="419" spans="1:28" hidden="1" x14ac:dyDescent="0.2">
      <c r="A419" s="17" t="s">
        <v>450</v>
      </c>
      <c r="B419" s="17" t="s">
        <v>831</v>
      </c>
      <c r="C419" s="17" t="s">
        <v>607</v>
      </c>
      <c r="D419" s="17">
        <v>6</v>
      </c>
      <c r="E419" s="17" t="s">
        <v>161</v>
      </c>
      <c r="F419" s="17" t="s">
        <v>795</v>
      </c>
      <c r="G419" s="17"/>
      <c r="H419" s="17"/>
      <c r="I419" s="29" t="s">
        <v>32</v>
      </c>
      <c r="J419" s="29">
        <v>0</v>
      </c>
      <c r="K419" s="29"/>
      <c r="L419" s="29"/>
      <c r="M419" s="17"/>
      <c r="N419" s="17"/>
      <c r="O419" s="17"/>
      <c r="P419" s="17"/>
      <c r="Q419" s="17" t="s">
        <v>836</v>
      </c>
      <c r="R419" s="17" t="s">
        <v>797</v>
      </c>
      <c r="S419" s="17"/>
      <c r="W419" t="str">
        <f t="shared" si="9"/>
        <v>PROJECT_AUDIT_LOG_HISTORY.BAC</v>
      </c>
      <c r="X419" t="str">
        <f>VLOOKUP(W419,ColumnMapping[New Table.Column],1,)</f>
        <v>PROJECT_AUDIT_LOG_HISTORY.BAC</v>
      </c>
      <c r="Y419" t="str">
        <f>_xlfn.XLOOKUP(Table6[[#This Row],[Table.Column]],ColumnMapping[Add Column Name],ColumnMapping[Old Table.Column],"",0,1)</f>
        <v/>
      </c>
      <c r="Z419" t="str">
        <f>_xlfn.XLOOKUP(Table6[[#This Row],[Old Table.Column]],Cobra8.6[Table.Column],Cobra8.6[TYPE],"",0,1)</f>
        <v/>
      </c>
      <c r="AA419" t="str">
        <f>_xlfn.XLOOKUP(Table6[[#This Row],[Old Table.Column]],Cobra8.6[Table.Column],Cobra8.6[LENGTH],"",0,1)</f>
        <v/>
      </c>
      <c r="AB419"/>
    </row>
    <row r="420" spans="1:28" hidden="1" x14ac:dyDescent="0.2">
      <c r="A420" s="17" t="s">
        <v>450</v>
      </c>
      <c r="B420" s="17" t="s">
        <v>831</v>
      </c>
      <c r="C420" s="17" t="s">
        <v>690</v>
      </c>
      <c r="D420" s="17">
        <v>7</v>
      </c>
      <c r="E420" s="17" t="s">
        <v>161</v>
      </c>
      <c r="F420" s="17" t="s">
        <v>795</v>
      </c>
      <c r="G420" s="17"/>
      <c r="H420" s="17"/>
      <c r="I420" s="29" t="s">
        <v>32</v>
      </c>
      <c r="J420" s="29">
        <v>0</v>
      </c>
      <c r="K420" s="29"/>
      <c r="L420" s="29"/>
      <c r="M420" s="17"/>
      <c r="N420" s="17"/>
      <c r="O420" s="17"/>
      <c r="P420" s="17"/>
      <c r="Q420" s="17" t="s">
        <v>826</v>
      </c>
      <c r="R420" s="17" t="s">
        <v>797</v>
      </c>
      <c r="S420" s="17"/>
      <c r="W420" t="str">
        <f t="shared" si="9"/>
        <v>PROJECT_AUDIT_LOG_HISTORY.EAC</v>
      </c>
      <c r="X420" t="str">
        <f>VLOOKUP(W420,ColumnMapping[New Table.Column],1,)</f>
        <v>PROJECT_AUDIT_LOG_HISTORY.EAC</v>
      </c>
      <c r="Y420" t="str">
        <f>_xlfn.XLOOKUP(Table6[[#This Row],[Table.Column]],ColumnMapping[Add Column Name],ColumnMapping[Old Table.Column],"",0,1)</f>
        <v/>
      </c>
      <c r="Z420" t="str">
        <f>_xlfn.XLOOKUP(Table6[[#This Row],[Old Table.Column]],Cobra8.6[Table.Column],Cobra8.6[TYPE],"",0,1)</f>
        <v/>
      </c>
      <c r="AA420" t="str">
        <f>_xlfn.XLOOKUP(Table6[[#This Row],[Old Table.Column]],Cobra8.6[Table.Column],Cobra8.6[LENGTH],"",0,1)</f>
        <v/>
      </c>
      <c r="AB420"/>
    </row>
    <row r="421" spans="1:28" hidden="1" x14ac:dyDescent="0.2">
      <c r="A421" s="17" t="s">
        <v>450</v>
      </c>
      <c r="B421" s="17" t="s">
        <v>831</v>
      </c>
      <c r="C421" s="17" t="s">
        <v>617</v>
      </c>
      <c r="D421" s="17">
        <v>8</v>
      </c>
      <c r="E421" s="17" t="s">
        <v>161</v>
      </c>
      <c r="F421" s="17" t="s">
        <v>795</v>
      </c>
      <c r="G421" s="17"/>
      <c r="H421" s="17"/>
      <c r="I421" s="29" t="s">
        <v>32</v>
      </c>
      <c r="J421" s="29">
        <v>0</v>
      </c>
      <c r="K421" s="29"/>
      <c r="L421" s="29"/>
      <c r="M421" s="17"/>
      <c r="N421" s="17"/>
      <c r="O421" s="17"/>
      <c r="P421" s="17"/>
      <c r="Q421" s="17" t="s">
        <v>837</v>
      </c>
      <c r="R421" s="17" t="s">
        <v>797</v>
      </c>
      <c r="S421" s="17"/>
      <c r="W421" t="str">
        <f t="shared" si="9"/>
        <v>PROJECT_AUDIT_LOG_HISTORY.BCWS</v>
      </c>
      <c r="X421" t="str">
        <f>VLOOKUP(W421,ColumnMapping[New Table.Column],1,)</f>
        <v>PROJECT_AUDIT_LOG_HISTORY.BCWS</v>
      </c>
      <c r="Y421" t="str">
        <f>_xlfn.XLOOKUP(Table6[[#This Row],[Table.Column]],ColumnMapping[Add Column Name],ColumnMapping[Old Table.Column],"",0,1)</f>
        <v/>
      </c>
      <c r="Z421" t="str">
        <f>_xlfn.XLOOKUP(Table6[[#This Row],[Old Table.Column]],Cobra8.6[Table.Column],Cobra8.6[TYPE],"",0,1)</f>
        <v/>
      </c>
      <c r="AA421" t="str">
        <f>_xlfn.XLOOKUP(Table6[[#This Row],[Old Table.Column]],Cobra8.6[Table.Column],Cobra8.6[LENGTH],"",0,1)</f>
        <v/>
      </c>
      <c r="AB421"/>
    </row>
    <row r="422" spans="1:28" hidden="1" x14ac:dyDescent="0.2">
      <c r="A422" s="17" t="s">
        <v>450</v>
      </c>
      <c r="B422" s="17" t="s">
        <v>831</v>
      </c>
      <c r="C422" s="17" t="s">
        <v>613</v>
      </c>
      <c r="D422" s="17">
        <v>9</v>
      </c>
      <c r="E422" s="17" t="s">
        <v>161</v>
      </c>
      <c r="F422" s="17" t="s">
        <v>795</v>
      </c>
      <c r="G422" s="17"/>
      <c r="H422" s="17"/>
      <c r="I422" s="29" t="s">
        <v>32</v>
      </c>
      <c r="J422" s="29">
        <v>0</v>
      </c>
      <c r="K422" s="29"/>
      <c r="L422" s="29"/>
      <c r="M422" s="17"/>
      <c r="N422" s="17"/>
      <c r="O422" s="17"/>
      <c r="P422" s="17"/>
      <c r="Q422" s="17" t="s">
        <v>838</v>
      </c>
      <c r="R422" s="17" t="s">
        <v>797</v>
      </c>
      <c r="S422" s="17"/>
      <c r="W422" t="str">
        <f t="shared" si="9"/>
        <v>PROJECT_AUDIT_LOG_HISTORY.BCWP</v>
      </c>
      <c r="X422" t="str">
        <f>VLOOKUP(W422,ColumnMapping[New Table.Column],1,)</f>
        <v>PROJECT_AUDIT_LOG_HISTORY.BCWP</v>
      </c>
      <c r="Y422" t="str">
        <f>_xlfn.XLOOKUP(Table6[[#This Row],[Table.Column]],ColumnMapping[Add Column Name],ColumnMapping[Old Table.Column],"",0,1)</f>
        <v/>
      </c>
      <c r="Z422" t="str">
        <f>_xlfn.XLOOKUP(Table6[[#This Row],[Old Table.Column]],Cobra8.6[Table.Column],Cobra8.6[TYPE],"",0,1)</f>
        <v/>
      </c>
      <c r="AA422" t="str">
        <f>_xlfn.XLOOKUP(Table6[[#This Row],[Old Table.Column]],Cobra8.6[Table.Column],Cobra8.6[LENGTH],"",0,1)</f>
        <v/>
      </c>
      <c r="AB422"/>
    </row>
    <row r="423" spans="1:28" hidden="1" x14ac:dyDescent="0.2">
      <c r="A423" s="17" t="s">
        <v>450</v>
      </c>
      <c r="B423" s="17" t="s">
        <v>831</v>
      </c>
      <c r="C423" s="17" t="s">
        <v>600</v>
      </c>
      <c r="D423" s="17">
        <v>10</v>
      </c>
      <c r="E423" s="17" t="s">
        <v>161</v>
      </c>
      <c r="F423" s="17" t="s">
        <v>795</v>
      </c>
      <c r="G423" s="17"/>
      <c r="H423" s="17"/>
      <c r="I423" s="29" t="s">
        <v>32</v>
      </c>
      <c r="J423" s="29">
        <v>0</v>
      </c>
      <c r="K423" s="29"/>
      <c r="L423" s="29"/>
      <c r="M423" s="17"/>
      <c r="N423" s="17"/>
      <c r="O423" s="17"/>
      <c r="P423" s="17"/>
      <c r="Q423" s="17" t="s">
        <v>839</v>
      </c>
      <c r="R423" s="17" t="s">
        <v>797</v>
      </c>
      <c r="S423" s="17"/>
      <c r="W423" t="str">
        <f t="shared" si="9"/>
        <v>PROJECT_AUDIT_LOG_HISTORY.ACWP</v>
      </c>
      <c r="X423" t="str">
        <f>VLOOKUP(W423,ColumnMapping[New Table.Column],1,)</f>
        <v>PROJECT_AUDIT_LOG_HISTORY.ACWP</v>
      </c>
      <c r="Y423" t="str">
        <f>_xlfn.XLOOKUP(Table6[[#This Row],[Table.Column]],ColumnMapping[Add Column Name],ColumnMapping[Old Table.Column],"",0,1)</f>
        <v/>
      </c>
      <c r="Z423" t="str">
        <f>_xlfn.XLOOKUP(Table6[[#This Row],[Old Table.Column]],Cobra8.6[Table.Column],Cobra8.6[TYPE],"",0,1)</f>
        <v/>
      </c>
      <c r="AA423" t="str">
        <f>_xlfn.XLOOKUP(Table6[[#This Row],[Old Table.Column]],Cobra8.6[Table.Column],Cobra8.6[LENGTH],"",0,1)</f>
        <v/>
      </c>
      <c r="AB423"/>
    </row>
    <row r="424" spans="1:28" hidden="1" x14ac:dyDescent="0.2">
      <c r="A424" s="17" t="s">
        <v>450</v>
      </c>
      <c r="B424" s="17" t="s">
        <v>831</v>
      </c>
      <c r="C424" s="17" t="s">
        <v>619</v>
      </c>
      <c r="D424" s="17">
        <v>11</v>
      </c>
      <c r="E424" s="17" t="s">
        <v>161</v>
      </c>
      <c r="F424" s="17" t="s">
        <v>806</v>
      </c>
      <c r="G424" s="17"/>
      <c r="H424" s="17"/>
      <c r="I424" s="29" t="s">
        <v>32</v>
      </c>
      <c r="J424" s="29">
        <v>0</v>
      </c>
      <c r="K424" s="29"/>
      <c r="L424" s="29"/>
      <c r="M424" s="17"/>
      <c r="N424" s="17"/>
      <c r="O424" s="17"/>
      <c r="P424" s="17"/>
      <c r="Q424" s="17" t="s">
        <v>840</v>
      </c>
      <c r="R424" s="17" t="s">
        <v>797</v>
      </c>
      <c r="S424" s="17"/>
      <c r="W424" t="str">
        <f t="shared" si="9"/>
        <v>PROJECT_AUDIT_LOG_HISTORY.BCWS_HRS</v>
      </c>
      <c r="X424" t="str">
        <f>VLOOKUP(W424,ColumnMapping[New Table.Column],1,)</f>
        <v>PROJECT_AUDIT_LOG_HISTORY.BCWS_HRS</v>
      </c>
      <c r="Y424" t="str">
        <f>_xlfn.XLOOKUP(Table6[[#This Row],[Table.Column]],ColumnMapping[Add Column Name],ColumnMapping[Old Table.Column],"",0,1)</f>
        <v/>
      </c>
      <c r="Z424" t="str">
        <f>_xlfn.XLOOKUP(Table6[[#This Row],[Old Table.Column]],Cobra8.6[Table.Column],Cobra8.6[TYPE],"",0,1)</f>
        <v/>
      </c>
      <c r="AA424" t="str">
        <f>_xlfn.XLOOKUP(Table6[[#This Row],[Old Table.Column]],Cobra8.6[Table.Column],Cobra8.6[LENGTH],"",0,1)</f>
        <v/>
      </c>
      <c r="AB424"/>
    </row>
    <row r="425" spans="1:28" hidden="1" x14ac:dyDescent="0.2">
      <c r="A425" s="17" t="s">
        <v>450</v>
      </c>
      <c r="B425" s="17" t="s">
        <v>831</v>
      </c>
      <c r="C425" s="17" t="s">
        <v>615</v>
      </c>
      <c r="D425" s="17">
        <v>12</v>
      </c>
      <c r="E425" s="17" t="s">
        <v>161</v>
      </c>
      <c r="F425" s="17" t="s">
        <v>806</v>
      </c>
      <c r="G425" s="17"/>
      <c r="H425" s="17"/>
      <c r="I425" s="29" t="s">
        <v>32</v>
      </c>
      <c r="J425" s="29">
        <v>0</v>
      </c>
      <c r="K425" s="29"/>
      <c r="L425" s="29"/>
      <c r="M425" s="17"/>
      <c r="N425" s="17"/>
      <c r="O425" s="17"/>
      <c r="P425" s="17"/>
      <c r="Q425" s="17" t="s">
        <v>841</v>
      </c>
      <c r="R425" s="17" t="s">
        <v>797</v>
      </c>
      <c r="S425" s="17"/>
      <c r="W425" t="str">
        <f t="shared" si="9"/>
        <v>PROJECT_AUDIT_LOG_HISTORY.BCWP_HRS</v>
      </c>
      <c r="X425" t="str">
        <f>VLOOKUP(W425,ColumnMapping[New Table.Column],1,)</f>
        <v>PROJECT_AUDIT_LOG_HISTORY.BCWP_HRS</v>
      </c>
      <c r="Y425" t="str">
        <f>_xlfn.XLOOKUP(Table6[[#This Row],[Table.Column]],ColumnMapping[Add Column Name],ColumnMapping[Old Table.Column],"",0,1)</f>
        <v/>
      </c>
      <c r="Z425" t="str">
        <f>_xlfn.XLOOKUP(Table6[[#This Row],[Old Table.Column]],Cobra8.6[Table.Column],Cobra8.6[TYPE],"",0,1)</f>
        <v/>
      </c>
      <c r="AA425" t="str">
        <f>_xlfn.XLOOKUP(Table6[[#This Row],[Old Table.Column]],Cobra8.6[Table.Column],Cobra8.6[LENGTH],"",0,1)</f>
        <v/>
      </c>
      <c r="AB425"/>
    </row>
    <row r="426" spans="1:28" hidden="1" x14ac:dyDescent="0.2">
      <c r="A426" s="17" t="s">
        <v>450</v>
      </c>
      <c r="B426" s="17" t="s">
        <v>831</v>
      </c>
      <c r="C426" s="17" t="s">
        <v>602</v>
      </c>
      <c r="D426" s="17">
        <v>13</v>
      </c>
      <c r="E426" s="17" t="s">
        <v>161</v>
      </c>
      <c r="F426" s="17" t="s">
        <v>806</v>
      </c>
      <c r="G426" s="17"/>
      <c r="H426" s="17"/>
      <c r="I426" s="29" t="s">
        <v>32</v>
      </c>
      <c r="J426" s="29">
        <v>0</v>
      </c>
      <c r="K426" s="29"/>
      <c r="L426" s="29"/>
      <c r="M426" s="17"/>
      <c r="N426" s="17"/>
      <c r="O426" s="17"/>
      <c r="P426" s="17"/>
      <c r="Q426" s="17" t="s">
        <v>842</v>
      </c>
      <c r="R426" s="17" t="s">
        <v>797</v>
      </c>
      <c r="S426" s="17"/>
      <c r="W426" t="str">
        <f t="shared" si="9"/>
        <v>PROJECT_AUDIT_LOG_HISTORY.ACWP_HRS</v>
      </c>
      <c r="X426" t="str">
        <f>VLOOKUP(W426,ColumnMapping[New Table.Column],1,)</f>
        <v>PROJECT_AUDIT_LOG_HISTORY.ACWP_HRS</v>
      </c>
      <c r="Y426" t="str">
        <f>_xlfn.XLOOKUP(Table6[[#This Row],[Table.Column]],ColumnMapping[Add Column Name],ColumnMapping[Old Table.Column],"",0,1)</f>
        <v/>
      </c>
      <c r="Z426" t="str">
        <f>_xlfn.XLOOKUP(Table6[[#This Row],[Old Table.Column]],Cobra8.6[Table.Column],Cobra8.6[TYPE],"",0,1)</f>
        <v/>
      </c>
      <c r="AA426" t="str">
        <f>_xlfn.XLOOKUP(Table6[[#This Row],[Old Table.Column]],Cobra8.6[Table.Column],Cobra8.6[LENGTH],"",0,1)</f>
        <v/>
      </c>
      <c r="AB426"/>
    </row>
    <row r="427" spans="1:28" hidden="1" x14ac:dyDescent="0.2">
      <c r="A427" s="17" t="s">
        <v>450</v>
      </c>
      <c r="B427" s="17" t="s">
        <v>831</v>
      </c>
      <c r="C427" s="17" t="s">
        <v>609</v>
      </c>
      <c r="D427" s="17">
        <v>14</v>
      </c>
      <c r="E427" s="17" t="s">
        <v>161</v>
      </c>
      <c r="F427" s="17" t="s">
        <v>806</v>
      </c>
      <c r="G427" s="17"/>
      <c r="H427" s="17"/>
      <c r="I427" s="29" t="s">
        <v>32</v>
      </c>
      <c r="J427" s="29">
        <v>0</v>
      </c>
      <c r="K427" s="29"/>
      <c r="L427" s="29"/>
      <c r="M427" s="17"/>
      <c r="N427" s="17"/>
      <c r="O427" s="17"/>
      <c r="P427" s="17"/>
      <c r="Q427" s="17" t="s">
        <v>843</v>
      </c>
      <c r="R427" s="17" t="s">
        <v>797</v>
      </c>
      <c r="S427" s="17"/>
      <c r="W427" t="str">
        <f t="shared" si="9"/>
        <v>PROJECT_AUDIT_LOG_HISTORY.BAC_HRS</v>
      </c>
      <c r="X427" t="str">
        <f>VLOOKUP(W427,ColumnMapping[New Table.Column],1,)</f>
        <v>PROJECT_AUDIT_LOG_HISTORY.BAC_HRS</v>
      </c>
      <c r="Y427" t="str">
        <f>_xlfn.XLOOKUP(Table6[[#This Row],[Table.Column]],ColumnMapping[Add Column Name],ColumnMapping[Old Table.Column],"",0,1)</f>
        <v/>
      </c>
      <c r="Z427" t="str">
        <f>_xlfn.XLOOKUP(Table6[[#This Row],[Old Table.Column]],Cobra8.6[Table.Column],Cobra8.6[TYPE],"",0,1)</f>
        <v/>
      </c>
      <c r="AA427" t="str">
        <f>_xlfn.XLOOKUP(Table6[[#This Row],[Old Table.Column]],Cobra8.6[Table.Column],Cobra8.6[LENGTH],"",0,1)</f>
        <v/>
      </c>
      <c r="AB427"/>
    </row>
    <row r="428" spans="1:28" hidden="1" x14ac:dyDescent="0.2">
      <c r="A428" s="17" t="s">
        <v>450</v>
      </c>
      <c r="B428" s="17" t="s">
        <v>831</v>
      </c>
      <c r="C428" s="17" t="s">
        <v>692</v>
      </c>
      <c r="D428" s="17">
        <v>15</v>
      </c>
      <c r="E428" s="17" t="s">
        <v>161</v>
      </c>
      <c r="F428" s="17" t="s">
        <v>806</v>
      </c>
      <c r="G428" s="17"/>
      <c r="H428" s="17"/>
      <c r="I428" s="29" t="s">
        <v>32</v>
      </c>
      <c r="J428" s="29">
        <v>0</v>
      </c>
      <c r="K428" s="29"/>
      <c r="L428" s="29"/>
      <c r="M428" s="17"/>
      <c r="N428" s="17"/>
      <c r="O428" s="17"/>
      <c r="P428" s="17"/>
      <c r="Q428" s="17" t="s">
        <v>844</v>
      </c>
      <c r="R428" s="17" t="s">
        <v>797</v>
      </c>
      <c r="S428" s="17"/>
      <c r="U428" s="2"/>
      <c r="W428" t="str">
        <f t="shared" si="9"/>
        <v>PROJECT_AUDIT_LOG_HISTORY.EAC_HRS</v>
      </c>
      <c r="X428" t="str">
        <f>VLOOKUP(W428,ColumnMapping[New Table.Column],1,)</f>
        <v>PROJECT_AUDIT_LOG_HISTORY.EAC_HRS</v>
      </c>
      <c r="Y428" t="str">
        <f>_xlfn.XLOOKUP(Table6[[#This Row],[Table.Column]],ColumnMapping[Add Column Name],ColumnMapping[Old Table.Column],"",0,1)</f>
        <v/>
      </c>
      <c r="Z428" t="str">
        <f>_xlfn.XLOOKUP(Table6[[#This Row],[Old Table.Column]],Cobra8.6[Table.Column],Cobra8.6[TYPE],"",0,1)</f>
        <v/>
      </c>
      <c r="AA428" t="str">
        <f>_xlfn.XLOOKUP(Table6[[#This Row],[Old Table.Column]],Cobra8.6[Table.Column],Cobra8.6[LENGTH],"",0,1)</f>
        <v/>
      </c>
      <c r="AB428"/>
    </row>
    <row r="429" spans="1:28" hidden="1" x14ac:dyDescent="0.2">
      <c r="A429" s="17" t="s">
        <v>450</v>
      </c>
      <c r="B429" s="17" t="s">
        <v>831</v>
      </c>
      <c r="C429" s="17" t="s">
        <v>61</v>
      </c>
      <c r="D429" s="17">
        <v>16</v>
      </c>
      <c r="E429" s="17" t="s">
        <v>31</v>
      </c>
      <c r="F429" s="17" t="s">
        <v>765</v>
      </c>
      <c r="G429" s="17"/>
      <c r="H429" s="17"/>
      <c r="I429" s="29" t="s">
        <v>32</v>
      </c>
      <c r="J429" s="29"/>
      <c r="K429" s="29"/>
      <c r="L429" s="29"/>
      <c r="M429" s="17"/>
      <c r="N429" s="17"/>
      <c r="O429" s="17"/>
      <c r="P429" s="17" t="s">
        <v>845</v>
      </c>
      <c r="Q429" s="17" t="s">
        <v>63</v>
      </c>
      <c r="R429" s="17" t="s">
        <v>767</v>
      </c>
      <c r="S429" s="17">
        <v>2</v>
      </c>
      <c r="W429" t="str">
        <f t="shared" si="9"/>
        <v>PROJECT_AUDIT_LOG_HISTORY.CREATED_BY_USER_UID</v>
      </c>
      <c r="X429" t="str">
        <f>VLOOKUP(W429,ColumnMapping[New Table.Column],1,)</f>
        <v>PROJECT_AUDIT_LOG_HISTORY.CREATED_BY_USER_UID</v>
      </c>
      <c r="Y429" t="str">
        <f>_xlfn.XLOOKUP(Table6[[#This Row],[Table.Column]],ColumnMapping[Add Column Name],ColumnMapping[Old Table.Column],"",0,1)</f>
        <v/>
      </c>
      <c r="Z429" t="str">
        <f>_xlfn.XLOOKUP(Table6[[#This Row],[Old Table.Column]],Cobra8.6[Table.Column],Cobra8.6[TYPE],"",0,1)</f>
        <v/>
      </c>
      <c r="AA429" t="str">
        <f>_xlfn.XLOOKUP(Table6[[#This Row],[Old Table.Column]],Cobra8.6[Table.Column],Cobra8.6[LENGTH],"",0,1)</f>
        <v/>
      </c>
      <c r="AB429"/>
    </row>
    <row r="430" spans="1:28" hidden="1" x14ac:dyDescent="0.2">
      <c r="A430" s="17" t="s">
        <v>450</v>
      </c>
      <c r="B430" s="17" t="s">
        <v>831</v>
      </c>
      <c r="C430" s="17" t="s">
        <v>64</v>
      </c>
      <c r="D430" s="22">
        <v>17</v>
      </c>
      <c r="E430" s="17" t="s">
        <v>65</v>
      </c>
      <c r="F430" s="17" t="s">
        <v>65</v>
      </c>
      <c r="G430" s="17"/>
      <c r="H430" s="17"/>
      <c r="I430" s="29" t="s">
        <v>32</v>
      </c>
      <c r="J430" s="29"/>
      <c r="K430" s="29"/>
      <c r="L430" s="29"/>
      <c r="M430" s="17"/>
      <c r="N430" s="17"/>
      <c r="O430" s="17"/>
      <c r="P430" s="17" t="s">
        <v>846</v>
      </c>
      <c r="Q430" s="17" t="s">
        <v>67</v>
      </c>
      <c r="R430" s="17" t="s">
        <v>780</v>
      </c>
      <c r="S430" s="17">
        <v>2</v>
      </c>
      <c r="W430" t="str">
        <f t="shared" si="9"/>
        <v>PROJECT_AUDIT_LOG_HISTORY.CREATED_DATE</v>
      </c>
      <c r="X430" t="str">
        <f>VLOOKUP(W430,ColumnMapping[New Table.Column],1,)</f>
        <v>PROJECT_AUDIT_LOG_HISTORY.CREATED_DATE</v>
      </c>
      <c r="Y430" t="str">
        <f>_xlfn.XLOOKUP(Table6[[#This Row],[Table.Column]],ColumnMapping[Add Column Name],ColumnMapping[Old Table.Column],"",0,1)</f>
        <v/>
      </c>
      <c r="Z430" t="str">
        <f>_xlfn.XLOOKUP(Table6[[#This Row],[Old Table.Column]],Cobra8.6[Table.Column],Cobra8.6[TYPE],"",0,1)</f>
        <v/>
      </c>
      <c r="AA430" t="str">
        <f>_xlfn.XLOOKUP(Table6[[#This Row],[Old Table.Column]],Cobra8.6[Table.Column],Cobra8.6[LENGTH],"",0,1)</f>
        <v/>
      </c>
      <c r="AB430"/>
    </row>
    <row r="431" spans="1:28" hidden="1" x14ac:dyDescent="0.2">
      <c r="A431" s="17" t="s">
        <v>450</v>
      </c>
      <c r="B431" s="17" t="s">
        <v>831</v>
      </c>
      <c r="C431" s="17" t="s">
        <v>68</v>
      </c>
      <c r="D431" s="17">
        <v>18</v>
      </c>
      <c r="E431" s="17" t="s">
        <v>31</v>
      </c>
      <c r="F431" s="17" t="s">
        <v>765</v>
      </c>
      <c r="G431" s="17"/>
      <c r="H431" s="17"/>
      <c r="I431" s="29" t="s">
        <v>32</v>
      </c>
      <c r="J431" s="29"/>
      <c r="K431" s="29"/>
      <c r="L431" s="29"/>
      <c r="M431" s="17"/>
      <c r="N431" s="17"/>
      <c r="O431" s="17"/>
      <c r="P431" s="17" t="s">
        <v>847</v>
      </c>
      <c r="Q431" s="17" t="s">
        <v>70</v>
      </c>
      <c r="R431" s="17" t="s">
        <v>767</v>
      </c>
      <c r="S431" s="17">
        <v>2</v>
      </c>
      <c r="W431" t="str">
        <f t="shared" si="9"/>
        <v>PROJECT_AUDIT_LOG_HISTORY.LAST_MODIFIED_BY_USER_UID</v>
      </c>
      <c r="X431" t="str">
        <f>VLOOKUP(W431,ColumnMapping[New Table.Column],1,)</f>
        <v>PROJECT_AUDIT_LOG_HISTORY.LAST_MODIFIED_BY_USER_UID</v>
      </c>
      <c r="Y431" t="str">
        <f>_xlfn.XLOOKUP(Table6[[#This Row],[Table.Column]],ColumnMapping[Add Column Name],ColumnMapping[Old Table.Column],"",0,1)</f>
        <v/>
      </c>
      <c r="Z431" t="str">
        <f>_xlfn.XLOOKUP(Table6[[#This Row],[Old Table.Column]],Cobra8.6[Table.Column],Cobra8.6[TYPE],"",0,1)</f>
        <v/>
      </c>
      <c r="AA431" t="str">
        <f>_xlfn.XLOOKUP(Table6[[#This Row],[Old Table.Column]],Cobra8.6[Table.Column],Cobra8.6[LENGTH],"",0,1)</f>
        <v/>
      </c>
      <c r="AB431"/>
    </row>
    <row r="432" spans="1:28" hidden="1" x14ac:dyDescent="0.2">
      <c r="A432" s="17" t="s">
        <v>450</v>
      </c>
      <c r="B432" s="17" t="s">
        <v>831</v>
      </c>
      <c r="C432" s="17" t="s">
        <v>71</v>
      </c>
      <c r="D432" s="17">
        <v>19</v>
      </c>
      <c r="E432" s="17" t="s">
        <v>65</v>
      </c>
      <c r="F432" s="17" t="s">
        <v>65</v>
      </c>
      <c r="G432" s="17"/>
      <c r="H432" s="17"/>
      <c r="I432" s="29" t="s">
        <v>32</v>
      </c>
      <c r="J432" s="29"/>
      <c r="K432" s="29"/>
      <c r="L432" s="29"/>
      <c r="M432" s="17"/>
      <c r="N432" s="17"/>
      <c r="O432" s="17"/>
      <c r="P432" s="17" t="s">
        <v>848</v>
      </c>
      <c r="Q432" s="17" t="s">
        <v>73</v>
      </c>
      <c r="R432" s="17" t="s">
        <v>780</v>
      </c>
      <c r="S432" s="17">
        <v>2</v>
      </c>
      <c r="W432" t="str">
        <f t="shared" si="9"/>
        <v>PROJECT_AUDIT_LOG_HISTORY.LAST_MODIFIED_DATE</v>
      </c>
      <c r="X432" t="str">
        <f>VLOOKUP(W432,ColumnMapping[New Table.Column],1,)</f>
        <v>PROJECT_AUDIT_LOG_HISTORY.LAST_MODIFIED_DATE</v>
      </c>
      <c r="Y432" t="str">
        <f>_xlfn.XLOOKUP(Table6[[#This Row],[Table.Column]],ColumnMapping[Add Column Name],ColumnMapping[Old Table.Column],"",0,1)</f>
        <v/>
      </c>
      <c r="Z432" t="str">
        <f>_xlfn.XLOOKUP(Table6[[#This Row],[Old Table.Column]],Cobra8.6[Table.Column],Cobra8.6[TYPE],"",0,1)</f>
        <v/>
      </c>
      <c r="AA432" t="str">
        <f>_xlfn.XLOOKUP(Table6[[#This Row],[Old Table.Column]],Cobra8.6[Table.Column],Cobra8.6[LENGTH],"",0,1)</f>
        <v/>
      </c>
      <c r="AB432"/>
    </row>
    <row r="433" spans="1:28" hidden="1" x14ac:dyDescent="0.2">
      <c r="A433" s="17" t="s">
        <v>450</v>
      </c>
      <c r="B433" s="17" t="s">
        <v>831</v>
      </c>
      <c r="C433" s="39" t="s">
        <v>849</v>
      </c>
      <c r="D433" s="39">
        <v>20</v>
      </c>
      <c r="E433" s="39" t="s">
        <v>36</v>
      </c>
      <c r="F433" s="39" t="s">
        <v>768</v>
      </c>
      <c r="G433" s="39"/>
      <c r="H433" s="39"/>
      <c r="I433" s="47"/>
      <c r="J433" s="47">
        <v>0</v>
      </c>
      <c r="K433" s="47"/>
      <c r="L433" s="47"/>
      <c r="M433" s="39"/>
      <c r="N433" s="39"/>
      <c r="O433" s="39"/>
      <c r="P433" s="39" t="s">
        <v>850</v>
      </c>
      <c r="Q433" s="39" t="s">
        <v>851</v>
      </c>
      <c r="R433" s="39" t="s">
        <v>769</v>
      </c>
      <c r="S433" s="39"/>
      <c r="W433" t="str">
        <f>_xlfn.CONCAT(B433,".",C433)</f>
        <v>PROJECT_AUDIT_LOG_HISTORY.CAWP</v>
      </c>
      <c r="X433" t="str">
        <f>VLOOKUP(W433,ColumnMapping[New Table.Column],1,)</f>
        <v>PROJECT_AUDIT_LOG_HISTORY.CAWP</v>
      </c>
      <c r="Y433" t="str">
        <f>_xlfn.XLOOKUP(Table6[[#This Row],[Table.Column]],ColumnMapping[Add Column Name],ColumnMapping[Old Table.Column],"",0,1)</f>
        <v/>
      </c>
      <c r="Z433" t="str">
        <f>_xlfn.XLOOKUP(Table6[[#This Row],[Old Table.Column]],Cobra8.6[Table.Column],Cobra8.6[TYPE],"",0,1)</f>
        <v/>
      </c>
      <c r="AA433" t="str">
        <f>_xlfn.XLOOKUP(Table6[[#This Row],[Old Table.Column]],Cobra8.6[Table.Column],Cobra8.6[LENGTH],"",0,1)</f>
        <v/>
      </c>
      <c r="AB433" t="s">
        <v>32</v>
      </c>
    </row>
    <row r="434" spans="1:28" hidden="1" x14ac:dyDescent="0.2">
      <c r="A434" s="17" t="s">
        <v>450</v>
      </c>
      <c r="B434" s="17" t="s">
        <v>831</v>
      </c>
      <c r="C434" s="39" t="s">
        <v>744</v>
      </c>
      <c r="D434" s="39">
        <v>21</v>
      </c>
      <c r="E434" s="39" t="s">
        <v>86</v>
      </c>
      <c r="F434" s="39" t="s">
        <v>349</v>
      </c>
      <c r="G434" s="39">
        <v>22</v>
      </c>
      <c r="H434" s="39"/>
      <c r="I434" s="47"/>
      <c r="J434" s="37" t="s">
        <v>605</v>
      </c>
      <c r="K434" s="47"/>
      <c r="L434" s="47"/>
      <c r="M434" s="39"/>
      <c r="N434" s="39"/>
      <c r="O434" s="39"/>
      <c r="P434" s="39" t="s">
        <v>813</v>
      </c>
      <c r="Q434" s="39" t="s">
        <v>814</v>
      </c>
      <c r="R434" s="39" t="s">
        <v>681</v>
      </c>
      <c r="S434" s="39"/>
      <c r="W434" t="str">
        <f>_xlfn.CONCAT(B434,".",C434)</f>
        <v>PROJECT_AUDIT_LOG_HISTORY.PROGRAM</v>
      </c>
      <c r="X434" t="str">
        <f>VLOOKUP(W434,ColumnMapping[New Table.Column],1,)</f>
        <v>PROJECT_AUDIT_LOG_HISTORY.PROGRAM</v>
      </c>
      <c r="Y434" t="str">
        <f>_xlfn.XLOOKUP(Table6[[#This Row],[Table.Column]],ColumnMapping[Add Column Name],ColumnMapping[Old Table.Column],"",0,1)</f>
        <v/>
      </c>
      <c r="Z434" t="str">
        <f>_xlfn.XLOOKUP(Table6[[#This Row],[Old Table.Column]],Cobra8.6[Table.Column],Cobra8.6[TYPE],"",0,1)</f>
        <v/>
      </c>
      <c r="AA434" t="str">
        <f>_xlfn.XLOOKUP(Table6[[#This Row],[Old Table.Column]],Cobra8.6[Table.Column],Cobra8.6[LENGTH],"",0,1)</f>
        <v/>
      </c>
      <c r="AB434" t="s">
        <v>32</v>
      </c>
    </row>
    <row r="435" spans="1:28" hidden="1" x14ac:dyDescent="0.2">
      <c r="A435" s="17" t="s">
        <v>450</v>
      </c>
      <c r="B435" s="17" t="s">
        <v>852</v>
      </c>
      <c r="C435" s="17" t="s">
        <v>30</v>
      </c>
      <c r="D435" s="17">
        <v>1</v>
      </c>
      <c r="E435" s="17" t="s">
        <v>31</v>
      </c>
      <c r="F435" s="17" t="s">
        <v>765</v>
      </c>
      <c r="G435" s="17"/>
      <c r="H435" s="17"/>
      <c r="I435" s="29" t="s">
        <v>32</v>
      </c>
      <c r="J435" s="29"/>
      <c r="K435" s="29" t="s">
        <v>32</v>
      </c>
      <c r="L435" s="29"/>
      <c r="M435" s="17"/>
      <c r="N435" s="17"/>
      <c r="O435" s="17"/>
      <c r="P435" s="17" t="s">
        <v>853</v>
      </c>
      <c r="Q435" s="17" t="s">
        <v>34</v>
      </c>
      <c r="R435" s="17" t="s">
        <v>767</v>
      </c>
      <c r="S435" s="17">
        <v>3</v>
      </c>
      <c r="W435" t="str">
        <f t="shared" si="9"/>
        <v>PROJECT_AUDIT_LOG_TPHASE.ROW_UID</v>
      </c>
      <c r="X435" t="str">
        <f>VLOOKUP(W435,ColumnMapping[New Table.Column],1,)</f>
        <v>PROJECT_AUDIT_LOG_TPHASE.ROW_UID</v>
      </c>
      <c r="Y435" t="str">
        <f>_xlfn.XLOOKUP(Table6[[#This Row],[Table.Column]],ColumnMapping[Add Column Name],ColumnMapping[Old Table.Column],"",0,1)</f>
        <v/>
      </c>
      <c r="Z435" t="str">
        <f>_xlfn.XLOOKUP(Table6[[#This Row],[Old Table.Column]],Cobra8.6[Table.Column],Cobra8.6[TYPE],"",0,1)</f>
        <v/>
      </c>
      <c r="AA435" t="str">
        <f>_xlfn.XLOOKUP(Table6[[#This Row],[Old Table.Column]],Cobra8.6[Table.Column],Cobra8.6[LENGTH],"",0,1)</f>
        <v/>
      </c>
      <c r="AB435"/>
    </row>
    <row r="436" spans="1:28" hidden="1" x14ac:dyDescent="0.2">
      <c r="A436" s="17" t="s">
        <v>450</v>
      </c>
      <c r="B436" s="17" t="s">
        <v>852</v>
      </c>
      <c r="C436" s="17" t="s">
        <v>770</v>
      </c>
      <c r="D436" s="17">
        <v>2</v>
      </c>
      <c r="E436" s="17" t="s">
        <v>31</v>
      </c>
      <c r="F436" s="17" t="s">
        <v>765</v>
      </c>
      <c r="G436" s="17"/>
      <c r="H436" s="17"/>
      <c r="I436" s="29" t="s">
        <v>32</v>
      </c>
      <c r="J436" s="29"/>
      <c r="K436" s="29"/>
      <c r="L436" s="29"/>
      <c r="M436" s="17" t="s">
        <v>451</v>
      </c>
      <c r="N436" s="17" t="s">
        <v>30</v>
      </c>
      <c r="O436" s="17" t="s">
        <v>41</v>
      </c>
      <c r="P436" s="17" t="s">
        <v>452</v>
      </c>
      <c r="Q436" s="17" t="s">
        <v>771</v>
      </c>
      <c r="R436" s="17" t="s">
        <v>767</v>
      </c>
      <c r="S436" s="17">
        <v>1</v>
      </c>
      <c r="W436" t="str">
        <f t="shared" si="9"/>
        <v>PROJECT_AUDIT_LOG_TPHASE.PROJECT_UID</v>
      </c>
      <c r="X436" t="str">
        <f>VLOOKUP(W436,ColumnMapping[New Table.Column],1,)</f>
        <v>PROJECT_AUDIT_LOG_TPHASE.PROJECT_UID</v>
      </c>
      <c r="Y436" t="str">
        <f>_xlfn.XLOOKUP(Table6[[#This Row],[Table.Column]],ColumnMapping[Add Column Name],ColumnMapping[Old Table.Column],"",0,1)</f>
        <v/>
      </c>
      <c r="Z436" t="str">
        <f>_xlfn.XLOOKUP(Table6[[#This Row],[Old Table.Column]],Cobra8.6[Table.Column],Cobra8.6[TYPE],"",0,1)</f>
        <v/>
      </c>
      <c r="AA436" t="str">
        <f>_xlfn.XLOOKUP(Table6[[#This Row],[Old Table.Column]],Cobra8.6[Table.Column],Cobra8.6[LENGTH],"",0,1)</f>
        <v/>
      </c>
      <c r="AB436"/>
    </row>
    <row r="437" spans="1:28" hidden="1" x14ac:dyDescent="0.2">
      <c r="A437" s="17" t="s">
        <v>450</v>
      </c>
      <c r="B437" s="17" t="s">
        <v>852</v>
      </c>
      <c r="C437" s="17" t="s">
        <v>854</v>
      </c>
      <c r="D437" s="17">
        <v>3</v>
      </c>
      <c r="E437" s="17" t="s">
        <v>31</v>
      </c>
      <c r="F437" s="17" t="s">
        <v>765</v>
      </c>
      <c r="G437" s="17"/>
      <c r="H437" s="17"/>
      <c r="I437" s="29" t="s">
        <v>32</v>
      </c>
      <c r="J437" s="29"/>
      <c r="K437" s="29"/>
      <c r="L437" s="29"/>
      <c r="M437" s="17" t="s">
        <v>764</v>
      </c>
      <c r="N437" s="17" t="s">
        <v>30</v>
      </c>
      <c r="O437" s="17" t="s">
        <v>41</v>
      </c>
      <c r="P437" s="17" t="s">
        <v>855</v>
      </c>
      <c r="Q437" s="17" t="s">
        <v>856</v>
      </c>
      <c r="R437" s="17" t="s">
        <v>767</v>
      </c>
      <c r="S437" s="17"/>
      <c r="W437" t="str">
        <f t="shared" si="9"/>
        <v>PROJECT_AUDIT_LOG_TPHASE.PROJECT_AUDIT_LOG_UID</v>
      </c>
      <c r="X437" t="str">
        <f>VLOOKUP(W437,ColumnMapping[New Table.Column],1,)</f>
        <v>PROJECT_AUDIT_LOG_TPHASE.PROJECT_AUDIT_LOG_UID</v>
      </c>
      <c r="Y437" t="str">
        <f>_xlfn.XLOOKUP(Table6[[#This Row],[Table.Column]],ColumnMapping[Add Column Name],ColumnMapping[Old Table.Column],"",0,1)</f>
        <v/>
      </c>
      <c r="Z437" t="str">
        <f>_xlfn.XLOOKUP(Table6[[#This Row],[Old Table.Column]],Cobra8.6[Table.Column],Cobra8.6[TYPE],"",0,1)</f>
        <v/>
      </c>
      <c r="AA437" t="str">
        <f>_xlfn.XLOOKUP(Table6[[#This Row],[Old Table.Column]],Cobra8.6[Table.Column],Cobra8.6[LENGTH],"",0,1)</f>
        <v/>
      </c>
      <c r="AB437"/>
    </row>
    <row r="438" spans="1:28" hidden="1" x14ac:dyDescent="0.2">
      <c r="A438" s="17" t="s">
        <v>450</v>
      </c>
      <c r="B438" s="17" t="s">
        <v>852</v>
      </c>
      <c r="C438" s="17" t="s">
        <v>785</v>
      </c>
      <c r="D438" s="17">
        <v>4</v>
      </c>
      <c r="E438" s="17" t="s">
        <v>31</v>
      </c>
      <c r="F438" s="17" t="s">
        <v>765</v>
      </c>
      <c r="G438" s="17"/>
      <c r="H438" s="17"/>
      <c r="I438" s="29" t="s">
        <v>32</v>
      </c>
      <c r="J438" s="29"/>
      <c r="K438" s="29"/>
      <c r="L438" s="29"/>
      <c r="M438" s="17"/>
      <c r="N438" s="17"/>
      <c r="O438" s="17"/>
      <c r="P438" s="17"/>
      <c r="Q438" s="17" t="s">
        <v>787</v>
      </c>
      <c r="R438" s="17" t="s">
        <v>681</v>
      </c>
      <c r="S438" s="17"/>
      <c r="W438" t="str">
        <f t="shared" si="9"/>
        <v>PROJECT_AUDIT_LOG_TPHASE.TRANSACTION_UID</v>
      </c>
      <c r="X438" t="str">
        <f>VLOOKUP(W438,ColumnMapping[New Table.Column],1,)</f>
        <v>PROJECT_AUDIT_LOG_TPHASE.TRANSACTION_UID</v>
      </c>
      <c r="Y438" t="str">
        <f>_xlfn.XLOOKUP(Table6[[#This Row],[Table.Column]],ColumnMapping[Add Column Name],ColumnMapping[Old Table.Column],"",0,1)</f>
        <v/>
      </c>
      <c r="Z438" t="str">
        <f>_xlfn.XLOOKUP(Table6[[#This Row],[Old Table.Column]],Cobra8.6[Table.Column],Cobra8.6[TYPE],"",0,1)</f>
        <v/>
      </c>
      <c r="AA438" t="str">
        <f>_xlfn.XLOOKUP(Table6[[#This Row],[Old Table.Column]],Cobra8.6[Table.Column],Cobra8.6[LENGTH],"",0,1)</f>
        <v/>
      </c>
      <c r="AB438"/>
    </row>
    <row r="439" spans="1:28" hidden="1" x14ac:dyDescent="0.2">
      <c r="A439" s="17" t="s">
        <v>450</v>
      </c>
      <c r="B439" s="17" t="s">
        <v>852</v>
      </c>
      <c r="C439" s="17" t="s">
        <v>857</v>
      </c>
      <c r="D439" s="17">
        <v>5</v>
      </c>
      <c r="E439" s="17" t="s">
        <v>65</v>
      </c>
      <c r="F439" s="17" t="s">
        <v>65</v>
      </c>
      <c r="G439" s="17"/>
      <c r="H439" s="17"/>
      <c r="I439" s="29" t="s">
        <v>32</v>
      </c>
      <c r="J439" s="29"/>
      <c r="K439" s="29"/>
      <c r="L439" s="29"/>
      <c r="M439" s="17"/>
      <c r="N439" s="17"/>
      <c r="O439" s="17"/>
      <c r="P439" s="17"/>
      <c r="Q439" s="17" t="s">
        <v>858</v>
      </c>
      <c r="R439" s="17" t="s">
        <v>780</v>
      </c>
      <c r="S439" s="17"/>
      <c r="W439" t="str">
        <f t="shared" si="9"/>
        <v>PROJECT_AUDIT_LOG_TPHASE.TPHASE_DATE</v>
      </c>
      <c r="X439" t="str">
        <f>VLOOKUP(W439,ColumnMapping[New Table.Column],1,)</f>
        <v>PROJECT_AUDIT_LOG_TPHASE.TPHASE_DATE</v>
      </c>
      <c r="Y439" t="str">
        <f>_xlfn.XLOOKUP(Table6[[#This Row],[Table.Column]],ColumnMapping[Add Column Name],ColumnMapping[Old Table.Column],"",0,1)</f>
        <v/>
      </c>
      <c r="Z439" t="str">
        <f>_xlfn.XLOOKUP(Table6[[#This Row],[Old Table.Column]],Cobra8.6[Table.Column],Cobra8.6[TYPE],"",0,1)</f>
        <v/>
      </c>
      <c r="AA439" t="str">
        <f>_xlfn.XLOOKUP(Table6[[#This Row],[Old Table.Column]],Cobra8.6[Table.Column],Cobra8.6[LENGTH],"",0,1)</f>
        <v/>
      </c>
      <c r="AB439"/>
    </row>
    <row r="440" spans="1:28" hidden="1" x14ac:dyDescent="0.2">
      <c r="A440" s="17" t="s">
        <v>450</v>
      </c>
      <c r="B440" s="17" t="s">
        <v>852</v>
      </c>
      <c r="C440" s="17" t="s">
        <v>299</v>
      </c>
      <c r="D440" s="17">
        <v>6</v>
      </c>
      <c r="E440" s="17" t="s">
        <v>161</v>
      </c>
      <c r="F440" s="17" t="s">
        <v>806</v>
      </c>
      <c r="G440" s="17"/>
      <c r="H440" s="17"/>
      <c r="I440" s="29" t="s">
        <v>32</v>
      </c>
      <c r="J440" s="29">
        <v>0</v>
      </c>
      <c r="K440" s="29"/>
      <c r="L440" s="29"/>
      <c r="M440" s="17"/>
      <c r="N440" s="17"/>
      <c r="O440" s="17"/>
      <c r="P440" s="17"/>
      <c r="Q440" s="17" t="s">
        <v>370</v>
      </c>
      <c r="R440" s="17" t="s">
        <v>797</v>
      </c>
      <c r="S440" s="17"/>
      <c r="W440" t="str">
        <f t="shared" si="9"/>
        <v>PROJECT_AUDIT_LOG_TPHASE.HOURS</v>
      </c>
      <c r="X440" t="str">
        <f>VLOOKUP(W440,ColumnMapping[New Table.Column],1,)</f>
        <v>PROJECT_AUDIT_LOG_TPHASE.HOURS</v>
      </c>
      <c r="Y440" t="str">
        <f>_xlfn.XLOOKUP(Table6[[#This Row],[Table.Column]],ColumnMapping[Add Column Name],ColumnMapping[Old Table.Column],"",0,1)</f>
        <v/>
      </c>
      <c r="Z440" t="str">
        <f>_xlfn.XLOOKUP(Table6[[#This Row],[Old Table.Column]],Cobra8.6[Table.Column],Cobra8.6[TYPE],"",0,1)</f>
        <v/>
      </c>
      <c r="AA440" t="str">
        <f>_xlfn.XLOOKUP(Table6[[#This Row],[Old Table.Column]],Cobra8.6[Table.Column],Cobra8.6[LENGTH],"",0,1)</f>
        <v/>
      </c>
      <c r="AB440"/>
    </row>
    <row r="441" spans="1:28" hidden="1" x14ac:dyDescent="0.2">
      <c r="A441" s="17" t="s">
        <v>450</v>
      </c>
      <c r="B441" s="17" t="s">
        <v>852</v>
      </c>
      <c r="C441" s="17" t="s">
        <v>794</v>
      </c>
      <c r="D441" s="22">
        <v>7</v>
      </c>
      <c r="E441" s="17" t="s">
        <v>161</v>
      </c>
      <c r="F441" s="17" t="s">
        <v>795</v>
      </c>
      <c r="G441" s="17"/>
      <c r="H441" s="17"/>
      <c r="I441" s="29" t="s">
        <v>32</v>
      </c>
      <c r="J441" s="29">
        <v>0</v>
      </c>
      <c r="K441" s="29"/>
      <c r="L441" s="29"/>
      <c r="M441" s="17"/>
      <c r="N441" s="17"/>
      <c r="O441" s="17"/>
      <c r="P441" s="17"/>
      <c r="Q441" s="17" t="s">
        <v>796</v>
      </c>
      <c r="R441" s="17" t="s">
        <v>797</v>
      </c>
      <c r="S441" s="17"/>
      <c r="W441" t="str">
        <f t="shared" si="9"/>
        <v>PROJECT_AUDIT_LOG_TPHASE.AMOUNT</v>
      </c>
      <c r="X441" t="str">
        <f>VLOOKUP(W441,ColumnMapping[New Table.Column],1,)</f>
        <v>PROJECT_AUDIT_LOG_TPHASE.AMOUNT</v>
      </c>
      <c r="Y441" t="str">
        <f>_xlfn.XLOOKUP(Table6[[#This Row],[Table.Column]],ColumnMapping[Add Column Name],ColumnMapping[Old Table.Column],"",0,1)</f>
        <v/>
      </c>
      <c r="Z441" t="str">
        <f>_xlfn.XLOOKUP(Table6[[#This Row],[Old Table.Column]],Cobra8.6[Table.Column],Cobra8.6[TYPE],"",0,1)</f>
        <v/>
      </c>
      <c r="AA441" t="str">
        <f>_xlfn.XLOOKUP(Table6[[#This Row],[Old Table.Column]],Cobra8.6[Table.Column],Cobra8.6[LENGTH],"",0,1)</f>
        <v/>
      </c>
      <c r="AB441"/>
    </row>
    <row r="442" spans="1:28" hidden="1" x14ac:dyDescent="0.2">
      <c r="A442" s="17" t="s">
        <v>450</v>
      </c>
      <c r="B442" s="17" t="s">
        <v>852</v>
      </c>
      <c r="C442" s="17" t="s">
        <v>35</v>
      </c>
      <c r="D442" s="22">
        <v>8</v>
      </c>
      <c r="E442" s="17" t="s">
        <v>36</v>
      </c>
      <c r="F442" s="17" t="s">
        <v>768</v>
      </c>
      <c r="G442" s="17"/>
      <c r="H442" s="17"/>
      <c r="I442" s="29" t="s">
        <v>32</v>
      </c>
      <c r="J442" s="29">
        <v>0</v>
      </c>
      <c r="K442" s="29"/>
      <c r="L442" s="29"/>
      <c r="M442" s="17"/>
      <c r="N442" s="17"/>
      <c r="O442" s="17"/>
      <c r="P442" s="17" t="s">
        <v>37</v>
      </c>
      <c r="Q442" s="17" t="s">
        <v>38</v>
      </c>
      <c r="R442" s="17" t="s">
        <v>769</v>
      </c>
      <c r="S442" s="17">
        <v>3</v>
      </c>
      <c r="U442" s="2"/>
      <c r="W442" t="str">
        <f t="shared" si="9"/>
        <v>PROJECT_AUDIT_LOG_TPHASE.SEQUENCE</v>
      </c>
      <c r="X442" t="str">
        <f>VLOOKUP(W442,ColumnMapping[New Table.Column],1,)</f>
        <v>PROJECT_AUDIT_LOG_TPHASE.SEQUENCE</v>
      </c>
      <c r="Y442" t="str">
        <f>_xlfn.XLOOKUP(Table6[[#This Row],[Table.Column]],ColumnMapping[Add Column Name],ColumnMapping[Old Table.Column],"",0,1)</f>
        <v/>
      </c>
      <c r="Z442" t="str">
        <f>_xlfn.XLOOKUP(Table6[[#This Row],[Old Table.Column]],Cobra8.6[Table.Column],Cobra8.6[TYPE],"",0,1)</f>
        <v/>
      </c>
      <c r="AA442" t="str">
        <f>_xlfn.XLOOKUP(Table6[[#This Row],[Old Table.Column]],Cobra8.6[Table.Column],Cobra8.6[LENGTH],"",0,1)</f>
        <v/>
      </c>
      <c r="AB442"/>
    </row>
    <row r="443" spans="1:28" hidden="1" x14ac:dyDescent="0.2">
      <c r="A443" s="17" t="s">
        <v>450</v>
      </c>
      <c r="B443" s="17" t="s">
        <v>852</v>
      </c>
      <c r="C443" s="39" t="s">
        <v>744</v>
      </c>
      <c r="D443" s="39">
        <v>9</v>
      </c>
      <c r="E443" s="39" t="s">
        <v>86</v>
      </c>
      <c r="F443" s="39" t="s">
        <v>349</v>
      </c>
      <c r="G443" s="39">
        <v>22</v>
      </c>
      <c r="H443" s="39"/>
      <c r="I443" s="47"/>
      <c r="J443" s="47"/>
      <c r="K443" s="47"/>
      <c r="L443" s="47"/>
      <c r="M443" s="39"/>
      <c r="N443" s="39"/>
      <c r="O443" s="39"/>
      <c r="P443" s="39" t="s">
        <v>813</v>
      </c>
      <c r="Q443" s="39" t="s">
        <v>814</v>
      </c>
      <c r="R443" s="39" t="s">
        <v>681</v>
      </c>
      <c r="S443" s="39"/>
      <c r="U443" s="2"/>
      <c r="W443" t="str">
        <f>_xlfn.CONCAT(B443,".",C443)</f>
        <v>PROJECT_AUDIT_LOG_TPHASE.PROGRAM</v>
      </c>
      <c r="X443" t="str">
        <f>VLOOKUP(W443,ColumnMapping[New Table.Column],1,)</f>
        <v>PROJECT_AUDIT_LOG_TPHASE.PROGRAM</v>
      </c>
      <c r="Y443" t="str">
        <f>_xlfn.XLOOKUP(Table6[[#This Row],[Table.Column]],ColumnMapping[Add Column Name],ColumnMapping[Old Table.Column],"",0,1)</f>
        <v/>
      </c>
      <c r="Z443" t="str">
        <f>_xlfn.XLOOKUP(Table6[[#This Row],[Old Table.Column]],Cobra8.6[Table.Column],Cobra8.6[TYPE],"",0,1)</f>
        <v/>
      </c>
      <c r="AA443" t="str">
        <f>_xlfn.XLOOKUP(Table6[[#This Row],[Old Table.Column]],Cobra8.6[Table.Column],Cobra8.6[LENGTH],"",0,1)</f>
        <v/>
      </c>
      <c r="AB443" t="s">
        <v>32</v>
      </c>
    </row>
    <row r="444" spans="1:28" hidden="1" x14ac:dyDescent="0.2">
      <c r="A444" t="s">
        <v>450</v>
      </c>
      <c r="B444" t="s">
        <v>859</v>
      </c>
      <c r="C444" t="s">
        <v>30</v>
      </c>
      <c r="D444">
        <v>1</v>
      </c>
      <c r="E444" t="s">
        <v>31</v>
      </c>
      <c r="F444" t="str">
        <f>VLOOKUP($E444,'Data Type Lookup'!$A$1:$C$21,2,FALSE)</f>
        <v>RAW(16)</v>
      </c>
      <c r="I444" s="32" t="s">
        <v>32</v>
      </c>
      <c r="K444" s="32" t="s">
        <v>32</v>
      </c>
      <c r="P444" t="s">
        <v>860</v>
      </c>
      <c r="Q444" t="s">
        <v>34</v>
      </c>
      <c r="R444" t="str">
        <f>VLOOKUP(E444,'Data Type Lookup'!$A$1:$C$21,3,FALSE)</f>
        <v>java.util.UUID</v>
      </c>
      <c r="S444">
        <v>3</v>
      </c>
      <c r="V444" t="s">
        <v>861</v>
      </c>
      <c r="W444" t="str">
        <f t="shared" si="9"/>
        <v>PROJECT_CALC_RESULT.ROW_UID</v>
      </c>
      <c r="X444" t="str">
        <f>VLOOKUP(W444,ColumnMapping[New Table.Column],1,)</f>
        <v>PROJECT_CALC_RESULT.ROW_UID</v>
      </c>
      <c r="Y444" t="str">
        <f>_xlfn.XLOOKUP(Table6[[#This Row],[Table.Column]],ColumnMapping[Add Column Name],ColumnMapping[Old Table.Column],"",0,1)</f>
        <v/>
      </c>
      <c r="Z444" t="str">
        <f>_xlfn.XLOOKUP(Table6[[#This Row],[Old Table.Column]],Cobra8.6[Table.Column],Cobra8.6[TYPE],"",0,1)</f>
        <v/>
      </c>
      <c r="AA444" t="str">
        <f>_xlfn.XLOOKUP(Table6[[#This Row],[Old Table.Column]],Cobra8.6[Table.Column],Cobra8.6[LENGTH],"",0,1)</f>
        <v/>
      </c>
      <c r="AB444"/>
    </row>
    <row r="445" spans="1:28" hidden="1" x14ac:dyDescent="0.2">
      <c r="A445" t="s">
        <v>450</v>
      </c>
      <c r="B445" t="s">
        <v>859</v>
      </c>
      <c r="C445" t="s">
        <v>35</v>
      </c>
      <c r="D445">
        <v>2</v>
      </c>
      <c r="E445" t="s">
        <v>36</v>
      </c>
      <c r="F445" t="str">
        <f>VLOOKUP($E445,'Data Type Lookup'!$A$1:$C$21,2,FALSE)</f>
        <v>NUMBER(19,0)</v>
      </c>
      <c r="I445" s="32" t="s">
        <v>32</v>
      </c>
      <c r="J445" s="32">
        <v>0</v>
      </c>
      <c r="P445" t="s">
        <v>37</v>
      </c>
      <c r="Q445" t="s">
        <v>38</v>
      </c>
      <c r="R445" t="str">
        <f>VLOOKUP(E445,'Data Type Lookup'!$A$1:$C$21,3,FALSE)</f>
        <v>Long</v>
      </c>
      <c r="S445">
        <v>3</v>
      </c>
      <c r="W445" t="str">
        <f t="shared" si="9"/>
        <v>PROJECT_CALC_RESULT.SEQUENCE</v>
      </c>
      <c r="X445" t="str">
        <f>VLOOKUP(W445,ColumnMapping[New Table.Column],1,)</f>
        <v>PROJECT_CALC_RESULT.SEQUENCE</v>
      </c>
      <c r="Y445" t="str">
        <f>_xlfn.XLOOKUP(Table6[[#This Row],[Table.Column]],ColumnMapping[Add Column Name],ColumnMapping[Old Table.Column],"",0,1)</f>
        <v/>
      </c>
      <c r="Z445" t="str">
        <f>_xlfn.XLOOKUP(Table6[[#This Row],[Old Table.Column]],Cobra8.6[Table.Column],Cobra8.6[TYPE],"",0,1)</f>
        <v/>
      </c>
      <c r="AA445" t="str">
        <f>_xlfn.XLOOKUP(Table6[[#This Row],[Old Table.Column]],Cobra8.6[Table.Column],Cobra8.6[LENGTH],"",0,1)</f>
        <v/>
      </c>
      <c r="AB445"/>
    </row>
    <row r="446" spans="1:28" hidden="1" x14ac:dyDescent="0.2">
      <c r="A446" t="s">
        <v>450</v>
      </c>
      <c r="B446" t="s">
        <v>859</v>
      </c>
      <c r="C446" t="s">
        <v>770</v>
      </c>
      <c r="D446">
        <v>3</v>
      </c>
      <c r="E446" t="s">
        <v>31</v>
      </c>
      <c r="F446" t="str">
        <f>VLOOKUP($E446,'Data Type Lookup'!$A$1:$C$21,2,FALSE)</f>
        <v>RAW(16)</v>
      </c>
      <c r="I446" s="32" t="s">
        <v>32</v>
      </c>
      <c r="M446" t="s">
        <v>451</v>
      </c>
      <c r="N446" t="s">
        <v>30</v>
      </c>
      <c r="O446" t="s">
        <v>41</v>
      </c>
      <c r="P446" t="s">
        <v>452</v>
      </c>
      <c r="Q446" t="s">
        <v>771</v>
      </c>
      <c r="R446" t="str">
        <f>VLOOKUP(E446,'Data Type Lookup'!$A$1:$C$21,3,FALSE)</f>
        <v>java.util.UUID</v>
      </c>
      <c r="S446">
        <v>1</v>
      </c>
      <c r="W446" t="str">
        <f t="shared" si="9"/>
        <v>PROJECT_CALC_RESULT.PROJECT_UID</v>
      </c>
      <c r="X446" t="str">
        <f>VLOOKUP(W446,ColumnMapping[New Table.Column],1,)</f>
        <v>PROJECT_CALC_RESULT.PROJECT_UID</v>
      </c>
      <c r="Y446" t="str">
        <f>_xlfn.XLOOKUP(Table6[[#This Row],[Table.Column]],ColumnMapping[Add Column Name],ColumnMapping[Old Table.Column],"",0,1)</f>
        <v/>
      </c>
      <c r="Z446" t="str">
        <f>_xlfn.XLOOKUP(Table6[[#This Row],[Old Table.Column]],Cobra8.6[Table.Column],Cobra8.6[TYPE],"",0,1)</f>
        <v/>
      </c>
      <c r="AA446" t="str">
        <f>_xlfn.XLOOKUP(Table6[[#This Row],[Old Table.Column]],Cobra8.6[Table.Column],Cobra8.6[LENGTH],"",0,1)</f>
        <v/>
      </c>
      <c r="AB446"/>
    </row>
    <row r="447" spans="1:28" hidden="1" x14ac:dyDescent="0.2">
      <c r="A447" t="s">
        <v>450</v>
      </c>
      <c r="B447" t="s">
        <v>859</v>
      </c>
      <c r="C447" t="s">
        <v>862</v>
      </c>
      <c r="D447">
        <v>4</v>
      </c>
      <c r="E447" t="s">
        <v>86</v>
      </c>
      <c r="F447" t="str">
        <f>VLOOKUP($E447,'Data Type Lookup'!$A$1:$C$21,2,FALSE)</f>
        <v>VARCHAR2</v>
      </c>
      <c r="G447">
        <v>1</v>
      </c>
      <c r="I447" s="32" t="s">
        <v>32</v>
      </c>
      <c r="J447" s="37" t="s">
        <v>605</v>
      </c>
      <c r="L447" s="32" t="s">
        <v>32</v>
      </c>
      <c r="P447" t="s">
        <v>863</v>
      </c>
      <c r="Q447" t="s">
        <v>864</v>
      </c>
      <c r="R447" t="str">
        <f>VLOOKUP(E447,'Data Type Lookup'!$A$1:$C$21,3,FALSE)</f>
        <v>String</v>
      </c>
      <c r="W447" t="str">
        <f t="shared" si="9"/>
        <v>PROJECT_CALC_RESULT.RESULT_CODE</v>
      </c>
      <c r="X447" t="str">
        <f>VLOOKUP(W447,ColumnMapping[New Table.Column],1,)</f>
        <v>PROJECT_CALC_RESULT.RESULT_CODE</v>
      </c>
      <c r="Y447" t="str">
        <f>_xlfn.XLOOKUP(Table6[[#This Row],[Table.Column]],ColumnMapping[Add Column Name],ColumnMapping[Old Table.Column],"",0,1)</f>
        <v/>
      </c>
      <c r="Z447" t="str">
        <f>_xlfn.XLOOKUP(Table6[[#This Row],[Old Table.Column]],Cobra8.6[Table.Column],Cobra8.6[TYPE],"",0,1)</f>
        <v/>
      </c>
      <c r="AA447" t="str">
        <f>_xlfn.XLOOKUP(Table6[[#This Row],[Old Table.Column]],Cobra8.6[Table.Column],Cobra8.6[LENGTH],"",0,1)</f>
        <v/>
      </c>
      <c r="AB447"/>
    </row>
    <row r="448" spans="1:28" hidden="1" x14ac:dyDescent="0.2">
      <c r="A448" t="s">
        <v>450</v>
      </c>
      <c r="B448" t="s">
        <v>859</v>
      </c>
      <c r="C448" t="s">
        <v>865</v>
      </c>
      <c r="D448">
        <v>5</v>
      </c>
      <c r="E448" t="s">
        <v>86</v>
      </c>
      <c r="F448" t="str">
        <f>VLOOKUP($E448,'Data Type Lookup'!$A$1:$C$21,2,FALSE)</f>
        <v>VARCHAR2</v>
      </c>
      <c r="G448">
        <v>30</v>
      </c>
      <c r="I448" s="32" t="s">
        <v>32</v>
      </c>
      <c r="J448" s="37" t="s">
        <v>605</v>
      </c>
      <c r="P448" t="s">
        <v>866</v>
      </c>
      <c r="Q448" t="s">
        <v>867</v>
      </c>
      <c r="R448" t="str">
        <f>VLOOKUP(E448,'Data Type Lookup'!$A$1:$C$21,3,FALSE)</f>
        <v>String</v>
      </c>
      <c r="W448" t="str">
        <f t="shared" si="9"/>
        <v>PROJECT_CALC_RESULT.RESULT</v>
      </c>
      <c r="X448" t="str">
        <f>VLOOKUP(W448,ColumnMapping[New Table.Column],1,)</f>
        <v>PROJECT_CALC_RESULT.RESULT</v>
      </c>
      <c r="Y448" t="str">
        <f>_xlfn.XLOOKUP(Table6[[#This Row],[Table.Column]],ColumnMapping[Add Column Name],ColumnMapping[Old Table.Column],"",0,1)</f>
        <v/>
      </c>
      <c r="Z448" t="str">
        <f>_xlfn.XLOOKUP(Table6[[#This Row],[Old Table.Column]],Cobra8.6[Table.Column],Cobra8.6[TYPE],"",0,1)</f>
        <v/>
      </c>
      <c r="AA448" t="str">
        <f>_xlfn.XLOOKUP(Table6[[#This Row],[Old Table.Column]],Cobra8.6[Table.Column],Cobra8.6[LENGTH],"",0,1)</f>
        <v/>
      </c>
      <c r="AB448"/>
    </row>
    <row r="449" spans="1:28" hidden="1" x14ac:dyDescent="0.2">
      <c r="A449" t="s">
        <v>450</v>
      </c>
      <c r="B449" t="s">
        <v>859</v>
      </c>
      <c r="C449" t="s">
        <v>868</v>
      </c>
      <c r="D449">
        <v>6</v>
      </c>
      <c r="E449" t="s">
        <v>288</v>
      </c>
      <c r="F449" t="str">
        <f>VLOOKUP($E449,'Data Type Lookup'!$A$1:$C$21,2,FALSE)</f>
        <v>NUMBER(1,0)</v>
      </c>
      <c r="I449" s="32" t="s">
        <v>32</v>
      </c>
      <c r="J449" s="37">
        <v>0</v>
      </c>
      <c r="P449" t="s">
        <v>869</v>
      </c>
      <c r="Q449" t="s">
        <v>870</v>
      </c>
      <c r="R449" t="str">
        <f>VLOOKUP(E449,'Data Type Lookup'!$A$1:$C$21,3,FALSE)</f>
        <v>Boolean</v>
      </c>
      <c r="W449" t="str">
        <f t="shared" si="9"/>
        <v>PROJECT_CALC_RESULT.CURRENCY</v>
      </c>
      <c r="X449" t="str">
        <f>VLOOKUP(W449,ColumnMapping[New Table.Column],1,)</f>
        <v>PROJECT_CALC_RESULT.CURRENCY</v>
      </c>
      <c r="Y449" t="str">
        <f>_xlfn.XLOOKUP(Table6[[#This Row],[Table.Column]],ColumnMapping[Add Column Name],ColumnMapping[Old Table.Column],"",0,1)</f>
        <v/>
      </c>
      <c r="Z449" t="str">
        <f>_xlfn.XLOOKUP(Table6[[#This Row],[Old Table.Column]],Cobra8.6[Table.Column],Cobra8.6[TYPE],"",0,1)</f>
        <v/>
      </c>
      <c r="AA449" t="str">
        <f>_xlfn.XLOOKUP(Table6[[#This Row],[Old Table.Column]],Cobra8.6[Table.Column],Cobra8.6[LENGTH],"",0,1)</f>
        <v/>
      </c>
      <c r="AB449"/>
    </row>
    <row r="450" spans="1:28" hidden="1" x14ac:dyDescent="0.2">
      <c r="A450" t="s">
        <v>450</v>
      </c>
      <c r="B450" t="s">
        <v>859</v>
      </c>
      <c r="C450" t="s">
        <v>61</v>
      </c>
      <c r="D450">
        <v>7</v>
      </c>
      <c r="E450" t="s">
        <v>31</v>
      </c>
      <c r="F450" t="str">
        <f>VLOOKUP($E450,'Data Type Lookup'!$A$1:$C$21,2,FALSE)</f>
        <v>RAW(16)</v>
      </c>
      <c r="I450" s="32" t="s">
        <v>32</v>
      </c>
      <c r="P450" t="s">
        <v>871</v>
      </c>
      <c r="Q450" t="s">
        <v>63</v>
      </c>
      <c r="R450" t="str">
        <f>VLOOKUP(E450,'Data Type Lookup'!$A$1:$C$21,3,FALSE)</f>
        <v>java.util.UUID</v>
      </c>
      <c r="S450">
        <v>2</v>
      </c>
      <c r="W450" t="str">
        <f t="shared" si="9"/>
        <v>PROJECT_CALC_RESULT.CREATED_BY_USER_UID</v>
      </c>
      <c r="X450" t="str">
        <f>VLOOKUP(W450,ColumnMapping[New Table.Column],1,)</f>
        <v>PROJECT_CALC_RESULT.CREATED_BY_USER_UID</v>
      </c>
      <c r="Y450" t="str">
        <f>_xlfn.XLOOKUP(Table6[[#This Row],[Table.Column]],ColumnMapping[Add Column Name],ColumnMapping[Old Table.Column],"",0,1)</f>
        <v/>
      </c>
      <c r="Z450" t="str">
        <f>_xlfn.XLOOKUP(Table6[[#This Row],[Old Table.Column]],Cobra8.6[Table.Column],Cobra8.6[TYPE],"",0,1)</f>
        <v/>
      </c>
      <c r="AA450" t="str">
        <f>_xlfn.XLOOKUP(Table6[[#This Row],[Old Table.Column]],Cobra8.6[Table.Column],Cobra8.6[LENGTH],"",0,1)</f>
        <v/>
      </c>
      <c r="AB450"/>
    </row>
    <row r="451" spans="1:28" hidden="1" x14ac:dyDescent="0.2">
      <c r="A451" t="s">
        <v>450</v>
      </c>
      <c r="B451" t="s">
        <v>859</v>
      </c>
      <c r="C451" t="s">
        <v>64</v>
      </c>
      <c r="D451">
        <v>8</v>
      </c>
      <c r="E451" t="s">
        <v>65</v>
      </c>
      <c r="F451" t="str">
        <f>VLOOKUP($E451,'Data Type Lookup'!$A$1:$C$21,2,FALSE)</f>
        <v>TIMESTAMP</v>
      </c>
      <c r="I451" s="32" t="s">
        <v>32</v>
      </c>
      <c r="P451" t="s">
        <v>872</v>
      </c>
      <c r="Q451" t="s">
        <v>67</v>
      </c>
      <c r="R451" t="str">
        <f>VLOOKUP(E451,'Data Type Lookup'!$A$1:$C$21,3,FALSE)</f>
        <v>java.time.Instant</v>
      </c>
      <c r="S451">
        <v>2</v>
      </c>
      <c r="W451" t="str">
        <f t="shared" si="9"/>
        <v>PROJECT_CALC_RESULT.CREATED_DATE</v>
      </c>
      <c r="X451" t="str">
        <f>VLOOKUP(W451,ColumnMapping[New Table.Column],1,)</f>
        <v>PROJECT_CALC_RESULT.CREATED_DATE</v>
      </c>
      <c r="Y451" t="str">
        <f>_xlfn.XLOOKUP(Table6[[#This Row],[Table.Column]],ColumnMapping[Add Column Name],ColumnMapping[Old Table.Column],"",0,1)</f>
        <v/>
      </c>
      <c r="Z451" t="str">
        <f>_xlfn.XLOOKUP(Table6[[#This Row],[Old Table.Column]],Cobra8.6[Table.Column],Cobra8.6[TYPE],"",0,1)</f>
        <v/>
      </c>
      <c r="AA451" t="str">
        <f>_xlfn.XLOOKUP(Table6[[#This Row],[Old Table.Column]],Cobra8.6[Table.Column],Cobra8.6[LENGTH],"",0,1)</f>
        <v/>
      </c>
      <c r="AB451"/>
    </row>
    <row r="452" spans="1:28" hidden="1" x14ac:dyDescent="0.2">
      <c r="A452" t="s">
        <v>450</v>
      </c>
      <c r="B452" t="s">
        <v>859</v>
      </c>
      <c r="C452" t="s">
        <v>68</v>
      </c>
      <c r="D452">
        <v>9</v>
      </c>
      <c r="E452" t="s">
        <v>31</v>
      </c>
      <c r="F452" t="str">
        <f>VLOOKUP($E452,'Data Type Lookup'!$A$1:$C$21,2,FALSE)</f>
        <v>RAW(16)</v>
      </c>
      <c r="I452" s="32" t="s">
        <v>32</v>
      </c>
      <c r="P452" t="s">
        <v>873</v>
      </c>
      <c r="Q452" t="s">
        <v>70</v>
      </c>
      <c r="R452" t="str">
        <f>VLOOKUP(E452,'Data Type Lookup'!$A$1:$C$21,3,FALSE)</f>
        <v>java.util.UUID</v>
      </c>
      <c r="S452">
        <v>2</v>
      </c>
      <c r="W452" t="str">
        <f t="shared" si="9"/>
        <v>PROJECT_CALC_RESULT.LAST_MODIFIED_BY_USER_UID</v>
      </c>
      <c r="X452" t="str">
        <f>VLOOKUP(W452,ColumnMapping[New Table.Column],1,)</f>
        <v>PROJECT_CALC_RESULT.LAST_MODIFIED_BY_USER_UID</v>
      </c>
      <c r="Y452" t="str">
        <f>_xlfn.XLOOKUP(Table6[[#This Row],[Table.Column]],ColumnMapping[Add Column Name],ColumnMapping[Old Table.Column],"",0,1)</f>
        <v/>
      </c>
      <c r="Z452" t="str">
        <f>_xlfn.XLOOKUP(Table6[[#This Row],[Old Table.Column]],Cobra8.6[Table.Column],Cobra8.6[TYPE],"",0,1)</f>
        <v/>
      </c>
      <c r="AA452" t="str">
        <f>_xlfn.XLOOKUP(Table6[[#This Row],[Old Table.Column]],Cobra8.6[Table.Column],Cobra8.6[LENGTH],"",0,1)</f>
        <v/>
      </c>
      <c r="AB452"/>
    </row>
    <row r="453" spans="1:28" hidden="1" x14ac:dyDescent="0.2">
      <c r="A453" t="s">
        <v>450</v>
      </c>
      <c r="B453" t="s">
        <v>859</v>
      </c>
      <c r="C453" t="s">
        <v>71</v>
      </c>
      <c r="D453">
        <v>10</v>
      </c>
      <c r="E453" t="s">
        <v>65</v>
      </c>
      <c r="F453" t="str">
        <f>VLOOKUP($E453,'Data Type Lookup'!$A$1:$C$21,2,FALSE)</f>
        <v>TIMESTAMP</v>
      </c>
      <c r="I453" s="32" t="s">
        <v>32</v>
      </c>
      <c r="P453" t="s">
        <v>874</v>
      </c>
      <c r="Q453" t="s">
        <v>73</v>
      </c>
      <c r="R453" t="str">
        <f>VLOOKUP(E453,'Data Type Lookup'!$A$1:$C$21,3,FALSE)</f>
        <v>java.time.Instant</v>
      </c>
      <c r="S453">
        <v>2</v>
      </c>
      <c r="W453" t="str">
        <f t="shared" si="9"/>
        <v>PROJECT_CALC_RESULT.LAST_MODIFIED_DATE</v>
      </c>
      <c r="X453" t="str">
        <f>VLOOKUP(W453,ColumnMapping[New Table.Column],1,)</f>
        <v>PROJECT_CALC_RESULT.LAST_MODIFIED_DATE</v>
      </c>
      <c r="Y453" t="str">
        <f>_xlfn.XLOOKUP(Table6[[#This Row],[Table.Column]],ColumnMapping[Add Column Name],ColumnMapping[Old Table.Column],"",0,1)</f>
        <v/>
      </c>
      <c r="Z453" t="str">
        <f>_xlfn.XLOOKUP(Table6[[#This Row],[Old Table.Column]],Cobra8.6[Table.Column],Cobra8.6[TYPE],"",0,1)</f>
        <v/>
      </c>
      <c r="AA453" t="str">
        <f>_xlfn.XLOOKUP(Table6[[#This Row],[Old Table.Column]],Cobra8.6[Table.Column],Cobra8.6[LENGTH],"",0,1)</f>
        <v/>
      </c>
      <c r="AB453"/>
    </row>
    <row r="454" spans="1:28" hidden="1" x14ac:dyDescent="0.2">
      <c r="A454" t="s">
        <v>450</v>
      </c>
      <c r="B454" t="s">
        <v>859</v>
      </c>
      <c r="C454" t="s">
        <v>875</v>
      </c>
      <c r="D454">
        <v>11</v>
      </c>
      <c r="E454" t="s">
        <v>86</v>
      </c>
      <c r="F454" t="str">
        <f>VLOOKUP($E454,'Data Type Lookup'!$A$1:$C$21,2,FALSE)</f>
        <v>VARCHAR2</v>
      </c>
      <c r="G454">
        <v>250</v>
      </c>
      <c r="J454" s="37" t="s">
        <v>605</v>
      </c>
      <c r="P454" t="s">
        <v>876</v>
      </c>
      <c r="Q454" t="s">
        <v>877</v>
      </c>
      <c r="R454" t="str">
        <f>VLOOKUP(E454,'Data Type Lookup'!$A$1:$C$21,3,FALSE)</f>
        <v>String</v>
      </c>
      <c r="W454" t="str">
        <f t="shared" si="9"/>
        <v>PROJECT_CALC_RESULT.EXPRESSION</v>
      </c>
      <c r="X454" t="str">
        <f>VLOOKUP(W454,ColumnMapping[New Table.Column],1,)</f>
        <v>PROJECT_CALC_RESULT.EXPRESSION</v>
      </c>
      <c r="Y454" t="str">
        <f>_xlfn.XLOOKUP(Table6[[#This Row],[Table.Column]],ColumnMapping[Add Column Name],ColumnMapping[Old Table.Column],"",0,1)</f>
        <v/>
      </c>
      <c r="Z454" t="str">
        <f>_xlfn.XLOOKUP(Table6[[#This Row],[Old Table.Column]],Cobra8.6[Table.Column],Cobra8.6[TYPE],"",0,1)</f>
        <v/>
      </c>
      <c r="AA454" t="str">
        <f>_xlfn.XLOOKUP(Table6[[#This Row],[Old Table.Column]],Cobra8.6[Table.Column],Cobra8.6[LENGTH],"",0,1)</f>
        <v/>
      </c>
      <c r="AB454"/>
    </row>
    <row r="455" spans="1:28" hidden="1" x14ac:dyDescent="0.2">
      <c r="A455" t="s">
        <v>450</v>
      </c>
      <c r="B455" t="s">
        <v>859</v>
      </c>
      <c r="C455" s="39" t="s">
        <v>744</v>
      </c>
      <c r="D455" s="39">
        <v>12</v>
      </c>
      <c r="E455" s="39" t="s">
        <v>86</v>
      </c>
      <c r="F455" s="39" t="s">
        <v>349</v>
      </c>
      <c r="G455" s="39">
        <v>22</v>
      </c>
      <c r="H455" s="39"/>
      <c r="I455" s="47"/>
      <c r="J455" s="37" t="s">
        <v>605</v>
      </c>
      <c r="K455" s="47"/>
      <c r="L455" s="47"/>
      <c r="M455" s="39"/>
      <c r="N455" s="39"/>
      <c r="O455" s="39"/>
      <c r="P455" s="39" t="s">
        <v>878</v>
      </c>
      <c r="Q455" s="39" t="s">
        <v>814</v>
      </c>
      <c r="R455" t="str">
        <f>VLOOKUP(E455,'Data Type Lookup'!$A$1:$C$21,3,FALSE)</f>
        <v>String</v>
      </c>
      <c r="S455" s="39"/>
      <c r="W455" t="str">
        <f t="shared" ref="W455:W518" si="10">_xlfn.CONCAT(B455,".",C455)</f>
        <v>PROJECT_CALC_RESULT.PROGRAM</v>
      </c>
      <c r="X455" t="e">
        <f>VLOOKUP(W455,ColumnMapping[New Table.Column],1,)</f>
        <v>#N/A</v>
      </c>
      <c r="Y455" t="str">
        <f>_xlfn.XLOOKUP(Table6[[#This Row],[Table.Column]],ColumnMapping[Add Column Name],ColumnMapping[Old Table.Column],"",0,1)</f>
        <v/>
      </c>
      <c r="Z455" t="str">
        <f>_xlfn.XLOOKUP(Table6[[#This Row],[Old Table.Column]],Cobra8.6[Table.Column],Cobra8.6[TYPE],"",0,1)</f>
        <v/>
      </c>
      <c r="AA455" t="str">
        <f>_xlfn.XLOOKUP(Table6[[#This Row],[Old Table.Column]],Cobra8.6[Table.Column],Cobra8.6[LENGTH],"",0,1)</f>
        <v/>
      </c>
      <c r="AB455" t="s">
        <v>32</v>
      </c>
    </row>
    <row r="456" spans="1:28" hidden="1" x14ac:dyDescent="0.2">
      <c r="A456" t="s">
        <v>450</v>
      </c>
      <c r="B456" t="s">
        <v>879</v>
      </c>
      <c r="C456" t="s">
        <v>30</v>
      </c>
      <c r="D456">
        <v>1</v>
      </c>
      <c r="E456" t="s">
        <v>31</v>
      </c>
      <c r="F456" t="str">
        <f>VLOOKUP($E456,'Data Type Lookup'!$A$1:$C$21,2,FALSE)</f>
        <v>RAW(16)</v>
      </c>
      <c r="I456" s="32" t="s">
        <v>32</v>
      </c>
      <c r="K456" s="32" t="s">
        <v>32</v>
      </c>
      <c r="P456" t="s">
        <v>880</v>
      </c>
      <c r="Q456" t="s">
        <v>34</v>
      </c>
      <c r="R456" t="str">
        <f>VLOOKUP(E456,'Data Type Lookup'!$A$1:$C$21,3,FALSE)</f>
        <v>java.util.UUID</v>
      </c>
      <c r="S456">
        <v>3</v>
      </c>
      <c r="W456" t="str">
        <f t="shared" si="10"/>
        <v>PROJECT_CAWP.ROW_UID</v>
      </c>
      <c r="X456" t="e">
        <f>VLOOKUP(W456,ColumnMapping[New Table.Column],1,)</f>
        <v>#N/A</v>
      </c>
      <c r="Y456" t="str">
        <f>_xlfn.XLOOKUP(Table6[[#This Row],[Table.Column]],ColumnMapping[Add Column Name],ColumnMapping[Old Table.Column],"",0,1)</f>
        <v/>
      </c>
      <c r="Z456" t="str">
        <f>_xlfn.XLOOKUP(Table6[[#This Row],[Old Table.Column]],Cobra8.6[Table.Column],Cobra8.6[TYPE],"",0,1)</f>
        <v/>
      </c>
      <c r="AA456" t="str">
        <f>_xlfn.XLOOKUP(Table6[[#This Row],[Old Table.Column]],Cobra8.6[Table.Column],Cobra8.6[LENGTH],"",0,1)</f>
        <v/>
      </c>
      <c r="AB456"/>
    </row>
    <row r="457" spans="1:28" hidden="1" x14ac:dyDescent="0.2">
      <c r="A457" t="s">
        <v>450</v>
      </c>
      <c r="B457" t="s">
        <v>879</v>
      </c>
      <c r="C457" t="s">
        <v>35</v>
      </c>
      <c r="D457">
        <v>2</v>
      </c>
      <c r="E457" t="s">
        <v>36</v>
      </c>
      <c r="F457" t="str">
        <f>VLOOKUP($E457,'Data Type Lookup'!$A$1:$C$21,2,FALSE)</f>
        <v>NUMBER(19,0)</v>
      </c>
      <c r="I457" s="32" t="s">
        <v>32</v>
      </c>
      <c r="J457" s="32">
        <v>0</v>
      </c>
      <c r="P457" t="s">
        <v>37</v>
      </c>
      <c r="Q457" t="s">
        <v>38</v>
      </c>
      <c r="R457" t="str">
        <f>VLOOKUP(E457,'Data Type Lookup'!$A$1:$C$21,3,FALSE)</f>
        <v>Long</v>
      </c>
      <c r="S457">
        <v>3</v>
      </c>
      <c r="W457" t="str">
        <f t="shared" si="10"/>
        <v>PROJECT_CAWP.SEQUENCE</v>
      </c>
      <c r="X457" t="str">
        <f>VLOOKUP(W457,ColumnMapping[New Table.Column],1,)</f>
        <v>PROJECT_CAWP.SEQUENCE</v>
      </c>
      <c r="Y457" t="str">
        <f>_xlfn.XLOOKUP(Table6[[#This Row],[Table.Column]],ColumnMapping[Add Column Name],ColumnMapping[Old Table.Column],"",0,1)</f>
        <v/>
      </c>
      <c r="Z457" t="str">
        <f>_xlfn.XLOOKUP(Table6[[#This Row],[Old Table.Column]],Cobra8.6[Table.Column],Cobra8.6[TYPE],"",0,1)</f>
        <v/>
      </c>
      <c r="AA457" t="str">
        <f>_xlfn.XLOOKUP(Table6[[#This Row],[Old Table.Column]],Cobra8.6[Table.Column],Cobra8.6[LENGTH],"",0,1)</f>
        <v/>
      </c>
      <c r="AB457"/>
    </row>
    <row r="458" spans="1:28" hidden="1" x14ac:dyDescent="0.2">
      <c r="A458" t="s">
        <v>450</v>
      </c>
      <c r="B458" t="s">
        <v>879</v>
      </c>
      <c r="C458" t="s">
        <v>770</v>
      </c>
      <c r="D458">
        <v>3</v>
      </c>
      <c r="E458" t="s">
        <v>31</v>
      </c>
      <c r="F458" t="str">
        <f>VLOOKUP($E458,'Data Type Lookup'!$A$1:$C$21,2,FALSE)</f>
        <v>RAW(16)</v>
      </c>
      <c r="I458" s="32" t="s">
        <v>32</v>
      </c>
      <c r="L458" s="32" t="s">
        <v>32</v>
      </c>
      <c r="M458" t="s">
        <v>451</v>
      </c>
      <c r="N458" t="s">
        <v>30</v>
      </c>
      <c r="O458" t="s">
        <v>41</v>
      </c>
      <c r="P458" t="s">
        <v>452</v>
      </c>
      <c r="Q458" t="s">
        <v>771</v>
      </c>
      <c r="R458" t="str">
        <f>VLOOKUP(E458,'Data Type Lookup'!$A$1:$C$21,3,FALSE)</f>
        <v>java.util.UUID</v>
      </c>
      <c r="S458">
        <v>1</v>
      </c>
      <c r="W458" t="str">
        <f t="shared" si="10"/>
        <v>PROJECT_CAWP.PROJECT_UID</v>
      </c>
      <c r="X458" t="str">
        <f>VLOOKUP(W458,ColumnMapping[New Table.Column],1,)</f>
        <v>PROJECT_CAWP.PROJECT_UID</v>
      </c>
      <c r="Y458" t="str">
        <f>_xlfn.XLOOKUP(Table6[[#This Row],[Table.Column]],ColumnMapping[Add Column Name],ColumnMapping[Old Table.Column],"",0,1)</f>
        <v/>
      </c>
      <c r="Z458" t="str">
        <f>_xlfn.XLOOKUP(Table6[[#This Row],[Old Table.Column]],Cobra8.6[Table.Column],Cobra8.6[TYPE],"",0,1)</f>
        <v/>
      </c>
      <c r="AA458" t="str">
        <f>_xlfn.XLOOKUP(Table6[[#This Row],[Old Table.Column]],Cobra8.6[Table.Column],Cobra8.6[LENGTH],"",0,1)</f>
        <v/>
      </c>
      <c r="AB458"/>
    </row>
    <row r="459" spans="1:28" hidden="1" x14ac:dyDescent="0.2">
      <c r="A459" t="s">
        <v>450</v>
      </c>
      <c r="B459" t="s">
        <v>879</v>
      </c>
      <c r="C459" t="s">
        <v>47</v>
      </c>
      <c r="D459">
        <v>4</v>
      </c>
      <c r="E459" t="s">
        <v>48</v>
      </c>
      <c r="F459" t="str">
        <f>VLOOKUP($E459,'Data Type Lookup'!$A$1:$C$21,2,FALSE)</f>
        <v>NVARCHAR2</v>
      </c>
      <c r="G459">
        <v>100</v>
      </c>
      <c r="I459" s="32" t="s">
        <v>32</v>
      </c>
      <c r="L459" s="32" t="s">
        <v>32</v>
      </c>
      <c r="P459" t="s">
        <v>881</v>
      </c>
      <c r="Q459" t="s">
        <v>50</v>
      </c>
      <c r="R459" t="str">
        <f>VLOOKUP(E459,'Data Type Lookup'!$A$1:$C$21,3,FALSE)</f>
        <v>String</v>
      </c>
      <c r="W459" t="str">
        <f t="shared" si="10"/>
        <v>PROJECT_CAWP.NAME</v>
      </c>
      <c r="X459" t="e">
        <f>VLOOKUP(W459,ColumnMapping[New Table.Column],1,)</f>
        <v>#N/A</v>
      </c>
      <c r="Y459" t="str">
        <f>_xlfn.XLOOKUP(Table6[[#This Row],[Table.Column]],ColumnMapping[Add Column Name],ColumnMapping[Old Table.Column],"",0,1)</f>
        <v/>
      </c>
      <c r="Z459" t="str">
        <f>_xlfn.XLOOKUP(Table6[[#This Row],[Old Table.Column]],Cobra8.6[Table.Column],Cobra8.6[TYPE],"",0,1)</f>
        <v/>
      </c>
      <c r="AA459" t="str">
        <f>_xlfn.XLOOKUP(Table6[[#This Row],[Old Table.Column]],Cobra8.6[Table.Column],Cobra8.6[LENGTH],"",0,1)</f>
        <v/>
      </c>
      <c r="AB459"/>
    </row>
    <row r="460" spans="1:28" hidden="1" x14ac:dyDescent="0.2">
      <c r="A460" t="s">
        <v>450</v>
      </c>
      <c r="B460" t="s">
        <v>879</v>
      </c>
      <c r="C460" t="s">
        <v>882</v>
      </c>
      <c r="D460">
        <v>5</v>
      </c>
      <c r="E460" t="s">
        <v>31</v>
      </c>
      <c r="F460" t="str">
        <f>VLOOKUP($E460,'Data Type Lookup'!$A$1:$C$21,2,FALSE)</f>
        <v>RAW(16)</v>
      </c>
      <c r="M460" t="s">
        <v>29</v>
      </c>
      <c r="N460" t="s">
        <v>30</v>
      </c>
      <c r="O460" t="s">
        <v>41</v>
      </c>
      <c r="P460" t="s">
        <v>883</v>
      </c>
      <c r="Q460" t="s">
        <v>884</v>
      </c>
      <c r="R460" t="str">
        <f>VLOOKUP(E460,'Data Type Lookup'!$A$1:$C$21,3,FALSE)</f>
        <v>java.util.UUID</v>
      </c>
      <c r="S460">
        <v>1</v>
      </c>
      <c r="W460" t="str">
        <f t="shared" si="10"/>
        <v>PROJECT_CAWP.OBS_CODE_UID</v>
      </c>
      <c r="X460" t="e">
        <f>VLOOKUP(W460,ColumnMapping[New Table.Column],1,)</f>
        <v>#N/A</v>
      </c>
      <c r="Y460" t="str">
        <f>_xlfn.XLOOKUP(Table6[[#This Row],[Table.Column]],ColumnMapping[Add Column Name],ColumnMapping[Old Table.Column],"",0,1)</f>
        <v/>
      </c>
      <c r="Z460" t="str">
        <f>_xlfn.XLOOKUP(Table6[[#This Row],[Old Table.Column]],Cobra8.6[Table.Column],Cobra8.6[TYPE],"",0,1)</f>
        <v/>
      </c>
      <c r="AA460" t="str">
        <f>_xlfn.XLOOKUP(Table6[[#This Row],[Old Table.Column]],Cobra8.6[Table.Column],Cobra8.6[LENGTH],"",0,1)</f>
        <v/>
      </c>
      <c r="AB460"/>
    </row>
    <row r="461" spans="1:28" hidden="1" x14ac:dyDescent="0.2">
      <c r="A461" t="s">
        <v>450</v>
      </c>
      <c r="B461" t="s">
        <v>879</v>
      </c>
      <c r="C461" t="s">
        <v>885</v>
      </c>
      <c r="D461">
        <v>6</v>
      </c>
      <c r="E461" t="s">
        <v>31</v>
      </c>
      <c r="F461" t="str">
        <f>VLOOKUP($E461,'Data Type Lookup'!$A$1:$C$21,2,FALSE)</f>
        <v>RAW(16)</v>
      </c>
      <c r="M461" t="s">
        <v>29</v>
      </c>
      <c r="N461" t="s">
        <v>30</v>
      </c>
      <c r="O461" t="s">
        <v>41</v>
      </c>
      <c r="P461" t="s">
        <v>886</v>
      </c>
      <c r="Q461" t="s">
        <v>887</v>
      </c>
      <c r="R461" t="str">
        <f>VLOOKUP(E461,'Data Type Lookup'!$A$1:$C$21,3,FALSE)</f>
        <v>java.util.UUID</v>
      </c>
      <c r="S461">
        <v>1</v>
      </c>
      <c r="W461" t="str">
        <f t="shared" si="10"/>
        <v>PROJECT_CAWP.WBS_CODE_UID</v>
      </c>
      <c r="X461" t="e">
        <f>VLOOKUP(W461,ColumnMapping[New Table.Column],1,)</f>
        <v>#N/A</v>
      </c>
      <c r="Y461" t="str">
        <f>_xlfn.XLOOKUP(Table6[[#This Row],[Table.Column]],ColumnMapping[Add Column Name],ColumnMapping[Old Table.Column],"",0,1)</f>
        <v/>
      </c>
      <c r="Z461" t="str">
        <f>_xlfn.XLOOKUP(Table6[[#This Row],[Old Table.Column]],Cobra8.6[Table.Column],Cobra8.6[TYPE],"",0,1)</f>
        <v/>
      </c>
      <c r="AA461" t="str">
        <f>_xlfn.XLOOKUP(Table6[[#This Row],[Old Table.Column]],Cobra8.6[Table.Column],Cobra8.6[LENGTH],"",0,1)</f>
        <v/>
      </c>
      <c r="AB461"/>
    </row>
    <row r="462" spans="1:28" hidden="1" x14ac:dyDescent="0.2">
      <c r="A462" t="s">
        <v>450</v>
      </c>
      <c r="B462" t="s">
        <v>879</v>
      </c>
      <c r="C462" t="s">
        <v>888</v>
      </c>
      <c r="D462">
        <v>7</v>
      </c>
      <c r="E462" t="s">
        <v>31</v>
      </c>
      <c r="F462" t="str">
        <f>VLOOKUP($E462,'Data Type Lookup'!$A$1:$C$21,2,FALSE)</f>
        <v>RAW(16)</v>
      </c>
      <c r="L462" s="32" t="s">
        <v>32</v>
      </c>
      <c r="M462" t="s">
        <v>879</v>
      </c>
      <c r="N462" t="s">
        <v>30</v>
      </c>
      <c r="O462" t="s">
        <v>41</v>
      </c>
      <c r="P462" t="s">
        <v>889</v>
      </c>
      <c r="Q462" t="s">
        <v>890</v>
      </c>
      <c r="R462" t="str">
        <f>VLOOKUP(E462,'Data Type Lookup'!$A$1:$C$21,3,FALSE)</f>
        <v>java.util.UUID</v>
      </c>
      <c r="S462">
        <v>1</v>
      </c>
      <c r="W462" t="str">
        <f t="shared" si="10"/>
        <v>PROJECT_CAWP.PARENT_PROJECT_CAWP_UID</v>
      </c>
      <c r="X462" t="e">
        <f>VLOOKUP(W462,ColumnMapping[New Table.Column],1,)</f>
        <v>#N/A</v>
      </c>
      <c r="Y462" t="str">
        <f>_xlfn.XLOOKUP(Table6[[#This Row],[Table.Column]],ColumnMapping[Add Column Name],ColumnMapping[Old Table.Column],"",0,1)</f>
        <v/>
      </c>
      <c r="Z462" t="str">
        <f>_xlfn.XLOOKUP(Table6[[#This Row],[Old Table.Column]],Cobra8.6[Table.Column],Cobra8.6[TYPE],"",0,1)</f>
        <v/>
      </c>
      <c r="AA462" t="str">
        <f>_xlfn.XLOOKUP(Table6[[#This Row],[Old Table.Column]],Cobra8.6[Table.Column],Cobra8.6[LENGTH],"",0,1)</f>
        <v/>
      </c>
      <c r="AB462"/>
    </row>
    <row r="463" spans="1:28" hidden="1" x14ac:dyDescent="0.2">
      <c r="A463" t="s">
        <v>450</v>
      </c>
      <c r="B463" t="s">
        <v>879</v>
      </c>
      <c r="C463" t="s">
        <v>891</v>
      </c>
      <c r="D463">
        <v>8</v>
      </c>
      <c r="E463" t="s">
        <v>31</v>
      </c>
      <c r="F463" t="str">
        <f>VLOOKUP($E463,'Data Type Lookup'!$A$1:$C$21,2,FALSE)</f>
        <v>RAW(16)</v>
      </c>
      <c r="M463" t="s">
        <v>29</v>
      </c>
      <c r="N463" t="s">
        <v>30</v>
      </c>
      <c r="O463" t="s">
        <v>41</v>
      </c>
      <c r="P463" t="s">
        <v>892</v>
      </c>
      <c r="Q463" t="s">
        <v>893</v>
      </c>
      <c r="R463" t="str">
        <f>VLOOKUP(E463,'Data Type Lookup'!$A$1:$C$21,3,FALSE)</f>
        <v>java.util.UUID</v>
      </c>
      <c r="S463">
        <v>1</v>
      </c>
      <c r="W463" t="str">
        <f t="shared" si="10"/>
        <v>PROJECT_CAWP.CAM_CODE_UID</v>
      </c>
      <c r="X463" t="e">
        <f>VLOOKUP(W463,ColumnMapping[New Table.Column],1,)</f>
        <v>#N/A</v>
      </c>
      <c r="Y463" t="str">
        <f>_xlfn.XLOOKUP(Table6[[#This Row],[Table.Column]],ColumnMapping[Add Column Name],ColumnMapping[Old Table.Column],"",0,1)</f>
        <v/>
      </c>
      <c r="Z463" t="str">
        <f>_xlfn.XLOOKUP(Table6[[#This Row],[Old Table.Column]],Cobra8.6[Table.Column],Cobra8.6[TYPE],"",0,1)</f>
        <v/>
      </c>
      <c r="AA463" t="str">
        <f>_xlfn.XLOOKUP(Table6[[#This Row],[Old Table.Column]],Cobra8.6[Table.Column],Cobra8.6[LENGTH],"",0,1)</f>
        <v/>
      </c>
      <c r="AB463"/>
    </row>
    <row r="464" spans="1:28" hidden="1" x14ac:dyDescent="0.2">
      <c r="A464" t="s">
        <v>450</v>
      </c>
      <c r="B464" t="s">
        <v>879</v>
      </c>
      <c r="C464" t="s">
        <v>894</v>
      </c>
      <c r="D464">
        <v>9</v>
      </c>
      <c r="E464" t="s">
        <v>31</v>
      </c>
      <c r="F464" t="str">
        <f>VLOOKUP($E464,'Data Type Lookup'!$A$1:$C$21,2,FALSE)</f>
        <v>RAW(16)</v>
      </c>
      <c r="M464" t="s">
        <v>29</v>
      </c>
      <c r="N464" t="s">
        <v>30</v>
      </c>
      <c r="O464" t="s">
        <v>41</v>
      </c>
      <c r="P464" t="s">
        <v>895</v>
      </c>
      <c r="Q464" t="s">
        <v>896</v>
      </c>
      <c r="R464" t="str">
        <f>VLOOKUP(E464,'Data Type Lookup'!$A$1:$C$21,3,FALSE)</f>
        <v>java.util.UUID</v>
      </c>
      <c r="S464">
        <v>1</v>
      </c>
      <c r="W464" t="str">
        <f t="shared" si="10"/>
        <v>PROJECT_CAWP.CLIN_CODE_UID</v>
      </c>
      <c r="X464" t="e">
        <f>VLOOKUP(W464,ColumnMapping[New Table.Column],1,)</f>
        <v>#N/A</v>
      </c>
      <c r="Y464" t="str">
        <f>_xlfn.XLOOKUP(Table6[[#This Row],[Table.Column]],ColumnMapping[Add Column Name],ColumnMapping[Old Table.Column],"",0,1)</f>
        <v/>
      </c>
      <c r="Z464" t="str">
        <f>_xlfn.XLOOKUP(Table6[[#This Row],[Old Table.Column]],Cobra8.6[Table.Column],Cobra8.6[TYPE],"",0,1)</f>
        <v/>
      </c>
      <c r="AA464" t="str">
        <f>_xlfn.XLOOKUP(Table6[[#This Row],[Old Table.Column]],Cobra8.6[Table.Column],Cobra8.6[LENGTH],"",0,1)</f>
        <v/>
      </c>
      <c r="AB464"/>
    </row>
    <row r="465" spans="1:28" hidden="1" x14ac:dyDescent="0.2">
      <c r="A465" t="s">
        <v>450</v>
      </c>
      <c r="B465" t="s">
        <v>879</v>
      </c>
      <c r="C465" t="s">
        <v>897</v>
      </c>
      <c r="D465">
        <v>10</v>
      </c>
      <c r="E465" t="s">
        <v>288</v>
      </c>
      <c r="F465" t="str">
        <f>VLOOKUP($E465,'Data Type Lookup'!$A$1:$C$21,2,FALSE)</f>
        <v>NUMBER(1,0)</v>
      </c>
      <c r="I465" s="32" t="s">
        <v>32</v>
      </c>
      <c r="J465" s="37">
        <v>0</v>
      </c>
      <c r="P465" t="s">
        <v>898</v>
      </c>
      <c r="Q465" t="s">
        <v>899</v>
      </c>
      <c r="R465" t="str">
        <f>VLOOKUP(E465,'Data Type Lookup'!$A$1:$C$21,3,FALSE)</f>
        <v>Boolean</v>
      </c>
      <c r="W465" t="str">
        <f t="shared" si="10"/>
        <v>PROJECT_CAWP.IS_WP</v>
      </c>
      <c r="X465" t="e">
        <f>VLOOKUP(W465,ColumnMapping[New Table.Column],1,)</f>
        <v>#N/A</v>
      </c>
      <c r="Y465" t="str">
        <f>_xlfn.XLOOKUP(Table6[[#This Row],[Table.Column]],ColumnMapping[Add Column Name],ColumnMapping[Old Table.Column],"",0,1)</f>
        <v/>
      </c>
      <c r="Z465" t="str">
        <f>_xlfn.XLOOKUP(Table6[[#This Row],[Old Table.Column]],Cobra8.6[Table.Column],Cobra8.6[TYPE],"",0,1)</f>
        <v/>
      </c>
      <c r="AA465" t="str">
        <f>_xlfn.XLOOKUP(Table6[[#This Row],[Old Table.Column]],Cobra8.6[Table.Column],Cobra8.6[LENGTH],"",0,1)</f>
        <v/>
      </c>
      <c r="AB465"/>
    </row>
    <row r="466" spans="1:28" hidden="1" x14ac:dyDescent="0.2">
      <c r="A466" t="s">
        <v>450</v>
      </c>
      <c r="B466" t="s">
        <v>879</v>
      </c>
      <c r="C466" t="s">
        <v>498</v>
      </c>
      <c r="D466">
        <v>11</v>
      </c>
      <c r="E466" t="s">
        <v>356</v>
      </c>
      <c r="F466" t="str">
        <f>VLOOKUP($E466,'Data Type Lookup'!$A$1:$C$21,2,FALSE)</f>
        <v>DATE</v>
      </c>
      <c r="P466" t="s">
        <v>900</v>
      </c>
      <c r="Q466" t="s">
        <v>500</v>
      </c>
      <c r="R466" t="str">
        <f>VLOOKUP(E466,'Data Type Lookup'!$A$1:$C$21,3,FALSE)</f>
        <v>java.time.Instant</v>
      </c>
      <c r="W466" t="str">
        <f t="shared" si="10"/>
        <v>PROJECT_CAWP.BASELINE_START</v>
      </c>
      <c r="X466" t="str">
        <f>VLOOKUP(W466,ColumnMapping[New Table.Column],1,)</f>
        <v>PROJECT_CAWP.BASELINE_START</v>
      </c>
      <c r="Y466" t="str">
        <f>_xlfn.XLOOKUP(Table6[[#This Row],[Table.Column]],ColumnMapping[Add Column Name],ColumnMapping[Old Table.Column],"",0,1)</f>
        <v/>
      </c>
      <c r="Z466" t="str">
        <f>_xlfn.XLOOKUP(Table6[[#This Row],[Old Table.Column]],Cobra8.6[Table.Column],Cobra8.6[TYPE],"",0,1)</f>
        <v/>
      </c>
      <c r="AA466" t="str">
        <f>_xlfn.XLOOKUP(Table6[[#This Row],[Old Table.Column]],Cobra8.6[Table.Column],Cobra8.6[LENGTH],"",0,1)</f>
        <v/>
      </c>
      <c r="AB466"/>
    </row>
    <row r="467" spans="1:28" hidden="1" x14ac:dyDescent="0.2">
      <c r="A467" t="s">
        <v>450</v>
      </c>
      <c r="B467" t="s">
        <v>879</v>
      </c>
      <c r="C467" t="s">
        <v>501</v>
      </c>
      <c r="D467">
        <v>12</v>
      </c>
      <c r="E467" t="s">
        <v>356</v>
      </c>
      <c r="F467" t="str">
        <f>VLOOKUP($E467,'Data Type Lookup'!$A$1:$C$21,2,FALSE)</f>
        <v>DATE</v>
      </c>
      <c r="P467" t="s">
        <v>901</v>
      </c>
      <c r="Q467" t="s">
        <v>503</v>
      </c>
      <c r="R467" t="str">
        <f>VLOOKUP(E467,'Data Type Lookup'!$A$1:$C$21,3,FALSE)</f>
        <v>java.time.Instant</v>
      </c>
      <c r="W467" t="str">
        <f t="shared" si="10"/>
        <v>PROJECT_CAWP.BASELINE_FINISH</v>
      </c>
      <c r="X467" t="str">
        <f>VLOOKUP(W467,ColumnMapping[New Table.Column],1,)</f>
        <v>PROJECT_CAWP.BASELINE_FINISH</v>
      </c>
      <c r="Y467" t="str">
        <f>_xlfn.XLOOKUP(Table6[[#This Row],[Table.Column]],ColumnMapping[Add Column Name],ColumnMapping[Old Table.Column],"",0,1)</f>
        <v/>
      </c>
      <c r="Z467" t="str">
        <f>_xlfn.XLOOKUP(Table6[[#This Row],[Old Table.Column]],Cobra8.6[Table.Column],Cobra8.6[TYPE],"",0,1)</f>
        <v/>
      </c>
      <c r="AA467" t="str">
        <f>_xlfn.XLOOKUP(Table6[[#This Row],[Old Table.Column]],Cobra8.6[Table.Column],Cobra8.6[LENGTH],"",0,1)</f>
        <v/>
      </c>
      <c r="AB467"/>
    </row>
    <row r="468" spans="1:28" hidden="1" x14ac:dyDescent="0.2">
      <c r="A468" t="s">
        <v>450</v>
      </c>
      <c r="B468" t="s">
        <v>879</v>
      </c>
      <c r="C468" t="s">
        <v>902</v>
      </c>
      <c r="D468">
        <v>13</v>
      </c>
      <c r="E468" t="s">
        <v>356</v>
      </c>
      <c r="F468" t="str">
        <f>VLOOKUP($E468,'Data Type Lookup'!$A$1:$C$21,2,FALSE)</f>
        <v>DATE</v>
      </c>
      <c r="P468" t="s">
        <v>903</v>
      </c>
      <c r="Q468" t="s">
        <v>904</v>
      </c>
      <c r="R468" t="str">
        <f>VLOOKUP(E468,'Data Type Lookup'!$A$1:$C$21,3,FALSE)</f>
        <v>java.time.Instant</v>
      </c>
      <c r="W468" t="str">
        <f t="shared" si="10"/>
        <v>PROJECT_CAWP.ACTUAL_START</v>
      </c>
      <c r="X468" t="str">
        <f>VLOOKUP(W468,ColumnMapping[New Table.Column],1,)</f>
        <v>PROJECT_CAWP.ACTUAL_START</v>
      </c>
      <c r="Y468" t="str">
        <f>_xlfn.XLOOKUP(Table6[[#This Row],[Table.Column]],ColumnMapping[Add Column Name],ColumnMapping[Old Table.Column],"",0,1)</f>
        <v/>
      </c>
      <c r="Z468" t="str">
        <f>_xlfn.XLOOKUP(Table6[[#This Row],[Old Table.Column]],Cobra8.6[Table.Column],Cobra8.6[TYPE],"",0,1)</f>
        <v/>
      </c>
      <c r="AA468" t="str">
        <f>_xlfn.XLOOKUP(Table6[[#This Row],[Old Table.Column]],Cobra8.6[Table.Column],Cobra8.6[LENGTH],"",0,1)</f>
        <v/>
      </c>
      <c r="AB468"/>
    </row>
    <row r="469" spans="1:28" hidden="1" x14ac:dyDescent="0.2">
      <c r="A469" t="s">
        <v>450</v>
      </c>
      <c r="B469" t="s">
        <v>879</v>
      </c>
      <c r="C469" t="s">
        <v>905</v>
      </c>
      <c r="D469">
        <v>14</v>
      </c>
      <c r="E469" t="s">
        <v>356</v>
      </c>
      <c r="F469" t="str">
        <f>VLOOKUP($E469,'Data Type Lookup'!$A$1:$C$21,2,FALSE)</f>
        <v>DATE</v>
      </c>
      <c r="P469" t="s">
        <v>906</v>
      </c>
      <c r="Q469" t="s">
        <v>907</v>
      </c>
      <c r="R469" t="str">
        <f>VLOOKUP(E469,'Data Type Lookup'!$A$1:$C$21,3,FALSE)</f>
        <v>java.time.Instant</v>
      </c>
      <c r="W469" t="str">
        <f t="shared" si="10"/>
        <v>PROJECT_CAWP.ACTUAL_FINISH</v>
      </c>
      <c r="X469" t="str">
        <f>VLOOKUP(W469,ColumnMapping[New Table.Column],1,)</f>
        <v>PROJECT_CAWP.ACTUAL_FINISH</v>
      </c>
      <c r="Y469" t="str">
        <f>_xlfn.XLOOKUP(Table6[[#This Row],[Table.Column]],ColumnMapping[Add Column Name],ColumnMapping[Old Table.Column],"",0,1)</f>
        <v/>
      </c>
      <c r="Z469" t="str">
        <f>_xlfn.XLOOKUP(Table6[[#This Row],[Old Table.Column]],Cobra8.6[Table.Column],Cobra8.6[TYPE],"",0,1)</f>
        <v/>
      </c>
      <c r="AA469" t="str">
        <f>_xlfn.XLOOKUP(Table6[[#This Row],[Old Table.Column]],Cobra8.6[Table.Column],Cobra8.6[LENGTH],"",0,1)</f>
        <v/>
      </c>
      <c r="AB469"/>
    </row>
    <row r="470" spans="1:28" hidden="1" x14ac:dyDescent="0.2">
      <c r="A470" t="s">
        <v>450</v>
      </c>
      <c r="B470" t="s">
        <v>879</v>
      </c>
      <c r="C470" t="s">
        <v>908</v>
      </c>
      <c r="D470">
        <v>15</v>
      </c>
      <c r="E470" t="s">
        <v>356</v>
      </c>
      <c r="F470" t="str">
        <f>VLOOKUP($E470,'Data Type Lookup'!$A$1:$C$21,2,FALSE)</f>
        <v>DATE</v>
      </c>
      <c r="P470" t="s">
        <v>909</v>
      </c>
      <c r="Q470" t="s">
        <v>910</v>
      </c>
      <c r="R470" t="str">
        <f>VLOOKUP(E470,'Data Type Lookup'!$A$1:$C$21,3,FALSE)</f>
        <v>java.time.Instant</v>
      </c>
      <c r="W470" t="str">
        <f t="shared" si="10"/>
        <v>PROJECT_CAWP.EARLY_START</v>
      </c>
      <c r="X470" t="str">
        <f>VLOOKUP(W470,ColumnMapping[New Table.Column],1,)</f>
        <v>PROJECT_CAWP.EARLY_START</v>
      </c>
      <c r="Y470" t="str">
        <f>_xlfn.XLOOKUP(Table6[[#This Row],[Table.Column]],ColumnMapping[Add Column Name],ColumnMapping[Old Table.Column],"",0,1)</f>
        <v/>
      </c>
      <c r="Z470" t="str">
        <f>_xlfn.XLOOKUP(Table6[[#This Row],[Old Table.Column]],Cobra8.6[Table.Column],Cobra8.6[TYPE],"",0,1)</f>
        <v/>
      </c>
      <c r="AA470" t="str">
        <f>_xlfn.XLOOKUP(Table6[[#This Row],[Old Table.Column]],Cobra8.6[Table.Column],Cobra8.6[LENGTH],"",0,1)</f>
        <v/>
      </c>
      <c r="AB470"/>
    </row>
    <row r="471" spans="1:28" hidden="1" x14ac:dyDescent="0.2">
      <c r="A471" t="s">
        <v>450</v>
      </c>
      <c r="B471" t="s">
        <v>879</v>
      </c>
      <c r="C471" t="s">
        <v>911</v>
      </c>
      <c r="D471">
        <v>16</v>
      </c>
      <c r="E471" t="s">
        <v>356</v>
      </c>
      <c r="F471" t="str">
        <f>VLOOKUP($E471,'Data Type Lookup'!$A$1:$C$21,2,FALSE)</f>
        <v>DATE</v>
      </c>
      <c r="P471" t="s">
        <v>912</v>
      </c>
      <c r="Q471" t="s">
        <v>913</v>
      </c>
      <c r="R471" t="str">
        <f>VLOOKUP(E471,'Data Type Lookup'!$A$1:$C$21,3,FALSE)</f>
        <v>java.time.Instant</v>
      </c>
      <c r="W471" t="str">
        <f t="shared" si="10"/>
        <v>PROJECT_CAWP.EARLY_FINISH</v>
      </c>
      <c r="X471" t="str">
        <f>VLOOKUP(W471,ColumnMapping[New Table.Column],1,)</f>
        <v>PROJECT_CAWP.EARLY_FINISH</v>
      </c>
      <c r="Y471" t="str">
        <f>_xlfn.XLOOKUP(Table6[[#This Row],[Table.Column]],ColumnMapping[Add Column Name],ColumnMapping[Old Table.Column],"",0,1)</f>
        <v/>
      </c>
      <c r="Z471" t="str">
        <f>_xlfn.XLOOKUP(Table6[[#This Row],[Old Table.Column]],Cobra8.6[Table.Column],Cobra8.6[TYPE],"",0,1)</f>
        <v/>
      </c>
      <c r="AA471" t="str">
        <f>_xlfn.XLOOKUP(Table6[[#This Row],[Old Table.Column]],Cobra8.6[Table.Column],Cobra8.6[LENGTH],"",0,1)</f>
        <v/>
      </c>
      <c r="AB471"/>
    </row>
    <row r="472" spans="1:28" hidden="1" x14ac:dyDescent="0.2">
      <c r="A472" t="s">
        <v>450</v>
      </c>
      <c r="B472" t="s">
        <v>879</v>
      </c>
      <c r="C472" t="s">
        <v>914</v>
      </c>
      <c r="D472">
        <v>17</v>
      </c>
      <c r="E472" t="s">
        <v>356</v>
      </c>
      <c r="F472" t="str">
        <f>VLOOKUP($E472,'Data Type Lookup'!$A$1:$C$21,2,FALSE)</f>
        <v>DATE</v>
      </c>
      <c r="P472" t="s">
        <v>915</v>
      </c>
      <c r="Q472" t="s">
        <v>916</v>
      </c>
      <c r="R472" t="str">
        <f>VLOOKUP(E472,'Data Type Lookup'!$A$1:$C$21,3,FALSE)</f>
        <v>java.time.Instant</v>
      </c>
      <c r="W472" t="str">
        <f t="shared" si="10"/>
        <v>PROJECT_CAWP.LATE_START</v>
      </c>
      <c r="X472" t="str">
        <f>VLOOKUP(W472,ColumnMapping[New Table.Column],1,)</f>
        <v>PROJECT_CAWP.LATE_START</v>
      </c>
      <c r="Y472" t="str">
        <f>_xlfn.XLOOKUP(Table6[[#This Row],[Table.Column]],ColumnMapping[Add Column Name],ColumnMapping[Old Table.Column],"",0,1)</f>
        <v/>
      </c>
      <c r="Z472" t="str">
        <f>_xlfn.XLOOKUP(Table6[[#This Row],[Old Table.Column]],Cobra8.6[Table.Column],Cobra8.6[TYPE],"",0,1)</f>
        <v/>
      </c>
      <c r="AA472" t="str">
        <f>_xlfn.XLOOKUP(Table6[[#This Row],[Old Table.Column]],Cobra8.6[Table.Column],Cobra8.6[LENGTH],"",0,1)</f>
        <v/>
      </c>
      <c r="AB472"/>
    </row>
    <row r="473" spans="1:28" hidden="1" x14ac:dyDescent="0.2">
      <c r="A473" t="s">
        <v>450</v>
      </c>
      <c r="B473" t="s">
        <v>879</v>
      </c>
      <c r="C473" t="s">
        <v>917</v>
      </c>
      <c r="D473">
        <v>18</v>
      </c>
      <c r="E473" t="s">
        <v>356</v>
      </c>
      <c r="F473" t="str">
        <f>VLOOKUP($E473,'Data Type Lookup'!$A$1:$C$21,2,FALSE)</f>
        <v>DATE</v>
      </c>
      <c r="P473" t="s">
        <v>918</v>
      </c>
      <c r="Q473" t="s">
        <v>919</v>
      </c>
      <c r="R473" t="str">
        <f>VLOOKUP(E473,'Data Type Lookup'!$A$1:$C$21,3,FALSE)</f>
        <v>java.time.Instant</v>
      </c>
      <c r="W473" t="str">
        <f t="shared" si="10"/>
        <v>PROJECT_CAWP.LATE_FINISH</v>
      </c>
      <c r="X473" t="str">
        <f>VLOOKUP(W473,ColumnMapping[New Table.Column],1,)</f>
        <v>PROJECT_CAWP.LATE_FINISH</v>
      </c>
      <c r="Y473" t="str">
        <f>_xlfn.XLOOKUP(Table6[[#This Row],[Table.Column]],ColumnMapping[Add Column Name],ColumnMapping[Old Table.Column],"",0,1)</f>
        <v/>
      </c>
      <c r="Z473" t="str">
        <f>_xlfn.XLOOKUP(Table6[[#This Row],[Old Table.Column]],Cobra8.6[Table.Column],Cobra8.6[TYPE],"",0,1)</f>
        <v/>
      </c>
      <c r="AA473" t="str">
        <f>_xlfn.XLOOKUP(Table6[[#This Row],[Old Table.Column]],Cobra8.6[Table.Column],Cobra8.6[LENGTH],"",0,1)</f>
        <v/>
      </c>
      <c r="AB473"/>
    </row>
    <row r="474" spans="1:28" hidden="1" x14ac:dyDescent="0.2">
      <c r="A474" t="s">
        <v>450</v>
      </c>
      <c r="B474" t="s">
        <v>879</v>
      </c>
      <c r="C474" t="s">
        <v>920</v>
      </c>
      <c r="D474">
        <v>19</v>
      </c>
      <c r="E474" t="s">
        <v>356</v>
      </c>
      <c r="F474" t="str">
        <f>VLOOKUP($E474,'Data Type Lookup'!$A$1:$C$21,2,FALSE)</f>
        <v>DATE</v>
      </c>
      <c r="P474" t="s">
        <v>921</v>
      </c>
      <c r="Q474" t="s">
        <v>922</v>
      </c>
      <c r="R474" t="str">
        <f>VLOOKUP(E474,'Data Type Lookup'!$A$1:$C$21,3,FALSE)</f>
        <v>java.time.Instant</v>
      </c>
      <c r="W474" t="str">
        <f t="shared" si="10"/>
        <v>PROJECT_CAWP.PENDING_START</v>
      </c>
      <c r="X474" t="str">
        <f>VLOOKUP(W474,ColumnMapping[New Table.Column],1,)</f>
        <v>PROJECT_CAWP.PENDING_START</v>
      </c>
      <c r="Y474" t="str">
        <f>_xlfn.XLOOKUP(Table6[[#This Row],[Table.Column]],ColumnMapping[Add Column Name],ColumnMapping[Old Table.Column],"",0,1)</f>
        <v/>
      </c>
      <c r="Z474" t="str">
        <f>_xlfn.XLOOKUP(Table6[[#This Row],[Old Table.Column]],Cobra8.6[Table.Column],Cobra8.6[TYPE],"",0,1)</f>
        <v/>
      </c>
      <c r="AA474" t="str">
        <f>_xlfn.XLOOKUP(Table6[[#This Row],[Old Table.Column]],Cobra8.6[Table.Column],Cobra8.6[LENGTH],"",0,1)</f>
        <v/>
      </c>
      <c r="AB474"/>
    </row>
    <row r="475" spans="1:28" hidden="1" x14ac:dyDescent="0.2">
      <c r="A475" t="s">
        <v>450</v>
      </c>
      <c r="B475" t="s">
        <v>879</v>
      </c>
      <c r="C475" t="s">
        <v>923</v>
      </c>
      <c r="D475">
        <v>20</v>
      </c>
      <c r="E475" t="s">
        <v>356</v>
      </c>
      <c r="F475" t="str">
        <f>VLOOKUP($E475,'Data Type Lookup'!$A$1:$C$21,2,FALSE)</f>
        <v>DATE</v>
      </c>
      <c r="P475" t="s">
        <v>924</v>
      </c>
      <c r="Q475" t="s">
        <v>925</v>
      </c>
      <c r="R475" t="str">
        <f>VLOOKUP(E475,'Data Type Lookup'!$A$1:$C$21,3,FALSE)</f>
        <v>java.time.Instant</v>
      </c>
      <c r="W475" t="str">
        <f t="shared" si="10"/>
        <v>PROJECT_CAWP.PENDING_FINISH</v>
      </c>
      <c r="X475" t="str">
        <f>VLOOKUP(W475,ColumnMapping[New Table.Column],1,)</f>
        <v>PROJECT_CAWP.PENDING_FINISH</v>
      </c>
      <c r="Y475" t="str">
        <f>_xlfn.XLOOKUP(Table6[[#This Row],[Table.Column]],ColumnMapping[Add Column Name],ColumnMapping[Old Table.Column],"",0,1)</f>
        <v/>
      </c>
      <c r="Z475" t="str">
        <f>_xlfn.XLOOKUP(Table6[[#This Row],[Old Table.Column]],Cobra8.6[Table.Column],Cobra8.6[TYPE],"",0,1)</f>
        <v/>
      </c>
      <c r="AA475" t="str">
        <f>_xlfn.XLOOKUP(Table6[[#This Row],[Old Table.Column]],Cobra8.6[Table.Column],Cobra8.6[LENGTH],"",0,1)</f>
        <v/>
      </c>
      <c r="AB475"/>
    </row>
    <row r="476" spans="1:28" hidden="1" x14ac:dyDescent="0.2">
      <c r="A476" t="s">
        <v>450</v>
      </c>
      <c r="B476" t="s">
        <v>879</v>
      </c>
      <c r="C476" t="s">
        <v>926</v>
      </c>
      <c r="D476">
        <v>21</v>
      </c>
      <c r="E476" t="s">
        <v>356</v>
      </c>
      <c r="F476" t="str">
        <f>VLOOKUP($E476,'Data Type Lookup'!$A$1:$C$21,2,FALSE)</f>
        <v>DATE</v>
      </c>
      <c r="P476" t="s">
        <v>927</v>
      </c>
      <c r="Q476" t="s">
        <v>928</v>
      </c>
      <c r="R476" t="str">
        <f>VLOOKUP(E476,'Data Type Lookup'!$A$1:$C$21,3,FALSE)</f>
        <v>java.time.Instant</v>
      </c>
      <c r="W476" t="str">
        <f t="shared" si="10"/>
        <v>PROJECT_CAWP.FORECAST_START</v>
      </c>
      <c r="X476" t="e">
        <f>VLOOKUP(W476,ColumnMapping[New Table.Column],1,)</f>
        <v>#N/A</v>
      </c>
      <c r="Y476" t="str">
        <f>_xlfn.XLOOKUP(Table6[[#This Row],[Table.Column]],ColumnMapping[Add Column Name],ColumnMapping[Old Table.Column],"",0,1)</f>
        <v/>
      </c>
      <c r="Z476" t="str">
        <f>_xlfn.XLOOKUP(Table6[[#This Row],[Old Table.Column]],Cobra8.6[Table.Column],Cobra8.6[TYPE],"",0,1)</f>
        <v/>
      </c>
      <c r="AA476" t="str">
        <f>_xlfn.XLOOKUP(Table6[[#This Row],[Old Table.Column]],Cobra8.6[Table.Column],Cobra8.6[LENGTH],"",0,1)</f>
        <v/>
      </c>
      <c r="AB476"/>
    </row>
    <row r="477" spans="1:28" hidden="1" x14ac:dyDescent="0.2">
      <c r="A477" t="s">
        <v>450</v>
      </c>
      <c r="B477" t="s">
        <v>879</v>
      </c>
      <c r="C477" t="s">
        <v>504</v>
      </c>
      <c r="D477">
        <v>22</v>
      </c>
      <c r="E477" t="s">
        <v>356</v>
      </c>
      <c r="F477" t="str">
        <f>VLOOKUP($E477,'Data Type Lookup'!$A$1:$C$21,2,FALSE)</f>
        <v>DATE</v>
      </c>
      <c r="P477" t="s">
        <v>929</v>
      </c>
      <c r="Q477" t="s">
        <v>506</v>
      </c>
      <c r="R477" t="str">
        <f>VLOOKUP(E477,'Data Type Lookup'!$A$1:$C$21,3,FALSE)</f>
        <v>java.time.Instant</v>
      </c>
      <c r="W477" t="str">
        <f t="shared" si="10"/>
        <v>PROJECT_CAWP.FORECAST_FINISH</v>
      </c>
      <c r="X477" t="e">
        <f>VLOOKUP(W477,ColumnMapping[New Table.Column],1,)</f>
        <v>#N/A</v>
      </c>
      <c r="Y477" t="str">
        <f>_xlfn.XLOOKUP(Table6[[#This Row],[Table.Column]],ColumnMapping[Add Column Name],ColumnMapping[Old Table.Column],"",0,1)</f>
        <v/>
      </c>
      <c r="Z477" t="str">
        <f>_xlfn.XLOOKUP(Table6[[#This Row],[Old Table.Column]],Cobra8.6[Table.Column],Cobra8.6[TYPE],"",0,1)</f>
        <v/>
      </c>
      <c r="AA477" t="str">
        <f>_xlfn.XLOOKUP(Table6[[#This Row],[Old Table.Column]],Cobra8.6[Table.Column],Cobra8.6[LENGTH],"",0,1)</f>
        <v/>
      </c>
      <c r="AB477"/>
    </row>
    <row r="478" spans="1:28" hidden="1" x14ac:dyDescent="0.2">
      <c r="A478" t="s">
        <v>450</v>
      </c>
      <c r="B478" t="s">
        <v>879</v>
      </c>
      <c r="C478" t="s">
        <v>930</v>
      </c>
      <c r="D478">
        <v>23</v>
      </c>
      <c r="E478" t="s">
        <v>86</v>
      </c>
      <c r="F478" t="str">
        <f>VLOOKUP($E478,'Data Type Lookup'!$A$1:$C$21,2,FALSE)</f>
        <v>VARCHAR2</v>
      </c>
      <c r="G478">
        <v>1</v>
      </c>
      <c r="P478" t="s">
        <v>931</v>
      </c>
      <c r="Q478" t="s">
        <v>932</v>
      </c>
      <c r="R478" t="str">
        <f>VLOOKUP(E478,'Data Type Lookup'!$A$1:$C$21,3,FALSE)</f>
        <v>String</v>
      </c>
      <c r="W478" t="str">
        <f t="shared" si="10"/>
        <v>PROJECT_CAWP.STATUS</v>
      </c>
      <c r="X478" t="e">
        <f>VLOOKUP(W478,ColumnMapping[New Table.Column],1,)</f>
        <v>#N/A</v>
      </c>
      <c r="Y478" t="str">
        <f>_xlfn.XLOOKUP(Table6[[#This Row],[Table.Column]],ColumnMapping[Add Column Name],ColumnMapping[Old Table.Column],"",0,1)</f>
        <v/>
      </c>
      <c r="Z478" t="str">
        <f>_xlfn.XLOOKUP(Table6[[#This Row],[Old Table.Column]],Cobra8.6[Table.Column],Cobra8.6[TYPE],"",0,1)</f>
        <v/>
      </c>
      <c r="AA478" t="str">
        <f>_xlfn.XLOOKUP(Table6[[#This Row],[Old Table.Column]],Cobra8.6[Table.Column],Cobra8.6[LENGTH],"",0,1)</f>
        <v/>
      </c>
      <c r="AB478"/>
    </row>
    <row r="479" spans="1:28" hidden="1" x14ac:dyDescent="0.2">
      <c r="A479" t="s">
        <v>450</v>
      </c>
      <c r="B479" t="s">
        <v>879</v>
      </c>
      <c r="C479" t="s">
        <v>933</v>
      </c>
      <c r="D479">
        <v>24</v>
      </c>
      <c r="E479" t="s">
        <v>86</v>
      </c>
      <c r="F479" t="str">
        <f>VLOOKUP($E479,'Data Type Lookup'!$A$1:$C$21,2,FALSE)</f>
        <v>VARCHAR2</v>
      </c>
      <c r="G479">
        <v>1</v>
      </c>
      <c r="P479" t="s">
        <v>934</v>
      </c>
      <c r="Q479" t="s">
        <v>935</v>
      </c>
      <c r="R479" t="str">
        <f>VLOOKUP(E479,'Data Type Lookup'!$A$1:$C$21,3,FALSE)</f>
        <v>String</v>
      </c>
      <c r="W479" t="str">
        <f t="shared" si="10"/>
        <v>PROJECT_CAWP.EVT</v>
      </c>
      <c r="X479" t="str">
        <f>VLOOKUP(W479,ColumnMapping[New Table.Column],1,)</f>
        <v>PROJECT_CAWP.EVT</v>
      </c>
      <c r="Y479" t="str">
        <f>_xlfn.XLOOKUP(Table6[[#This Row],[Table.Column]],ColumnMapping[Add Column Name],ColumnMapping[Old Table.Column],"",0,1)</f>
        <v/>
      </c>
      <c r="Z479" t="str">
        <f>_xlfn.XLOOKUP(Table6[[#This Row],[Old Table.Column]],Cobra8.6[Table.Column],Cobra8.6[TYPE],"",0,1)</f>
        <v/>
      </c>
      <c r="AA479" t="str">
        <f>_xlfn.XLOOKUP(Table6[[#This Row],[Old Table.Column]],Cobra8.6[Table.Column],Cobra8.6[LENGTH],"",0,1)</f>
        <v/>
      </c>
      <c r="AB479"/>
    </row>
    <row r="480" spans="1:28" hidden="1" x14ac:dyDescent="0.2">
      <c r="A480" t="s">
        <v>450</v>
      </c>
      <c r="B480" t="s">
        <v>879</v>
      </c>
      <c r="C480" t="s">
        <v>936</v>
      </c>
      <c r="D480">
        <v>25</v>
      </c>
      <c r="E480" t="s">
        <v>168</v>
      </c>
      <c r="F480" t="str">
        <f>VLOOKUP($E480,'Data Type Lookup'!$A$1:$C$21,2,FALSE)</f>
        <v>NUMBER(5,2)</v>
      </c>
      <c r="J480" s="32">
        <v>0</v>
      </c>
      <c r="P480" t="s">
        <v>937</v>
      </c>
      <c r="Q480" t="s">
        <v>938</v>
      </c>
      <c r="R480" t="str">
        <f>VLOOKUP(E480,'Data Type Lookup'!$A$1:$C$21,3,FALSE)</f>
        <v>java.math.BigDecimal</v>
      </c>
      <c r="W480" t="str">
        <f t="shared" si="10"/>
        <v>PROJECT_CAWP.START_PERCENT</v>
      </c>
      <c r="X480" t="str">
        <f>VLOOKUP(W480,ColumnMapping[New Table.Column],1,)</f>
        <v>PROJECT_CAWP.START_PERCENT</v>
      </c>
      <c r="Y480" t="str">
        <f>_xlfn.XLOOKUP(Table6[[#This Row],[Table.Column]],ColumnMapping[Add Column Name],ColumnMapping[Old Table.Column],"",0,1)</f>
        <v/>
      </c>
      <c r="Z480" t="str">
        <f>_xlfn.XLOOKUP(Table6[[#This Row],[Old Table.Column]],Cobra8.6[Table.Column],Cobra8.6[TYPE],"",0,1)</f>
        <v/>
      </c>
      <c r="AA480" t="str">
        <f>_xlfn.XLOOKUP(Table6[[#This Row],[Old Table.Column]],Cobra8.6[Table.Column],Cobra8.6[LENGTH],"",0,1)</f>
        <v/>
      </c>
      <c r="AB480"/>
    </row>
    <row r="481" spans="1:28" hidden="1" x14ac:dyDescent="0.2">
      <c r="A481" t="s">
        <v>450</v>
      </c>
      <c r="B481" t="s">
        <v>879</v>
      </c>
      <c r="C481" t="s">
        <v>939</v>
      </c>
      <c r="D481">
        <v>26</v>
      </c>
      <c r="E481" t="s">
        <v>168</v>
      </c>
      <c r="F481" t="str">
        <f>VLOOKUP($E481,'Data Type Lookup'!$A$1:$C$21,2,FALSE)</f>
        <v>NUMBER(5,2)</v>
      </c>
      <c r="J481" s="32">
        <v>0</v>
      </c>
      <c r="P481" t="s">
        <v>940</v>
      </c>
      <c r="Q481" t="s">
        <v>941</v>
      </c>
      <c r="R481" t="str">
        <f>VLOOKUP(E481,'Data Type Lookup'!$A$1:$C$21,3,FALSE)</f>
        <v>java.math.BigDecimal</v>
      </c>
      <c r="W481" t="str">
        <f t="shared" si="10"/>
        <v>PROJECT_CAWP.PERCENT_COMPLETE</v>
      </c>
      <c r="X481" t="str">
        <f>VLOOKUP(W481,ColumnMapping[New Table.Column],1,)</f>
        <v>PROJECT_CAWP.PERCENT_COMPLETE</v>
      </c>
      <c r="Y481" t="str">
        <f>_xlfn.XLOOKUP(Table6[[#This Row],[Table.Column]],ColumnMapping[Add Column Name],ColumnMapping[Old Table.Column],"",0,1)</f>
        <v/>
      </c>
      <c r="Z481" t="str">
        <f>_xlfn.XLOOKUP(Table6[[#This Row],[Old Table.Column]],Cobra8.6[Table.Column],Cobra8.6[TYPE],"",0,1)</f>
        <v/>
      </c>
      <c r="AA481" t="str">
        <f>_xlfn.XLOOKUP(Table6[[#This Row],[Old Table.Column]],Cobra8.6[Table.Column],Cobra8.6[LENGTH],"",0,1)</f>
        <v/>
      </c>
      <c r="AB481"/>
    </row>
    <row r="482" spans="1:28" hidden="1" x14ac:dyDescent="0.2">
      <c r="A482" t="s">
        <v>450</v>
      </c>
      <c r="B482" t="s">
        <v>879</v>
      </c>
      <c r="C482" t="s">
        <v>942</v>
      </c>
      <c r="D482">
        <v>27</v>
      </c>
      <c r="E482" t="s">
        <v>161</v>
      </c>
      <c r="F482" t="str">
        <f>VLOOKUP($E482,'Data Type Lookup'!$A$1:$C$21,2,FALSE)</f>
        <v>NUMBER(21,6)</v>
      </c>
      <c r="J482" s="32">
        <v>0</v>
      </c>
      <c r="P482" t="s">
        <v>943</v>
      </c>
      <c r="Q482" t="s">
        <v>944</v>
      </c>
      <c r="R482" t="str">
        <f>VLOOKUP(E482,'Data Type Lookup'!$A$1:$C$21,3,FALSE)</f>
        <v>java.math.BigDecimal</v>
      </c>
      <c r="W482" t="str">
        <f t="shared" si="10"/>
        <v>PROJECT_CAWP.UNITS_TO_DO</v>
      </c>
      <c r="X482" t="str">
        <f>VLOOKUP(W482,ColumnMapping[New Table.Column],1,)</f>
        <v>PROJECT_CAWP.UNITS_TO_DO</v>
      </c>
      <c r="Y482" t="str">
        <f>_xlfn.XLOOKUP(Table6[[#This Row],[Table.Column]],ColumnMapping[Add Column Name],ColumnMapping[Old Table.Column],"",0,1)</f>
        <v/>
      </c>
      <c r="Z482" t="str">
        <f>_xlfn.XLOOKUP(Table6[[#This Row],[Old Table.Column]],Cobra8.6[Table.Column],Cobra8.6[TYPE],"",0,1)</f>
        <v/>
      </c>
      <c r="AA482" t="str">
        <f>_xlfn.XLOOKUP(Table6[[#This Row],[Old Table.Column]],Cobra8.6[Table.Column],Cobra8.6[LENGTH],"",0,1)</f>
        <v/>
      </c>
      <c r="AB482"/>
    </row>
    <row r="483" spans="1:28" hidden="1" x14ac:dyDescent="0.2">
      <c r="A483" t="s">
        <v>450</v>
      </c>
      <c r="B483" t="s">
        <v>879</v>
      </c>
      <c r="C483" t="s">
        <v>945</v>
      </c>
      <c r="D483">
        <v>28</v>
      </c>
      <c r="E483" t="s">
        <v>161</v>
      </c>
      <c r="F483" t="str">
        <f>VLOOKUP($E483,'Data Type Lookup'!$A$1:$C$21,2,FALSE)</f>
        <v>NUMBER(21,6)</v>
      </c>
      <c r="J483" s="32">
        <v>0</v>
      </c>
      <c r="P483" t="s">
        <v>946</v>
      </c>
      <c r="Q483" t="s">
        <v>947</v>
      </c>
      <c r="R483" t="str">
        <f>VLOOKUP(E483,'Data Type Lookup'!$A$1:$C$21,3,FALSE)</f>
        <v>java.math.BigDecimal</v>
      </c>
      <c r="W483" t="str">
        <f t="shared" si="10"/>
        <v>PROJECT_CAWP.UNITS_COMPLETE</v>
      </c>
      <c r="X483" t="str">
        <f>VLOOKUP(W483,ColumnMapping[New Table.Column],1,)</f>
        <v>PROJECT_CAWP.UNITS_COMPLETE</v>
      </c>
      <c r="Y483" t="str">
        <f>_xlfn.XLOOKUP(Table6[[#This Row],[Table.Column]],ColumnMapping[Add Column Name],ColumnMapping[Old Table.Column],"",0,1)</f>
        <v/>
      </c>
      <c r="Z483" t="str">
        <f>_xlfn.XLOOKUP(Table6[[#This Row],[Old Table.Column]],Cobra8.6[Table.Column],Cobra8.6[TYPE],"",0,1)</f>
        <v/>
      </c>
      <c r="AA483" t="str">
        <f>_xlfn.XLOOKUP(Table6[[#This Row],[Old Table.Column]],Cobra8.6[Table.Column],Cobra8.6[LENGTH],"",0,1)</f>
        <v/>
      </c>
      <c r="AB483"/>
    </row>
    <row r="484" spans="1:28" hidden="1" x14ac:dyDescent="0.2">
      <c r="A484" t="s">
        <v>450</v>
      </c>
      <c r="B484" t="s">
        <v>879</v>
      </c>
      <c r="C484" s="45" t="s">
        <v>600</v>
      </c>
      <c r="D484" s="39">
        <v>35</v>
      </c>
      <c r="E484" t="s">
        <v>161</v>
      </c>
      <c r="F484" t="str">
        <f>VLOOKUP($E484,'Data Type Lookup'!$A$1:$C$21,2,FALSE)</f>
        <v>NUMBER(21,6)</v>
      </c>
      <c r="G484" s="39"/>
      <c r="H484" s="39"/>
      <c r="I484" s="47" t="s">
        <v>32</v>
      </c>
      <c r="J484" s="47">
        <v>0</v>
      </c>
      <c r="K484" s="47"/>
      <c r="L484" s="47"/>
      <c r="M484" s="39"/>
      <c r="N484" s="39"/>
      <c r="O484" s="39"/>
      <c r="P484" s="39" t="s">
        <v>601</v>
      </c>
      <c r="Q484" s="39" t="str">
        <f t="shared" ref="Q484:Q515" si="11">LOWER(LEFT(C484,FIND("_",C484&amp;"_")-1))&amp;SUBSTITUTE(PROPER(SUBSTITUTE(MID(C484,FIND("_",C484&amp;"_"),LEN(C484)),"_"," "))," ","")</f>
        <v>acwp</v>
      </c>
      <c r="R484" t="str">
        <f>VLOOKUP(E484,'Data Type Lookup'!$A$1:$C$21,3,FALSE)</f>
        <v>java.math.BigDecimal</v>
      </c>
      <c r="S484" s="39"/>
      <c r="W484" t="str">
        <f t="shared" si="10"/>
        <v>PROJECT_CAWP.ACWP</v>
      </c>
      <c r="X484" t="str">
        <f>VLOOKUP(W484,ColumnMapping[New Table.Column],1,)</f>
        <v>PROJECT_CAWP.ACWP</v>
      </c>
      <c r="Y484" t="str">
        <f>_xlfn.XLOOKUP(Table6[[#This Row],[Table.Column]],ColumnMapping[Add Column Name],ColumnMapping[Old Table.Column],"",0,1)</f>
        <v/>
      </c>
      <c r="Z484" t="str">
        <f>_xlfn.XLOOKUP(Table6[[#This Row],[Old Table.Column]],Cobra8.6[Table.Column],Cobra8.6[TYPE],"",0,1)</f>
        <v/>
      </c>
      <c r="AA484" t="str">
        <f>_xlfn.XLOOKUP(Table6[[#This Row],[Old Table.Column]],Cobra8.6[Table.Column],Cobra8.6[LENGTH],"",0,1)</f>
        <v/>
      </c>
      <c r="AB484" s="49" t="s">
        <v>32</v>
      </c>
    </row>
    <row r="485" spans="1:28" hidden="1" x14ac:dyDescent="0.2">
      <c r="A485" t="s">
        <v>450</v>
      </c>
      <c r="B485" t="s">
        <v>879</v>
      </c>
      <c r="C485" s="45" t="s">
        <v>602</v>
      </c>
      <c r="D485" s="39">
        <v>36</v>
      </c>
      <c r="E485" t="s">
        <v>161</v>
      </c>
      <c r="F485" t="str">
        <f>VLOOKUP($E485,'Data Type Lookup'!$A$1:$C$21,2,FALSE)</f>
        <v>NUMBER(21,6)</v>
      </c>
      <c r="G485" s="39"/>
      <c r="H485" s="39"/>
      <c r="I485" s="47" t="s">
        <v>32</v>
      </c>
      <c r="J485" s="47">
        <v>0</v>
      </c>
      <c r="K485" s="47"/>
      <c r="L485" s="47"/>
      <c r="M485" s="39"/>
      <c r="N485" s="39"/>
      <c r="O485" s="39"/>
      <c r="P485" s="39" t="s">
        <v>948</v>
      </c>
      <c r="Q485" s="39" t="str">
        <f t="shared" si="11"/>
        <v>acwpHrs</v>
      </c>
      <c r="R485" t="str">
        <f>VLOOKUP(E485,'Data Type Lookup'!$A$1:$C$21,3,FALSE)</f>
        <v>java.math.BigDecimal</v>
      </c>
      <c r="S485" s="39"/>
      <c r="W485" t="str">
        <f t="shared" si="10"/>
        <v>PROJECT_CAWP.ACWP_HRS</v>
      </c>
      <c r="X485" t="str">
        <f>VLOOKUP(W485,ColumnMapping[New Table.Column],1,)</f>
        <v>PROJECT_CAWP.ACWP_HRS</v>
      </c>
      <c r="Y485" t="str">
        <f>_xlfn.XLOOKUP(Table6[[#This Row],[Table.Column]],ColumnMapping[Add Column Name],ColumnMapping[Old Table.Column],"",0,1)</f>
        <v/>
      </c>
      <c r="Z485" t="str">
        <f>_xlfn.XLOOKUP(Table6[[#This Row],[Old Table.Column]],Cobra8.6[Table.Column],Cobra8.6[TYPE],"",0,1)</f>
        <v/>
      </c>
      <c r="AA485" t="str">
        <f>_xlfn.XLOOKUP(Table6[[#This Row],[Old Table.Column]],Cobra8.6[Table.Column],Cobra8.6[LENGTH],"",0,1)</f>
        <v/>
      </c>
      <c r="AB485" s="49" t="s">
        <v>32</v>
      </c>
    </row>
    <row r="486" spans="1:28" hidden="1" x14ac:dyDescent="0.2">
      <c r="A486" t="s">
        <v>450</v>
      </c>
      <c r="B486" t="s">
        <v>879</v>
      </c>
      <c r="C486" s="45" t="s">
        <v>949</v>
      </c>
      <c r="D486" s="39">
        <v>37</v>
      </c>
      <c r="E486" t="s">
        <v>161</v>
      </c>
      <c r="F486" t="str">
        <f>VLOOKUP($E486,'Data Type Lookup'!$A$1:$C$21,2,FALSE)</f>
        <v>NUMBER(21,6)</v>
      </c>
      <c r="G486" s="39"/>
      <c r="H486" s="39"/>
      <c r="I486" s="47" t="s">
        <v>32</v>
      </c>
      <c r="J486" s="47">
        <v>0</v>
      </c>
      <c r="K486" s="47"/>
      <c r="L486" s="47"/>
      <c r="M486" s="39"/>
      <c r="N486" s="39"/>
      <c r="O486" s="39"/>
      <c r="P486" s="39" t="s">
        <v>950</v>
      </c>
      <c r="Q486" s="39" t="str">
        <f t="shared" si="11"/>
        <v>acwpcp</v>
      </c>
      <c r="R486" t="str">
        <f>VLOOKUP(E486,'Data Type Lookup'!$A$1:$C$21,3,FALSE)</f>
        <v>java.math.BigDecimal</v>
      </c>
      <c r="S486" s="39"/>
      <c r="W486" t="str">
        <f t="shared" si="10"/>
        <v>PROJECT_CAWP.ACWPCP</v>
      </c>
      <c r="X486" t="str">
        <f>VLOOKUP(W486,ColumnMapping[New Table.Column],1,)</f>
        <v>PROJECT_CAWP.ACWPCP</v>
      </c>
      <c r="Y486" t="str">
        <f>_xlfn.XLOOKUP(Table6[[#This Row],[Table.Column]],ColumnMapping[Add Column Name],ColumnMapping[Old Table.Column],"",0,1)</f>
        <v/>
      </c>
      <c r="Z486" t="str">
        <f>_xlfn.XLOOKUP(Table6[[#This Row],[Old Table.Column]],Cobra8.6[Table.Column],Cobra8.6[TYPE],"",0,1)</f>
        <v/>
      </c>
      <c r="AA486" t="str">
        <f>_xlfn.XLOOKUP(Table6[[#This Row],[Old Table.Column]],Cobra8.6[Table.Column],Cobra8.6[LENGTH],"",0,1)</f>
        <v/>
      </c>
      <c r="AB486" s="49" t="s">
        <v>32</v>
      </c>
    </row>
    <row r="487" spans="1:28" hidden="1" x14ac:dyDescent="0.2">
      <c r="A487" t="s">
        <v>450</v>
      </c>
      <c r="B487" t="s">
        <v>879</v>
      </c>
      <c r="C487" s="45" t="s">
        <v>951</v>
      </c>
      <c r="D487" s="39">
        <v>38</v>
      </c>
      <c r="E487" t="s">
        <v>161</v>
      </c>
      <c r="F487" t="str">
        <f>VLOOKUP($E487,'Data Type Lookup'!$A$1:$C$21,2,FALSE)</f>
        <v>NUMBER(21,6)</v>
      </c>
      <c r="G487" s="39"/>
      <c r="H487" s="39"/>
      <c r="I487" s="47" t="s">
        <v>32</v>
      </c>
      <c r="J487" s="47">
        <v>0</v>
      </c>
      <c r="K487" s="47"/>
      <c r="L487" s="47"/>
      <c r="M487" s="39"/>
      <c r="N487" s="39"/>
      <c r="O487" s="39"/>
      <c r="P487" s="39" t="s">
        <v>952</v>
      </c>
      <c r="Q487" s="39" t="str">
        <f t="shared" si="11"/>
        <v>acwpcpHrs</v>
      </c>
      <c r="R487" t="str">
        <f>VLOOKUP(E487,'Data Type Lookup'!$A$1:$C$21,3,FALSE)</f>
        <v>java.math.BigDecimal</v>
      </c>
      <c r="S487" s="39"/>
      <c r="W487" t="str">
        <f t="shared" si="10"/>
        <v>PROJECT_CAWP.ACWPCP_HRS</v>
      </c>
      <c r="X487" t="str">
        <f>VLOOKUP(W487,ColumnMapping[New Table.Column],1,)</f>
        <v>PROJECT_CAWP.ACWPCP_HRS</v>
      </c>
      <c r="Y487" t="str">
        <f>_xlfn.XLOOKUP(Table6[[#This Row],[Table.Column]],ColumnMapping[Add Column Name],ColumnMapping[Old Table.Column],"",0,1)</f>
        <v/>
      </c>
      <c r="Z487" t="str">
        <f>_xlfn.XLOOKUP(Table6[[#This Row],[Old Table.Column]],Cobra8.6[Table.Column],Cobra8.6[TYPE],"",0,1)</f>
        <v/>
      </c>
      <c r="AA487" t="str">
        <f>_xlfn.XLOOKUP(Table6[[#This Row],[Old Table.Column]],Cobra8.6[Table.Column],Cobra8.6[LENGTH],"",0,1)</f>
        <v/>
      </c>
      <c r="AB487" s="49" t="s">
        <v>32</v>
      </c>
    </row>
    <row r="488" spans="1:28" hidden="1" x14ac:dyDescent="0.2">
      <c r="A488" t="s">
        <v>450</v>
      </c>
      <c r="B488" t="s">
        <v>879</v>
      </c>
      <c r="C488" s="45" t="s">
        <v>953</v>
      </c>
      <c r="D488" s="39">
        <v>39</v>
      </c>
      <c r="E488" t="s">
        <v>36</v>
      </c>
      <c r="F488" t="str">
        <f>VLOOKUP($E488,'Data Type Lookup'!$A$1:$C$21,2,FALSE)</f>
        <v>NUMBER(19,0)</v>
      </c>
      <c r="I488" s="32" t="s">
        <v>32</v>
      </c>
      <c r="J488" s="32">
        <v>0</v>
      </c>
      <c r="K488" s="47"/>
      <c r="L488" s="47"/>
      <c r="M488" s="39"/>
      <c r="N488" s="39"/>
      <c r="O488" s="39"/>
      <c r="P488" s="39" t="s">
        <v>954</v>
      </c>
      <c r="Q488" s="39" t="str">
        <f t="shared" si="11"/>
        <v>applink</v>
      </c>
      <c r="R488" t="str">
        <f>VLOOKUP(E488,'Data Type Lookup'!$A$1:$C$21,3,FALSE)</f>
        <v>Long</v>
      </c>
      <c r="S488" s="39"/>
      <c r="W488" t="str">
        <f t="shared" si="10"/>
        <v>PROJECT_CAWP.APPLINK</v>
      </c>
      <c r="X488" t="e">
        <f>VLOOKUP(W488,ColumnMapping[New Table.Column],1,)</f>
        <v>#N/A</v>
      </c>
      <c r="Y488" t="str">
        <f>_xlfn.XLOOKUP(Table6[[#This Row],[Table.Column]],ColumnMapping[Add Column Name],ColumnMapping[Old Table.Column],"",0,1)</f>
        <v/>
      </c>
      <c r="Z488" t="str">
        <f>_xlfn.XLOOKUP(Table6[[#This Row],[Old Table.Column]],Cobra8.6[Table.Column],Cobra8.6[TYPE],"",0,1)</f>
        <v/>
      </c>
      <c r="AA488" t="str">
        <f>_xlfn.XLOOKUP(Table6[[#This Row],[Old Table.Column]],Cobra8.6[Table.Column],Cobra8.6[LENGTH],"",0,1)</f>
        <v/>
      </c>
      <c r="AB488" s="49" t="s">
        <v>32</v>
      </c>
    </row>
    <row r="489" spans="1:28" hidden="1" x14ac:dyDescent="0.2">
      <c r="A489" t="s">
        <v>450</v>
      </c>
      <c r="B489" t="s">
        <v>879</v>
      </c>
      <c r="C489" s="45" t="s">
        <v>607</v>
      </c>
      <c r="D489" s="39">
        <v>40</v>
      </c>
      <c r="E489" s="39" t="s">
        <v>161</v>
      </c>
      <c r="F489" t="str">
        <f>VLOOKUP($E489,'Data Type Lookup'!$A$1:$C$21,2,FALSE)</f>
        <v>NUMBER(21,6)</v>
      </c>
      <c r="G489" s="39"/>
      <c r="H489" s="39"/>
      <c r="I489" s="47" t="s">
        <v>32</v>
      </c>
      <c r="J489" s="47">
        <v>0</v>
      </c>
      <c r="K489" s="47"/>
      <c r="L489" s="47"/>
      <c r="M489" s="39"/>
      <c r="N489" s="39"/>
      <c r="O489" s="39"/>
      <c r="P489" s="39" t="s">
        <v>608</v>
      </c>
      <c r="Q489" s="39" t="str">
        <f t="shared" si="11"/>
        <v>bac</v>
      </c>
      <c r="R489" t="str">
        <f>VLOOKUP(E489,'Data Type Lookup'!$A$1:$C$21,3,FALSE)</f>
        <v>java.math.BigDecimal</v>
      </c>
      <c r="S489" s="39"/>
      <c r="W489" t="str">
        <f t="shared" si="10"/>
        <v>PROJECT_CAWP.BAC</v>
      </c>
      <c r="X489" t="str">
        <f>VLOOKUP(W489,ColumnMapping[New Table.Column],1,)</f>
        <v>PROJECT_CAWP.BAC</v>
      </c>
      <c r="Y489" t="str">
        <f>_xlfn.XLOOKUP(Table6[[#This Row],[Table.Column]],ColumnMapping[Add Column Name],ColumnMapping[Old Table.Column],"",0,1)</f>
        <v/>
      </c>
      <c r="Z489" t="str">
        <f>_xlfn.XLOOKUP(Table6[[#This Row],[Old Table.Column]],Cobra8.6[Table.Column],Cobra8.6[TYPE],"",0,1)</f>
        <v/>
      </c>
      <c r="AA489" t="str">
        <f>_xlfn.XLOOKUP(Table6[[#This Row],[Old Table.Column]],Cobra8.6[Table.Column],Cobra8.6[LENGTH],"",0,1)</f>
        <v/>
      </c>
      <c r="AB489" s="49" t="s">
        <v>32</v>
      </c>
    </row>
    <row r="490" spans="1:28" hidden="1" x14ac:dyDescent="0.2">
      <c r="A490" t="s">
        <v>450</v>
      </c>
      <c r="B490" t="s">
        <v>879</v>
      </c>
      <c r="C490" s="45" t="s">
        <v>609</v>
      </c>
      <c r="D490" s="39">
        <v>41</v>
      </c>
      <c r="E490" s="39" t="s">
        <v>161</v>
      </c>
      <c r="F490" t="str">
        <f>VLOOKUP($E490,'Data Type Lookup'!$A$1:$C$21,2,FALSE)</f>
        <v>NUMBER(21,6)</v>
      </c>
      <c r="G490" s="39"/>
      <c r="H490" s="39"/>
      <c r="I490" s="47" t="s">
        <v>32</v>
      </c>
      <c r="J490" s="47">
        <v>0</v>
      </c>
      <c r="K490" s="47"/>
      <c r="L490" s="47"/>
      <c r="M490" s="39"/>
      <c r="N490" s="39"/>
      <c r="O490" s="39"/>
      <c r="P490" s="39" t="s">
        <v>610</v>
      </c>
      <c r="Q490" s="39" t="str">
        <f t="shared" si="11"/>
        <v>bacHrs</v>
      </c>
      <c r="R490" t="str">
        <f>VLOOKUP(E490,'Data Type Lookup'!$A$1:$C$21,3,FALSE)</f>
        <v>java.math.BigDecimal</v>
      </c>
      <c r="S490" s="39"/>
      <c r="W490" t="str">
        <f t="shared" si="10"/>
        <v>PROJECT_CAWP.BAC_HRS</v>
      </c>
      <c r="X490" t="str">
        <f>VLOOKUP(W490,ColumnMapping[New Table.Column],1,)</f>
        <v>PROJECT_CAWP.BAC_HRS</v>
      </c>
      <c r="Y490" t="str">
        <f>_xlfn.XLOOKUP(Table6[[#This Row],[Table.Column]],ColumnMapping[Add Column Name],ColumnMapping[Old Table.Column],"",0,1)</f>
        <v/>
      </c>
      <c r="Z490" t="str">
        <f>_xlfn.XLOOKUP(Table6[[#This Row],[Old Table.Column]],Cobra8.6[Table.Column],Cobra8.6[TYPE],"",0,1)</f>
        <v/>
      </c>
      <c r="AA490" t="str">
        <f>_xlfn.XLOOKUP(Table6[[#This Row],[Old Table.Column]],Cobra8.6[Table.Column],Cobra8.6[LENGTH],"",0,1)</f>
        <v/>
      </c>
      <c r="AB490" s="49" t="s">
        <v>32</v>
      </c>
    </row>
    <row r="491" spans="1:28" hidden="1" x14ac:dyDescent="0.2">
      <c r="A491" t="s">
        <v>450</v>
      </c>
      <c r="B491" t="s">
        <v>879</v>
      </c>
      <c r="C491" s="45" t="s">
        <v>613</v>
      </c>
      <c r="D491" s="39">
        <v>42</v>
      </c>
      <c r="E491" s="39" t="s">
        <v>161</v>
      </c>
      <c r="F491" t="str">
        <f>VLOOKUP($E491,'Data Type Lookup'!$A$1:$C$21,2,FALSE)</f>
        <v>NUMBER(21,6)</v>
      </c>
      <c r="G491" s="39"/>
      <c r="H491" s="39"/>
      <c r="I491" s="47" t="s">
        <v>32</v>
      </c>
      <c r="J491" s="47">
        <v>0</v>
      </c>
      <c r="K491" s="47"/>
      <c r="L491" s="47"/>
      <c r="M491" s="39"/>
      <c r="N491" s="39"/>
      <c r="O491" s="39"/>
      <c r="P491" s="39" t="s">
        <v>614</v>
      </c>
      <c r="Q491" s="39" t="str">
        <f t="shared" si="11"/>
        <v>bcwp</v>
      </c>
      <c r="R491" t="str">
        <f>VLOOKUP(E491,'Data Type Lookup'!$A$1:$C$21,3,FALSE)</f>
        <v>java.math.BigDecimal</v>
      </c>
      <c r="S491" s="39"/>
      <c r="W491" t="str">
        <f t="shared" si="10"/>
        <v>PROJECT_CAWP.BCWP</v>
      </c>
      <c r="X491" t="str">
        <f>VLOOKUP(W491,ColumnMapping[New Table.Column],1,)</f>
        <v>PROJECT_CAWP.BCWP</v>
      </c>
      <c r="Y491" t="str">
        <f>_xlfn.XLOOKUP(Table6[[#This Row],[Table.Column]],ColumnMapping[Add Column Name],ColumnMapping[Old Table.Column],"",0,1)</f>
        <v/>
      </c>
      <c r="Z491" t="str">
        <f>_xlfn.XLOOKUP(Table6[[#This Row],[Old Table.Column]],Cobra8.6[Table.Column],Cobra8.6[TYPE],"",0,1)</f>
        <v/>
      </c>
      <c r="AA491" t="str">
        <f>_xlfn.XLOOKUP(Table6[[#This Row],[Old Table.Column]],Cobra8.6[Table.Column],Cobra8.6[LENGTH],"",0,1)</f>
        <v/>
      </c>
      <c r="AB491" s="49" t="s">
        <v>32</v>
      </c>
    </row>
    <row r="492" spans="1:28" hidden="1" x14ac:dyDescent="0.2">
      <c r="A492" t="s">
        <v>450</v>
      </c>
      <c r="B492" t="s">
        <v>879</v>
      </c>
      <c r="C492" s="45" t="s">
        <v>615</v>
      </c>
      <c r="D492" s="39">
        <v>43</v>
      </c>
      <c r="E492" s="39" t="s">
        <v>161</v>
      </c>
      <c r="F492" t="str">
        <f>VLOOKUP($E492,'Data Type Lookup'!$A$1:$C$21,2,FALSE)</f>
        <v>NUMBER(21,6)</v>
      </c>
      <c r="G492" s="39"/>
      <c r="H492" s="39"/>
      <c r="I492" s="47" t="s">
        <v>32</v>
      </c>
      <c r="J492" s="47">
        <v>0</v>
      </c>
      <c r="K492" s="47"/>
      <c r="L492" s="47"/>
      <c r="M492" s="39"/>
      <c r="N492" s="39"/>
      <c r="O492" s="39"/>
      <c r="P492" s="39" t="s">
        <v>616</v>
      </c>
      <c r="Q492" s="39" t="str">
        <f t="shared" si="11"/>
        <v>bcwpHrs</v>
      </c>
      <c r="R492" t="str">
        <f>VLOOKUP(E492,'Data Type Lookup'!$A$1:$C$21,3,FALSE)</f>
        <v>java.math.BigDecimal</v>
      </c>
      <c r="S492" s="39"/>
      <c r="W492" t="str">
        <f t="shared" si="10"/>
        <v>PROJECT_CAWP.BCWP_HRS</v>
      </c>
      <c r="X492" t="str">
        <f>VLOOKUP(W492,ColumnMapping[New Table.Column],1,)</f>
        <v>PROJECT_CAWP.BCWP_HRS</v>
      </c>
      <c r="Y492" t="str">
        <f>_xlfn.XLOOKUP(Table6[[#This Row],[Table.Column]],ColumnMapping[Add Column Name],ColumnMapping[Old Table.Column],"",0,1)</f>
        <v/>
      </c>
      <c r="Z492" t="str">
        <f>_xlfn.XLOOKUP(Table6[[#This Row],[Old Table.Column]],Cobra8.6[Table.Column],Cobra8.6[TYPE],"",0,1)</f>
        <v/>
      </c>
      <c r="AA492" t="str">
        <f>_xlfn.XLOOKUP(Table6[[#This Row],[Old Table.Column]],Cobra8.6[Table.Column],Cobra8.6[LENGTH],"",0,1)</f>
        <v/>
      </c>
      <c r="AB492" s="49" t="s">
        <v>32</v>
      </c>
    </row>
    <row r="493" spans="1:28" hidden="1" x14ac:dyDescent="0.2">
      <c r="A493" t="s">
        <v>450</v>
      </c>
      <c r="B493" t="s">
        <v>879</v>
      </c>
      <c r="C493" s="45" t="s">
        <v>955</v>
      </c>
      <c r="D493" s="39">
        <v>44</v>
      </c>
      <c r="E493" s="39" t="s">
        <v>161</v>
      </c>
      <c r="F493" t="str">
        <f>VLOOKUP($E493,'Data Type Lookup'!$A$1:$C$21,2,FALSE)</f>
        <v>NUMBER(21,6)</v>
      </c>
      <c r="G493" s="39"/>
      <c r="H493" s="39"/>
      <c r="I493" s="47" t="s">
        <v>32</v>
      </c>
      <c r="J493" s="47">
        <v>0</v>
      </c>
      <c r="K493" s="47"/>
      <c r="L493" s="47"/>
      <c r="M493" s="39"/>
      <c r="N493" s="39"/>
      <c r="O493" s="39"/>
      <c r="P493" s="39" t="s">
        <v>956</v>
      </c>
      <c r="Q493" s="39" t="str">
        <f t="shared" si="11"/>
        <v>bcwpcp</v>
      </c>
      <c r="R493" t="str">
        <f>VLOOKUP(E493,'Data Type Lookup'!$A$1:$C$21,3,FALSE)</f>
        <v>java.math.BigDecimal</v>
      </c>
      <c r="S493" s="39"/>
      <c r="W493" t="str">
        <f t="shared" si="10"/>
        <v>PROJECT_CAWP.BCWPCP</v>
      </c>
      <c r="X493" t="str">
        <f>VLOOKUP(W493,ColumnMapping[New Table.Column],1,)</f>
        <v>PROJECT_CAWP.BCWPCP</v>
      </c>
      <c r="Y493" t="str">
        <f>_xlfn.XLOOKUP(Table6[[#This Row],[Table.Column]],ColumnMapping[Add Column Name],ColumnMapping[Old Table.Column],"",0,1)</f>
        <v/>
      </c>
      <c r="Z493" t="str">
        <f>_xlfn.XLOOKUP(Table6[[#This Row],[Old Table.Column]],Cobra8.6[Table.Column],Cobra8.6[TYPE],"",0,1)</f>
        <v/>
      </c>
      <c r="AA493" t="str">
        <f>_xlfn.XLOOKUP(Table6[[#This Row],[Old Table.Column]],Cobra8.6[Table.Column],Cobra8.6[LENGTH],"",0,1)</f>
        <v/>
      </c>
      <c r="AB493" s="49" t="s">
        <v>32</v>
      </c>
    </row>
    <row r="494" spans="1:28" hidden="1" x14ac:dyDescent="0.2">
      <c r="A494" t="s">
        <v>450</v>
      </c>
      <c r="B494" t="s">
        <v>879</v>
      </c>
      <c r="C494" s="45" t="s">
        <v>957</v>
      </c>
      <c r="D494" s="39">
        <v>45</v>
      </c>
      <c r="E494" s="39" t="s">
        <v>161</v>
      </c>
      <c r="F494" t="str">
        <f>VLOOKUP($E494,'Data Type Lookup'!$A$1:$C$21,2,FALSE)</f>
        <v>NUMBER(21,6)</v>
      </c>
      <c r="G494" s="39"/>
      <c r="H494" s="39"/>
      <c r="I494" s="47" t="s">
        <v>32</v>
      </c>
      <c r="J494" s="47">
        <v>0</v>
      </c>
      <c r="K494" s="47"/>
      <c r="L494" s="47"/>
      <c r="M494" s="39"/>
      <c r="N494" s="39"/>
      <c r="O494" s="39"/>
      <c r="P494" s="39" t="s">
        <v>958</v>
      </c>
      <c r="Q494" s="39" t="str">
        <f t="shared" si="11"/>
        <v>bcwpcpHrs</v>
      </c>
      <c r="R494" t="str">
        <f>VLOOKUP(E494,'Data Type Lookup'!$A$1:$C$21,3,FALSE)</f>
        <v>java.math.BigDecimal</v>
      </c>
      <c r="S494" s="39"/>
      <c r="W494" t="str">
        <f t="shared" si="10"/>
        <v>PROJECT_CAWP.BCWPCP_HRS</v>
      </c>
      <c r="X494" t="str">
        <f>VLOOKUP(W494,ColumnMapping[New Table.Column],1,)</f>
        <v>PROJECT_CAWP.BCWPCP_HRS</v>
      </c>
      <c r="Y494" t="str">
        <f>_xlfn.XLOOKUP(Table6[[#This Row],[Table.Column]],ColumnMapping[Add Column Name],ColumnMapping[Old Table.Column],"",0,1)</f>
        <v/>
      </c>
      <c r="Z494" t="str">
        <f>_xlfn.XLOOKUP(Table6[[#This Row],[Old Table.Column]],Cobra8.6[Table.Column],Cobra8.6[TYPE],"",0,1)</f>
        <v/>
      </c>
      <c r="AA494" t="str">
        <f>_xlfn.XLOOKUP(Table6[[#This Row],[Old Table.Column]],Cobra8.6[Table.Column],Cobra8.6[LENGTH],"",0,1)</f>
        <v/>
      </c>
      <c r="AB494" s="49" t="s">
        <v>32</v>
      </c>
    </row>
    <row r="495" spans="1:28" hidden="1" x14ac:dyDescent="0.2">
      <c r="A495" t="s">
        <v>450</v>
      </c>
      <c r="B495" t="s">
        <v>879</v>
      </c>
      <c r="C495" s="45" t="s">
        <v>617</v>
      </c>
      <c r="D495" s="39">
        <v>46</v>
      </c>
      <c r="E495" s="39" t="s">
        <v>161</v>
      </c>
      <c r="F495" t="str">
        <f>VLOOKUP($E495,'Data Type Lookup'!$A$1:$C$21,2,FALSE)</f>
        <v>NUMBER(21,6)</v>
      </c>
      <c r="G495" s="39"/>
      <c r="H495" s="39"/>
      <c r="I495" s="47" t="s">
        <v>32</v>
      </c>
      <c r="J495" s="47">
        <v>0</v>
      </c>
      <c r="K495" s="47"/>
      <c r="L495" s="47"/>
      <c r="M495" s="39"/>
      <c r="N495" s="39"/>
      <c r="O495" s="39"/>
      <c r="P495" s="39" t="s">
        <v>618</v>
      </c>
      <c r="Q495" s="39" t="str">
        <f t="shared" si="11"/>
        <v>bcws</v>
      </c>
      <c r="R495" t="str">
        <f>VLOOKUP(E495,'Data Type Lookup'!$A$1:$C$21,3,FALSE)</f>
        <v>java.math.BigDecimal</v>
      </c>
      <c r="S495" s="39"/>
      <c r="W495" t="str">
        <f t="shared" si="10"/>
        <v>PROJECT_CAWP.BCWS</v>
      </c>
      <c r="X495" t="str">
        <f>VLOOKUP(W495,ColumnMapping[New Table.Column],1,)</f>
        <v>PROJECT_CAWP.BCWS</v>
      </c>
      <c r="Y495" t="str">
        <f>_xlfn.XLOOKUP(Table6[[#This Row],[Table.Column]],ColumnMapping[Add Column Name],ColumnMapping[Old Table.Column],"",0,1)</f>
        <v/>
      </c>
      <c r="Z495" t="str">
        <f>_xlfn.XLOOKUP(Table6[[#This Row],[Old Table.Column]],Cobra8.6[Table.Column],Cobra8.6[TYPE],"",0,1)</f>
        <v/>
      </c>
      <c r="AA495" t="str">
        <f>_xlfn.XLOOKUP(Table6[[#This Row],[Old Table.Column]],Cobra8.6[Table.Column],Cobra8.6[LENGTH],"",0,1)</f>
        <v/>
      </c>
      <c r="AB495" s="49" t="s">
        <v>32</v>
      </c>
    </row>
    <row r="496" spans="1:28" hidden="1" x14ac:dyDescent="0.2">
      <c r="A496" t="s">
        <v>450</v>
      </c>
      <c r="B496" t="s">
        <v>879</v>
      </c>
      <c r="C496" s="45" t="s">
        <v>619</v>
      </c>
      <c r="D496" s="39">
        <v>47</v>
      </c>
      <c r="E496" s="39" t="s">
        <v>161</v>
      </c>
      <c r="F496" t="str">
        <f>VLOOKUP($E496,'Data Type Lookup'!$A$1:$C$21,2,FALSE)</f>
        <v>NUMBER(21,6)</v>
      </c>
      <c r="G496" s="39"/>
      <c r="H496" s="39"/>
      <c r="I496" s="47" t="s">
        <v>32</v>
      </c>
      <c r="J496" s="47">
        <v>0</v>
      </c>
      <c r="K496" s="47"/>
      <c r="L496" s="47"/>
      <c r="M496" s="39"/>
      <c r="N496" s="39"/>
      <c r="O496" s="39"/>
      <c r="P496" s="39" t="s">
        <v>620</v>
      </c>
      <c r="Q496" s="39" t="str">
        <f t="shared" si="11"/>
        <v>bcwsHrs</v>
      </c>
      <c r="R496" t="str">
        <f>VLOOKUP(E496,'Data Type Lookup'!$A$1:$C$21,3,FALSE)</f>
        <v>java.math.BigDecimal</v>
      </c>
      <c r="S496" s="39"/>
      <c r="W496" t="str">
        <f t="shared" si="10"/>
        <v>PROJECT_CAWP.BCWS_HRS</v>
      </c>
      <c r="X496" t="str">
        <f>VLOOKUP(W496,ColumnMapping[New Table.Column],1,)</f>
        <v>PROJECT_CAWP.BCWS_HRS</v>
      </c>
      <c r="Y496" t="str">
        <f>_xlfn.XLOOKUP(Table6[[#This Row],[Table.Column]],ColumnMapping[Add Column Name],ColumnMapping[Old Table.Column],"",0,1)</f>
        <v/>
      </c>
      <c r="Z496" t="str">
        <f>_xlfn.XLOOKUP(Table6[[#This Row],[Old Table.Column]],Cobra8.6[Table.Column],Cobra8.6[TYPE],"",0,1)</f>
        <v/>
      </c>
      <c r="AA496" t="str">
        <f>_xlfn.XLOOKUP(Table6[[#This Row],[Old Table.Column]],Cobra8.6[Table.Column],Cobra8.6[LENGTH],"",0,1)</f>
        <v/>
      </c>
      <c r="AB496" s="49" t="s">
        <v>32</v>
      </c>
    </row>
    <row r="497" spans="1:28" hidden="1" x14ac:dyDescent="0.2">
      <c r="A497" t="s">
        <v>450</v>
      </c>
      <c r="B497" t="s">
        <v>879</v>
      </c>
      <c r="C497" s="45" t="s">
        <v>959</v>
      </c>
      <c r="D497" s="39">
        <v>48</v>
      </c>
      <c r="E497" s="39" t="s">
        <v>161</v>
      </c>
      <c r="F497" t="str">
        <f>VLOOKUP($E497,'Data Type Lookup'!$A$1:$C$21,2,FALSE)</f>
        <v>NUMBER(21,6)</v>
      </c>
      <c r="G497" s="39"/>
      <c r="H497" s="39"/>
      <c r="I497" s="47" t="s">
        <v>32</v>
      </c>
      <c r="J497" s="47">
        <v>0</v>
      </c>
      <c r="K497" s="47"/>
      <c r="L497" s="47"/>
      <c r="M497" s="39"/>
      <c r="N497" s="39"/>
      <c r="O497" s="39"/>
      <c r="P497" s="39" t="s">
        <v>960</v>
      </c>
      <c r="Q497" s="39" t="str">
        <f t="shared" si="11"/>
        <v>bcwscp</v>
      </c>
      <c r="R497" t="str">
        <f>VLOOKUP(E497,'Data Type Lookup'!$A$1:$C$21,3,FALSE)</f>
        <v>java.math.BigDecimal</v>
      </c>
      <c r="S497" s="39"/>
      <c r="W497" t="str">
        <f t="shared" si="10"/>
        <v>PROJECT_CAWP.BCWSCP</v>
      </c>
      <c r="X497" t="str">
        <f>VLOOKUP(W497,ColumnMapping[New Table.Column],1,)</f>
        <v>PROJECT_CAWP.BCWSCP</v>
      </c>
      <c r="Y497" t="str">
        <f>_xlfn.XLOOKUP(Table6[[#This Row],[Table.Column]],ColumnMapping[Add Column Name],ColumnMapping[Old Table.Column],"",0,1)</f>
        <v/>
      </c>
      <c r="Z497" t="str">
        <f>_xlfn.XLOOKUP(Table6[[#This Row],[Old Table.Column]],Cobra8.6[Table.Column],Cobra8.6[TYPE],"",0,1)</f>
        <v/>
      </c>
      <c r="AA497" t="str">
        <f>_xlfn.XLOOKUP(Table6[[#This Row],[Old Table.Column]],Cobra8.6[Table.Column],Cobra8.6[LENGTH],"",0,1)</f>
        <v/>
      </c>
      <c r="AB497" s="49" t="s">
        <v>32</v>
      </c>
    </row>
    <row r="498" spans="1:28" hidden="1" x14ac:dyDescent="0.2">
      <c r="A498" t="s">
        <v>450</v>
      </c>
      <c r="B498" t="s">
        <v>879</v>
      </c>
      <c r="C498" s="45" t="s">
        <v>961</v>
      </c>
      <c r="D498" s="39">
        <v>49</v>
      </c>
      <c r="E498" s="39" t="s">
        <v>161</v>
      </c>
      <c r="F498" t="str">
        <f>VLOOKUP($E498,'Data Type Lookup'!$A$1:$C$21,2,FALSE)</f>
        <v>NUMBER(21,6)</v>
      </c>
      <c r="G498" s="39"/>
      <c r="H498" s="39"/>
      <c r="I498" s="47" t="s">
        <v>32</v>
      </c>
      <c r="J498" s="47">
        <v>0</v>
      </c>
      <c r="K498" s="47"/>
      <c r="L498" s="47"/>
      <c r="M498" s="39"/>
      <c r="N498" s="39"/>
      <c r="O498" s="39"/>
      <c r="P498" s="39" t="s">
        <v>962</v>
      </c>
      <c r="Q498" s="39" t="str">
        <f t="shared" si="11"/>
        <v>bcwscpHrs</v>
      </c>
      <c r="R498" t="str">
        <f>VLOOKUP(E498,'Data Type Lookup'!$A$1:$C$21,3,FALSE)</f>
        <v>java.math.BigDecimal</v>
      </c>
      <c r="S498" s="39"/>
      <c r="W498" t="str">
        <f t="shared" si="10"/>
        <v>PROJECT_CAWP.BCWSCP_HRS</v>
      </c>
      <c r="X498" t="str">
        <f>VLOOKUP(W498,ColumnMapping[New Table.Column],1,)</f>
        <v>PROJECT_CAWP.BCWSCP_HRS</v>
      </c>
      <c r="Y498" t="str">
        <f>_xlfn.XLOOKUP(Table6[[#This Row],[Table.Column]],ColumnMapping[Add Column Name],ColumnMapping[Old Table.Column],"",0,1)</f>
        <v/>
      </c>
      <c r="Z498" t="str">
        <f>_xlfn.XLOOKUP(Table6[[#This Row],[Old Table.Column]],Cobra8.6[Table.Column],Cobra8.6[TYPE],"",0,1)</f>
        <v/>
      </c>
      <c r="AA498" t="str">
        <f>_xlfn.XLOOKUP(Table6[[#This Row],[Old Table.Column]],Cobra8.6[Table.Column],Cobra8.6[LENGTH],"",0,1)</f>
        <v/>
      </c>
      <c r="AB498" s="49" t="s">
        <v>32</v>
      </c>
    </row>
    <row r="499" spans="1:28" hidden="1" x14ac:dyDescent="0.2">
      <c r="A499" t="s">
        <v>450</v>
      </c>
      <c r="B499" t="s">
        <v>879</v>
      </c>
      <c r="C499" s="45" t="s">
        <v>963</v>
      </c>
      <c r="D499" s="39">
        <v>50</v>
      </c>
      <c r="E499" s="39" t="s">
        <v>48</v>
      </c>
      <c r="F499" s="39" t="s">
        <v>349</v>
      </c>
      <c r="G499" s="39">
        <v>59</v>
      </c>
      <c r="H499" s="39"/>
      <c r="I499" s="47"/>
      <c r="J499" s="47"/>
      <c r="K499" s="47"/>
      <c r="L499" s="47"/>
      <c r="M499" s="39"/>
      <c r="N499" s="39"/>
      <c r="O499" s="39"/>
      <c r="P499" s="39" t="s">
        <v>964</v>
      </c>
      <c r="Q499" s="39" t="str">
        <f t="shared" si="11"/>
        <v>c1</v>
      </c>
      <c r="R499" t="str">
        <f>VLOOKUP(E499,'Data Type Lookup'!$A$1:$C$21,3,FALSE)</f>
        <v>String</v>
      </c>
      <c r="S499" s="39"/>
      <c r="W499" t="str">
        <f t="shared" si="10"/>
        <v>PROJECT_CAWP.C1</v>
      </c>
      <c r="X499" t="str">
        <f>VLOOKUP(W499,ColumnMapping[New Table.Column],1,)</f>
        <v>PROJECT_CAWP.C1</v>
      </c>
      <c r="Y499" t="str">
        <f>_xlfn.XLOOKUP(Table6[[#This Row],[Table.Column]],ColumnMapping[Add Column Name],ColumnMapping[Old Table.Column],"",0,1)</f>
        <v/>
      </c>
      <c r="Z499" t="str">
        <f>_xlfn.XLOOKUP(Table6[[#This Row],[Old Table.Column]],Cobra8.6[Table.Column],Cobra8.6[TYPE],"",0,1)</f>
        <v/>
      </c>
      <c r="AA499" t="str">
        <f>_xlfn.XLOOKUP(Table6[[#This Row],[Old Table.Column]],Cobra8.6[Table.Column],Cobra8.6[LENGTH],"",0,1)</f>
        <v/>
      </c>
      <c r="AB499" s="49" t="s">
        <v>32</v>
      </c>
    </row>
    <row r="500" spans="1:28" hidden="1" x14ac:dyDescent="0.2">
      <c r="A500" t="s">
        <v>450</v>
      </c>
      <c r="B500" t="s">
        <v>879</v>
      </c>
      <c r="C500" s="45" t="s">
        <v>965</v>
      </c>
      <c r="D500" s="39">
        <v>51</v>
      </c>
      <c r="E500" s="39" t="s">
        <v>48</v>
      </c>
      <c r="F500" s="39" t="s">
        <v>349</v>
      </c>
      <c r="G500" s="39">
        <v>59</v>
      </c>
      <c r="H500" s="39"/>
      <c r="I500" s="47"/>
      <c r="J500" s="47"/>
      <c r="K500" s="47"/>
      <c r="L500" s="47"/>
      <c r="M500" s="39"/>
      <c r="N500" s="39"/>
      <c r="O500" s="39"/>
      <c r="P500" s="39" t="s">
        <v>966</v>
      </c>
      <c r="Q500" s="39" t="str">
        <f t="shared" si="11"/>
        <v>c10</v>
      </c>
      <c r="R500" t="str">
        <f>VLOOKUP(E500,'Data Type Lookup'!$A$1:$C$21,3,FALSE)</f>
        <v>String</v>
      </c>
      <c r="S500" s="39"/>
      <c r="W500" t="str">
        <f t="shared" si="10"/>
        <v>PROJECT_CAWP.C10</v>
      </c>
      <c r="X500" t="str">
        <f>VLOOKUP(W500,ColumnMapping[New Table.Column],1,)</f>
        <v>PROJECT_CAWP.C10</v>
      </c>
      <c r="Y500" t="str">
        <f>_xlfn.XLOOKUP(Table6[[#This Row],[Table.Column]],ColumnMapping[Add Column Name],ColumnMapping[Old Table.Column],"",0,1)</f>
        <v/>
      </c>
      <c r="Z500" t="str">
        <f>_xlfn.XLOOKUP(Table6[[#This Row],[Old Table.Column]],Cobra8.6[Table.Column],Cobra8.6[TYPE],"",0,1)</f>
        <v/>
      </c>
      <c r="AA500" t="str">
        <f>_xlfn.XLOOKUP(Table6[[#This Row],[Old Table.Column]],Cobra8.6[Table.Column],Cobra8.6[LENGTH],"",0,1)</f>
        <v/>
      </c>
      <c r="AB500" s="49" t="s">
        <v>32</v>
      </c>
    </row>
    <row r="501" spans="1:28" hidden="1" x14ac:dyDescent="0.2">
      <c r="A501" t="s">
        <v>450</v>
      </c>
      <c r="B501" t="s">
        <v>879</v>
      </c>
      <c r="C501" s="45" t="s">
        <v>967</v>
      </c>
      <c r="D501" s="39">
        <v>52</v>
      </c>
      <c r="E501" s="39" t="s">
        <v>48</v>
      </c>
      <c r="F501" s="39" t="s">
        <v>349</v>
      </c>
      <c r="G501" s="39">
        <v>59</v>
      </c>
      <c r="H501" s="39"/>
      <c r="I501" s="47"/>
      <c r="J501" s="47"/>
      <c r="K501" s="47"/>
      <c r="L501" s="47"/>
      <c r="M501" s="39"/>
      <c r="N501" s="39"/>
      <c r="O501" s="39"/>
      <c r="P501" s="39" t="s">
        <v>968</v>
      </c>
      <c r="Q501" s="39" t="str">
        <f t="shared" si="11"/>
        <v>c11</v>
      </c>
      <c r="R501" t="str">
        <f>VLOOKUP(E501,'Data Type Lookup'!$A$1:$C$21,3,FALSE)</f>
        <v>String</v>
      </c>
      <c r="S501" s="39"/>
      <c r="W501" t="str">
        <f t="shared" si="10"/>
        <v>PROJECT_CAWP.C11</v>
      </c>
      <c r="X501" t="str">
        <f>VLOOKUP(W501,ColumnMapping[New Table.Column],1,)</f>
        <v>PROJECT_CAWP.C11</v>
      </c>
      <c r="Y501" t="str">
        <f>_xlfn.XLOOKUP(Table6[[#This Row],[Table.Column]],ColumnMapping[Add Column Name],ColumnMapping[Old Table.Column],"",0,1)</f>
        <v/>
      </c>
      <c r="Z501" t="str">
        <f>_xlfn.XLOOKUP(Table6[[#This Row],[Old Table.Column]],Cobra8.6[Table.Column],Cobra8.6[TYPE],"",0,1)</f>
        <v/>
      </c>
      <c r="AA501" t="str">
        <f>_xlfn.XLOOKUP(Table6[[#This Row],[Old Table.Column]],Cobra8.6[Table.Column],Cobra8.6[LENGTH],"",0,1)</f>
        <v/>
      </c>
      <c r="AB501" s="49" t="s">
        <v>32</v>
      </c>
    </row>
    <row r="502" spans="1:28" hidden="1" x14ac:dyDescent="0.2">
      <c r="A502" t="s">
        <v>450</v>
      </c>
      <c r="B502" t="s">
        <v>879</v>
      </c>
      <c r="C502" s="45" t="s">
        <v>969</v>
      </c>
      <c r="D502" s="39">
        <v>53</v>
      </c>
      <c r="E502" s="39" t="s">
        <v>48</v>
      </c>
      <c r="F502" s="39" t="s">
        <v>349</v>
      </c>
      <c r="G502" s="39">
        <v>59</v>
      </c>
      <c r="H502" s="39"/>
      <c r="I502" s="47"/>
      <c r="J502" s="47"/>
      <c r="K502" s="47"/>
      <c r="L502" s="47"/>
      <c r="M502" s="39"/>
      <c r="N502" s="39"/>
      <c r="O502" s="39"/>
      <c r="P502" s="39" t="s">
        <v>970</v>
      </c>
      <c r="Q502" s="39" t="str">
        <f t="shared" si="11"/>
        <v>c12</v>
      </c>
      <c r="R502" t="str">
        <f>VLOOKUP(E502,'Data Type Lookup'!$A$1:$C$21,3,FALSE)</f>
        <v>String</v>
      </c>
      <c r="S502" s="39"/>
      <c r="W502" t="str">
        <f t="shared" si="10"/>
        <v>PROJECT_CAWP.C12</v>
      </c>
      <c r="X502" t="str">
        <f>VLOOKUP(W502,ColumnMapping[New Table.Column],1,)</f>
        <v>PROJECT_CAWP.C12</v>
      </c>
      <c r="Y502" t="str">
        <f>_xlfn.XLOOKUP(Table6[[#This Row],[Table.Column]],ColumnMapping[Add Column Name],ColumnMapping[Old Table.Column],"",0,1)</f>
        <v/>
      </c>
      <c r="Z502" t="str">
        <f>_xlfn.XLOOKUP(Table6[[#This Row],[Old Table.Column]],Cobra8.6[Table.Column],Cobra8.6[TYPE],"",0,1)</f>
        <v/>
      </c>
      <c r="AA502" t="str">
        <f>_xlfn.XLOOKUP(Table6[[#This Row],[Old Table.Column]],Cobra8.6[Table.Column],Cobra8.6[LENGTH],"",0,1)</f>
        <v/>
      </c>
      <c r="AB502" s="49" t="s">
        <v>32</v>
      </c>
    </row>
    <row r="503" spans="1:28" hidden="1" x14ac:dyDescent="0.2">
      <c r="A503" t="s">
        <v>450</v>
      </c>
      <c r="B503" t="s">
        <v>879</v>
      </c>
      <c r="C503" s="45" t="s">
        <v>971</v>
      </c>
      <c r="D503" s="39">
        <v>54</v>
      </c>
      <c r="E503" s="39" t="s">
        <v>48</v>
      </c>
      <c r="F503" s="39" t="s">
        <v>349</v>
      </c>
      <c r="G503" s="39">
        <v>59</v>
      </c>
      <c r="H503" s="39"/>
      <c r="I503" s="47"/>
      <c r="J503" s="47"/>
      <c r="K503" s="47"/>
      <c r="L503" s="47"/>
      <c r="M503" s="39"/>
      <c r="N503" s="39"/>
      <c r="O503" s="39"/>
      <c r="P503" s="39" t="s">
        <v>972</v>
      </c>
      <c r="Q503" s="39" t="str">
        <f t="shared" si="11"/>
        <v>c13</v>
      </c>
      <c r="R503" t="str">
        <f>VLOOKUP(E503,'Data Type Lookup'!$A$1:$C$21,3,FALSE)</f>
        <v>String</v>
      </c>
      <c r="S503" s="39"/>
      <c r="W503" t="str">
        <f t="shared" si="10"/>
        <v>PROJECT_CAWP.C13</v>
      </c>
      <c r="X503" t="str">
        <f>VLOOKUP(W503,ColumnMapping[New Table.Column],1,)</f>
        <v>PROJECT_CAWP.C13</v>
      </c>
      <c r="Y503" t="str">
        <f>_xlfn.XLOOKUP(Table6[[#This Row],[Table.Column]],ColumnMapping[Add Column Name],ColumnMapping[Old Table.Column],"",0,1)</f>
        <v/>
      </c>
      <c r="Z503" t="str">
        <f>_xlfn.XLOOKUP(Table6[[#This Row],[Old Table.Column]],Cobra8.6[Table.Column],Cobra8.6[TYPE],"",0,1)</f>
        <v/>
      </c>
      <c r="AA503" t="str">
        <f>_xlfn.XLOOKUP(Table6[[#This Row],[Old Table.Column]],Cobra8.6[Table.Column],Cobra8.6[LENGTH],"",0,1)</f>
        <v/>
      </c>
      <c r="AB503" s="49" t="s">
        <v>32</v>
      </c>
    </row>
    <row r="504" spans="1:28" hidden="1" x14ac:dyDescent="0.2">
      <c r="A504" t="s">
        <v>450</v>
      </c>
      <c r="B504" t="s">
        <v>879</v>
      </c>
      <c r="C504" s="45" t="s">
        <v>973</v>
      </c>
      <c r="D504" s="39">
        <v>55</v>
      </c>
      <c r="E504" s="39" t="s">
        <v>48</v>
      </c>
      <c r="F504" s="39" t="s">
        <v>349</v>
      </c>
      <c r="G504" s="39">
        <v>59</v>
      </c>
      <c r="H504" s="39"/>
      <c r="I504" s="47"/>
      <c r="J504" s="47"/>
      <c r="K504" s="47"/>
      <c r="L504" s="47"/>
      <c r="M504" s="39"/>
      <c r="N504" s="39"/>
      <c r="O504" s="39"/>
      <c r="P504" s="39" t="s">
        <v>974</v>
      </c>
      <c r="Q504" s="39" t="str">
        <f t="shared" si="11"/>
        <v>c14</v>
      </c>
      <c r="R504" t="str">
        <f>VLOOKUP(E504,'Data Type Lookup'!$A$1:$C$21,3,FALSE)</f>
        <v>String</v>
      </c>
      <c r="S504" s="39"/>
      <c r="W504" t="str">
        <f t="shared" si="10"/>
        <v>PROJECT_CAWP.C14</v>
      </c>
      <c r="X504" t="str">
        <f>VLOOKUP(W504,ColumnMapping[New Table.Column],1,)</f>
        <v>PROJECT_CAWP.C14</v>
      </c>
      <c r="Y504" t="str">
        <f>_xlfn.XLOOKUP(Table6[[#This Row],[Table.Column]],ColumnMapping[Add Column Name],ColumnMapping[Old Table.Column],"",0,1)</f>
        <v/>
      </c>
      <c r="Z504" t="str">
        <f>_xlfn.XLOOKUP(Table6[[#This Row],[Old Table.Column]],Cobra8.6[Table.Column],Cobra8.6[TYPE],"",0,1)</f>
        <v/>
      </c>
      <c r="AA504" t="str">
        <f>_xlfn.XLOOKUP(Table6[[#This Row],[Old Table.Column]],Cobra8.6[Table.Column],Cobra8.6[LENGTH],"",0,1)</f>
        <v/>
      </c>
      <c r="AB504" s="49" t="s">
        <v>32</v>
      </c>
    </row>
    <row r="505" spans="1:28" hidden="1" x14ac:dyDescent="0.2">
      <c r="A505" t="s">
        <v>450</v>
      </c>
      <c r="B505" t="s">
        <v>879</v>
      </c>
      <c r="C505" s="45" t="s">
        <v>975</v>
      </c>
      <c r="D505" s="39">
        <v>56</v>
      </c>
      <c r="E505" s="39" t="s">
        <v>48</v>
      </c>
      <c r="F505" s="39" t="s">
        <v>349</v>
      </c>
      <c r="G505" s="39">
        <v>59</v>
      </c>
      <c r="H505" s="39"/>
      <c r="I505" s="47"/>
      <c r="J505" s="47"/>
      <c r="K505" s="47"/>
      <c r="L505" s="47"/>
      <c r="M505" s="39"/>
      <c r="N505" s="39"/>
      <c r="O505" s="39"/>
      <c r="P505" s="39" t="s">
        <v>976</v>
      </c>
      <c r="Q505" s="39" t="str">
        <f t="shared" si="11"/>
        <v>c15</v>
      </c>
      <c r="R505" t="str">
        <f>VLOOKUP(E505,'Data Type Lookup'!$A$1:$C$21,3,FALSE)</f>
        <v>String</v>
      </c>
      <c r="S505" s="39"/>
      <c r="W505" t="str">
        <f t="shared" si="10"/>
        <v>PROJECT_CAWP.C15</v>
      </c>
      <c r="X505" t="str">
        <f>VLOOKUP(W505,ColumnMapping[New Table.Column],1,)</f>
        <v>PROJECT_CAWP.C15</v>
      </c>
      <c r="Y505" t="str">
        <f>_xlfn.XLOOKUP(Table6[[#This Row],[Table.Column]],ColumnMapping[Add Column Name],ColumnMapping[Old Table.Column],"",0,1)</f>
        <v/>
      </c>
      <c r="Z505" t="str">
        <f>_xlfn.XLOOKUP(Table6[[#This Row],[Old Table.Column]],Cobra8.6[Table.Column],Cobra8.6[TYPE],"",0,1)</f>
        <v/>
      </c>
      <c r="AA505" t="str">
        <f>_xlfn.XLOOKUP(Table6[[#This Row],[Old Table.Column]],Cobra8.6[Table.Column],Cobra8.6[LENGTH],"",0,1)</f>
        <v/>
      </c>
      <c r="AB505" s="49" t="s">
        <v>32</v>
      </c>
    </row>
    <row r="506" spans="1:28" hidden="1" x14ac:dyDescent="0.2">
      <c r="A506" t="s">
        <v>450</v>
      </c>
      <c r="B506" t="s">
        <v>879</v>
      </c>
      <c r="C506" s="45" t="s">
        <v>977</v>
      </c>
      <c r="D506" s="39">
        <v>57</v>
      </c>
      <c r="E506" s="39" t="s">
        <v>48</v>
      </c>
      <c r="F506" s="39" t="s">
        <v>349</v>
      </c>
      <c r="G506" s="39">
        <v>59</v>
      </c>
      <c r="H506" s="39"/>
      <c r="I506" s="47"/>
      <c r="J506" s="47"/>
      <c r="K506" s="47"/>
      <c r="L506" s="47"/>
      <c r="M506" s="39"/>
      <c r="N506" s="39"/>
      <c r="O506" s="39"/>
      <c r="P506" s="39" t="s">
        <v>978</v>
      </c>
      <c r="Q506" s="39" t="str">
        <f t="shared" si="11"/>
        <v>c16</v>
      </c>
      <c r="R506" t="str">
        <f>VLOOKUP(E506,'Data Type Lookup'!$A$1:$C$21,3,FALSE)</f>
        <v>String</v>
      </c>
      <c r="S506" s="39"/>
      <c r="W506" t="str">
        <f t="shared" si="10"/>
        <v>PROJECT_CAWP.C16</v>
      </c>
      <c r="X506" t="str">
        <f>VLOOKUP(W506,ColumnMapping[New Table.Column],1,)</f>
        <v>PROJECT_CAWP.C16</v>
      </c>
      <c r="Y506" t="str">
        <f>_xlfn.XLOOKUP(Table6[[#This Row],[Table.Column]],ColumnMapping[Add Column Name],ColumnMapping[Old Table.Column],"",0,1)</f>
        <v/>
      </c>
      <c r="Z506" t="str">
        <f>_xlfn.XLOOKUP(Table6[[#This Row],[Old Table.Column]],Cobra8.6[Table.Column],Cobra8.6[TYPE],"",0,1)</f>
        <v/>
      </c>
      <c r="AA506" t="str">
        <f>_xlfn.XLOOKUP(Table6[[#This Row],[Old Table.Column]],Cobra8.6[Table.Column],Cobra8.6[LENGTH],"",0,1)</f>
        <v/>
      </c>
      <c r="AB506" s="49" t="s">
        <v>32</v>
      </c>
    </row>
    <row r="507" spans="1:28" hidden="1" x14ac:dyDescent="0.2">
      <c r="A507" t="s">
        <v>450</v>
      </c>
      <c r="B507" t="s">
        <v>879</v>
      </c>
      <c r="C507" s="45" t="s">
        <v>979</v>
      </c>
      <c r="D507" s="39">
        <v>58</v>
      </c>
      <c r="E507" s="39" t="s">
        <v>48</v>
      </c>
      <c r="F507" s="39" t="s">
        <v>349</v>
      </c>
      <c r="G507" s="39">
        <v>59</v>
      </c>
      <c r="H507" s="39"/>
      <c r="I507" s="47"/>
      <c r="J507" s="47"/>
      <c r="K507" s="47"/>
      <c r="L507" s="47"/>
      <c r="M507" s="39"/>
      <c r="N507" s="39"/>
      <c r="O507" s="39"/>
      <c r="P507" s="39" t="s">
        <v>980</v>
      </c>
      <c r="Q507" s="39" t="str">
        <f t="shared" si="11"/>
        <v>c17</v>
      </c>
      <c r="R507" t="str">
        <f>VLOOKUP(E507,'Data Type Lookup'!$A$1:$C$21,3,FALSE)</f>
        <v>String</v>
      </c>
      <c r="S507" s="39"/>
      <c r="W507" t="str">
        <f t="shared" si="10"/>
        <v>PROJECT_CAWP.C17</v>
      </c>
      <c r="X507" t="str">
        <f>VLOOKUP(W507,ColumnMapping[New Table.Column],1,)</f>
        <v>PROJECT_CAWP.C17</v>
      </c>
      <c r="Y507" t="str">
        <f>_xlfn.XLOOKUP(Table6[[#This Row],[Table.Column]],ColumnMapping[Add Column Name],ColumnMapping[Old Table.Column],"",0,1)</f>
        <v/>
      </c>
      <c r="Z507" t="str">
        <f>_xlfn.XLOOKUP(Table6[[#This Row],[Old Table.Column]],Cobra8.6[Table.Column],Cobra8.6[TYPE],"",0,1)</f>
        <v/>
      </c>
      <c r="AA507" t="str">
        <f>_xlfn.XLOOKUP(Table6[[#This Row],[Old Table.Column]],Cobra8.6[Table.Column],Cobra8.6[LENGTH],"",0,1)</f>
        <v/>
      </c>
      <c r="AB507" s="49" t="s">
        <v>32</v>
      </c>
    </row>
    <row r="508" spans="1:28" hidden="1" x14ac:dyDescent="0.2">
      <c r="A508" t="s">
        <v>450</v>
      </c>
      <c r="B508" t="s">
        <v>879</v>
      </c>
      <c r="C508" s="45" t="s">
        <v>981</v>
      </c>
      <c r="D508" s="39">
        <v>59</v>
      </c>
      <c r="E508" s="39" t="s">
        <v>48</v>
      </c>
      <c r="F508" s="39" t="s">
        <v>349</v>
      </c>
      <c r="G508" s="39">
        <v>59</v>
      </c>
      <c r="H508" s="39"/>
      <c r="I508" s="47"/>
      <c r="J508" s="47"/>
      <c r="K508" s="47"/>
      <c r="L508" s="47"/>
      <c r="M508" s="39"/>
      <c r="N508" s="39"/>
      <c r="O508" s="39"/>
      <c r="P508" s="39" t="s">
        <v>982</v>
      </c>
      <c r="Q508" s="39" t="str">
        <f t="shared" si="11"/>
        <v>c18</v>
      </c>
      <c r="R508" t="str">
        <f>VLOOKUP(E508,'Data Type Lookup'!$A$1:$C$21,3,FALSE)</f>
        <v>String</v>
      </c>
      <c r="S508" s="39"/>
      <c r="W508" t="str">
        <f t="shared" si="10"/>
        <v>PROJECT_CAWP.C18</v>
      </c>
      <c r="X508" t="str">
        <f>VLOOKUP(W508,ColumnMapping[New Table.Column],1,)</f>
        <v>PROJECT_CAWP.C18</v>
      </c>
      <c r="Y508" t="str">
        <f>_xlfn.XLOOKUP(Table6[[#This Row],[Table.Column]],ColumnMapping[Add Column Name],ColumnMapping[Old Table.Column],"",0,1)</f>
        <v/>
      </c>
      <c r="Z508" t="str">
        <f>_xlfn.XLOOKUP(Table6[[#This Row],[Old Table.Column]],Cobra8.6[Table.Column],Cobra8.6[TYPE],"",0,1)</f>
        <v/>
      </c>
      <c r="AA508" t="str">
        <f>_xlfn.XLOOKUP(Table6[[#This Row],[Old Table.Column]],Cobra8.6[Table.Column],Cobra8.6[LENGTH],"",0,1)</f>
        <v/>
      </c>
      <c r="AB508" s="49" t="s">
        <v>32</v>
      </c>
    </row>
    <row r="509" spans="1:28" hidden="1" x14ac:dyDescent="0.2">
      <c r="A509" t="s">
        <v>450</v>
      </c>
      <c r="B509" t="s">
        <v>879</v>
      </c>
      <c r="C509" s="45" t="s">
        <v>983</v>
      </c>
      <c r="D509" s="39">
        <v>60</v>
      </c>
      <c r="E509" s="39" t="s">
        <v>48</v>
      </c>
      <c r="F509" s="39" t="s">
        <v>349</v>
      </c>
      <c r="G509" s="39">
        <v>59</v>
      </c>
      <c r="H509" s="39"/>
      <c r="I509" s="47"/>
      <c r="J509" s="47"/>
      <c r="K509" s="47"/>
      <c r="L509" s="47"/>
      <c r="M509" s="39"/>
      <c r="N509" s="39"/>
      <c r="O509" s="39"/>
      <c r="P509" s="39" t="s">
        <v>984</v>
      </c>
      <c r="Q509" s="39" t="str">
        <f t="shared" si="11"/>
        <v>c19</v>
      </c>
      <c r="R509" t="str">
        <f>VLOOKUP(E509,'Data Type Lookup'!$A$1:$C$21,3,FALSE)</f>
        <v>String</v>
      </c>
      <c r="S509" s="39"/>
      <c r="W509" t="str">
        <f t="shared" si="10"/>
        <v>PROJECT_CAWP.C19</v>
      </c>
      <c r="X509" t="str">
        <f>VLOOKUP(W509,ColumnMapping[New Table.Column],1,)</f>
        <v>PROJECT_CAWP.C19</v>
      </c>
      <c r="Y509" t="str">
        <f>_xlfn.XLOOKUP(Table6[[#This Row],[Table.Column]],ColumnMapping[Add Column Name],ColumnMapping[Old Table.Column],"",0,1)</f>
        <v/>
      </c>
      <c r="Z509" t="str">
        <f>_xlfn.XLOOKUP(Table6[[#This Row],[Old Table.Column]],Cobra8.6[Table.Column],Cobra8.6[TYPE],"",0,1)</f>
        <v/>
      </c>
      <c r="AA509" t="str">
        <f>_xlfn.XLOOKUP(Table6[[#This Row],[Old Table.Column]],Cobra8.6[Table.Column],Cobra8.6[LENGTH],"",0,1)</f>
        <v/>
      </c>
      <c r="AB509" s="49" t="s">
        <v>32</v>
      </c>
    </row>
    <row r="510" spans="1:28" hidden="1" x14ac:dyDescent="0.2">
      <c r="A510" t="s">
        <v>450</v>
      </c>
      <c r="B510" t="s">
        <v>879</v>
      </c>
      <c r="C510" s="45" t="s">
        <v>985</v>
      </c>
      <c r="D510" s="39">
        <v>61</v>
      </c>
      <c r="E510" s="39" t="s">
        <v>48</v>
      </c>
      <c r="F510" s="39" t="s">
        <v>349</v>
      </c>
      <c r="G510" s="39">
        <v>59</v>
      </c>
      <c r="H510" s="39"/>
      <c r="I510" s="47"/>
      <c r="J510" s="47"/>
      <c r="K510" s="47"/>
      <c r="L510" s="47"/>
      <c r="M510" s="39"/>
      <c r="N510" s="39"/>
      <c r="O510" s="39"/>
      <c r="P510" s="39" t="s">
        <v>986</v>
      </c>
      <c r="Q510" s="39" t="str">
        <f t="shared" si="11"/>
        <v>c2</v>
      </c>
      <c r="R510" t="str">
        <f>VLOOKUP(E510,'Data Type Lookup'!$A$1:$C$21,3,FALSE)</f>
        <v>String</v>
      </c>
      <c r="S510" s="39"/>
      <c r="W510" t="str">
        <f t="shared" si="10"/>
        <v>PROJECT_CAWP.C2</v>
      </c>
      <c r="X510" t="str">
        <f>VLOOKUP(W510,ColumnMapping[New Table.Column],1,)</f>
        <v>PROJECT_CAWP.C2</v>
      </c>
      <c r="Y510" t="str">
        <f>_xlfn.XLOOKUP(Table6[[#This Row],[Table.Column]],ColumnMapping[Add Column Name],ColumnMapping[Old Table.Column],"",0,1)</f>
        <v/>
      </c>
      <c r="Z510" t="str">
        <f>_xlfn.XLOOKUP(Table6[[#This Row],[Old Table.Column]],Cobra8.6[Table.Column],Cobra8.6[TYPE],"",0,1)</f>
        <v/>
      </c>
      <c r="AA510" t="str">
        <f>_xlfn.XLOOKUP(Table6[[#This Row],[Old Table.Column]],Cobra8.6[Table.Column],Cobra8.6[LENGTH],"",0,1)</f>
        <v/>
      </c>
      <c r="AB510" s="49" t="s">
        <v>32</v>
      </c>
    </row>
    <row r="511" spans="1:28" hidden="1" x14ac:dyDescent="0.2">
      <c r="A511" t="s">
        <v>450</v>
      </c>
      <c r="B511" t="s">
        <v>879</v>
      </c>
      <c r="C511" s="45" t="s">
        <v>987</v>
      </c>
      <c r="D511" s="39">
        <v>62</v>
      </c>
      <c r="E511" s="39" t="s">
        <v>48</v>
      </c>
      <c r="F511" s="39" t="s">
        <v>349</v>
      </c>
      <c r="G511" s="39">
        <v>59</v>
      </c>
      <c r="H511" s="39"/>
      <c r="I511" s="47"/>
      <c r="J511" s="47"/>
      <c r="K511" s="47"/>
      <c r="L511" s="47"/>
      <c r="M511" s="39"/>
      <c r="N511" s="39"/>
      <c r="O511" s="39"/>
      <c r="P511" s="39" t="s">
        <v>988</v>
      </c>
      <c r="Q511" s="39" t="str">
        <f t="shared" si="11"/>
        <v>c20</v>
      </c>
      <c r="R511" t="str">
        <f>VLOOKUP(E511,'Data Type Lookup'!$A$1:$C$21,3,FALSE)</f>
        <v>String</v>
      </c>
      <c r="S511" s="39"/>
      <c r="W511" t="str">
        <f t="shared" si="10"/>
        <v>PROJECT_CAWP.C20</v>
      </c>
      <c r="X511" t="str">
        <f>VLOOKUP(W511,ColumnMapping[New Table.Column],1,)</f>
        <v>PROJECT_CAWP.C20</v>
      </c>
      <c r="Y511" t="str">
        <f>_xlfn.XLOOKUP(Table6[[#This Row],[Table.Column]],ColumnMapping[Add Column Name],ColumnMapping[Old Table.Column],"",0,1)</f>
        <v/>
      </c>
      <c r="Z511" t="str">
        <f>_xlfn.XLOOKUP(Table6[[#This Row],[Old Table.Column]],Cobra8.6[Table.Column],Cobra8.6[TYPE],"",0,1)</f>
        <v/>
      </c>
      <c r="AA511" t="str">
        <f>_xlfn.XLOOKUP(Table6[[#This Row],[Old Table.Column]],Cobra8.6[Table.Column],Cobra8.6[LENGTH],"",0,1)</f>
        <v/>
      </c>
      <c r="AB511" s="49" t="s">
        <v>32</v>
      </c>
    </row>
    <row r="512" spans="1:28" hidden="1" x14ac:dyDescent="0.2">
      <c r="A512" t="s">
        <v>450</v>
      </c>
      <c r="B512" t="s">
        <v>879</v>
      </c>
      <c r="C512" s="45" t="s">
        <v>989</v>
      </c>
      <c r="D512" s="39">
        <v>63</v>
      </c>
      <c r="E512" s="39" t="s">
        <v>48</v>
      </c>
      <c r="F512" s="39" t="s">
        <v>349</v>
      </c>
      <c r="G512" s="39">
        <v>59</v>
      </c>
      <c r="H512" s="39"/>
      <c r="I512" s="47"/>
      <c r="J512" s="47"/>
      <c r="K512" s="47"/>
      <c r="L512" s="47"/>
      <c r="M512" s="39"/>
      <c r="N512" s="39"/>
      <c r="O512" s="39"/>
      <c r="P512" s="39" t="s">
        <v>990</v>
      </c>
      <c r="Q512" s="39" t="str">
        <f t="shared" si="11"/>
        <v>c3</v>
      </c>
      <c r="R512" t="str">
        <f>VLOOKUP(E512,'Data Type Lookup'!$A$1:$C$21,3,FALSE)</f>
        <v>String</v>
      </c>
      <c r="S512" s="39"/>
      <c r="W512" t="str">
        <f t="shared" si="10"/>
        <v>PROJECT_CAWP.C3</v>
      </c>
      <c r="X512" t="str">
        <f>VLOOKUP(W512,ColumnMapping[New Table.Column],1,)</f>
        <v>PROJECT_CAWP.C3</v>
      </c>
      <c r="Y512" t="str">
        <f>_xlfn.XLOOKUP(Table6[[#This Row],[Table.Column]],ColumnMapping[Add Column Name],ColumnMapping[Old Table.Column],"",0,1)</f>
        <v/>
      </c>
      <c r="Z512" t="str">
        <f>_xlfn.XLOOKUP(Table6[[#This Row],[Old Table.Column]],Cobra8.6[Table.Column],Cobra8.6[TYPE],"",0,1)</f>
        <v/>
      </c>
      <c r="AA512" t="str">
        <f>_xlfn.XLOOKUP(Table6[[#This Row],[Old Table.Column]],Cobra8.6[Table.Column],Cobra8.6[LENGTH],"",0,1)</f>
        <v/>
      </c>
      <c r="AB512" s="49" t="s">
        <v>32</v>
      </c>
    </row>
    <row r="513" spans="1:28" hidden="1" x14ac:dyDescent="0.2">
      <c r="A513" t="s">
        <v>450</v>
      </c>
      <c r="B513" t="s">
        <v>879</v>
      </c>
      <c r="C513" s="45" t="s">
        <v>991</v>
      </c>
      <c r="D513" s="39">
        <v>64</v>
      </c>
      <c r="E513" s="39" t="s">
        <v>48</v>
      </c>
      <c r="F513" s="39" t="s">
        <v>349</v>
      </c>
      <c r="G513" s="39">
        <v>59</v>
      </c>
      <c r="H513" s="39"/>
      <c r="I513" s="47"/>
      <c r="J513" s="47"/>
      <c r="K513" s="47"/>
      <c r="L513" s="47"/>
      <c r="M513" s="39"/>
      <c r="N513" s="39"/>
      <c r="O513" s="39"/>
      <c r="P513" s="39" t="s">
        <v>992</v>
      </c>
      <c r="Q513" s="39" t="str">
        <f t="shared" si="11"/>
        <v>c4</v>
      </c>
      <c r="R513" t="str">
        <f>VLOOKUP(E513,'Data Type Lookup'!$A$1:$C$21,3,FALSE)</f>
        <v>String</v>
      </c>
      <c r="S513" s="39"/>
      <c r="W513" t="str">
        <f t="shared" si="10"/>
        <v>PROJECT_CAWP.C4</v>
      </c>
      <c r="X513" t="str">
        <f>VLOOKUP(W513,ColumnMapping[New Table.Column],1,)</f>
        <v>PROJECT_CAWP.C4</v>
      </c>
      <c r="Y513" t="str">
        <f>_xlfn.XLOOKUP(Table6[[#This Row],[Table.Column]],ColumnMapping[Add Column Name],ColumnMapping[Old Table.Column],"",0,1)</f>
        <v/>
      </c>
      <c r="Z513" t="str">
        <f>_xlfn.XLOOKUP(Table6[[#This Row],[Old Table.Column]],Cobra8.6[Table.Column],Cobra8.6[TYPE],"",0,1)</f>
        <v/>
      </c>
      <c r="AA513" t="str">
        <f>_xlfn.XLOOKUP(Table6[[#This Row],[Old Table.Column]],Cobra8.6[Table.Column],Cobra8.6[LENGTH],"",0,1)</f>
        <v/>
      </c>
      <c r="AB513" s="49" t="s">
        <v>32</v>
      </c>
    </row>
    <row r="514" spans="1:28" hidden="1" x14ac:dyDescent="0.2">
      <c r="A514" t="s">
        <v>450</v>
      </c>
      <c r="B514" t="s">
        <v>879</v>
      </c>
      <c r="C514" s="45" t="s">
        <v>993</v>
      </c>
      <c r="D514" s="39">
        <v>65</v>
      </c>
      <c r="E514" s="39" t="s">
        <v>48</v>
      </c>
      <c r="F514" s="39" t="s">
        <v>349</v>
      </c>
      <c r="G514" s="39">
        <v>59</v>
      </c>
      <c r="H514" s="39"/>
      <c r="I514" s="47"/>
      <c r="J514" s="47"/>
      <c r="K514" s="47"/>
      <c r="L514" s="47"/>
      <c r="M514" s="39"/>
      <c r="N514" s="39"/>
      <c r="O514" s="39"/>
      <c r="P514" s="39" t="s">
        <v>994</v>
      </c>
      <c r="Q514" s="39" t="str">
        <f t="shared" si="11"/>
        <v>c5</v>
      </c>
      <c r="R514" t="str">
        <f>VLOOKUP(E514,'Data Type Lookup'!$A$1:$C$21,3,FALSE)</f>
        <v>String</v>
      </c>
      <c r="S514" s="39"/>
      <c r="W514" t="str">
        <f t="shared" si="10"/>
        <v>PROJECT_CAWP.C5</v>
      </c>
      <c r="X514" t="str">
        <f>VLOOKUP(W514,ColumnMapping[New Table.Column],1,)</f>
        <v>PROJECT_CAWP.C5</v>
      </c>
      <c r="Y514" t="str">
        <f>_xlfn.XLOOKUP(Table6[[#This Row],[Table.Column]],ColumnMapping[Add Column Name],ColumnMapping[Old Table.Column],"",0,1)</f>
        <v/>
      </c>
      <c r="Z514" t="str">
        <f>_xlfn.XLOOKUP(Table6[[#This Row],[Old Table.Column]],Cobra8.6[Table.Column],Cobra8.6[TYPE],"",0,1)</f>
        <v/>
      </c>
      <c r="AA514" t="str">
        <f>_xlfn.XLOOKUP(Table6[[#This Row],[Old Table.Column]],Cobra8.6[Table.Column],Cobra8.6[LENGTH],"",0,1)</f>
        <v/>
      </c>
      <c r="AB514" s="49" t="s">
        <v>32</v>
      </c>
    </row>
    <row r="515" spans="1:28" hidden="1" x14ac:dyDescent="0.2">
      <c r="A515" t="s">
        <v>450</v>
      </c>
      <c r="B515" t="s">
        <v>879</v>
      </c>
      <c r="C515" s="45" t="s">
        <v>995</v>
      </c>
      <c r="D515" s="39">
        <v>66</v>
      </c>
      <c r="E515" s="39" t="s">
        <v>48</v>
      </c>
      <c r="F515" s="39" t="s">
        <v>349</v>
      </c>
      <c r="G515" s="39">
        <v>59</v>
      </c>
      <c r="H515" s="39"/>
      <c r="I515" s="47"/>
      <c r="J515" s="47"/>
      <c r="K515" s="47"/>
      <c r="L515" s="47"/>
      <c r="M515" s="39"/>
      <c r="N515" s="39"/>
      <c r="O515" s="39"/>
      <c r="P515" s="39" t="s">
        <v>996</v>
      </c>
      <c r="Q515" s="39" t="str">
        <f t="shared" si="11"/>
        <v>c6</v>
      </c>
      <c r="R515" t="str">
        <f>VLOOKUP(E515,'Data Type Lookup'!$A$1:$C$21,3,FALSE)</f>
        <v>String</v>
      </c>
      <c r="S515" s="39"/>
      <c r="W515" t="str">
        <f t="shared" si="10"/>
        <v>PROJECT_CAWP.C6</v>
      </c>
      <c r="X515" t="str">
        <f>VLOOKUP(W515,ColumnMapping[New Table.Column],1,)</f>
        <v>PROJECT_CAWP.C6</v>
      </c>
      <c r="Y515" t="str">
        <f>_xlfn.XLOOKUP(Table6[[#This Row],[Table.Column]],ColumnMapping[Add Column Name],ColumnMapping[Old Table.Column],"",0,1)</f>
        <v/>
      </c>
      <c r="Z515" t="str">
        <f>_xlfn.XLOOKUP(Table6[[#This Row],[Old Table.Column]],Cobra8.6[Table.Column],Cobra8.6[TYPE],"",0,1)</f>
        <v/>
      </c>
      <c r="AA515" t="str">
        <f>_xlfn.XLOOKUP(Table6[[#This Row],[Old Table.Column]],Cobra8.6[Table.Column],Cobra8.6[LENGTH],"",0,1)</f>
        <v/>
      </c>
      <c r="AB515" s="49" t="s">
        <v>32</v>
      </c>
    </row>
    <row r="516" spans="1:28" hidden="1" x14ac:dyDescent="0.2">
      <c r="A516" t="s">
        <v>450</v>
      </c>
      <c r="B516" t="s">
        <v>879</v>
      </c>
      <c r="C516" s="45" t="s">
        <v>997</v>
      </c>
      <c r="D516" s="39">
        <v>67</v>
      </c>
      <c r="E516" s="39" t="s">
        <v>48</v>
      </c>
      <c r="F516" s="39" t="s">
        <v>349</v>
      </c>
      <c r="G516" s="39">
        <v>59</v>
      </c>
      <c r="H516" s="39"/>
      <c r="I516" s="47"/>
      <c r="J516" s="47"/>
      <c r="K516" s="47"/>
      <c r="L516" s="47"/>
      <c r="M516" s="39"/>
      <c r="N516" s="39"/>
      <c r="O516" s="39"/>
      <c r="P516" s="39" t="s">
        <v>998</v>
      </c>
      <c r="Q516" s="39" t="str">
        <f t="shared" ref="Q516:Q545" si="12">LOWER(LEFT(C516,FIND("_",C516&amp;"_")-1))&amp;SUBSTITUTE(PROPER(SUBSTITUTE(MID(C516,FIND("_",C516&amp;"_"),LEN(C516)),"_"," "))," ","")</f>
        <v>c7</v>
      </c>
      <c r="R516" t="str">
        <f>VLOOKUP(E516,'Data Type Lookup'!$A$1:$C$21,3,FALSE)</f>
        <v>String</v>
      </c>
      <c r="S516" s="39"/>
      <c r="W516" t="str">
        <f t="shared" si="10"/>
        <v>PROJECT_CAWP.C7</v>
      </c>
      <c r="X516" t="str">
        <f>VLOOKUP(W516,ColumnMapping[New Table.Column],1,)</f>
        <v>PROJECT_CAWP.C7</v>
      </c>
      <c r="Y516" t="str">
        <f>_xlfn.XLOOKUP(Table6[[#This Row],[Table.Column]],ColumnMapping[Add Column Name],ColumnMapping[Old Table.Column],"",0,1)</f>
        <v/>
      </c>
      <c r="Z516" t="str">
        <f>_xlfn.XLOOKUP(Table6[[#This Row],[Old Table.Column]],Cobra8.6[Table.Column],Cobra8.6[TYPE],"",0,1)</f>
        <v/>
      </c>
      <c r="AA516" t="str">
        <f>_xlfn.XLOOKUP(Table6[[#This Row],[Old Table.Column]],Cobra8.6[Table.Column],Cobra8.6[LENGTH],"",0,1)</f>
        <v/>
      </c>
      <c r="AB516" s="49" t="s">
        <v>32</v>
      </c>
    </row>
    <row r="517" spans="1:28" hidden="1" x14ac:dyDescent="0.2">
      <c r="A517" t="s">
        <v>450</v>
      </c>
      <c r="B517" t="s">
        <v>879</v>
      </c>
      <c r="C517" s="45" t="s">
        <v>999</v>
      </c>
      <c r="D517" s="39">
        <v>68</v>
      </c>
      <c r="E517" s="39" t="s">
        <v>48</v>
      </c>
      <c r="F517" s="39" t="s">
        <v>349</v>
      </c>
      <c r="G517" s="39">
        <v>59</v>
      </c>
      <c r="H517" s="39"/>
      <c r="I517" s="47"/>
      <c r="J517" s="47"/>
      <c r="K517" s="47"/>
      <c r="L517" s="47"/>
      <c r="M517" s="39"/>
      <c r="N517" s="39"/>
      <c r="O517" s="39"/>
      <c r="P517" s="39" t="s">
        <v>1000</v>
      </c>
      <c r="Q517" s="39" t="str">
        <f t="shared" si="12"/>
        <v>c8</v>
      </c>
      <c r="R517" t="str">
        <f>VLOOKUP(E517,'Data Type Lookup'!$A$1:$C$21,3,FALSE)</f>
        <v>String</v>
      </c>
      <c r="S517" s="39"/>
      <c r="W517" t="str">
        <f t="shared" si="10"/>
        <v>PROJECT_CAWP.C8</v>
      </c>
      <c r="X517" t="str">
        <f>VLOOKUP(W517,ColumnMapping[New Table.Column],1,)</f>
        <v>PROJECT_CAWP.C8</v>
      </c>
      <c r="Y517" t="str">
        <f>_xlfn.XLOOKUP(Table6[[#This Row],[Table.Column]],ColumnMapping[Add Column Name],ColumnMapping[Old Table.Column],"",0,1)</f>
        <v/>
      </c>
      <c r="Z517" t="str">
        <f>_xlfn.XLOOKUP(Table6[[#This Row],[Old Table.Column]],Cobra8.6[Table.Column],Cobra8.6[TYPE],"",0,1)</f>
        <v/>
      </c>
      <c r="AA517" t="str">
        <f>_xlfn.XLOOKUP(Table6[[#This Row],[Old Table.Column]],Cobra8.6[Table.Column],Cobra8.6[LENGTH],"",0,1)</f>
        <v/>
      </c>
      <c r="AB517" s="49" t="s">
        <v>32</v>
      </c>
    </row>
    <row r="518" spans="1:28" hidden="1" x14ac:dyDescent="0.2">
      <c r="A518" t="s">
        <v>450</v>
      </c>
      <c r="B518" t="s">
        <v>879</v>
      </c>
      <c r="C518" s="45" t="s">
        <v>1001</v>
      </c>
      <c r="D518" s="39">
        <v>69</v>
      </c>
      <c r="E518" s="39" t="s">
        <v>48</v>
      </c>
      <c r="F518" s="39" t="s">
        <v>349</v>
      </c>
      <c r="G518" s="39">
        <v>59</v>
      </c>
      <c r="H518" s="39"/>
      <c r="I518" s="47"/>
      <c r="J518" s="47"/>
      <c r="K518" s="47"/>
      <c r="L518" s="47"/>
      <c r="M518" s="39"/>
      <c r="N518" s="39"/>
      <c r="O518" s="39"/>
      <c r="P518" s="39" t="s">
        <v>1002</v>
      </c>
      <c r="Q518" s="39" t="str">
        <f t="shared" si="12"/>
        <v>c9</v>
      </c>
      <c r="R518" t="str">
        <f>VLOOKUP(E518,'Data Type Lookup'!$A$1:$C$21,3,FALSE)</f>
        <v>String</v>
      </c>
      <c r="S518" s="39"/>
      <c r="W518" t="str">
        <f t="shared" si="10"/>
        <v>PROJECT_CAWP.C9</v>
      </c>
      <c r="X518" t="str">
        <f>VLOOKUP(W518,ColumnMapping[New Table.Column],1,)</f>
        <v>PROJECT_CAWP.C9</v>
      </c>
      <c r="Y518" t="str">
        <f>_xlfn.XLOOKUP(Table6[[#This Row],[Table.Column]],ColumnMapping[Add Column Name],ColumnMapping[Old Table.Column],"",0,1)</f>
        <v/>
      </c>
      <c r="Z518" t="str">
        <f>_xlfn.XLOOKUP(Table6[[#This Row],[Old Table.Column]],Cobra8.6[Table.Column],Cobra8.6[TYPE],"",0,1)</f>
        <v/>
      </c>
      <c r="AA518" t="str">
        <f>_xlfn.XLOOKUP(Table6[[#This Row],[Old Table.Column]],Cobra8.6[Table.Column],Cobra8.6[LENGTH],"",0,1)</f>
        <v/>
      </c>
      <c r="AB518" s="49" t="s">
        <v>32</v>
      </c>
    </row>
    <row r="519" spans="1:28" hidden="1" x14ac:dyDescent="0.2">
      <c r="A519" t="s">
        <v>450</v>
      </c>
      <c r="B519" t="s">
        <v>879</v>
      </c>
      <c r="C519" s="45" t="s">
        <v>1003</v>
      </c>
      <c r="D519" s="39">
        <v>70</v>
      </c>
      <c r="E519" s="39" t="s">
        <v>48</v>
      </c>
      <c r="F519" s="39" t="s">
        <v>349</v>
      </c>
      <c r="G519" s="39">
        <v>59</v>
      </c>
      <c r="H519" s="39"/>
      <c r="I519" s="47"/>
      <c r="J519" s="37" t="s">
        <v>605</v>
      </c>
      <c r="K519" s="47"/>
      <c r="L519" s="47"/>
      <c r="M519" s="39"/>
      <c r="N519" s="39"/>
      <c r="O519" s="39"/>
      <c r="P519" s="39" t="s">
        <v>1004</v>
      </c>
      <c r="Q519" s="39" t="str">
        <f t="shared" si="12"/>
        <v>ca1</v>
      </c>
      <c r="R519" t="str">
        <f>VLOOKUP(E519,'Data Type Lookup'!$A$1:$C$21,3,FALSE)</f>
        <v>String</v>
      </c>
      <c r="S519" s="39"/>
      <c r="W519" t="str">
        <f t="shared" ref="W519:W586" si="13">_xlfn.CONCAT(B519,".",C519)</f>
        <v>PROJECT_CAWP.CA1</v>
      </c>
      <c r="X519" t="str">
        <f>VLOOKUP(W519,ColumnMapping[New Table.Column],1,)</f>
        <v>PROJECT_CAWP.CA1</v>
      </c>
      <c r="Y519" t="str">
        <f>_xlfn.XLOOKUP(Table6[[#This Row],[Table.Column]],ColumnMapping[Add Column Name],ColumnMapping[Old Table.Column],"",0,1)</f>
        <v/>
      </c>
      <c r="Z519" t="str">
        <f>_xlfn.XLOOKUP(Table6[[#This Row],[Old Table.Column]],Cobra8.6[Table.Column],Cobra8.6[TYPE],"",0,1)</f>
        <v/>
      </c>
      <c r="AA519" t="str">
        <f>_xlfn.XLOOKUP(Table6[[#This Row],[Old Table.Column]],Cobra8.6[Table.Column],Cobra8.6[LENGTH],"",0,1)</f>
        <v/>
      </c>
      <c r="AB519" s="49" t="s">
        <v>32</v>
      </c>
    </row>
    <row r="520" spans="1:28" hidden="1" x14ac:dyDescent="0.2">
      <c r="A520" t="s">
        <v>450</v>
      </c>
      <c r="B520" t="s">
        <v>879</v>
      </c>
      <c r="C520" s="45" t="s">
        <v>1005</v>
      </c>
      <c r="D520" s="39">
        <v>71</v>
      </c>
      <c r="E520" s="39" t="s">
        <v>48</v>
      </c>
      <c r="F520" s="39" t="s">
        <v>349</v>
      </c>
      <c r="G520" s="39">
        <v>59</v>
      </c>
      <c r="H520" s="39"/>
      <c r="I520" s="47"/>
      <c r="J520" s="37" t="s">
        <v>605</v>
      </c>
      <c r="K520" s="47"/>
      <c r="L520" s="47"/>
      <c r="M520" s="39"/>
      <c r="N520" s="39"/>
      <c r="O520" s="39"/>
      <c r="P520" s="39" t="s">
        <v>1006</v>
      </c>
      <c r="Q520" s="39" t="str">
        <f t="shared" si="12"/>
        <v>ca2</v>
      </c>
      <c r="R520" t="str">
        <f>VLOOKUP(E520,'Data Type Lookup'!$A$1:$C$21,3,FALSE)</f>
        <v>String</v>
      </c>
      <c r="S520" s="39"/>
      <c r="W520" t="str">
        <f t="shared" si="13"/>
        <v>PROJECT_CAWP.CA2</v>
      </c>
      <c r="X520" t="str">
        <f>VLOOKUP(W520,ColumnMapping[New Table.Column],1,)</f>
        <v>PROJECT_CAWP.CA2</v>
      </c>
      <c r="Y520" t="str">
        <f>_xlfn.XLOOKUP(Table6[[#This Row],[Table.Column]],ColumnMapping[Add Column Name],ColumnMapping[Old Table.Column],"",0,1)</f>
        <v/>
      </c>
      <c r="Z520" t="str">
        <f>_xlfn.XLOOKUP(Table6[[#This Row],[Old Table.Column]],Cobra8.6[Table.Column],Cobra8.6[TYPE],"",0,1)</f>
        <v/>
      </c>
      <c r="AA520" t="str">
        <f>_xlfn.XLOOKUP(Table6[[#This Row],[Old Table.Column]],Cobra8.6[Table.Column],Cobra8.6[LENGTH],"",0,1)</f>
        <v/>
      </c>
      <c r="AB520" s="49" t="s">
        <v>32</v>
      </c>
    </row>
    <row r="521" spans="1:28" hidden="1" x14ac:dyDescent="0.2">
      <c r="A521" t="s">
        <v>450</v>
      </c>
      <c r="B521" t="s">
        <v>879</v>
      </c>
      <c r="C521" s="45" t="s">
        <v>1007</v>
      </c>
      <c r="D521" s="39">
        <v>72</v>
      </c>
      <c r="E521" s="39" t="s">
        <v>48</v>
      </c>
      <c r="F521" s="39" t="s">
        <v>349</v>
      </c>
      <c r="G521" s="39">
        <v>59</v>
      </c>
      <c r="H521" s="39"/>
      <c r="I521" s="47"/>
      <c r="J521" s="37" t="s">
        <v>605</v>
      </c>
      <c r="K521" s="47"/>
      <c r="L521" s="47"/>
      <c r="M521" s="39"/>
      <c r="N521" s="39"/>
      <c r="O521" s="39"/>
      <c r="P521" s="39" t="s">
        <v>1008</v>
      </c>
      <c r="Q521" s="39" t="str">
        <f t="shared" si="12"/>
        <v>ca3</v>
      </c>
      <c r="R521" t="str">
        <f>VLOOKUP(E521,'Data Type Lookup'!$A$1:$C$21,3,FALSE)</f>
        <v>String</v>
      </c>
      <c r="S521" s="39"/>
      <c r="W521" t="str">
        <f t="shared" si="13"/>
        <v>PROJECT_CAWP.CA3</v>
      </c>
      <c r="X521" t="str">
        <f>VLOOKUP(W521,ColumnMapping[New Table.Column],1,)</f>
        <v>PROJECT_CAWP.CA3</v>
      </c>
      <c r="Y521" t="str">
        <f>_xlfn.XLOOKUP(Table6[[#This Row],[Table.Column]],ColumnMapping[Add Column Name],ColumnMapping[Old Table.Column],"",0,1)</f>
        <v/>
      </c>
      <c r="Z521" t="str">
        <f>_xlfn.XLOOKUP(Table6[[#This Row],[Old Table.Column]],Cobra8.6[Table.Column],Cobra8.6[TYPE],"",0,1)</f>
        <v/>
      </c>
      <c r="AA521" t="str">
        <f>_xlfn.XLOOKUP(Table6[[#This Row],[Old Table.Column]],Cobra8.6[Table.Column],Cobra8.6[LENGTH],"",0,1)</f>
        <v/>
      </c>
      <c r="AB521" s="49" t="s">
        <v>32</v>
      </c>
    </row>
    <row r="522" spans="1:28" hidden="1" x14ac:dyDescent="0.2">
      <c r="A522" t="s">
        <v>450</v>
      </c>
      <c r="B522" t="s">
        <v>879</v>
      </c>
      <c r="C522" s="46" t="s">
        <v>1009</v>
      </c>
      <c r="D522" s="39">
        <v>73</v>
      </c>
      <c r="E522" t="s">
        <v>36</v>
      </c>
      <c r="F522" t="str">
        <f>VLOOKUP($E522,'Data Type Lookup'!$A$1:$C$21,2,FALSE)</f>
        <v>NUMBER(19,0)</v>
      </c>
      <c r="I522" s="32" t="s">
        <v>32</v>
      </c>
      <c r="J522" s="32">
        <v>0</v>
      </c>
      <c r="K522" s="47"/>
      <c r="L522" s="47"/>
      <c r="M522" s="39"/>
      <c r="N522" s="39"/>
      <c r="O522" s="39"/>
      <c r="P522" s="39" t="s">
        <v>1010</v>
      </c>
      <c r="Q522" s="39" t="str">
        <f t="shared" si="12"/>
        <v>cawpid</v>
      </c>
      <c r="R522" t="str">
        <f>VLOOKUP(E522,'Data Type Lookup'!$A$1:$C$21,3,FALSE)</f>
        <v>Long</v>
      </c>
      <c r="S522" s="39"/>
      <c r="W522" t="str">
        <f t="shared" si="13"/>
        <v>PROJECT_CAWP.CAWPID</v>
      </c>
      <c r="X522" t="e">
        <f>VLOOKUP(W522,ColumnMapping[New Table.Column],1,)</f>
        <v>#N/A</v>
      </c>
      <c r="Y522" t="str">
        <f>_xlfn.XLOOKUP(Table6[[#This Row],[Table.Column]],ColumnMapping[Add Column Name],ColumnMapping[Old Table.Column],"",0,1)</f>
        <v/>
      </c>
      <c r="Z522" t="str">
        <f>_xlfn.XLOOKUP(Table6[[#This Row],[Old Table.Column]],Cobra8.6[Table.Column],Cobra8.6[TYPE],"",0,1)</f>
        <v/>
      </c>
      <c r="AA522" t="str">
        <f>_xlfn.XLOOKUP(Table6[[#This Row],[Old Table.Column]],Cobra8.6[Table.Column],Cobra8.6[LENGTH],"",0,1)</f>
        <v/>
      </c>
      <c r="AB522" s="49" t="s">
        <v>32</v>
      </c>
    </row>
    <row r="523" spans="1:28" hidden="1" x14ac:dyDescent="0.2">
      <c r="A523" t="s">
        <v>450</v>
      </c>
      <c r="B523" t="s">
        <v>879</v>
      </c>
      <c r="C523" s="45" t="s">
        <v>1011</v>
      </c>
      <c r="D523" s="39">
        <v>74</v>
      </c>
      <c r="E523" t="s">
        <v>36</v>
      </c>
      <c r="F523" t="str">
        <f>VLOOKUP($E523,'Data Type Lookup'!$A$1:$C$21,2,FALSE)</f>
        <v>NUMBER(19,0)</v>
      </c>
      <c r="I523" s="32" t="s">
        <v>32</v>
      </c>
      <c r="J523" s="32">
        <v>0</v>
      </c>
      <c r="K523" s="47"/>
      <c r="L523" s="47"/>
      <c r="M523" s="39"/>
      <c r="N523" s="39"/>
      <c r="O523" s="39"/>
      <c r="P523" s="39" t="s">
        <v>1012</v>
      </c>
      <c r="Q523" s="39" t="str">
        <f t="shared" si="12"/>
        <v>clBatch</v>
      </c>
      <c r="R523" t="str">
        <f>VLOOKUP(E523,'Data Type Lookup'!$A$1:$C$21,3,FALSE)</f>
        <v>Long</v>
      </c>
      <c r="S523" s="39"/>
      <c r="W523" t="str">
        <f t="shared" si="13"/>
        <v>PROJECT_CAWP.CL_BATCH</v>
      </c>
      <c r="X523" t="str">
        <f>VLOOKUP(W523,ColumnMapping[New Table.Column],1,)</f>
        <v>PROJECT_CAWP.CL_BATCH</v>
      </c>
      <c r="Y523" t="str">
        <f>_xlfn.XLOOKUP(Table6[[#This Row],[Table.Column]],ColumnMapping[Add Column Name],ColumnMapping[Old Table.Column],"",0,1)</f>
        <v/>
      </c>
      <c r="Z523" t="str">
        <f>_xlfn.XLOOKUP(Table6[[#This Row],[Old Table.Column]],Cobra8.6[Table.Column],Cobra8.6[TYPE],"",0,1)</f>
        <v/>
      </c>
      <c r="AA523" t="str">
        <f>_xlfn.XLOOKUP(Table6[[#This Row],[Old Table.Column]],Cobra8.6[Table.Column],Cobra8.6[LENGTH],"",0,1)</f>
        <v/>
      </c>
      <c r="AB523" s="49" t="s">
        <v>32</v>
      </c>
    </row>
    <row r="524" spans="1:28" hidden="1" x14ac:dyDescent="0.2">
      <c r="A524" t="s">
        <v>450</v>
      </c>
      <c r="B524" t="s">
        <v>879</v>
      </c>
      <c r="C524" s="45" t="s">
        <v>690</v>
      </c>
      <c r="D524" s="39">
        <v>75</v>
      </c>
      <c r="E524" s="39" t="s">
        <v>161</v>
      </c>
      <c r="F524" t="str">
        <f>VLOOKUP($E524,'Data Type Lookup'!$A$1:$C$21,2,FALSE)</f>
        <v>NUMBER(21,6)</v>
      </c>
      <c r="G524" s="39"/>
      <c r="H524" s="39"/>
      <c r="I524" s="47" t="s">
        <v>32</v>
      </c>
      <c r="J524" s="47">
        <v>0</v>
      </c>
      <c r="K524" s="47"/>
      <c r="L524" s="47"/>
      <c r="M524" s="39"/>
      <c r="N524" s="39"/>
      <c r="O524" s="39"/>
      <c r="P524" s="39" t="s">
        <v>691</v>
      </c>
      <c r="Q524" s="39" t="str">
        <f t="shared" si="12"/>
        <v>eac</v>
      </c>
      <c r="R524" t="str">
        <f>VLOOKUP(E524,'Data Type Lookup'!$A$1:$C$21,3,FALSE)</f>
        <v>java.math.BigDecimal</v>
      </c>
      <c r="S524" s="39"/>
      <c r="W524" t="str">
        <f t="shared" si="13"/>
        <v>PROJECT_CAWP.EAC</v>
      </c>
      <c r="X524" t="str">
        <f>VLOOKUP(W524,ColumnMapping[New Table.Column],1,)</f>
        <v>PROJECT_CAWP.EAC</v>
      </c>
      <c r="Y524" t="str">
        <f>_xlfn.XLOOKUP(Table6[[#This Row],[Table.Column]],ColumnMapping[Add Column Name],ColumnMapping[Old Table.Column],"",0,1)</f>
        <v/>
      </c>
      <c r="Z524" t="str">
        <f>_xlfn.XLOOKUP(Table6[[#This Row],[Old Table.Column]],Cobra8.6[Table.Column],Cobra8.6[TYPE],"",0,1)</f>
        <v/>
      </c>
      <c r="AA524" t="str">
        <f>_xlfn.XLOOKUP(Table6[[#This Row],[Old Table.Column]],Cobra8.6[Table.Column],Cobra8.6[LENGTH],"",0,1)</f>
        <v/>
      </c>
      <c r="AB524" s="49" t="s">
        <v>32</v>
      </c>
    </row>
    <row r="525" spans="1:28" hidden="1" x14ac:dyDescent="0.2">
      <c r="A525" t="s">
        <v>450</v>
      </c>
      <c r="B525" t="s">
        <v>879</v>
      </c>
      <c r="C525" s="45" t="s">
        <v>692</v>
      </c>
      <c r="D525" s="39">
        <v>76</v>
      </c>
      <c r="E525" s="39" t="s">
        <v>161</v>
      </c>
      <c r="F525" t="str">
        <f>VLOOKUP($E525,'Data Type Lookup'!$A$1:$C$21,2,FALSE)</f>
        <v>NUMBER(21,6)</v>
      </c>
      <c r="G525" s="39"/>
      <c r="H525" s="39"/>
      <c r="I525" s="47" t="s">
        <v>32</v>
      </c>
      <c r="J525" s="47">
        <v>0</v>
      </c>
      <c r="K525" s="47"/>
      <c r="L525" s="47"/>
      <c r="M525" s="39"/>
      <c r="N525" s="39"/>
      <c r="O525" s="39"/>
      <c r="P525" s="39" t="s">
        <v>693</v>
      </c>
      <c r="Q525" s="39" t="str">
        <f t="shared" si="12"/>
        <v>eacHrs</v>
      </c>
      <c r="R525" t="str">
        <f>VLOOKUP(E525,'Data Type Lookup'!$A$1:$C$21,3,FALSE)</f>
        <v>java.math.BigDecimal</v>
      </c>
      <c r="S525" s="39"/>
      <c r="W525" t="str">
        <f t="shared" si="13"/>
        <v>PROJECT_CAWP.EAC_HRS</v>
      </c>
      <c r="X525" t="str">
        <f>VLOOKUP(W525,ColumnMapping[New Table.Column],1,)</f>
        <v>PROJECT_CAWP.EAC_HRS</v>
      </c>
      <c r="Y525" t="str">
        <f>_xlfn.XLOOKUP(Table6[[#This Row],[Table.Column]],ColumnMapping[Add Column Name],ColumnMapping[Old Table.Column],"",0,1)</f>
        <v/>
      </c>
      <c r="Z525" t="str">
        <f>_xlfn.XLOOKUP(Table6[[#This Row],[Old Table.Column]],Cobra8.6[Table.Column],Cobra8.6[TYPE],"",0,1)</f>
        <v/>
      </c>
      <c r="AA525" t="str">
        <f>_xlfn.XLOOKUP(Table6[[#This Row],[Old Table.Column]],Cobra8.6[Table.Column],Cobra8.6[LENGTH],"",0,1)</f>
        <v/>
      </c>
      <c r="AB525" s="49" t="s">
        <v>32</v>
      </c>
    </row>
    <row r="526" spans="1:28" hidden="1" x14ac:dyDescent="0.2">
      <c r="A526" t="s">
        <v>450</v>
      </c>
      <c r="B526" t="s">
        <v>879</v>
      </c>
      <c r="C526" s="45" t="s">
        <v>1013</v>
      </c>
      <c r="D526" s="39">
        <v>77</v>
      </c>
      <c r="E526" s="39" t="s">
        <v>161</v>
      </c>
      <c r="F526" t="str">
        <f>VLOOKUP($E526,'Data Type Lookup'!$A$1:$C$21,2,FALSE)</f>
        <v>NUMBER(21,6)</v>
      </c>
      <c r="G526" s="39"/>
      <c r="H526" s="39"/>
      <c r="I526" s="47" t="s">
        <v>32</v>
      </c>
      <c r="J526" s="47">
        <v>0</v>
      </c>
      <c r="K526" s="47"/>
      <c r="L526" s="47"/>
      <c r="M526" s="39"/>
      <c r="N526" s="39"/>
      <c r="O526" s="39"/>
      <c r="P526" s="39" t="s">
        <v>1014</v>
      </c>
      <c r="Q526" s="39" t="str">
        <f t="shared" si="12"/>
        <v>eacNonlab</v>
      </c>
      <c r="R526" t="str">
        <f>VLOOKUP(E526,'Data Type Lookup'!$A$1:$C$21,3,FALSE)</f>
        <v>java.math.BigDecimal</v>
      </c>
      <c r="S526" s="39"/>
      <c r="W526" t="str">
        <f t="shared" si="13"/>
        <v>PROJECT_CAWP.EAC_NONLAB</v>
      </c>
      <c r="X526" t="str">
        <f>VLOOKUP(W526,ColumnMapping[New Table.Column],1,)</f>
        <v>PROJECT_CAWP.EAC_NONLAB</v>
      </c>
      <c r="Y526" t="str">
        <f>_xlfn.XLOOKUP(Table6[[#This Row],[Table.Column]],ColumnMapping[Add Column Name],ColumnMapping[Old Table.Column],"",0,1)</f>
        <v/>
      </c>
      <c r="Z526" t="str">
        <f>_xlfn.XLOOKUP(Table6[[#This Row],[Old Table.Column]],Cobra8.6[Table.Column],Cobra8.6[TYPE],"",0,1)</f>
        <v/>
      </c>
      <c r="AA526" t="str">
        <f>_xlfn.XLOOKUP(Table6[[#This Row],[Old Table.Column]],Cobra8.6[Table.Column],Cobra8.6[LENGTH],"",0,1)</f>
        <v/>
      </c>
      <c r="AB526" s="49" t="s">
        <v>32</v>
      </c>
    </row>
    <row r="527" spans="1:28" hidden="1" x14ac:dyDescent="0.2">
      <c r="A527" t="s">
        <v>450</v>
      </c>
      <c r="B527" t="s">
        <v>879</v>
      </c>
      <c r="C527" s="45" t="s">
        <v>1015</v>
      </c>
      <c r="D527" s="39">
        <v>78</v>
      </c>
      <c r="E527" s="39" t="s">
        <v>48</v>
      </c>
      <c r="F527" s="39" t="s">
        <v>349</v>
      </c>
      <c r="G527" s="39">
        <v>59</v>
      </c>
      <c r="H527" s="39"/>
      <c r="I527" s="47"/>
      <c r="J527" s="47"/>
      <c r="K527" s="47"/>
      <c r="L527" s="47"/>
      <c r="M527" s="39"/>
      <c r="N527" s="39"/>
      <c r="O527" s="39"/>
      <c r="P527" s="39" t="s">
        <v>1016</v>
      </c>
      <c r="Q527" s="39" t="str">
        <f t="shared" si="12"/>
        <v>eoc</v>
      </c>
      <c r="R527" t="str">
        <f>VLOOKUP(E527,'Data Type Lookup'!$A$1:$C$21,3,FALSE)</f>
        <v>String</v>
      </c>
      <c r="S527" s="39"/>
      <c r="W527" t="str">
        <f t="shared" si="13"/>
        <v>PROJECT_CAWP.EOC</v>
      </c>
      <c r="X527" t="str">
        <f>VLOOKUP(W527,ColumnMapping[New Table.Column],1,)</f>
        <v>PROJECT_CAWP.EOC</v>
      </c>
      <c r="Y527" t="str">
        <f>_xlfn.XLOOKUP(Table6[[#This Row],[Table.Column]],ColumnMapping[Add Column Name],ColumnMapping[Old Table.Column],"",0,1)</f>
        <v/>
      </c>
      <c r="Z527" t="str">
        <f>_xlfn.XLOOKUP(Table6[[#This Row],[Old Table.Column]],Cobra8.6[Table.Column],Cobra8.6[TYPE],"",0,1)</f>
        <v/>
      </c>
      <c r="AA527" t="str">
        <f>_xlfn.XLOOKUP(Table6[[#This Row],[Old Table.Column]],Cobra8.6[Table.Column],Cobra8.6[LENGTH],"",0,1)</f>
        <v/>
      </c>
      <c r="AB527" s="49" t="s">
        <v>32</v>
      </c>
    </row>
    <row r="528" spans="1:28" hidden="1" x14ac:dyDescent="0.2">
      <c r="A528" t="s">
        <v>450</v>
      </c>
      <c r="B528" t="s">
        <v>879</v>
      </c>
      <c r="C528" s="45" t="s">
        <v>443</v>
      </c>
      <c r="D528" s="39">
        <v>79</v>
      </c>
      <c r="E528" s="39" t="s">
        <v>48</v>
      </c>
      <c r="F528" s="39" t="s">
        <v>349</v>
      </c>
      <c r="G528" s="39">
        <v>1</v>
      </c>
      <c r="H528" s="39"/>
      <c r="I528" s="47"/>
      <c r="J528" s="37" t="s">
        <v>605</v>
      </c>
      <c r="K528" s="47"/>
      <c r="L528" s="47"/>
      <c r="M528" s="39"/>
      <c r="N528" s="39"/>
      <c r="O528" s="39"/>
      <c r="P528" s="39" t="s">
        <v>1017</v>
      </c>
      <c r="Q528" s="39" t="str">
        <f t="shared" si="12"/>
        <v>flag</v>
      </c>
      <c r="R528" t="str">
        <f>VLOOKUP(E528,'Data Type Lookup'!$A$1:$C$21,3,FALSE)</f>
        <v>String</v>
      </c>
      <c r="S528" s="39"/>
      <c r="W528" t="str">
        <f t="shared" si="13"/>
        <v>PROJECT_CAWP.FLAG</v>
      </c>
      <c r="X528" t="str">
        <f>VLOOKUP(W528,ColumnMapping[New Table.Column],1,)</f>
        <v>PROJECT_CAWP.FLAG</v>
      </c>
      <c r="Y528" t="str">
        <f>_xlfn.XLOOKUP(Table6[[#This Row],[Table.Column]],ColumnMapping[Add Column Name],ColumnMapping[Old Table.Column],"",0,1)</f>
        <v/>
      </c>
      <c r="Z528" t="str">
        <f>_xlfn.XLOOKUP(Table6[[#This Row],[Old Table.Column]],Cobra8.6[Table.Column],Cobra8.6[TYPE],"",0,1)</f>
        <v/>
      </c>
      <c r="AA528" t="str">
        <f>_xlfn.XLOOKUP(Table6[[#This Row],[Old Table.Column]],Cobra8.6[Table.Column],Cobra8.6[LENGTH],"",0,1)</f>
        <v/>
      </c>
      <c r="AB528" s="49" t="s">
        <v>32</v>
      </c>
    </row>
    <row r="529" spans="1:28" hidden="1" x14ac:dyDescent="0.2">
      <c r="A529" t="s">
        <v>450</v>
      </c>
      <c r="B529" t="s">
        <v>879</v>
      </c>
      <c r="C529" s="45" t="s">
        <v>1018</v>
      </c>
      <c r="D529" s="39">
        <v>80</v>
      </c>
      <c r="E529" t="s">
        <v>36</v>
      </c>
      <c r="F529" t="str">
        <f>VLOOKUP($E529,'Data Type Lookup'!$A$1:$C$21,2,FALSE)</f>
        <v>NUMBER(19,0)</v>
      </c>
      <c r="I529" s="32" t="s">
        <v>32</v>
      </c>
      <c r="J529" s="32">
        <v>0</v>
      </c>
      <c r="K529" s="47"/>
      <c r="L529" s="47"/>
      <c r="M529" s="39"/>
      <c r="N529" s="39"/>
      <c r="O529" s="39"/>
      <c r="P529" s="39" t="s">
        <v>1019</v>
      </c>
      <c r="Q529" s="39" t="str">
        <f t="shared" si="12"/>
        <v>opBatch</v>
      </c>
      <c r="R529" t="str">
        <f>VLOOKUP(E529,'Data Type Lookup'!$A$1:$C$21,3,FALSE)</f>
        <v>Long</v>
      </c>
      <c r="S529" s="39"/>
      <c r="W529" t="str">
        <f t="shared" si="13"/>
        <v>PROJECT_CAWP.OP_BATCH</v>
      </c>
      <c r="X529" t="str">
        <f>VLOOKUP(W529,ColumnMapping[New Table.Column],1,)</f>
        <v>PROJECT_CAWP.OP_BATCH</v>
      </c>
      <c r="Y529" t="str">
        <f>_xlfn.XLOOKUP(Table6[[#This Row],[Table.Column]],ColumnMapping[Add Column Name],ColumnMapping[Old Table.Column],"",0,1)</f>
        <v/>
      </c>
      <c r="Z529" t="str">
        <f>_xlfn.XLOOKUP(Table6[[#This Row],[Old Table.Column]],Cobra8.6[Table.Column],Cobra8.6[TYPE],"",0,1)</f>
        <v/>
      </c>
      <c r="AA529" t="str">
        <f>_xlfn.XLOOKUP(Table6[[#This Row],[Old Table.Column]],Cobra8.6[Table.Column],Cobra8.6[LENGTH],"",0,1)</f>
        <v/>
      </c>
      <c r="AB529" s="49" t="s">
        <v>32</v>
      </c>
    </row>
    <row r="530" spans="1:28" hidden="1" x14ac:dyDescent="0.2">
      <c r="A530" t="s">
        <v>450</v>
      </c>
      <c r="B530" t="s">
        <v>879</v>
      </c>
      <c r="C530" s="45" t="s">
        <v>1020</v>
      </c>
      <c r="D530" s="39">
        <v>81</v>
      </c>
      <c r="E530" s="39" t="s">
        <v>48</v>
      </c>
      <c r="F530" s="39" t="s">
        <v>349</v>
      </c>
      <c r="G530" s="39">
        <v>100</v>
      </c>
      <c r="H530" s="39"/>
      <c r="I530" s="47"/>
      <c r="J530" s="47"/>
      <c r="K530" s="47"/>
      <c r="L530" s="47"/>
      <c r="M530" s="39"/>
      <c r="N530" s="39"/>
      <c r="O530" s="39"/>
      <c r="P530" s="39" t="s">
        <v>1021</v>
      </c>
      <c r="Q530" s="39" t="str">
        <f t="shared" si="12"/>
        <v>userChr01</v>
      </c>
      <c r="R530" t="str">
        <f>VLOOKUP(E530,'Data Type Lookup'!$A$1:$C$21,3,FALSE)</f>
        <v>String</v>
      </c>
      <c r="S530" s="39"/>
      <c r="W530" t="str">
        <f t="shared" si="13"/>
        <v>PROJECT_CAWP.USER_CHR01</v>
      </c>
      <c r="X530" t="str">
        <f>VLOOKUP(W530,ColumnMapping[New Table.Column],1,)</f>
        <v>PROJECT_CAWP.USER_CHR01</v>
      </c>
      <c r="Y530" t="str">
        <f>_xlfn.XLOOKUP(Table6[[#This Row],[Table.Column]],ColumnMapping[Add Column Name],ColumnMapping[Old Table.Column],"",0,1)</f>
        <v/>
      </c>
      <c r="Z530" t="str">
        <f>_xlfn.XLOOKUP(Table6[[#This Row],[Old Table.Column]],Cobra8.6[Table.Column],Cobra8.6[TYPE],"",0,1)</f>
        <v/>
      </c>
      <c r="AA530" t="str">
        <f>_xlfn.XLOOKUP(Table6[[#This Row],[Old Table.Column]],Cobra8.6[Table.Column],Cobra8.6[LENGTH],"",0,1)</f>
        <v/>
      </c>
      <c r="AB530" s="49" t="s">
        <v>32</v>
      </c>
    </row>
    <row r="531" spans="1:28" hidden="1" x14ac:dyDescent="0.2">
      <c r="A531" t="s">
        <v>450</v>
      </c>
      <c r="B531" t="s">
        <v>879</v>
      </c>
      <c r="C531" s="45" t="s">
        <v>1022</v>
      </c>
      <c r="D531" s="39">
        <v>82</v>
      </c>
      <c r="E531" s="39" t="s">
        <v>48</v>
      </c>
      <c r="F531" s="39" t="s">
        <v>349</v>
      </c>
      <c r="G531" s="39">
        <v>100</v>
      </c>
      <c r="H531" s="39"/>
      <c r="I531" s="47"/>
      <c r="J531" s="47"/>
      <c r="K531" s="47"/>
      <c r="L531" s="47"/>
      <c r="M531" s="39"/>
      <c r="N531" s="39"/>
      <c r="O531" s="39"/>
      <c r="P531" s="39" t="s">
        <v>1023</v>
      </c>
      <c r="Q531" s="39" t="str">
        <f t="shared" si="12"/>
        <v>userChr02</v>
      </c>
      <c r="R531" t="str">
        <f>VLOOKUP(E531,'Data Type Lookup'!$A$1:$C$21,3,FALSE)</f>
        <v>String</v>
      </c>
      <c r="S531" s="39"/>
      <c r="W531" t="str">
        <f t="shared" si="13"/>
        <v>PROJECT_CAWP.USER_CHR02</v>
      </c>
      <c r="X531" t="str">
        <f>VLOOKUP(W531,ColumnMapping[New Table.Column],1,)</f>
        <v>PROJECT_CAWP.USER_CHR02</v>
      </c>
      <c r="Y531" t="str">
        <f>_xlfn.XLOOKUP(Table6[[#This Row],[Table.Column]],ColumnMapping[Add Column Name],ColumnMapping[Old Table.Column],"",0,1)</f>
        <v/>
      </c>
      <c r="Z531" t="str">
        <f>_xlfn.XLOOKUP(Table6[[#This Row],[Old Table.Column]],Cobra8.6[Table.Column],Cobra8.6[TYPE],"",0,1)</f>
        <v/>
      </c>
      <c r="AA531" t="str">
        <f>_xlfn.XLOOKUP(Table6[[#This Row],[Old Table.Column]],Cobra8.6[Table.Column],Cobra8.6[LENGTH],"",0,1)</f>
        <v/>
      </c>
      <c r="AB531" s="49" t="s">
        <v>32</v>
      </c>
    </row>
    <row r="532" spans="1:28" hidden="1" x14ac:dyDescent="0.2">
      <c r="A532" t="s">
        <v>450</v>
      </c>
      <c r="B532" t="s">
        <v>879</v>
      </c>
      <c r="C532" s="45" t="s">
        <v>1024</v>
      </c>
      <c r="D532" s="39">
        <v>83</v>
      </c>
      <c r="E532" s="39" t="s">
        <v>48</v>
      </c>
      <c r="F532" s="39" t="s">
        <v>349</v>
      </c>
      <c r="G532" s="39">
        <v>100</v>
      </c>
      <c r="H532" s="39"/>
      <c r="I532" s="47"/>
      <c r="J532" s="47"/>
      <c r="K532" s="47"/>
      <c r="L532" s="47"/>
      <c r="M532" s="39"/>
      <c r="N532" s="39"/>
      <c r="O532" s="39"/>
      <c r="P532" s="39" t="s">
        <v>1025</v>
      </c>
      <c r="Q532" s="39" t="str">
        <f t="shared" si="12"/>
        <v>userChr03</v>
      </c>
      <c r="R532" t="str">
        <f>VLOOKUP(E532,'Data Type Lookup'!$A$1:$C$21,3,FALSE)</f>
        <v>String</v>
      </c>
      <c r="S532" s="39"/>
      <c r="W532" t="str">
        <f t="shared" si="13"/>
        <v>PROJECT_CAWP.USER_CHR03</v>
      </c>
      <c r="X532" t="str">
        <f>VLOOKUP(W532,ColumnMapping[New Table.Column],1,)</f>
        <v>PROJECT_CAWP.USER_CHR03</v>
      </c>
      <c r="Y532" t="str">
        <f>_xlfn.XLOOKUP(Table6[[#This Row],[Table.Column]],ColumnMapping[Add Column Name],ColumnMapping[Old Table.Column],"",0,1)</f>
        <v/>
      </c>
      <c r="Z532" t="str">
        <f>_xlfn.XLOOKUP(Table6[[#This Row],[Old Table.Column]],Cobra8.6[Table.Column],Cobra8.6[TYPE],"",0,1)</f>
        <v/>
      </c>
      <c r="AA532" t="str">
        <f>_xlfn.XLOOKUP(Table6[[#This Row],[Old Table.Column]],Cobra8.6[Table.Column],Cobra8.6[LENGTH],"",0,1)</f>
        <v/>
      </c>
      <c r="AB532" s="49" t="s">
        <v>32</v>
      </c>
    </row>
    <row r="533" spans="1:28" hidden="1" x14ac:dyDescent="0.2">
      <c r="A533" t="s">
        <v>450</v>
      </c>
      <c r="B533" t="s">
        <v>879</v>
      </c>
      <c r="C533" s="45" t="s">
        <v>1026</v>
      </c>
      <c r="D533" s="39">
        <v>84</v>
      </c>
      <c r="E533" s="39" t="s">
        <v>48</v>
      </c>
      <c r="F533" s="39" t="s">
        <v>349</v>
      </c>
      <c r="G533" s="39">
        <v>100</v>
      </c>
      <c r="H533" s="39"/>
      <c r="I533" s="47"/>
      <c r="J533" s="47"/>
      <c r="K533" s="47"/>
      <c r="L533" s="47"/>
      <c r="M533" s="39"/>
      <c r="N533" s="39"/>
      <c r="O533" s="39"/>
      <c r="P533" s="39" t="s">
        <v>1027</v>
      </c>
      <c r="Q533" s="39" t="str">
        <f t="shared" si="12"/>
        <v>userChr04</v>
      </c>
      <c r="R533" t="str">
        <f>VLOOKUP(E533,'Data Type Lookup'!$A$1:$C$21,3,FALSE)</f>
        <v>String</v>
      </c>
      <c r="S533" s="39"/>
      <c r="W533" t="str">
        <f t="shared" si="13"/>
        <v>PROJECT_CAWP.USER_CHR04</v>
      </c>
      <c r="X533" t="str">
        <f>VLOOKUP(W533,ColumnMapping[New Table.Column],1,)</f>
        <v>PROJECT_CAWP.USER_CHR04</v>
      </c>
      <c r="Y533" t="str">
        <f>_xlfn.XLOOKUP(Table6[[#This Row],[Table.Column]],ColumnMapping[Add Column Name],ColumnMapping[Old Table.Column],"",0,1)</f>
        <v/>
      </c>
      <c r="Z533" t="str">
        <f>_xlfn.XLOOKUP(Table6[[#This Row],[Old Table.Column]],Cobra8.6[Table.Column],Cobra8.6[TYPE],"",0,1)</f>
        <v/>
      </c>
      <c r="AA533" t="str">
        <f>_xlfn.XLOOKUP(Table6[[#This Row],[Old Table.Column]],Cobra8.6[Table.Column],Cobra8.6[LENGTH],"",0,1)</f>
        <v/>
      </c>
      <c r="AB533" s="49" t="s">
        <v>32</v>
      </c>
    </row>
    <row r="534" spans="1:28" hidden="1" x14ac:dyDescent="0.2">
      <c r="A534" t="s">
        <v>450</v>
      </c>
      <c r="B534" t="s">
        <v>879</v>
      </c>
      <c r="C534" s="45" t="s">
        <v>1028</v>
      </c>
      <c r="D534" s="39">
        <v>85</v>
      </c>
      <c r="E534" s="39" t="s">
        <v>48</v>
      </c>
      <c r="F534" s="39" t="s">
        <v>349</v>
      </c>
      <c r="G534" s="39">
        <v>100</v>
      </c>
      <c r="H534" s="39"/>
      <c r="I534" s="47"/>
      <c r="J534" s="47"/>
      <c r="K534" s="47"/>
      <c r="L534" s="47"/>
      <c r="M534" s="39"/>
      <c r="N534" s="39"/>
      <c r="O534" s="39"/>
      <c r="P534" s="39" t="s">
        <v>1029</v>
      </c>
      <c r="Q534" s="39" t="str">
        <f t="shared" si="12"/>
        <v>userChr05</v>
      </c>
      <c r="R534" t="str">
        <f>VLOOKUP(E534,'Data Type Lookup'!$A$1:$C$21,3,FALSE)</f>
        <v>String</v>
      </c>
      <c r="S534" s="39"/>
      <c r="W534" t="str">
        <f t="shared" si="13"/>
        <v>PROJECT_CAWP.USER_CHR05</v>
      </c>
      <c r="X534" t="str">
        <f>VLOOKUP(W534,ColumnMapping[New Table.Column],1,)</f>
        <v>PROJECT_CAWP.USER_CHR05</v>
      </c>
      <c r="Y534" t="str">
        <f>_xlfn.XLOOKUP(Table6[[#This Row],[Table.Column]],ColumnMapping[Add Column Name],ColumnMapping[Old Table.Column],"",0,1)</f>
        <v/>
      </c>
      <c r="Z534" t="str">
        <f>_xlfn.XLOOKUP(Table6[[#This Row],[Old Table.Column]],Cobra8.6[Table.Column],Cobra8.6[TYPE],"",0,1)</f>
        <v/>
      </c>
      <c r="AA534" t="str">
        <f>_xlfn.XLOOKUP(Table6[[#This Row],[Old Table.Column]],Cobra8.6[Table.Column],Cobra8.6[LENGTH],"",0,1)</f>
        <v/>
      </c>
      <c r="AB534" s="49" t="s">
        <v>32</v>
      </c>
    </row>
    <row r="535" spans="1:28" hidden="1" x14ac:dyDescent="0.2">
      <c r="A535" t="s">
        <v>450</v>
      </c>
      <c r="B535" t="s">
        <v>879</v>
      </c>
      <c r="C535" s="45" t="s">
        <v>1030</v>
      </c>
      <c r="D535" s="39">
        <v>86</v>
      </c>
      <c r="E535" s="39" t="s">
        <v>356</v>
      </c>
      <c r="F535" s="39" t="s">
        <v>356</v>
      </c>
      <c r="G535" s="39"/>
      <c r="H535" s="39"/>
      <c r="I535" s="47"/>
      <c r="J535" s="47"/>
      <c r="K535" s="47"/>
      <c r="L535" s="47"/>
      <c r="M535" s="39"/>
      <c r="N535" s="39"/>
      <c r="O535" s="39"/>
      <c r="P535" s="39" t="s">
        <v>1031</v>
      </c>
      <c r="Q535" s="39" t="str">
        <f t="shared" si="12"/>
        <v>userDte01</v>
      </c>
      <c r="R535" t="str">
        <f>VLOOKUP(E535,'Data Type Lookup'!$A$1:$C$21,3,FALSE)</f>
        <v>java.time.Instant</v>
      </c>
      <c r="S535" s="39"/>
      <c r="W535" t="str">
        <f t="shared" si="13"/>
        <v>PROJECT_CAWP.USER_DTE01</v>
      </c>
      <c r="X535" t="str">
        <f>VLOOKUP(W535,ColumnMapping[New Table.Column],1,)</f>
        <v>PROJECT_CAWP.USER_DTE01</v>
      </c>
      <c r="Y535" t="str">
        <f>_xlfn.XLOOKUP(Table6[[#This Row],[Table.Column]],ColumnMapping[Add Column Name],ColumnMapping[Old Table.Column],"",0,1)</f>
        <v/>
      </c>
      <c r="Z535" t="str">
        <f>_xlfn.XLOOKUP(Table6[[#This Row],[Old Table.Column]],Cobra8.6[Table.Column],Cobra8.6[TYPE],"",0,1)</f>
        <v/>
      </c>
      <c r="AA535" t="str">
        <f>_xlfn.XLOOKUP(Table6[[#This Row],[Old Table.Column]],Cobra8.6[Table.Column],Cobra8.6[LENGTH],"",0,1)</f>
        <v/>
      </c>
      <c r="AB535" s="49" t="s">
        <v>32</v>
      </c>
    </row>
    <row r="536" spans="1:28" hidden="1" x14ac:dyDescent="0.2">
      <c r="A536" t="s">
        <v>450</v>
      </c>
      <c r="B536" t="s">
        <v>879</v>
      </c>
      <c r="C536" s="45" t="s">
        <v>1032</v>
      </c>
      <c r="D536" s="39">
        <v>87</v>
      </c>
      <c r="E536" s="39" t="s">
        <v>356</v>
      </c>
      <c r="F536" s="39" t="s">
        <v>356</v>
      </c>
      <c r="G536" s="39"/>
      <c r="H536" s="39"/>
      <c r="I536" s="47"/>
      <c r="J536" s="47"/>
      <c r="K536" s="47"/>
      <c r="L536" s="47"/>
      <c r="M536" s="39"/>
      <c r="N536" s="39"/>
      <c r="O536" s="39"/>
      <c r="P536" s="39" t="s">
        <v>1033</v>
      </c>
      <c r="Q536" s="39" t="str">
        <f t="shared" si="12"/>
        <v>userDte02</v>
      </c>
      <c r="R536" t="str">
        <f>VLOOKUP(E536,'Data Type Lookup'!$A$1:$C$21,3,FALSE)</f>
        <v>java.time.Instant</v>
      </c>
      <c r="S536" s="39"/>
      <c r="W536" t="str">
        <f t="shared" si="13"/>
        <v>PROJECT_CAWP.USER_DTE02</v>
      </c>
      <c r="X536" t="str">
        <f>VLOOKUP(W536,ColumnMapping[New Table.Column],1,)</f>
        <v>PROJECT_CAWP.USER_DTE02</v>
      </c>
      <c r="Y536" t="str">
        <f>_xlfn.XLOOKUP(Table6[[#This Row],[Table.Column]],ColumnMapping[Add Column Name],ColumnMapping[Old Table.Column],"",0,1)</f>
        <v/>
      </c>
      <c r="Z536" t="str">
        <f>_xlfn.XLOOKUP(Table6[[#This Row],[Old Table.Column]],Cobra8.6[Table.Column],Cobra8.6[TYPE],"",0,1)</f>
        <v/>
      </c>
      <c r="AA536" t="str">
        <f>_xlfn.XLOOKUP(Table6[[#This Row],[Old Table.Column]],Cobra8.6[Table.Column],Cobra8.6[LENGTH],"",0,1)</f>
        <v/>
      </c>
      <c r="AB536" s="49" t="s">
        <v>32</v>
      </c>
    </row>
    <row r="537" spans="1:28" hidden="1" x14ac:dyDescent="0.2">
      <c r="A537" t="s">
        <v>450</v>
      </c>
      <c r="B537" t="s">
        <v>879</v>
      </c>
      <c r="C537" s="45" t="s">
        <v>1034</v>
      </c>
      <c r="D537" s="39">
        <v>88</v>
      </c>
      <c r="E537" s="39" t="s">
        <v>356</v>
      </c>
      <c r="F537" s="39" t="s">
        <v>356</v>
      </c>
      <c r="G537" s="39"/>
      <c r="H537" s="39"/>
      <c r="I537" s="47"/>
      <c r="J537" s="47"/>
      <c r="K537" s="47"/>
      <c r="L537" s="47"/>
      <c r="M537" s="39"/>
      <c r="N537" s="39"/>
      <c r="O537" s="39"/>
      <c r="P537" s="39" t="s">
        <v>1035</v>
      </c>
      <c r="Q537" s="39" t="str">
        <f t="shared" si="12"/>
        <v>userDte03</v>
      </c>
      <c r="R537" t="str">
        <f>VLOOKUP(E537,'Data Type Lookup'!$A$1:$C$21,3,FALSE)</f>
        <v>java.time.Instant</v>
      </c>
      <c r="S537" s="39"/>
      <c r="W537" t="str">
        <f t="shared" si="13"/>
        <v>PROJECT_CAWP.USER_DTE03</v>
      </c>
      <c r="X537" t="str">
        <f>VLOOKUP(W537,ColumnMapping[New Table.Column],1,)</f>
        <v>PROJECT_CAWP.USER_DTE03</v>
      </c>
      <c r="Y537" t="str">
        <f>_xlfn.XLOOKUP(Table6[[#This Row],[Table.Column]],ColumnMapping[Add Column Name],ColumnMapping[Old Table.Column],"",0,1)</f>
        <v/>
      </c>
      <c r="Z537" t="str">
        <f>_xlfn.XLOOKUP(Table6[[#This Row],[Old Table.Column]],Cobra8.6[Table.Column],Cobra8.6[TYPE],"",0,1)</f>
        <v/>
      </c>
      <c r="AA537" t="str">
        <f>_xlfn.XLOOKUP(Table6[[#This Row],[Old Table.Column]],Cobra8.6[Table.Column],Cobra8.6[LENGTH],"",0,1)</f>
        <v/>
      </c>
      <c r="AB537" s="49" t="s">
        <v>32</v>
      </c>
    </row>
    <row r="538" spans="1:28" hidden="1" x14ac:dyDescent="0.2">
      <c r="A538" t="s">
        <v>450</v>
      </c>
      <c r="B538" t="s">
        <v>879</v>
      </c>
      <c r="C538" s="45" t="s">
        <v>1036</v>
      </c>
      <c r="D538" s="39">
        <v>89</v>
      </c>
      <c r="E538" s="39" t="s">
        <v>356</v>
      </c>
      <c r="F538" s="39" t="s">
        <v>356</v>
      </c>
      <c r="G538" s="39"/>
      <c r="H538" s="39"/>
      <c r="I538" s="47"/>
      <c r="J538" s="47"/>
      <c r="K538" s="47"/>
      <c r="L538" s="47"/>
      <c r="M538" s="39"/>
      <c r="N538" s="39"/>
      <c r="O538" s="39"/>
      <c r="P538" s="39" t="s">
        <v>1037</v>
      </c>
      <c r="Q538" s="39" t="str">
        <f t="shared" si="12"/>
        <v>userDte04</v>
      </c>
      <c r="R538" t="str">
        <f>VLOOKUP(E538,'Data Type Lookup'!$A$1:$C$21,3,FALSE)</f>
        <v>java.time.Instant</v>
      </c>
      <c r="S538" s="39"/>
      <c r="W538" t="str">
        <f t="shared" si="13"/>
        <v>PROJECT_CAWP.USER_DTE04</v>
      </c>
      <c r="X538" t="str">
        <f>VLOOKUP(W538,ColumnMapping[New Table.Column],1,)</f>
        <v>PROJECT_CAWP.USER_DTE04</v>
      </c>
      <c r="Y538" t="str">
        <f>_xlfn.XLOOKUP(Table6[[#This Row],[Table.Column]],ColumnMapping[Add Column Name],ColumnMapping[Old Table.Column],"",0,1)</f>
        <v/>
      </c>
      <c r="Z538" t="str">
        <f>_xlfn.XLOOKUP(Table6[[#This Row],[Old Table.Column]],Cobra8.6[Table.Column],Cobra8.6[TYPE],"",0,1)</f>
        <v/>
      </c>
      <c r="AA538" t="str">
        <f>_xlfn.XLOOKUP(Table6[[#This Row],[Old Table.Column]],Cobra8.6[Table.Column],Cobra8.6[LENGTH],"",0,1)</f>
        <v/>
      </c>
      <c r="AB538" s="49" t="s">
        <v>32</v>
      </c>
    </row>
    <row r="539" spans="1:28" hidden="1" x14ac:dyDescent="0.2">
      <c r="A539" t="s">
        <v>450</v>
      </c>
      <c r="B539" t="s">
        <v>879</v>
      </c>
      <c r="C539" s="45" t="s">
        <v>1038</v>
      </c>
      <c r="D539" s="39">
        <v>90</v>
      </c>
      <c r="E539" s="39" t="s">
        <v>356</v>
      </c>
      <c r="F539" s="39" t="s">
        <v>356</v>
      </c>
      <c r="G539" s="39"/>
      <c r="H539" s="39"/>
      <c r="I539" s="47"/>
      <c r="J539" s="47"/>
      <c r="K539" s="47"/>
      <c r="L539" s="47"/>
      <c r="M539" s="39"/>
      <c r="N539" s="39"/>
      <c r="O539" s="39"/>
      <c r="P539" s="39" t="s">
        <v>1039</v>
      </c>
      <c r="Q539" s="39" t="str">
        <f t="shared" si="12"/>
        <v>userDte05</v>
      </c>
      <c r="R539" t="str">
        <f>VLOOKUP(E539,'Data Type Lookup'!$A$1:$C$21,3,FALSE)</f>
        <v>java.time.Instant</v>
      </c>
      <c r="S539" s="39"/>
      <c r="W539" t="str">
        <f t="shared" si="13"/>
        <v>PROJECT_CAWP.USER_DTE05</v>
      </c>
      <c r="X539" t="str">
        <f>VLOOKUP(W539,ColumnMapping[New Table.Column],1,)</f>
        <v>PROJECT_CAWP.USER_DTE05</v>
      </c>
      <c r="Y539" t="str">
        <f>_xlfn.XLOOKUP(Table6[[#This Row],[Table.Column]],ColumnMapping[Add Column Name],ColumnMapping[Old Table.Column],"",0,1)</f>
        <v/>
      </c>
      <c r="Z539" t="str">
        <f>_xlfn.XLOOKUP(Table6[[#This Row],[Old Table.Column]],Cobra8.6[Table.Column],Cobra8.6[TYPE],"",0,1)</f>
        <v/>
      </c>
      <c r="AA539" t="str">
        <f>_xlfn.XLOOKUP(Table6[[#This Row],[Old Table.Column]],Cobra8.6[Table.Column],Cobra8.6[LENGTH],"",0,1)</f>
        <v/>
      </c>
      <c r="AB539" s="49" t="s">
        <v>32</v>
      </c>
    </row>
    <row r="540" spans="1:28" hidden="1" x14ac:dyDescent="0.2">
      <c r="A540" t="s">
        <v>450</v>
      </c>
      <c r="B540" t="s">
        <v>879</v>
      </c>
      <c r="C540" s="45" t="s">
        <v>1040</v>
      </c>
      <c r="D540" s="39">
        <v>91</v>
      </c>
      <c r="E540" s="39" t="s">
        <v>161</v>
      </c>
      <c r="F540" t="str">
        <f>VLOOKUP($E540,'Data Type Lookup'!$A$1:$C$21,2,FALSE)</f>
        <v>NUMBER(21,6)</v>
      </c>
      <c r="G540" s="39"/>
      <c r="H540" s="39"/>
      <c r="I540" s="47" t="s">
        <v>32</v>
      </c>
      <c r="J540" s="47">
        <v>0</v>
      </c>
      <c r="K540" s="47"/>
      <c r="L540" s="47"/>
      <c r="M540" s="39"/>
      <c r="N540" s="39"/>
      <c r="O540" s="39"/>
      <c r="P540" s="39" t="s">
        <v>1041</v>
      </c>
      <c r="Q540" s="39" t="str">
        <f t="shared" si="12"/>
        <v>userNum01</v>
      </c>
      <c r="R540" t="str">
        <f>VLOOKUP(E540,'Data Type Lookup'!$A$1:$C$21,3,FALSE)</f>
        <v>java.math.BigDecimal</v>
      </c>
      <c r="S540" s="39"/>
      <c r="W540" t="str">
        <f t="shared" si="13"/>
        <v xml:space="preserve">PROJECT_CAWP.USER_NUM01 </v>
      </c>
      <c r="X540" t="str">
        <f>VLOOKUP(W540,ColumnMapping[New Table.Column],1,)</f>
        <v xml:space="preserve">PROJECT_CAWP.USER_NUM01 </v>
      </c>
      <c r="Y540" t="str">
        <f>_xlfn.XLOOKUP(Table6[[#This Row],[Table.Column]],ColumnMapping[Add Column Name],ColumnMapping[Old Table.Column],"",0,1)</f>
        <v/>
      </c>
      <c r="Z540" t="str">
        <f>_xlfn.XLOOKUP(Table6[[#This Row],[Old Table.Column]],Cobra8.6[Table.Column],Cobra8.6[TYPE],"",0,1)</f>
        <v/>
      </c>
      <c r="AA540" t="str">
        <f>_xlfn.XLOOKUP(Table6[[#This Row],[Old Table.Column]],Cobra8.6[Table.Column],Cobra8.6[LENGTH],"",0,1)</f>
        <v/>
      </c>
      <c r="AB540" s="49" t="s">
        <v>32</v>
      </c>
    </row>
    <row r="541" spans="1:28" hidden="1" x14ac:dyDescent="0.2">
      <c r="A541" t="s">
        <v>450</v>
      </c>
      <c r="B541" t="s">
        <v>879</v>
      </c>
      <c r="C541" s="45" t="s">
        <v>1042</v>
      </c>
      <c r="D541" s="39">
        <v>92</v>
      </c>
      <c r="E541" s="39" t="s">
        <v>161</v>
      </c>
      <c r="F541" t="str">
        <f>VLOOKUP($E541,'Data Type Lookup'!$A$1:$C$21,2,FALSE)</f>
        <v>NUMBER(21,6)</v>
      </c>
      <c r="G541" s="39"/>
      <c r="H541" s="39"/>
      <c r="I541" s="47" t="s">
        <v>32</v>
      </c>
      <c r="J541" s="47">
        <v>0</v>
      </c>
      <c r="K541" s="47"/>
      <c r="L541" s="47"/>
      <c r="M541" s="39"/>
      <c r="N541" s="39"/>
      <c r="O541" s="39"/>
      <c r="P541" s="39" t="s">
        <v>1043</v>
      </c>
      <c r="Q541" s="39" t="str">
        <f t="shared" si="12"/>
        <v>userNum02</v>
      </c>
      <c r="R541" t="str">
        <f>VLOOKUP(E541,'Data Type Lookup'!$A$1:$C$21,3,FALSE)</f>
        <v>java.math.BigDecimal</v>
      </c>
      <c r="S541" s="39"/>
      <c r="W541" t="str">
        <f t="shared" si="13"/>
        <v>PROJECT_CAWP.USER_NUM02</v>
      </c>
      <c r="X541" t="str">
        <f>VLOOKUP(W541,ColumnMapping[New Table.Column],1,)</f>
        <v>PROJECT_CAWP.USER_NUM02</v>
      </c>
      <c r="Y541" t="str">
        <f>_xlfn.XLOOKUP(Table6[[#This Row],[Table.Column]],ColumnMapping[Add Column Name],ColumnMapping[Old Table.Column],"",0,1)</f>
        <v/>
      </c>
      <c r="Z541" t="str">
        <f>_xlfn.XLOOKUP(Table6[[#This Row],[Old Table.Column]],Cobra8.6[Table.Column],Cobra8.6[TYPE],"",0,1)</f>
        <v/>
      </c>
      <c r="AA541" t="str">
        <f>_xlfn.XLOOKUP(Table6[[#This Row],[Old Table.Column]],Cobra8.6[Table.Column],Cobra8.6[LENGTH],"",0,1)</f>
        <v/>
      </c>
      <c r="AB541" s="49" t="s">
        <v>32</v>
      </c>
    </row>
    <row r="542" spans="1:28" hidden="1" x14ac:dyDescent="0.2">
      <c r="A542" t="s">
        <v>450</v>
      </c>
      <c r="B542" t="s">
        <v>879</v>
      </c>
      <c r="C542" s="45" t="s">
        <v>1044</v>
      </c>
      <c r="D542" s="39">
        <v>93</v>
      </c>
      <c r="E542" s="39" t="s">
        <v>161</v>
      </c>
      <c r="F542" t="str">
        <f>VLOOKUP($E542,'Data Type Lookup'!$A$1:$C$21,2,FALSE)</f>
        <v>NUMBER(21,6)</v>
      </c>
      <c r="G542" s="39"/>
      <c r="H542" s="39"/>
      <c r="I542" s="47" t="s">
        <v>32</v>
      </c>
      <c r="J542" s="47">
        <v>0</v>
      </c>
      <c r="K542" s="47"/>
      <c r="L542" s="47"/>
      <c r="M542" s="39"/>
      <c r="N542" s="39"/>
      <c r="O542" s="39"/>
      <c r="P542" s="39" t="s">
        <v>1045</v>
      </c>
      <c r="Q542" s="39" t="str">
        <f t="shared" si="12"/>
        <v>userNum03</v>
      </c>
      <c r="R542" t="str">
        <f>VLOOKUP(E542,'Data Type Lookup'!$A$1:$C$21,3,FALSE)</f>
        <v>java.math.BigDecimal</v>
      </c>
      <c r="S542" s="39"/>
      <c r="W542" t="str">
        <f t="shared" si="13"/>
        <v>PROJECT_CAWP.USER_NUM03</v>
      </c>
      <c r="X542" t="str">
        <f>VLOOKUP(W542,ColumnMapping[New Table.Column],1,)</f>
        <v>PROJECT_CAWP.USER_NUM03</v>
      </c>
      <c r="Y542" t="str">
        <f>_xlfn.XLOOKUP(Table6[[#This Row],[Table.Column]],ColumnMapping[Add Column Name],ColumnMapping[Old Table.Column],"",0,1)</f>
        <v/>
      </c>
      <c r="Z542" t="str">
        <f>_xlfn.XLOOKUP(Table6[[#This Row],[Old Table.Column]],Cobra8.6[Table.Column],Cobra8.6[TYPE],"",0,1)</f>
        <v/>
      </c>
      <c r="AA542" t="str">
        <f>_xlfn.XLOOKUP(Table6[[#This Row],[Old Table.Column]],Cobra8.6[Table.Column],Cobra8.6[LENGTH],"",0,1)</f>
        <v/>
      </c>
      <c r="AB542" s="49" t="s">
        <v>32</v>
      </c>
    </row>
    <row r="543" spans="1:28" hidden="1" x14ac:dyDescent="0.2">
      <c r="A543" t="s">
        <v>450</v>
      </c>
      <c r="B543" t="s">
        <v>879</v>
      </c>
      <c r="C543" s="45" t="s">
        <v>1046</v>
      </c>
      <c r="D543" s="39">
        <v>94</v>
      </c>
      <c r="E543" s="39" t="s">
        <v>161</v>
      </c>
      <c r="F543" t="str">
        <f>VLOOKUP($E543,'Data Type Lookup'!$A$1:$C$21,2,FALSE)</f>
        <v>NUMBER(21,6)</v>
      </c>
      <c r="G543" s="39"/>
      <c r="H543" s="39"/>
      <c r="I543" s="47" t="s">
        <v>32</v>
      </c>
      <c r="J543" s="47">
        <v>0</v>
      </c>
      <c r="K543" s="47"/>
      <c r="L543" s="47"/>
      <c r="M543" s="39"/>
      <c r="N543" s="39"/>
      <c r="O543" s="39"/>
      <c r="P543" s="39" t="s">
        <v>1047</v>
      </c>
      <c r="Q543" s="39" t="str">
        <f t="shared" si="12"/>
        <v>userNum04</v>
      </c>
      <c r="R543" t="str">
        <f>VLOOKUP(E543,'Data Type Lookup'!$A$1:$C$21,3,FALSE)</f>
        <v>java.math.BigDecimal</v>
      </c>
      <c r="S543" s="39"/>
      <c r="W543" t="str">
        <f t="shared" si="13"/>
        <v>PROJECT_CAWP.USER_NUM04</v>
      </c>
      <c r="X543" t="str">
        <f>VLOOKUP(W543,ColumnMapping[New Table.Column],1,)</f>
        <v>PROJECT_CAWP.USER_NUM04</v>
      </c>
      <c r="Y543" t="str">
        <f>_xlfn.XLOOKUP(Table6[[#This Row],[Table.Column]],ColumnMapping[Add Column Name],ColumnMapping[Old Table.Column],"",0,1)</f>
        <v/>
      </c>
      <c r="Z543" t="str">
        <f>_xlfn.XLOOKUP(Table6[[#This Row],[Old Table.Column]],Cobra8.6[Table.Column],Cobra8.6[TYPE],"",0,1)</f>
        <v/>
      </c>
      <c r="AA543" t="str">
        <f>_xlfn.XLOOKUP(Table6[[#This Row],[Old Table.Column]],Cobra8.6[Table.Column],Cobra8.6[LENGTH],"",0,1)</f>
        <v/>
      </c>
      <c r="AB543" s="49" t="s">
        <v>32</v>
      </c>
    </row>
    <row r="544" spans="1:28" hidden="1" x14ac:dyDescent="0.2">
      <c r="A544" t="s">
        <v>450</v>
      </c>
      <c r="B544" t="s">
        <v>879</v>
      </c>
      <c r="C544" s="45" t="s">
        <v>1048</v>
      </c>
      <c r="D544" s="39">
        <v>95</v>
      </c>
      <c r="E544" s="39" t="s">
        <v>161</v>
      </c>
      <c r="F544" t="str">
        <f>VLOOKUP($E544,'Data Type Lookup'!$A$1:$C$21,2,FALSE)</f>
        <v>NUMBER(21,6)</v>
      </c>
      <c r="G544" s="39"/>
      <c r="H544" s="39"/>
      <c r="I544" s="47" t="s">
        <v>32</v>
      </c>
      <c r="J544" s="47">
        <v>0</v>
      </c>
      <c r="K544" s="47"/>
      <c r="L544" s="47"/>
      <c r="M544" s="39"/>
      <c r="N544" s="39"/>
      <c r="O544" s="39"/>
      <c r="P544" s="39" t="s">
        <v>1049</v>
      </c>
      <c r="Q544" s="39" t="str">
        <f t="shared" si="12"/>
        <v>userNum05</v>
      </c>
      <c r="R544" t="str">
        <f>VLOOKUP(E544,'Data Type Lookup'!$A$1:$C$21,3,FALSE)</f>
        <v>java.math.BigDecimal</v>
      </c>
      <c r="S544" s="39"/>
      <c r="W544" t="str">
        <f t="shared" si="13"/>
        <v>PROJECT_CAWP.USER_NUM05</v>
      </c>
      <c r="X544" t="str">
        <f>VLOOKUP(W544,ColumnMapping[New Table.Column],1,)</f>
        <v>PROJECT_CAWP.USER_NUM05</v>
      </c>
      <c r="Y544" t="str">
        <f>_xlfn.XLOOKUP(Table6[[#This Row],[Table.Column]],ColumnMapping[Add Column Name],ColumnMapping[Old Table.Column],"",0,1)</f>
        <v/>
      </c>
      <c r="Z544" t="str">
        <f>_xlfn.XLOOKUP(Table6[[#This Row],[Old Table.Column]],Cobra8.6[Table.Column],Cobra8.6[TYPE],"",0,1)</f>
        <v/>
      </c>
      <c r="AA544" t="str">
        <f>_xlfn.XLOOKUP(Table6[[#This Row],[Old Table.Column]],Cobra8.6[Table.Column],Cobra8.6[LENGTH],"",0,1)</f>
        <v/>
      </c>
      <c r="AB544" s="49" t="s">
        <v>32</v>
      </c>
    </row>
    <row r="545" spans="1:28" hidden="1" x14ac:dyDescent="0.2">
      <c r="A545" t="s">
        <v>450</v>
      </c>
      <c r="B545" t="s">
        <v>879</v>
      </c>
      <c r="C545" s="39" t="s">
        <v>744</v>
      </c>
      <c r="D545" s="39">
        <v>96</v>
      </c>
      <c r="E545" s="39" t="s">
        <v>48</v>
      </c>
      <c r="F545" s="39" t="s">
        <v>349</v>
      </c>
      <c r="G545" s="39">
        <v>22</v>
      </c>
      <c r="H545" s="39"/>
      <c r="I545" s="47"/>
      <c r="J545" s="37" t="s">
        <v>605</v>
      </c>
      <c r="K545" s="47"/>
      <c r="L545" s="47"/>
      <c r="M545" s="39"/>
      <c r="N545" s="39"/>
      <c r="O545" s="39"/>
      <c r="P545" s="39" t="s">
        <v>1050</v>
      </c>
      <c r="Q545" s="39" t="str">
        <f t="shared" si="12"/>
        <v>program</v>
      </c>
      <c r="R545" t="str">
        <f>VLOOKUP(E545,'Data Type Lookup'!$A$1:$C$21,3,FALSE)</f>
        <v>String</v>
      </c>
      <c r="S545" s="39"/>
      <c r="W545" t="str">
        <f t="shared" si="13"/>
        <v>PROJECT_CAWP.PROGRAM</v>
      </c>
      <c r="X545" t="e">
        <f>VLOOKUP(W545,ColumnMapping[New Table.Column],1,)</f>
        <v>#N/A</v>
      </c>
      <c r="Y545" t="str">
        <f>_xlfn.XLOOKUP(Table6[[#This Row],[Table.Column]],ColumnMapping[Add Column Name],ColumnMapping[Old Table.Column],"",0,1)</f>
        <v/>
      </c>
      <c r="Z545" t="str">
        <f>_xlfn.XLOOKUP(Table6[[#This Row],[Old Table.Column]],Cobra8.6[Table.Column],Cobra8.6[TYPE],"",0,1)</f>
        <v/>
      </c>
      <c r="AA545" t="str">
        <f>_xlfn.XLOOKUP(Table6[[#This Row],[Old Table.Column]],Cobra8.6[Table.Column],Cobra8.6[LENGTH],"",0,1)</f>
        <v/>
      </c>
      <c r="AB545" s="49" t="s">
        <v>32</v>
      </c>
    </row>
    <row r="546" spans="1:28" hidden="1" x14ac:dyDescent="0.2">
      <c r="A546" t="s">
        <v>450</v>
      </c>
      <c r="B546" t="s">
        <v>879</v>
      </c>
      <c r="C546" t="s">
        <v>61</v>
      </c>
      <c r="D546">
        <v>29</v>
      </c>
      <c r="E546" t="s">
        <v>31</v>
      </c>
      <c r="F546" t="str">
        <f>VLOOKUP($E546,'Data Type Lookup'!$A$1:$C$21,2,FALSE)</f>
        <v>RAW(16)</v>
      </c>
      <c r="I546" s="32" t="s">
        <v>32</v>
      </c>
      <c r="P546" t="s">
        <v>1051</v>
      </c>
      <c r="Q546" t="s">
        <v>63</v>
      </c>
      <c r="R546" t="str">
        <f>VLOOKUP(E546,'Data Type Lookup'!$A$1:$C$21,3,FALSE)</f>
        <v>java.util.UUID</v>
      </c>
      <c r="S546">
        <v>2</v>
      </c>
      <c r="W546" t="str">
        <f t="shared" si="13"/>
        <v>PROJECT_CAWP.CREATED_BY_USER_UID</v>
      </c>
      <c r="X546" t="e">
        <f>VLOOKUP(W546,ColumnMapping[New Table.Column],1,)</f>
        <v>#N/A</v>
      </c>
      <c r="Y546" t="str">
        <f>_xlfn.XLOOKUP(Table6[[#This Row],[Table.Column]],ColumnMapping[Add Column Name],ColumnMapping[Old Table.Column],"",0,1)</f>
        <v/>
      </c>
      <c r="Z546" t="str">
        <f>_xlfn.XLOOKUP(Table6[[#This Row],[Old Table.Column]],Cobra8.6[Table.Column],Cobra8.6[TYPE],"",0,1)</f>
        <v/>
      </c>
      <c r="AA546" t="str">
        <f>_xlfn.XLOOKUP(Table6[[#This Row],[Old Table.Column]],Cobra8.6[Table.Column],Cobra8.6[LENGTH],"",0,1)</f>
        <v/>
      </c>
      <c r="AB546"/>
    </row>
    <row r="547" spans="1:28" hidden="1" x14ac:dyDescent="0.2">
      <c r="A547" t="s">
        <v>450</v>
      </c>
      <c r="B547" t="s">
        <v>879</v>
      </c>
      <c r="C547" t="s">
        <v>64</v>
      </c>
      <c r="D547">
        <v>30</v>
      </c>
      <c r="E547" t="s">
        <v>65</v>
      </c>
      <c r="F547" t="str">
        <f>VLOOKUP($E547,'Data Type Lookup'!$A$1:$C$21,2,FALSE)</f>
        <v>TIMESTAMP</v>
      </c>
      <c r="I547" s="32" t="s">
        <v>32</v>
      </c>
      <c r="P547" t="s">
        <v>1052</v>
      </c>
      <c r="Q547" t="s">
        <v>67</v>
      </c>
      <c r="R547" t="str">
        <f>VLOOKUP(E547,'Data Type Lookup'!$A$1:$C$21,3,FALSE)</f>
        <v>java.time.Instant</v>
      </c>
      <c r="S547">
        <v>2</v>
      </c>
      <c r="W547" t="str">
        <f t="shared" si="13"/>
        <v>PROJECT_CAWP.CREATED_DATE</v>
      </c>
      <c r="X547" t="e">
        <f>VLOOKUP(W547,ColumnMapping[New Table.Column],1,)</f>
        <v>#N/A</v>
      </c>
      <c r="Y547" t="str">
        <f>_xlfn.XLOOKUP(Table6[[#This Row],[Table.Column]],ColumnMapping[Add Column Name],ColumnMapping[Old Table.Column],"",0,1)</f>
        <v/>
      </c>
      <c r="Z547" t="str">
        <f>_xlfn.XLOOKUP(Table6[[#This Row],[Old Table.Column]],Cobra8.6[Table.Column],Cobra8.6[TYPE],"",0,1)</f>
        <v/>
      </c>
      <c r="AA547" t="str">
        <f>_xlfn.XLOOKUP(Table6[[#This Row],[Old Table.Column]],Cobra8.6[Table.Column],Cobra8.6[LENGTH],"",0,1)</f>
        <v/>
      </c>
      <c r="AB547"/>
    </row>
    <row r="548" spans="1:28" hidden="1" x14ac:dyDescent="0.2">
      <c r="A548" t="s">
        <v>450</v>
      </c>
      <c r="B548" t="s">
        <v>879</v>
      </c>
      <c r="C548" t="s">
        <v>68</v>
      </c>
      <c r="D548">
        <v>31</v>
      </c>
      <c r="E548" t="s">
        <v>31</v>
      </c>
      <c r="F548" t="str">
        <f>VLOOKUP($E548,'Data Type Lookup'!$A$1:$C$21,2,FALSE)</f>
        <v>RAW(16)</v>
      </c>
      <c r="I548" s="32" t="s">
        <v>32</v>
      </c>
      <c r="P548" t="s">
        <v>1053</v>
      </c>
      <c r="Q548" t="s">
        <v>70</v>
      </c>
      <c r="R548" t="str">
        <f>VLOOKUP(E548,'Data Type Lookup'!$A$1:$C$21,3,FALSE)</f>
        <v>java.util.UUID</v>
      </c>
      <c r="S548">
        <v>2</v>
      </c>
      <c r="W548" t="str">
        <f t="shared" si="13"/>
        <v>PROJECT_CAWP.LAST_MODIFIED_BY_USER_UID</v>
      </c>
      <c r="X548" t="str">
        <f>VLOOKUP(W548,ColumnMapping[New Table.Column],1,)</f>
        <v>PROJECT_CAWP.LAST_MODIFIED_BY_USER_UID</v>
      </c>
      <c r="Y548" t="str">
        <f>_xlfn.XLOOKUP(Table6[[#This Row],[Table.Column]],ColumnMapping[Add Column Name],ColumnMapping[Old Table.Column],"",0,1)</f>
        <v/>
      </c>
      <c r="Z548" t="str">
        <f>_xlfn.XLOOKUP(Table6[[#This Row],[Old Table.Column]],Cobra8.6[Table.Column],Cobra8.6[TYPE],"",0,1)</f>
        <v/>
      </c>
      <c r="AA548" t="str">
        <f>_xlfn.XLOOKUP(Table6[[#This Row],[Old Table.Column]],Cobra8.6[Table.Column],Cobra8.6[LENGTH],"",0,1)</f>
        <v/>
      </c>
      <c r="AB548"/>
    </row>
    <row r="549" spans="1:28" hidden="1" x14ac:dyDescent="0.2">
      <c r="A549" t="s">
        <v>450</v>
      </c>
      <c r="B549" t="s">
        <v>879</v>
      </c>
      <c r="C549" t="s">
        <v>71</v>
      </c>
      <c r="D549">
        <v>32</v>
      </c>
      <c r="E549" t="s">
        <v>65</v>
      </c>
      <c r="F549" t="str">
        <f>VLOOKUP($E549,'Data Type Lookup'!$A$1:$C$21,2,FALSE)</f>
        <v>TIMESTAMP</v>
      </c>
      <c r="I549" s="32" t="s">
        <v>32</v>
      </c>
      <c r="P549" t="s">
        <v>1054</v>
      </c>
      <c r="Q549" t="s">
        <v>73</v>
      </c>
      <c r="R549" t="str">
        <f>VLOOKUP(E549,'Data Type Lookup'!$A$1:$C$21,3,FALSE)</f>
        <v>java.time.Instant</v>
      </c>
      <c r="S549">
        <v>2</v>
      </c>
      <c r="W549" t="str">
        <f t="shared" si="13"/>
        <v>PROJECT_CAWP.LAST_MODIFIED_DATE</v>
      </c>
      <c r="X549" t="str">
        <f>VLOOKUP(W549,ColumnMapping[New Table.Column],1,)</f>
        <v>PROJECT_CAWP.LAST_MODIFIED_DATE</v>
      </c>
      <c r="Y549" t="str">
        <f>_xlfn.XLOOKUP(Table6[[#This Row],[Table.Column]],ColumnMapping[Add Column Name],ColumnMapping[Old Table.Column],"",0,1)</f>
        <v/>
      </c>
      <c r="Z549" t="str">
        <f>_xlfn.XLOOKUP(Table6[[#This Row],[Old Table.Column]],Cobra8.6[Table.Column],Cobra8.6[TYPE],"",0,1)</f>
        <v/>
      </c>
      <c r="AA549" t="str">
        <f>_xlfn.XLOOKUP(Table6[[#This Row],[Old Table.Column]],Cobra8.6[Table.Column],Cobra8.6[LENGTH],"",0,1)</f>
        <v/>
      </c>
      <c r="AB549"/>
    </row>
    <row r="550" spans="1:28" hidden="1" x14ac:dyDescent="0.2">
      <c r="A550" t="s">
        <v>450</v>
      </c>
      <c r="B550" t="s">
        <v>879</v>
      </c>
      <c r="C550" t="s">
        <v>15</v>
      </c>
      <c r="D550">
        <v>33</v>
      </c>
      <c r="E550" t="s">
        <v>48</v>
      </c>
      <c r="F550" t="str">
        <f>VLOOKUP($E550,'Data Type Lookup'!$A$1:$C$21,2,FALSE)</f>
        <v>NVARCHAR2</v>
      </c>
      <c r="G550">
        <v>256</v>
      </c>
      <c r="P550" t="s">
        <v>1055</v>
      </c>
      <c r="Q550" t="s">
        <v>75</v>
      </c>
      <c r="R550" t="str">
        <f>VLOOKUP(E550,'Data Type Lookup'!$A$1:$C$21,3,FALSE)</f>
        <v>String</v>
      </c>
      <c r="W550" t="str">
        <f t="shared" si="13"/>
        <v>PROJECT_CAWP.DESCRIPTION</v>
      </c>
      <c r="X550" t="str">
        <f>VLOOKUP(W550,ColumnMapping[New Table.Column],1,)</f>
        <v>PROJECT_CAWP.DESCRIPTION</v>
      </c>
      <c r="Y550" t="str">
        <f>_xlfn.XLOOKUP(Table6[[#This Row],[Table.Column]],ColumnMapping[Add Column Name],ColumnMapping[Old Table.Column],"",0,1)</f>
        <v/>
      </c>
      <c r="Z550" t="str">
        <f>_xlfn.XLOOKUP(Table6[[#This Row],[Old Table.Column]],Cobra8.6[Table.Column],Cobra8.6[TYPE],"",0,1)</f>
        <v/>
      </c>
      <c r="AA550" t="str">
        <f>_xlfn.XLOOKUP(Table6[[#This Row],[Old Table.Column]],Cobra8.6[Table.Column],Cobra8.6[LENGTH],"",0,1)</f>
        <v/>
      </c>
      <c r="AB550"/>
    </row>
    <row r="551" spans="1:28" ht="16" hidden="1" x14ac:dyDescent="0.2">
      <c r="A551" t="s">
        <v>450</v>
      </c>
      <c r="B551" t="s">
        <v>879</v>
      </c>
      <c r="C551" t="s">
        <v>1056</v>
      </c>
      <c r="D551">
        <v>34</v>
      </c>
      <c r="E551" t="s">
        <v>48</v>
      </c>
      <c r="F551" t="str">
        <f>VLOOKUP($E551,'Data Type Lookup'!$A$1:$C$21,2,FALSE)</f>
        <v>NVARCHAR2</v>
      </c>
      <c r="G551">
        <v>256</v>
      </c>
      <c r="P551" s="5" t="s">
        <v>1057</v>
      </c>
      <c r="Q551" t="s">
        <v>1058</v>
      </c>
      <c r="R551" t="str">
        <f>VLOOKUP(E551,'Data Type Lookup'!$A$1:$C$21,3,FALSE)</f>
        <v>String</v>
      </c>
      <c r="W551" t="str">
        <f t="shared" si="13"/>
        <v>PROJECT_CAWP.RESERVED1</v>
      </c>
      <c r="X551" t="str">
        <f>VLOOKUP(W551,ColumnMapping[New Table.Column],1,)</f>
        <v>PROJECT_CAWP.RESERVED1</v>
      </c>
      <c r="Y551" t="str">
        <f>_xlfn.XLOOKUP(Table6[[#This Row],[Table.Column]],ColumnMapping[Add Column Name],ColumnMapping[Old Table.Column],"",0,1)</f>
        <v/>
      </c>
      <c r="Z551" t="str">
        <f>_xlfn.XLOOKUP(Table6[[#This Row],[Old Table.Column]],Cobra8.6[Table.Column],Cobra8.6[TYPE],"",0,1)</f>
        <v/>
      </c>
      <c r="AA551" t="str">
        <f>_xlfn.XLOOKUP(Table6[[#This Row],[Old Table.Column]],Cobra8.6[Table.Column],Cobra8.6[LENGTH],"",0,1)</f>
        <v/>
      </c>
      <c r="AB551"/>
    </row>
    <row r="552" spans="1:28" hidden="1" x14ac:dyDescent="0.2">
      <c r="A552" t="s">
        <v>450</v>
      </c>
      <c r="B552" t="s">
        <v>1059</v>
      </c>
      <c r="C552" t="s">
        <v>30</v>
      </c>
      <c r="D552">
        <v>1</v>
      </c>
      <c r="E552" t="s">
        <v>31</v>
      </c>
      <c r="F552" t="str">
        <f>VLOOKUP($E552,'Data Type Lookup'!$A$1:$C$21,2,FALSE)</f>
        <v>RAW(16)</v>
      </c>
      <c r="I552" s="32" t="s">
        <v>32</v>
      </c>
      <c r="K552" s="32" t="s">
        <v>32</v>
      </c>
      <c r="P552" t="s">
        <v>1060</v>
      </c>
      <c r="Q552" t="s">
        <v>34</v>
      </c>
      <c r="R552" t="str">
        <f>VLOOKUP(E552,'Data Type Lookup'!$A$1:$C$21,3,FALSE)</f>
        <v>java.util.UUID</v>
      </c>
      <c r="S552">
        <v>3</v>
      </c>
      <c r="W552" t="str">
        <f t="shared" si="13"/>
        <v>PROJECT_CAWP_RESOURCE.ROW_UID</v>
      </c>
      <c r="X552" t="str">
        <f>VLOOKUP(W552,ColumnMapping[New Table.Column],1,)</f>
        <v>PROJECT_CAWP_RESOURCE.ROW_UID</v>
      </c>
      <c r="Y552" t="str">
        <f>_xlfn.XLOOKUP(Table6[[#This Row],[Table.Column]],ColumnMapping[Add Column Name],ColumnMapping[Old Table.Column],"",0,1)</f>
        <v/>
      </c>
      <c r="Z552" t="str">
        <f>_xlfn.XLOOKUP(Table6[[#This Row],[Old Table.Column]],Cobra8.6[Table.Column],Cobra8.6[TYPE],"",0,1)</f>
        <v/>
      </c>
      <c r="AA552" t="str">
        <f>_xlfn.XLOOKUP(Table6[[#This Row],[Old Table.Column]],Cobra8.6[Table.Column],Cobra8.6[LENGTH],"",0,1)</f>
        <v/>
      </c>
      <c r="AB552"/>
    </row>
    <row r="553" spans="1:28" hidden="1" x14ac:dyDescent="0.2">
      <c r="A553" t="s">
        <v>450</v>
      </c>
      <c r="B553" t="s">
        <v>1059</v>
      </c>
      <c r="C553" t="s">
        <v>35</v>
      </c>
      <c r="D553">
        <v>2</v>
      </c>
      <c r="E553" t="s">
        <v>36</v>
      </c>
      <c r="F553" t="str">
        <f>VLOOKUP($E553,'Data Type Lookup'!$A$1:$C$21,2,FALSE)</f>
        <v>NUMBER(19,0)</v>
      </c>
      <c r="I553" s="32" t="s">
        <v>32</v>
      </c>
      <c r="J553" s="32">
        <v>0</v>
      </c>
      <c r="P553" t="s">
        <v>37</v>
      </c>
      <c r="Q553" t="s">
        <v>38</v>
      </c>
      <c r="R553" t="str">
        <f>VLOOKUP(E553,'Data Type Lookup'!$A$1:$C$21,3,FALSE)</f>
        <v>Long</v>
      </c>
      <c r="S553">
        <v>3</v>
      </c>
      <c r="W553" t="str">
        <f t="shared" si="13"/>
        <v>PROJECT_CAWP_RESOURCE.SEQUENCE</v>
      </c>
      <c r="X553" t="str">
        <f>VLOOKUP(W553,ColumnMapping[New Table.Column],1,)</f>
        <v>PROJECT_CAWP_RESOURCE.SEQUENCE</v>
      </c>
      <c r="Y553" t="str">
        <f>_xlfn.XLOOKUP(Table6[[#This Row],[Table.Column]],ColumnMapping[Add Column Name],ColumnMapping[Old Table.Column],"",0,1)</f>
        <v/>
      </c>
      <c r="Z553" t="str">
        <f>_xlfn.XLOOKUP(Table6[[#This Row],[Old Table.Column]],Cobra8.6[Table.Column],Cobra8.6[TYPE],"",0,1)</f>
        <v/>
      </c>
      <c r="AA553" t="str">
        <f>_xlfn.XLOOKUP(Table6[[#This Row],[Old Table.Column]],Cobra8.6[Table.Column],Cobra8.6[LENGTH],"",0,1)</f>
        <v/>
      </c>
      <c r="AB553"/>
    </row>
    <row r="554" spans="1:28" hidden="1" x14ac:dyDescent="0.2">
      <c r="A554" t="s">
        <v>450</v>
      </c>
      <c r="B554" t="s">
        <v>1059</v>
      </c>
      <c r="C554" t="s">
        <v>833</v>
      </c>
      <c r="D554">
        <v>4</v>
      </c>
      <c r="E554" t="s">
        <v>31</v>
      </c>
      <c r="F554" t="str">
        <f>VLOOKUP($E554,'Data Type Lookup'!$A$1:$C$21,2,FALSE)</f>
        <v>RAW(16)</v>
      </c>
      <c r="I554" s="32" t="s">
        <v>32</v>
      </c>
      <c r="L554" s="32" t="s">
        <v>32</v>
      </c>
      <c r="M554" t="s">
        <v>879</v>
      </c>
      <c r="N554" t="s">
        <v>30</v>
      </c>
      <c r="O554" t="s">
        <v>41</v>
      </c>
      <c r="P554" t="s">
        <v>1061</v>
      </c>
      <c r="Q554" t="s">
        <v>1062</v>
      </c>
      <c r="R554" t="str">
        <f>VLOOKUP(E554,'Data Type Lookup'!$A$1:$C$21,3,FALSE)</f>
        <v>java.util.UUID</v>
      </c>
      <c r="S554">
        <v>1</v>
      </c>
      <c r="W554" t="str">
        <f t="shared" si="13"/>
        <v>PROJECT_CAWP_RESOURCE.PROJECT_CAWP_UID</v>
      </c>
      <c r="X554" t="str">
        <f>VLOOKUP(W554,ColumnMapping[New Table.Column],1,)</f>
        <v>PROJECT_CAWP_RESOURCE.PROJECT_CAWP_UID</v>
      </c>
      <c r="Y554" t="str">
        <f>_xlfn.XLOOKUP(Table6[[#This Row],[Table.Column]],ColumnMapping[Add Column Name],ColumnMapping[Old Table.Column],"",0,1)</f>
        <v/>
      </c>
      <c r="Z554" t="str">
        <f>_xlfn.XLOOKUP(Table6[[#This Row],[Old Table.Column]],Cobra8.6[Table.Column],Cobra8.6[TYPE],"",0,1)</f>
        <v/>
      </c>
      <c r="AA554" t="str">
        <f>_xlfn.XLOOKUP(Table6[[#This Row],[Old Table.Column]],Cobra8.6[Table.Column],Cobra8.6[LENGTH],"",0,1)</f>
        <v/>
      </c>
      <c r="AB554"/>
    </row>
    <row r="555" spans="1:28" hidden="1" x14ac:dyDescent="0.2">
      <c r="A555" t="s">
        <v>450</v>
      </c>
      <c r="B555" t="s">
        <v>1059</v>
      </c>
      <c r="C555" t="s">
        <v>1063</v>
      </c>
      <c r="D555">
        <v>5</v>
      </c>
      <c r="E555" t="s">
        <v>31</v>
      </c>
      <c r="F555" t="str">
        <f>VLOOKUP($E555,'Data Type Lookup'!$A$1:$C$21,2,FALSE)</f>
        <v>RAW(16)</v>
      </c>
      <c r="I555" s="32" t="s">
        <v>32</v>
      </c>
      <c r="L555" s="32" t="s">
        <v>32</v>
      </c>
      <c r="M555" t="s">
        <v>1064</v>
      </c>
      <c r="N555" t="s">
        <v>30</v>
      </c>
      <c r="O555" t="s">
        <v>41</v>
      </c>
      <c r="P555" t="s">
        <v>1065</v>
      </c>
      <c r="Q555" t="s">
        <v>1066</v>
      </c>
      <c r="R555" t="str">
        <f>VLOOKUP(E555,'Data Type Lookup'!$A$1:$C$21,3,FALSE)</f>
        <v>java.util.UUID</v>
      </c>
      <c r="S555">
        <v>1</v>
      </c>
      <c r="W555" t="str">
        <f t="shared" si="13"/>
        <v>PROJECT_CAWP_RESOURCE.RESOURCES_UID</v>
      </c>
      <c r="X555" t="str">
        <f>VLOOKUP(W555,ColumnMapping[New Table.Column],1,)</f>
        <v>PROJECT_CAWP_RESOURCE.RESOURCES_UID</v>
      </c>
      <c r="Y555" t="str">
        <f>_xlfn.XLOOKUP(Table6[[#This Row],[Table.Column]],ColumnMapping[Add Column Name],ColumnMapping[Old Table.Column],"",0,1)</f>
        <v/>
      </c>
      <c r="Z555" t="str">
        <f>_xlfn.XLOOKUP(Table6[[#This Row],[Old Table.Column]],Cobra8.6[Table.Column],Cobra8.6[TYPE],"",0,1)</f>
        <v/>
      </c>
      <c r="AA555" t="str">
        <f>_xlfn.XLOOKUP(Table6[[#This Row],[Old Table.Column]],Cobra8.6[Table.Column],Cobra8.6[LENGTH],"",0,1)</f>
        <v/>
      </c>
      <c r="AB555"/>
    </row>
    <row r="556" spans="1:28" hidden="1" x14ac:dyDescent="0.2">
      <c r="A556" t="s">
        <v>450</v>
      </c>
      <c r="B556" t="s">
        <v>1059</v>
      </c>
      <c r="C556" t="s">
        <v>1067</v>
      </c>
      <c r="D556">
        <v>6</v>
      </c>
      <c r="E556" t="s">
        <v>31</v>
      </c>
      <c r="F556" t="str">
        <f>VLOOKUP($E556,'Data Type Lookup'!$A$1:$C$21,2,FALSE)</f>
        <v>RAW(16)</v>
      </c>
      <c r="I556" s="32" t="s">
        <v>32</v>
      </c>
      <c r="L556" s="32" t="s">
        <v>32</v>
      </c>
      <c r="M556" t="s">
        <v>1068</v>
      </c>
      <c r="N556" t="s">
        <v>30</v>
      </c>
      <c r="O556" t="s">
        <v>41</v>
      </c>
      <c r="P556" t="s">
        <v>1069</v>
      </c>
      <c r="Q556" t="s">
        <v>1070</v>
      </c>
      <c r="R556" t="str">
        <f>VLOOKUP(E556,'Data Type Lookup'!$A$1:$C$21,3,FALSE)</f>
        <v>java.util.UUID</v>
      </c>
      <c r="S556">
        <v>1</v>
      </c>
      <c r="W556" t="str">
        <f t="shared" si="13"/>
        <v>PROJECT_CAWP_RESOURCE.PROJECT_COST_CLASS_UID</v>
      </c>
      <c r="X556" t="e">
        <f>VLOOKUP(W556,ColumnMapping[New Table.Column],1,)</f>
        <v>#N/A</v>
      </c>
      <c r="Y556" t="str">
        <f>_xlfn.XLOOKUP(Table6[[#This Row],[Table.Column]],ColumnMapping[Add Column Name],ColumnMapping[Old Table.Column],"",0,1)</f>
        <v/>
      </c>
      <c r="Z556" t="str">
        <f>_xlfn.XLOOKUP(Table6[[#This Row],[Old Table.Column]],Cobra8.6[Table.Column],Cobra8.6[TYPE],"",0,1)</f>
        <v/>
      </c>
      <c r="AA556" t="str">
        <f>_xlfn.XLOOKUP(Table6[[#This Row],[Old Table.Column]],Cobra8.6[Table.Column],Cobra8.6[LENGTH],"",0,1)</f>
        <v/>
      </c>
      <c r="AB556"/>
    </row>
    <row r="557" spans="1:28" hidden="1" x14ac:dyDescent="0.2">
      <c r="A557" t="s">
        <v>450</v>
      </c>
      <c r="B557" t="s">
        <v>1059</v>
      </c>
      <c r="C557" t="s">
        <v>1071</v>
      </c>
      <c r="D557">
        <v>7</v>
      </c>
      <c r="E557" t="s">
        <v>31</v>
      </c>
      <c r="F557" t="str">
        <f>VLOOKUP($E557,'Data Type Lookup'!$A$1:$C$21,2,FALSE)</f>
        <v>RAW(16)</v>
      </c>
      <c r="M557" t="s">
        <v>1072</v>
      </c>
      <c r="N557" t="s">
        <v>30</v>
      </c>
      <c r="O557" t="s">
        <v>41</v>
      </c>
      <c r="P557" t="s">
        <v>1073</v>
      </c>
      <c r="Q557" t="s">
        <v>1074</v>
      </c>
      <c r="R557" t="str">
        <f>VLOOKUP(E557,'Data Type Lookup'!$A$1:$C$21,3,FALSE)</f>
        <v>java.util.UUID</v>
      </c>
      <c r="S557">
        <v>1</v>
      </c>
      <c r="W557" t="str">
        <f t="shared" si="13"/>
        <v>PROJECT_CAWP_RESOURCE.SPREAD_CURVE_UID</v>
      </c>
      <c r="X557" t="str">
        <f>VLOOKUP(W557,ColumnMapping[New Table.Column],1,)</f>
        <v>PROJECT_CAWP_RESOURCE.SPREAD_CURVE_UID</v>
      </c>
      <c r="Y557" t="str">
        <f>_xlfn.XLOOKUP(Table6[[#This Row],[Table.Column]],ColumnMapping[Add Column Name],ColumnMapping[Old Table.Column],"",0,1)</f>
        <v/>
      </c>
      <c r="Z557" t="str">
        <f>_xlfn.XLOOKUP(Table6[[#This Row],[Old Table.Column]],Cobra8.6[Table.Column],Cobra8.6[TYPE],"",0,1)</f>
        <v/>
      </c>
      <c r="AA557" t="str">
        <f>_xlfn.XLOOKUP(Table6[[#This Row],[Old Table.Column]],Cobra8.6[Table.Column],Cobra8.6[LENGTH],"",0,1)</f>
        <v/>
      </c>
      <c r="AB557"/>
    </row>
    <row r="558" spans="1:28" hidden="1" x14ac:dyDescent="0.2">
      <c r="A558" t="s">
        <v>450</v>
      </c>
      <c r="B558" t="s">
        <v>1059</v>
      </c>
      <c r="C558" t="s">
        <v>1075</v>
      </c>
      <c r="D558">
        <v>8</v>
      </c>
      <c r="E558" t="s">
        <v>356</v>
      </c>
      <c r="F558" t="str">
        <f>VLOOKUP($E558,'Data Type Lookup'!$A$1:$C$21,2,FALSE)</f>
        <v>DATE</v>
      </c>
      <c r="P558" t="s">
        <v>1076</v>
      </c>
      <c r="Q558" t="s">
        <v>1077</v>
      </c>
      <c r="R558" t="str">
        <f>VLOOKUP(E558,'Data Type Lookup'!$A$1:$C$21,3,FALSE)</f>
        <v>java.time.Instant</v>
      </c>
      <c r="V558" t="s">
        <v>1078</v>
      </c>
      <c r="W558" t="str">
        <f t="shared" si="13"/>
        <v>PROJECT_CAWP_RESOURCE.RSSTART</v>
      </c>
      <c r="X558" t="str">
        <f>VLOOKUP(W558,ColumnMapping[New Table.Column],1,)</f>
        <v>PROJECT_CAWP_RESOURCE.RSSTART</v>
      </c>
      <c r="Y558" t="str">
        <f>_xlfn.XLOOKUP(Table6[[#This Row],[Table.Column]],ColumnMapping[Add Column Name],ColumnMapping[Old Table.Column],"",0,1)</f>
        <v/>
      </c>
      <c r="Z558" t="str">
        <f>_xlfn.XLOOKUP(Table6[[#This Row],[Old Table.Column]],Cobra8.6[Table.Column],Cobra8.6[TYPE],"",0,1)</f>
        <v/>
      </c>
      <c r="AA558" t="str">
        <f>_xlfn.XLOOKUP(Table6[[#This Row],[Old Table.Column]],Cobra8.6[Table.Column],Cobra8.6[LENGTH],"",0,1)</f>
        <v/>
      </c>
      <c r="AB558"/>
    </row>
    <row r="559" spans="1:28" hidden="1" x14ac:dyDescent="0.2">
      <c r="A559" t="s">
        <v>450</v>
      </c>
      <c r="B559" t="s">
        <v>1059</v>
      </c>
      <c r="C559" t="s">
        <v>1079</v>
      </c>
      <c r="D559">
        <v>9</v>
      </c>
      <c r="E559" t="s">
        <v>356</v>
      </c>
      <c r="F559" t="str">
        <f>VLOOKUP($E559,'Data Type Lookup'!$A$1:$C$21,2,FALSE)</f>
        <v>DATE</v>
      </c>
      <c r="P559" t="s">
        <v>1080</v>
      </c>
      <c r="Q559" t="s">
        <v>1081</v>
      </c>
      <c r="R559" t="str">
        <f>VLOOKUP(E559,'Data Type Lookup'!$A$1:$C$21,3,FALSE)</f>
        <v>java.time.Instant</v>
      </c>
      <c r="V559" t="s">
        <v>1082</v>
      </c>
      <c r="W559" t="str">
        <f t="shared" si="13"/>
        <v>PROJECT_CAWP_RESOURCE.RSFINISH</v>
      </c>
      <c r="X559" t="str">
        <f>VLOOKUP(W559,ColumnMapping[New Table.Column],1,)</f>
        <v>PROJECT_CAWP_RESOURCE.RSFINISH</v>
      </c>
      <c r="Y559" t="str">
        <f>_xlfn.XLOOKUP(Table6[[#This Row],[Table.Column]],ColumnMapping[Add Column Name],ColumnMapping[Old Table.Column],"",0,1)</f>
        <v/>
      </c>
      <c r="Z559" t="str">
        <f>_xlfn.XLOOKUP(Table6[[#This Row],[Old Table.Column]],Cobra8.6[Table.Column],Cobra8.6[TYPE],"",0,1)</f>
        <v/>
      </c>
      <c r="AA559" t="str">
        <f>_xlfn.XLOOKUP(Table6[[#This Row],[Old Table.Column]],Cobra8.6[Table.Column],Cobra8.6[LENGTH],"",0,1)</f>
        <v/>
      </c>
      <c r="AB559"/>
    </row>
    <row r="560" spans="1:28" hidden="1" x14ac:dyDescent="0.2">
      <c r="A560" t="s">
        <v>450</v>
      </c>
      <c r="B560" t="s">
        <v>1059</v>
      </c>
      <c r="C560" t="s">
        <v>607</v>
      </c>
      <c r="D560">
        <v>10</v>
      </c>
      <c r="E560" t="s">
        <v>161</v>
      </c>
      <c r="F560" t="str">
        <f>VLOOKUP($E560,'Data Type Lookup'!$A$1:$C$21,2,FALSE)</f>
        <v>NUMBER(21,6)</v>
      </c>
      <c r="J560" s="32">
        <v>0</v>
      </c>
      <c r="P560" t="s">
        <v>1083</v>
      </c>
      <c r="Q560" t="s">
        <v>836</v>
      </c>
      <c r="R560" t="str">
        <f>VLOOKUP(E560,'Data Type Lookup'!$A$1:$C$21,3,FALSE)</f>
        <v>java.math.BigDecimal</v>
      </c>
      <c r="W560" t="str">
        <f t="shared" si="13"/>
        <v>PROJECT_CAWP_RESOURCE.BAC</v>
      </c>
      <c r="X560" t="str">
        <f>VLOOKUP(W560,ColumnMapping[New Table.Column],1,)</f>
        <v>PROJECT_CAWP_RESOURCE.BAC</v>
      </c>
      <c r="Y560" t="str">
        <f>_xlfn.XLOOKUP(Table6[[#This Row],[Table.Column]],ColumnMapping[Add Column Name],ColumnMapping[Old Table.Column],"",0,1)</f>
        <v/>
      </c>
      <c r="Z560" t="str">
        <f>_xlfn.XLOOKUP(Table6[[#This Row],[Old Table.Column]],Cobra8.6[Table.Column],Cobra8.6[TYPE],"",0,1)</f>
        <v/>
      </c>
      <c r="AA560" t="str">
        <f>_xlfn.XLOOKUP(Table6[[#This Row],[Old Table.Column]],Cobra8.6[Table.Column],Cobra8.6[LENGTH],"",0,1)</f>
        <v/>
      </c>
      <c r="AB560"/>
    </row>
    <row r="561" spans="1:28" hidden="1" x14ac:dyDescent="0.2">
      <c r="A561" t="s">
        <v>450</v>
      </c>
      <c r="B561" t="s">
        <v>1059</v>
      </c>
      <c r="C561" t="s">
        <v>1084</v>
      </c>
      <c r="D561">
        <v>11</v>
      </c>
      <c r="E561" t="s">
        <v>161</v>
      </c>
      <c r="F561" t="str">
        <f>VLOOKUP($E561,'Data Type Lookup'!$A$1:$C$21,2,FALSE)</f>
        <v>NUMBER(21,6)</v>
      </c>
      <c r="J561" s="32">
        <v>0</v>
      </c>
      <c r="P561" t="s">
        <v>1085</v>
      </c>
      <c r="Q561" t="s">
        <v>1086</v>
      </c>
      <c r="R561" t="str">
        <f>VLOOKUP(E561,'Data Type Lookup'!$A$1:$C$21,3,FALSE)</f>
        <v>java.math.BigDecimal</v>
      </c>
      <c r="W561" t="str">
        <f t="shared" si="13"/>
        <v>PROJECT_CAWP_RESOURCE.ETC</v>
      </c>
      <c r="X561" t="str">
        <f>VLOOKUP(W561,ColumnMapping[New Table.Column],1,)</f>
        <v>PROJECT_CAWP_RESOURCE.ETC</v>
      </c>
      <c r="Y561" t="str">
        <f>_xlfn.XLOOKUP(Table6[[#This Row],[Table.Column]],ColumnMapping[Add Column Name],ColumnMapping[Old Table.Column],"",0,1)</f>
        <v/>
      </c>
      <c r="Z561" t="str">
        <f>_xlfn.XLOOKUP(Table6[[#This Row],[Old Table.Column]],Cobra8.6[Table.Column],Cobra8.6[TYPE],"",0,1)</f>
        <v/>
      </c>
      <c r="AA561" t="str">
        <f>_xlfn.XLOOKUP(Table6[[#This Row],[Old Table.Column]],Cobra8.6[Table.Column],Cobra8.6[LENGTH],"",0,1)</f>
        <v/>
      </c>
      <c r="AB561"/>
    </row>
    <row r="562" spans="1:28" hidden="1" x14ac:dyDescent="0.2">
      <c r="A562" t="s">
        <v>450</v>
      </c>
      <c r="B562" t="s">
        <v>1059</v>
      </c>
      <c r="C562" t="s">
        <v>939</v>
      </c>
      <c r="D562">
        <v>12</v>
      </c>
      <c r="E562" t="s">
        <v>168</v>
      </c>
      <c r="F562" t="str">
        <f>VLOOKUP($E562,'Data Type Lookup'!$A$1:$C$21,2,FALSE)</f>
        <v>NUMBER(5,2)</v>
      </c>
      <c r="J562" s="32">
        <v>0</v>
      </c>
      <c r="P562" t="s">
        <v>1087</v>
      </c>
      <c r="Q562" t="s">
        <v>941</v>
      </c>
      <c r="R562" t="str">
        <f>VLOOKUP(E562,'Data Type Lookup'!$A$1:$C$21,3,FALSE)</f>
        <v>java.math.BigDecimal</v>
      </c>
      <c r="W562" t="str">
        <f t="shared" si="13"/>
        <v>PROJECT_CAWP_RESOURCE.PERCENT_COMPLETE</v>
      </c>
      <c r="X562" t="str">
        <f>VLOOKUP(W562,ColumnMapping[New Table.Column],1,)</f>
        <v>PROJECT_CAWP_RESOURCE.PERCENT_COMPLETE</v>
      </c>
      <c r="Y562" t="str">
        <f>_xlfn.XLOOKUP(Table6[[#This Row],[Table.Column]],ColumnMapping[Add Column Name],ColumnMapping[Old Table.Column],"",0,1)</f>
        <v/>
      </c>
      <c r="Z562" t="str">
        <f>_xlfn.XLOOKUP(Table6[[#This Row],[Old Table.Column]],Cobra8.6[Table.Column],Cobra8.6[TYPE],"",0,1)</f>
        <v/>
      </c>
      <c r="AA562" t="str">
        <f>_xlfn.XLOOKUP(Table6[[#This Row],[Old Table.Column]],Cobra8.6[Table.Column],Cobra8.6[LENGTH],"",0,1)</f>
        <v/>
      </c>
      <c r="AB562"/>
    </row>
    <row r="563" spans="1:28" hidden="1" x14ac:dyDescent="0.2">
      <c r="A563" t="s">
        <v>450</v>
      </c>
      <c r="B563" t="s">
        <v>1059</v>
      </c>
      <c r="C563" t="s">
        <v>1088</v>
      </c>
      <c r="D563">
        <v>13</v>
      </c>
      <c r="E563" t="s">
        <v>161</v>
      </c>
      <c r="F563" t="str">
        <f>VLOOKUP($E563,'Data Type Lookup'!$A$1:$C$21,2,FALSE)</f>
        <v>NUMBER(21,6)</v>
      </c>
      <c r="J563" s="32">
        <v>0</v>
      </c>
      <c r="P563" t="s">
        <v>1089</v>
      </c>
      <c r="Q563" t="s">
        <v>1090</v>
      </c>
      <c r="R563" t="str">
        <f>VLOOKUP(E563,'Data Type Lookup'!$A$1:$C$21,3,FALSE)</f>
        <v>java.math.BigDecimal</v>
      </c>
      <c r="W563" t="str">
        <f t="shared" si="13"/>
        <v>PROJECT_CAWP_RESOURCE.PF</v>
      </c>
      <c r="X563" t="str">
        <f>VLOOKUP(W563,ColumnMapping[New Table.Column],1,)</f>
        <v>PROJECT_CAWP_RESOURCE.PF</v>
      </c>
      <c r="Y563" t="str">
        <f>_xlfn.XLOOKUP(Table6[[#This Row],[Table.Column]],ColumnMapping[Add Column Name],ColumnMapping[Old Table.Column],"",0,1)</f>
        <v/>
      </c>
      <c r="Z563" t="str">
        <f>_xlfn.XLOOKUP(Table6[[#This Row],[Old Table.Column]],Cobra8.6[Table.Column],Cobra8.6[TYPE],"",0,1)</f>
        <v/>
      </c>
      <c r="AA563" t="str">
        <f>_xlfn.XLOOKUP(Table6[[#This Row],[Old Table.Column]],Cobra8.6[Table.Column],Cobra8.6[LENGTH],"",0,1)</f>
        <v/>
      </c>
      <c r="AB563"/>
    </row>
    <row r="564" spans="1:28" hidden="1" x14ac:dyDescent="0.2">
      <c r="A564" t="s">
        <v>450</v>
      </c>
      <c r="B564" t="s">
        <v>1059</v>
      </c>
      <c r="C564" t="s">
        <v>1091</v>
      </c>
      <c r="D564">
        <v>14</v>
      </c>
      <c r="E564" t="s">
        <v>161</v>
      </c>
      <c r="F564" t="str">
        <f>VLOOKUP($E564,'Data Type Lookup'!$A$1:$C$21,2,FALSE)</f>
        <v>NUMBER(21,6)</v>
      </c>
      <c r="J564" s="32">
        <v>0</v>
      </c>
      <c r="P564" t="s">
        <v>1092</v>
      </c>
      <c r="Q564" t="s">
        <v>1093</v>
      </c>
      <c r="R564" t="str">
        <f>VLOOKUP(E564,'Data Type Lookup'!$A$1:$C$21,3,FALSE)</f>
        <v>java.math.BigDecimal</v>
      </c>
      <c r="W564" t="str">
        <f t="shared" si="13"/>
        <v>PROJECT_CAWP_RESOURCE.GA_PF</v>
      </c>
      <c r="X564" t="str">
        <f>VLOOKUP(W564,ColumnMapping[New Table.Column],1,)</f>
        <v>PROJECT_CAWP_RESOURCE.GA_PF</v>
      </c>
      <c r="Y564" t="str">
        <f>_xlfn.XLOOKUP(Table6[[#This Row],[Table.Column]],ColumnMapping[Add Column Name],ColumnMapping[Old Table.Column],"",0,1)</f>
        <v/>
      </c>
      <c r="Z564" t="str">
        <f>_xlfn.XLOOKUP(Table6[[#This Row],[Old Table.Column]],Cobra8.6[Table.Column],Cobra8.6[TYPE],"",0,1)</f>
        <v/>
      </c>
      <c r="AA564" t="str">
        <f>_xlfn.XLOOKUP(Table6[[#This Row],[Old Table.Column]],Cobra8.6[Table.Column],Cobra8.6[LENGTH],"",0,1)</f>
        <v/>
      </c>
      <c r="AB564"/>
    </row>
    <row r="565" spans="1:28" hidden="1" x14ac:dyDescent="0.2">
      <c r="A565" t="s">
        <v>450</v>
      </c>
      <c r="B565" t="s">
        <v>1059</v>
      </c>
      <c r="C565" t="s">
        <v>61</v>
      </c>
      <c r="D565">
        <v>15</v>
      </c>
      <c r="E565" t="s">
        <v>31</v>
      </c>
      <c r="F565" t="str">
        <f>VLOOKUP($E565,'Data Type Lookup'!$A$1:$C$21,2,FALSE)</f>
        <v>RAW(16)</v>
      </c>
      <c r="I565" s="32" t="s">
        <v>32</v>
      </c>
      <c r="P565" t="s">
        <v>1094</v>
      </c>
      <c r="Q565" t="s">
        <v>63</v>
      </c>
      <c r="R565" t="str">
        <f>VLOOKUP(E565,'Data Type Lookup'!$A$1:$C$21,3,FALSE)</f>
        <v>java.util.UUID</v>
      </c>
      <c r="S565">
        <v>2</v>
      </c>
      <c r="W565" t="str">
        <f t="shared" si="13"/>
        <v>PROJECT_CAWP_RESOURCE.CREATED_BY_USER_UID</v>
      </c>
      <c r="X565" t="str">
        <f>VLOOKUP(W565,ColumnMapping[New Table.Column],1,)</f>
        <v>PROJECT_CAWP_RESOURCE.CREATED_BY_USER_UID</v>
      </c>
      <c r="Y565" t="str">
        <f>_xlfn.XLOOKUP(Table6[[#This Row],[Table.Column]],ColumnMapping[Add Column Name],ColumnMapping[Old Table.Column],"",0,1)</f>
        <v/>
      </c>
      <c r="Z565" t="str">
        <f>_xlfn.XLOOKUP(Table6[[#This Row],[Old Table.Column]],Cobra8.6[Table.Column],Cobra8.6[TYPE],"",0,1)</f>
        <v/>
      </c>
      <c r="AA565" t="str">
        <f>_xlfn.XLOOKUP(Table6[[#This Row],[Old Table.Column]],Cobra8.6[Table.Column],Cobra8.6[LENGTH],"",0,1)</f>
        <v/>
      </c>
      <c r="AB565"/>
    </row>
    <row r="566" spans="1:28" hidden="1" x14ac:dyDescent="0.2">
      <c r="A566" t="s">
        <v>450</v>
      </c>
      <c r="B566" t="s">
        <v>1059</v>
      </c>
      <c r="C566" t="s">
        <v>64</v>
      </c>
      <c r="D566">
        <v>16</v>
      </c>
      <c r="E566" t="s">
        <v>65</v>
      </c>
      <c r="F566" t="str">
        <f>VLOOKUP($E566,'Data Type Lookup'!$A$1:$C$21,2,FALSE)</f>
        <v>TIMESTAMP</v>
      </c>
      <c r="I566" s="32" t="s">
        <v>32</v>
      </c>
      <c r="P566" t="s">
        <v>1095</v>
      </c>
      <c r="Q566" t="s">
        <v>67</v>
      </c>
      <c r="R566" t="str">
        <f>VLOOKUP(E566,'Data Type Lookup'!$A$1:$C$21,3,FALSE)</f>
        <v>java.time.Instant</v>
      </c>
      <c r="S566">
        <v>2</v>
      </c>
      <c r="W566" t="str">
        <f t="shared" si="13"/>
        <v>PROJECT_CAWP_RESOURCE.CREATED_DATE</v>
      </c>
      <c r="X566" t="str">
        <f>VLOOKUP(W566,ColumnMapping[New Table.Column],1,)</f>
        <v>PROJECT_CAWP_RESOURCE.CREATED_DATE</v>
      </c>
      <c r="Y566" t="str">
        <f>_xlfn.XLOOKUP(Table6[[#This Row],[Table.Column]],ColumnMapping[Add Column Name],ColumnMapping[Old Table.Column],"",0,1)</f>
        <v/>
      </c>
      <c r="Z566" t="str">
        <f>_xlfn.XLOOKUP(Table6[[#This Row],[Old Table.Column]],Cobra8.6[Table.Column],Cobra8.6[TYPE],"",0,1)</f>
        <v/>
      </c>
      <c r="AA566" t="str">
        <f>_xlfn.XLOOKUP(Table6[[#This Row],[Old Table.Column]],Cobra8.6[Table.Column],Cobra8.6[LENGTH],"",0,1)</f>
        <v/>
      </c>
      <c r="AB566"/>
    </row>
    <row r="567" spans="1:28" hidden="1" x14ac:dyDescent="0.2">
      <c r="A567" t="s">
        <v>450</v>
      </c>
      <c r="B567" t="s">
        <v>1059</v>
      </c>
      <c r="C567" t="s">
        <v>68</v>
      </c>
      <c r="D567">
        <v>17</v>
      </c>
      <c r="E567" t="s">
        <v>31</v>
      </c>
      <c r="F567" t="str">
        <f>VLOOKUP($E567,'Data Type Lookup'!$A$1:$C$21,2,FALSE)</f>
        <v>RAW(16)</v>
      </c>
      <c r="I567" s="32" t="s">
        <v>32</v>
      </c>
      <c r="P567" t="s">
        <v>1096</v>
      </c>
      <c r="Q567" t="s">
        <v>70</v>
      </c>
      <c r="R567" t="str">
        <f>VLOOKUP(E567,'Data Type Lookup'!$A$1:$C$21,3,FALSE)</f>
        <v>java.util.UUID</v>
      </c>
      <c r="S567">
        <v>2</v>
      </c>
      <c r="W567" t="str">
        <f t="shared" si="13"/>
        <v>PROJECT_CAWP_RESOURCE.LAST_MODIFIED_BY_USER_UID</v>
      </c>
      <c r="X567" t="str">
        <f>VLOOKUP(W567,ColumnMapping[New Table.Column],1,)</f>
        <v>PROJECT_CAWP_RESOURCE.LAST_MODIFIED_BY_USER_UID</v>
      </c>
      <c r="Y567" t="str">
        <f>_xlfn.XLOOKUP(Table6[[#This Row],[Table.Column]],ColumnMapping[Add Column Name],ColumnMapping[Old Table.Column],"",0,1)</f>
        <v/>
      </c>
      <c r="Z567" t="str">
        <f>_xlfn.XLOOKUP(Table6[[#This Row],[Old Table.Column]],Cobra8.6[Table.Column],Cobra8.6[TYPE],"",0,1)</f>
        <v/>
      </c>
      <c r="AA567" t="str">
        <f>_xlfn.XLOOKUP(Table6[[#This Row],[Old Table.Column]],Cobra8.6[Table.Column],Cobra8.6[LENGTH],"",0,1)</f>
        <v/>
      </c>
      <c r="AB567"/>
    </row>
    <row r="568" spans="1:28" hidden="1" x14ac:dyDescent="0.2">
      <c r="A568" t="s">
        <v>450</v>
      </c>
      <c r="B568" t="s">
        <v>1059</v>
      </c>
      <c r="C568" t="s">
        <v>71</v>
      </c>
      <c r="D568">
        <v>18</v>
      </c>
      <c r="E568" t="s">
        <v>65</v>
      </c>
      <c r="F568" t="str">
        <f>VLOOKUP($E568,'Data Type Lookup'!$A$1:$C$21,2,FALSE)</f>
        <v>TIMESTAMP</v>
      </c>
      <c r="I568" s="32" t="s">
        <v>32</v>
      </c>
      <c r="P568" t="s">
        <v>1097</v>
      </c>
      <c r="Q568" t="s">
        <v>73</v>
      </c>
      <c r="R568" t="str">
        <f>VLOOKUP(E568,'Data Type Lookup'!$A$1:$C$21,3,FALSE)</f>
        <v>java.time.Instant</v>
      </c>
      <c r="S568">
        <v>2</v>
      </c>
      <c r="W568" t="str">
        <f t="shared" si="13"/>
        <v>PROJECT_CAWP_RESOURCE.LAST_MODIFIED_DATE</v>
      </c>
      <c r="X568" t="str">
        <f>VLOOKUP(W568,ColumnMapping[New Table.Column],1,)</f>
        <v>PROJECT_CAWP_RESOURCE.LAST_MODIFIED_DATE</v>
      </c>
      <c r="Y568" t="str">
        <f>_xlfn.XLOOKUP(Table6[[#This Row],[Table.Column]],ColumnMapping[Add Column Name],ColumnMapping[Old Table.Column],"",0,1)</f>
        <v/>
      </c>
      <c r="Z568" t="str">
        <f>_xlfn.XLOOKUP(Table6[[#This Row],[Old Table.Column]],Cobra8.6[Table.Column],Cobra8.6[TYPE],"",0,1)</f>
        <v/>
      </c>
      <c r="AA568" t="str">
        <f>_xlfn.XLOOKUP(Table6[[#This Row],[Old Table.Column]],Cobra8.6[Table.Column],Cobra8.6[LENGTH],"",0,1)</f>
        <v/>
      </c>
      <c r="AB568"/>
    </row>
    <row r="569" spans="1:28" hidden="1" x14ac:dyDescent="0.2">
      <c r="A569" t="s">
        <v>450</v>
      </c>
      <c r="B569" s="17" t="s">
        <v>1059</v>
      </c>
      <c r="C569" s="17" t="s">
        <v>744</v>
      </c>
      <c r="D569" s="17">
        <v>19</v>
      </c>
      <c r="E569" s="17" t="s">
        <v>86</v>
      </c>
      <c r="F569" t="str">
        <f>VLOOKUP($E569,'Data Type Lookup'!$A$1:$C$21,2,FALSE)</f>
        <v>VARCHAR2</v>
      </c>
      <c r="G569">
        <f>_xlfn.XLOOKUP(Table6[[#This Row],[Old Table.Column]],Cobra8.6[Table.Column],Cobra8.6[LENGTH],"",0,1)</f>
        <v>22</v>
      </c>
      <c r="H569" s="17"/>
      <c r="I569" s="29"/>
      <c r="J569" s="37" t="s">
        <v>605</v>
      </c>
      <c r="K569" s="29"/>
      <c r="L569" s="29"/>
      <c r="M569" s="17"/>
      <c r="N569" s="17"/>
      <c r="O569" s="17"/>
      <c r="P569" s="17"/>
      <c r="Q569" s="17"/>
      <c r="R569" s="17"/>
      <c r="S569" s="17"/>
      <c r="W569" t="str">
        <f t="shared" si="13"/>
        <v>PROJECT_CAWP_RESOURCE.PROGRAM</v>
      </c>
      <c r="X569" t="str">
        <f>VLOOKUP(W569,ColumnMapping[New Table.Column],1,)</f>
        <v>PROJECT_CAWP_RESOURCE.PROGRAM</v>
      </c>
      <c r="Y569" t="str">
        <f>_xlfn.XLOOKUP(Table6[[#This Row],[Table.Column]],ColumnMapping[Add Column Name],ColumnMapping[Old Table.Column],"",0,1)</f>
        <v>COSTELEM.PROGRAM</v>
      </c>
      <c r="Z569" t="str">
        <f>_xlfn.XLOOKUP(Table6[[#This Row],[Old Table.Column]],Cobra8.6[Table.Column],Cobra8.6[TYPE],"",0,1)</f>
        <v>TEXT</v>
      </c>
      <c r="AA569">
        <f>_xlfn.XLOOKUP(Table6[[#This Row],[Old Table.Column]],Cobra8.6[Table.Column],Cobra8.6[LENGTH],"",0,1)</f>
        <v>22</v>
      </c>
      <c r="AB569"/>
    </row>
    <row r="570" spans="1:28" hidden="1" x14ac:dyDescent="0.2">
      <c r="A570" t="s">
        <v>450</v>
      </c>
      <c r="B570" s="17" t="s">
        <v>1059</v>
      </c>
      <c r="C570" s="17" t="s">
        <v>963</v>
      </c>
      <c r="D570" s="17">
        <v>20</v>
      </c>
      <c r="E570" s="17" t="s">
        <v>48</v>
      </c>
      <c r="F570" t="str">
        <f>VLOOKUP($E570,'Data Type Lookup'!$A$1:$C$21,2,FALSE)</f>
        <v>NVARCHAR2</v>
      </c>
      <c r="G570">
        <f>_xlfn.XLOOKUP(Table6[[#This Row],[Old Table.Column]],Cobra8.6[Table.Column],Cobra8.6[LENGTH],"",0,1)</f>
        <v>59</v>
      </c>
      <c r="H570" s="17"/>
      <c r="I570" s="29"/>
      <c r="J570" s="29"/>
      <c r="K570" s="29"/>
      <c r="L570" s="29"/>
      <c r="M570" s="17"/>
      <c r="N570" s="17"/>
      <c r="O570" s="17"/>
      <c r="P570" s="17"/>
      <c r="Q570" s="17"/>
      <c r="R570" s="17"/>
      <c r="S570" s="17"/>
      <c r="W570" t="str">
        <f t="shared" si="13"/>
        <v>PROJECT_CAWP_RESOURCE.C1</v>
      </c>
      <c r="X570" t="e">
        <f>VLOOKUP(W570,ColumnMapping[New Table.Column],1,)</f>
        <v>#N/A</v>
      </c>
      <c r="Y570" t="str">
        <f>_xlfn.XLOOKUP(Table6[[#This Row],[Table.Column]],ColumnMapping[Add Column Name],ColumnMapping[Old Table.Column],"",0,1)</f>
        <v>COSTELEM.C1</v>
      </c>
      <c r="Z570" t="str">
        <f>_xlfn.XLOOKUP(Table6[[#This Row],[Old Table.Column]],Cobra8.6[Table.Column],Cobra8.6[TYPE],"",0,1)</f>
        <v>TEXT</v>
      </c>
      <c r="AA570">
        <f>_xlfn.XLOOKUP(Table6[[#This Row],[Old Table.Column]],Cobra8.6[Table.Column],Cobra8.6[LENGTH],"",0,1)</f>
        <v>59</v>
      </c>
      <c r="AB570"/>
    </row>
    <row r="571" spans="1:28" hidden="1" x14ac:dyDescent="0.2">
      <c r="A571" t="s">
        <v>450</v>
      </c>
      <c r="B571" s="17" t="s">
        <v>1059</v>
      </c>
      <c r="C571" s="17" t="s">
        <v>985</v>
      </c>
      <c r="D571" s="17">
        <v>21</v>
      </c>
      <c r="E571" s="17" t="s">
        <v>48</v>
      </c>
      <c r="F571" t="str">
        <f>VLOOKUP($E571,'Data Type Lookup'!$A$1:$C$21,2,FALSE)</f>
        <v>NVARCHAR2</v>
      </c>
      <c r="G571">
        <f>_xlfn.XLOOKUP(Table6[[#This Row],[Old Table.Column]],Cobra8.6[Table.Column],Cobra8.6[LENGTH],"",0,1)</f>
        <v>59</v>
      </c>
      <c r="H571" s="17"/>
      <c r="I571" s="29"/>
      <c r="J571" s="29"/>
      <c r="K571" s="29"/>
      <c r="L571" s="29"/>
      <c r="M571" s="17"/>
      <c r="N571" s="17"/>
      <c r="O571" s="17"/>
      <c r="P571" s="17"/>
      <c r="Q571" s="17"/>
      <c r="R571" s="17"/>
      <c r="S571" s="17"/>
      <c r="W571" t="str">
        <f t="shared" si="13"/>
        <v>PROJECT_CAWP_RESOURCE.C2</v>
      </c>
      <c r="X571" t="e">
        <f>VLOOKUP(W571,ColumnMapping[New Table.Column],1,)</f>
        <v>#N/A</v>
      </c>
      <c r="Y571" t="str">
        <f>_xlfn.XLOOKUP(Table6[[#This Row],[Table.Column]],ColumnMapping[Add Column Name],ColumnMapping[Old Table.Column],"",0,1)</f>
        <v>COSTELEM.C2</v>
      </c>
      <c r="Z571" t="str">
        <f>_xlfn.XLOOKUP(Table6[[#This Row],[Old Table.Column]],Cobra8.6[Table.Column],Cobra8.6[TYPE],"",0,1)</f>
        <v>TEXT</v>
      </c>
      <c r="AA571">
        <f>_xlfn.XLOOKUP(Table6[[#This Row],[Old Table.Column]],Cobra8.6[Table.Column],Cobra8.6[LENGTH],"",0,1)</f>
        <v>59</v>
      </c>
      <c r="AB571"/>
    </row>
    <row r="572" spans="1:28" hidden="1" x14ac:dyDescent="0.2">
      <c r="A572" t="s">
        <v>450</v>
      </c>
      <c r="B572" s="17" t="s">
        <v>1059</v>
      </c>
      <c r="C572" s="17" t="s">
        <v>989</v>
      </c>
      <c r="D572" s="17">
        <v>22</v>
      </c>
      <c r="E572" s="17" t="s">
        <v>48</v>
      </c>
      <c r="F572" t="str">
        <f>VLOOKUP($E572,'Data Type Lookup'!$A$1:$C$21,2,FALSE)</f>
        <v>NVARCHAR2</v>
      </c>
      <c r="G572">
        <f>_xlfn.XLOOKUP(Table6[[#This Row],[Old Table.Column]],Cobra8.6[Table.Column],Cobra8.6[LENGTH],"",0,1)</f>
        <v>59</v>
      </c>
      <c r="H572" s="17"/>
      <c r="I572" s="29"/>
      <c r="J572" s="29"/>
      <c r="K572" s="29"/>
      <c r="L572" s="29"/>
      <c r="M572" s="17"/>
      <c r="N572" s="17"/>
      <c r="O572" s="17"/>
      <c r="P572" s="17"/>
      <c r="Q572" s="17"/>
      <c r="R572" s="17"/>
      <c r="S572" s="17"/>
      <c r="W572" t="str">
        <f t="shared" si="13"/>
        <v>PROJECT_CAWP_RESOURCE.C3</v>
      </c>
      <c r="X572" t="e">
        <f>VLOOKUP(W572,ColumnMapping[New Table.Column],1,)</f>
        <v>#N/A</v>
      </c>
      <c r="Y572" t="str">
        <f>_xlfn.XLOOKUP(Table6[[#This Row],[Table.Column]],ColumnMapping[Add Column Name],ColumnMapping[Old Table.Column],"",0,1)</f>
        <v>COSTELEM.C3</v>
      </c>
      <c r="Z572" t="str">
        <f>_xlfn.XLOOKUP(Table6[[#This Row],[Old Table.Column]],Cobra8.6[Table.Column],Cobra8.6[TYPE],"",0,1)</f>
        <v>TEXT</v>
      </c>
      <c r="AA572">
        <f>_xlfn.XLOOKUP(Table6[[#This Row],[Old Table.Column]],Cobra8.6[Table.Column],Cobra8.6[LENGTH],"",0,1)</f>
        <v>59</v>
      </c>
      <c r="AB572"/>
    </row>
    <row r="573" spans="1:28" hidden="1" x14ac:dyDescent="0.2">
      <c r="A573" t="s">
        <v>450</v>
      </c>
      <c r="B573" s="17" t="s">
        <v>1059</v>
      </c>
      <c r="C573" s="17" t="s">
        <v>991</v>
      </c>
      <c r="D573" s="17">
        <v>23</v>
      </c>
      <c r="E573" s="17" t="s">
        <v>48</v>
      </c>
      <c r="F573" t="str">
        <f>VLOOKUP($E573,'Data Type Lookup'!$A$1:$C$21,2,FALSE)</f>
        <v>NVARCHAR2</v>
      </c>
      <c r="G573">
        <f>_xlfn.XLOOKUP(Table6[[#This Row],[Old Table.Column]],Cobra8.6[Table.Column],Cobra8.6[LENGTH],"",0,1)</f>
        <v>59</v>
      </c>
      <c r="H573" s="17"/>
      <c r="I573" s="29"/>
      <c r="J573" s="29"/>
      <c r="K573" s="29"/>
      <c r="L573" s="29"/>
      <c r="M573" s="17"/>
      <c r="N573" s="17"/>
      <c r="O573" s="17"/>
      <c r="P573" s="17"/>
      <c r="Q573" s="17"/>
      <c r="R573" s="17"/>
      <c r="S573" s="17"/>
      <c r="W573" t="str">
        <f t="shared" si="13"/>
        <v>PROJECT_CAWP_RESOURCE.C4</v>
      </c>
      <c r="X573" t="e">
        <f>VLOOKUP(W573,ColumnMapping[New Table.Column],1,)</f>
        <v>#N/A</v>
      </c>
      <c r="Y573" t="str">
        <f>_xlfn.XLOOKUP(Table6[[#This Row],[Table.Column]],ColumnMapping[Add Column Name],ColumnMapping[Old Table.Column],"",0,1)</f>
        <v>COSTELEM.C4</v>
      </c>
      <c r="Z573" t="str">
        <f>_xlfn.XLOOKUP(Table6[[#This Row],[Old Table.Column]],Cobra8.6[Table.Column],Cobra8.6[TYPE],"",0,1)</f>
        <v>TEXT</v>
      </c>
      <c r="AA573">
        <f>_xlfn.XLOOKUP(Table6[[#This Row],[Old Table.Column]],Cobra8.6[Table.Column],Cobra8.6[LENGTH],"",0,1)</f>
        <v>59</v>
      </c>
      <c r="AB573"/>
    </row>
    <row r="574" spans="1:28" hidden="1" x14ac:dyDescent="0.2">
      <c r="A574" t="s">
        <v>450</v>
      </c>
      <c r="B574" s="17" t="s">
        <v>1059</v>
      </c>
      <c r="C574" s="17" t="s">
        <v>993</v>
      </c>
      <c r="D574" s="17">
        <v>24</v>
      </c>
      <c r="E574" s="17" t="s">
        <v>48</v>
      </c>
      <c r="F574" t="str">
        <f>VLOOKUP($E574,'Data Type Lookup'!$A$1:$C$21,2,FALSE)</f>
        <v>NVARCHAR2</v>
      </c>
      <c r="G574">
        <f>_xlfn.XLOOKUP(Table6[[#This Row],[Old Table.Column]],Cobra8.6[Table.Column],Cobra8.6[LENGTH],"",0,1)</f>
        <v>59</v>
      </c>
      <c r="H574" s="17"/>
      <c r="I574" s="29"/>
      <c r="J574" s="29"/>
      <c r="K574" s="29"/>
      <c r="L574" s="29"/>
      <c r="M574" s="17"/>
      <c r="N574" s="17"/>
      <c r="O574" s="17"/>
      <c r="P574" s="17"/>
      <c r="Q574" s="17"/>
      <c r="R574" s="17"/>
      <c r="S574" s="17"/>
      <c r="W574" t="str">
        <f t="shared" si="13"/>
        <v>PROJECT_CAWP_RESOURCE.C5</v>
      </c>
      <c r="X574" t="e">
        <f>VLOOKUP(W574,ColumnMapping[New Table.Column],1,)</f>
        <v>#N/A</v>
      </c>
      <c r="Y574" t="str">
        <f>_xlfn.XLOOKUP(Table6[[#This Row],[Table.Column]],ColumnMapping[Add Column Name],ColumnMapping[Old Table.Column],"",0,1)</f>
        <v>COSTELEM.C5</v>
      </c>
      <c r="Z574" t="str">
        <f>_xlfn.XLOOKUP(Table6[[#This Row],[Old Table.Column]],Cobra8.6[Table.Column],Cobra8.6[TYPE],"",0,1)</f>
        <v>TEXT</v>
      </c>
      <c r="AA574">
        <f>_xlfn.XLOOKUP(Table6[[#This Row],[Old Table.Column]],Cobra8.6[Table.Column],Cobra8.6[LENGTH],"",0,1)</f>
        <v>59</v>
      </c>
      <c r="AB574"/>
    </row>
    <row r="575" spans="1:28" hidden="1" x14ac:dyDescent="0.2">
      <c r="A575" t="s">
        <v>450</v>
      </c>
      <c r="B575" s="17" t="s">
        <v>1059</v>
      </c>
      <c r="C575" s="17" t="s">
        <v>995</v>
      </c>
      <c r="D575" s="17">
        <v>25</v>
      </c>
      <c r="E575" s="17" t="s">
        <v>48</v>
      </c>
      <c r="F575" t="str">
        <f>VLOOKUP($E575,'Data Type Lookup'!$A$1:$C$21,2,FALSE)</f>
        <v>NVARCHAR2</v>
      </c>
      <c r="G575">
        <f>_xlfn.XLOOKUP(Table6[[#This Row],[Old Table.Column]],Cobra8.6[Table.Column],Cobra8.6[LENGTH],"",0,1)</f>
        <v>59</v>
      </c>
      <c r="H575" s="17"/>
      <c r="I575" s="29"/>
      <c r="J575" s="29"/>
      <c r="K575" s="29"/>
      <c r="L575" s="29"/>
      <c r="M575" s="17"/>
      <c r="N575" s="17"/>
      <c r="O575" s="17"/>
      <c r="P575" s="17"/>
      <c r="Q575" s="17"/>
      <c r="R575" s="17"/>
      <c r="S575" s="17"/>
      <c r="W575" t="str">
        <f t="shared" si="13"/>
        <v>PROJECT_CAWP_RESOURCE.C6</v>
      </c>
      <c r="X575" t="e">
        <f>VLOOKUP(W575,ColumnMapping[New Table.Column],1,)</f>
        <v>#N/A</v>
      </c>
      <c r="Y575" t="str">
        <f>_xlfn.XLOOKUP(Table6[[#This Row],[Table.Column]],ColumnMapping[Add Column Name],ColumnMapping[Old Table.Column],"",0,1)</f>
        <v>COSTELEM.C6</v>
      </c>
      <c r="Z575" t="str">
        <f>_xlfn.XLOOKUP(Table6[[#This Row],[Old Table.Column]],Cobra8.6[Table.Column],Cobra8.6[TYPE],"",0,1)</f>
        <v>TEXT</v>
      </c>
      <c r="AA575">
        <f>_xlfn.XLOOKUP(Table6[[#This Row],[Old Table.Column]],Cobra8.6[Table.Column],Cobra8.6[LENGTH],"",0,1)</f>
        <v>59</v>
      </c>
      <c r="AB575"/>
    </row>
    <row r="576" spans="1:28" hidden="1" x14ac:dyDescent="0.2">
      <c r="A576" t="s">
        <v>450</v>
      </c>
      <c r="B576" s="17" t="s">
        <v>1059</v>
      </c>
      <c r="C576" s="17" t="s">
        <v>997</v>
      </c>
      <c r="D576" s="17">
        <v>26</v>
      </c>
      <c r="E576" s="17" t="s">
        <v>48</v>
      </c>
      <c r="F576" t="str">
        <f>VLOOKUP($E576,'Data Type Lookup'!$A$1:$C$21,2,FALSE)</f>
        <v>NVARCHAR2</v>
      </c>
      <c r="G576">
        <f>_xlfn.XLOOKUP(Table6[[#This Row],[Old Table.Column]],Cobra8.6[Table.Column],Cobra8.6[LENGTH],"",0,1)</f>
        <v>59</v>
      </c>
      <c r="H576" s="17"/>
      <c r="I576" s="29"/>
      <c r="J576" s="29"/>
      <c r="K576" s="29"/>
      <c r="L576" s="29"/>
      <c r="M576" s="17"/>
      <c r="N576" s="17"/>
      <c r="O576" s="17"/>
      <c r="P576" s="17"/>
      <c r="Q576" s="17"/>
      <c r="R576" s="17"/>
      <c r="S576" s="17"/>
      <c r="W576" t="str">
        <f t="shared" si="13"/>
        <v>PROJECT_CAWP_RESOURCE.C7</v>
      </c>
      <c r="X576" t="e">
        <f>VLOOKUP(W576,ColumnMapping[New Table.Column],1,)</f>
        <v>#N/A</v>
      </c>
      <c r="Y576" t="str">
        <f>_xlfn.XLOOKUP(Table6[[#This Row],[Table.Column]],ColumnMapping[Add Column Name],ColumnMapping[Old Table.Column],"",0,1)</f>
        <v>COSTELEM.C7</v>
      </c>
      <c r="Z576" t="str">
        <f>_xlfn.XLOOKUP(Table6[[#This Row],[Old Table.Column]],Cobra8.6[Table.Column],Cobra8.6[TYPE],"",0,1)</f>
        <v>TEXT</v>
      </c>
      <c r="AA576">
        <f>_xlfn.XLOOKUP(Table6[[#This Row],[Old Table.Column]],Cobra8.6[Table.Column],Cobra8.6[LENGTH],"",0,1)</f>
        <v>59</v>
      </c>
      <c r="AB576"/>
    </row>
    <row r="577" spans="1:28" hidden="1" x14ac:dyDescent="0.2">
      <c r="A577" t="s">
        <v>450</v>
      </c>
      <c r="B577" s="17" t="s">
        <v>1059</v>
      </c>
      <c r="C577" s="17" t="s">
        <v>999</v>
      </c>
      <c r="D577" s="17">
        <v>27</v>
      </c>
      <c r="E577" s="17" t="s">
        <v>48</v>
      </c>
      <c r="F577" t="str">
        <f>VLOOKUP($E577,'Data Type Lookup'!$A$1:$C$21,2,FALSE)</f>
        <v>NVARCHAR2</v>
      </c>
      <c r="G577">
        <f>_xlfn.XLOOKUP(Table6[[#This Row],[Old Table.Column]],Cobra8.6[Table.Column],Cobra8.6[LENGTH],"",0,1)</f>
        <v>59</v>
      </c>
      <c r="H577" s="17"/>
      <c r="I577" s="29"/>
      <c r="J577" s="29"/>
      <c r="K577" s="29"/>
      <c r="L577" s="29"/>
      <c r="M577" s="17"/>
      <c r="N577" s="17"/>
      <c r="O577" s="17"/>
      <c r="P577" s="17"/>
      <c r="Q577" s="17"/>
      <c r="R577" s="17"/>
      <c r="S577" s="17"/>
      <c r="W577" t="str">
        <f t="shared" si="13"/>
        <v>PROJECT_CAWP_RESOURCE.C8</v>
      </c>
      <c r="X577" t="e">
        <f>VLOOKUP(W577,ColumnMapping[New Table.Column],1,)</f>
        <v>#N/A</v>
      </c>
      <c r="Y577" t="str">
        <f>_xlfn.XLOOKUP(Table6[[#This Row],[Table.Column]],ColumnMapping[Add Column Name],ColumnMapping[Old Table.Column],"",0,1)</f>
        <v>COSTELEM.C8</v>
      </c>
      <c r="Z577" t="str">
        <f>_xlfn.XLOOKUP(Table6[[#This Row],[Old Table.Column]],Cobra8.6[Table.Column],Cobra8.6[TYPE],"",0,1)</f>
        <v>TEXT</v>
      </c>
      <c r="AA577">
        <f>_xlfn.XLOOKUP(Table6[[#This Row],[Old Table.Column]],Cobra8.6[Table.Column],Cobra8.6[LENGTH],"",0,1)</f>
        <v>59</v>
      </c>
      <c r="AB577"/>
    </row>
    <row r="578" spans="1:28" hidden="1" x14ac:dyDescent="0.2">
      <c r="A578" t="s">
        <v>450</v>
      </c>
      <c r="B578" s="17" t="s">
        <v>1059</v>
      </c>
      <c r="C578" s="17" t="s">
        <v>1001</v>
      </c>
      <c r="D578" s="17">
        <v>28</v>
      </c>
      <c r="E578" s="17" t="s">
        <v>48</v>
      </c>
      <c r="F578" t="str">
        <f>VLOOKUP($E578,'Data Type Lookup'!$A$1:$C$21,2,FALSE)</f>
        <v>NVARCHAR2</v>
      </c>
      <c r="G578">
        <f>_xlfn.XLOOKUP(Table6[[#This Row],[Old Table.Column]],Cobra8.6[Table.Column],Cobra8.6[LENGTH],"",0,1)</f>
        <v>59</v>
      </c>
      <c r="H578" s="17"/>
      <c r="I578" s="29"/>
      <c r="J578" s="29"/>
      <c r="K578" s="29"/>
      <c r="L578" s="29"/>
      <c r="M578" s="17"/>
      <c r="N578" s="17"/>
      <c r="O578" s="17"/>
      <c r="P578" s="17"/>
      <c r="Q578" s="17"/>
      <c r="R578" s="17"/>
      <c r="S578" s="17"/>
      <c r="W578" t="str">
        <f t="shared" si="13"/>
        <v>PROJECT_CAWP_RESOURCE.C9</v>
      </c>
      <c r="X578" t="e">
        <f>VLOOKUP(W578,ColumnMapping[New Table.Column],1,)</f>
        <v>#N/A</v>
      </c>
      <c r="Y578" t="str">
        <f>_xlfn.XLOOKUP(Table6[[#This Row],[Table.Column]],ColumnMapping[Add Column Name],ColumnMapping[Old Table.Column],"",0,1)</f>
        <v>COSTELEM.C9</v>
      </c>
      <c r="Z578" t="str">
        <f>_xlfn.XLOOKUP(Table6[[#This Row],[Old Table.Column]],Cobra8.6[Table.Column],Cobra8.6[TYPE],"",0,1)</f>
        <v>TEXT</v>
      </c>
      <c r="AA578">
        <f>_xlfn.XLOOKUP(Table6[[#This Row],[Old Table.Column]],Cobra8.6[Table.Column],Cobra8.6[LENGTH],"",0,1)</f>
        <v>59</v>
      </c>
      <c r="AB578"/>
    </row>
    <row r="579" spans="1:28" hidden="1" x14ac:dyDescent="0.2">
      <c r="A579" t="s">
        <v>450</v>
      </c>
      <c r="B579" s="17" t="s">
        <v>1059</v>
      </c>
      <c r="C579" s="39" t="s">
        <v>1009</v>
      </c>
      <c r="D579" s="39">
        <v>29</v>
      </c>
      <c r="E579" s="39" t="s">
        <v>36</v>
      </c>
      <c r="F579" s="39" t="s">
        <v>768</v>
      </c>
      <c r="G579" s="39"/>
      <c r="H579" s="39"/>
      <c r="I579" s="47"/>
      <c r="J579" s="47">
        <v>0</v>
      </c>
      <c r="K579" s="47"/>
      <c r="L579" s="47"/>
      <c r="M579" s="39"/>
      <c r="N579" s="39"/>
      <c r="O579" s="39"/>
      <c r="P579" t="s">
        <v>1061</v>
      </c>
      <c r="Q579" s="39" t="s">
        <v>851</v>
      </c>
      <c r="R579" s="39" t="s">
        <v>769</v>
      </c>
      <c r="S579" s="39"/>
      <c r="W579" t="str">
        <f>_xlfn.CONCAT(B579,".",C579)</f>
        <v>PROJECT_CAWP_RESOURCE.CAWPID</v>
      </c>
      <c r="X579" t="str">
        <f>VLOOKUP(W579,ColumnMapping[New Table.Column],1,)</f>
        <v>PROJECT_CAWP_RESOURCE.CAWPID</v>
      </c>
      <c r="Y579" t="str">
        <f>_xlfn.XLOOKUP(Table6[[#This Row],[Table.Column]],ColumnMapping[Add Column Name],ColumnMapping[Old Table.Column],"",0,1)</f>
        <v/>
      </c>
      <c r="Z579" t="str">
        <f>_xlfn.XLOOKUP(Table6[[#This Row],[Old Table.Column]],Cobra8.6[Table.Column],Cobra8.6[TYPE],"",0,1)</f>
        <v/>
      </c>
      <c r="AA579" t="str">
        <f>_xlfn.XLOOKUP(Table6[[#This Row],[Old Table.Column]],Cobra8.6[Table.Column],Cobra8.6[LENGTH],"",0,1)</f>
        <v/>
      </c>
      <c r="AB579" t="s">
        <v>32</v>
      </c>
    </row>
    <row r="580" spans="1:28" hidden="1" x14ac:dyDescent="0.2">
      <c r="A580" t="s">
        <v>450</v>
      </c>
      <c r="B580" s="17" t="s">
        <v>1059</v>
      </c>
      <c r="C580" s="39" t="s">
        <v>1098</v>
      </c>
      <c r="D580" s="39">
        <v>30</v>
      </c>
      <c r="E580" s="39" t="s">
        <v>86</v>
      </c>
      <c r="F580" s="39" t="s">
        <v>349</v>
      </c>
      <c r="G580" s="39">
        <v>59</v>
      </c>
      <c r="H580" s="39"/>
      <c r="I580" s="47"/>
      <c r="J580" s="37" t="s">
        <v>605</v>
      </c>
      <c r="K580" s="47"/>
      <c r="L580" s="47"/>
      <c r="M580" s="39"/>
      <c r="N580" s="39"/>
      <c r="O580" s="39"/>
      <c r="P580" t="s">
        <v>1065</v>
      </c>
      <c r="Q580" s="39" t="s">
        <v>1099</v>
      </c>
      <c r="R580" s="39" t="s">
        <v>681</v>
      </c>
      <c r="S580" s="39"/>
      <c r="W580" t="str">
        <f>_xlfn.CONCAT(B580,".",C580)</f>
        <v>PROJECT_CAWP_RESOURCE.CECODE</v>
      </c>
      <c r="X580" t="str">
        <f>VLOOKUP(W580,ColumnMapping[New Table.Column],1,)</f>
        <v>PROJECT_CAWP_RESOURCE.CECODE</v>
      </c>
      <c r="Y580" t="str">
        <f>_xlfn.XLOOKUP(Table6[[#This Row],[Table.Column]],ColumnMapping[Add Column Name],ColumnMapping[Old Table.Column],"",0,1)</f>
        <v/>
      </c>
      <c r="Z580" t="str">
        <f>_xlfn.XLOOKUP(Table6[[#This Row],[Old Table.Column]],Cobra8.6[Table.Column],Cobra8.6[TYPE],"",0,1)</f>
        <v/>
      </c>
      <c r="AA580" t="str">
        <f>_xlfn.XLOOKUP(Table6[[#This Row],[Old Table.Column]],Cobra8.6[Table.Column],Cobra8.6[LENGTH],"",0,1)</f>
        <v/>
      </c>
      <c r="AB580" t="s">
        <v>32</v>
      </c>
    </row>
    <row r="581" spans="1:28" hidden="1" x14ac:dyDescent="0.2">
      <c r="A581" t="s">
        <v>450</v>
      </c>
      <c r="B581" s="17" t="s">
        <v>1059</v>
      </c>
      <c r="C581" s="39" t="s">
        <v>1100</v>
      </c>
      <c r="D581" s="39">
        <v>31</v>
      </c>
      <c r="E581" s="39" t="s">
        <v>86</v>
      </c>
      <c r="F581" s="39" t="s">
        <v>349</v>
      </c>
      <c r="G581" s="39">
        <v>20</v>
      </c>
      <c r="H581" s="39"/>
      <c r="I581" s="47"/>
      <c r="J581" s="47"/>
      <c r="K581" s="47"/>
      <c r="L581" s="47"/>
      <c r="M581" s="39"/>
      <c r="N581" s="39"/>
      <c r="O581" s="39"/>
      <c r="P581" t="s">
        <v>1069</v>
      </c>
      <c r="Q581" s="39" t="s">
        <v>1101</v>
      </c>
      <c r="R581" s="39" t="s">
        <v>681</v>
      </c>
      <c r="S581" s="39"/>
      <c r="W581" t="str">
        <f>_xlfn.CONCAT(B581,".",C581)</f>
        <v>PROJECT_CAWP_RESOURCE.CLASS</v>
      </c>
      <c r="X581" t="str">
        <f>VLOOKUP(W581,ColumnMapping[New Table.Column],1,)</f>
        <v>PROJECT_CAWP_RESOURCE.CLASS</v>
      </c>
      <c r="Y581" t="str">
        <f>_xlfn.XLOOKUP(Table6[[#This Row],[Table.Column]],ColumnMapping[Add Column Name],ColumnMapping[Old Table.Column],"",0,1)</f>
        <v/>
      </c>
      <c r="Z581" t="str">
        <f>_xlfn.XLOOKUP(Table6[[#This Row],[Old Table.Column]],Cobra8.6[Table.Column],Cobra8.6[TYPE],"",0,1)</f>
        <v/>
      </c>
      <c r="AA581" t="str">
        <f>_xlfn.XLOOKUP(Table6[[#This Row],[Old Table.Column]],Cobra8.6[Table.Column],Cobra8.6[LENGTH],"",0,1)</f>
        <v/>
      </c>
      <c r="AB581" t="s">
        <v>32</v>
      </c>
    </row>
    <row r="582" spans="1:28" hidden="1" x14ac:dyDescent="0.2">
      <c r="A582" t="s">
        <v>450</v>
      </c>
      <c r="B582" s="17" t="s">
        <v>1059</v>
      </c>
      <c r="C582" t="s">
        <v>1102</v>
      </c>
      <c r="D582" s="39">
        <v>32</v>
      </c>
      <c r="E582" s="39" t="s">
        <v>86</v>
      </c>
      <c r="F582" s="39" t="s">
        <v>349</v>
      </c>
      <c r="G582" s="39">
        <v>16</v>
      </c>
      <c r="H582" s="39"/>
      <c r="I582" s="47"/>
      <c r="J582" s="47"/>
      <c r="K582" s="47"/>
      <c r="L582" s="47"/>
      <c r="M582" s="39"/>
      <c r="N582" s="39"/>
      <c r="O582" s="39"/>
      <c r="P582" t="s">
        <v>1073</v>
      </c>
      <c r="Q582" s="39" t="s">
        <v>1103</v>
      </c>
      <c r="R582" s="39" t="s">
        <v>681</v>
      </c>
      <c r="S582" s="39"/>
      <c r="W582" t="str">
        <f>_xlfn.CONCAT(B582,".",C582)</f>
        <v>PROJECT_CAWP_RESOURCE.SPREADNAME</v>
      </c>
      <c r="X582" t="str">
        <f>VLOOKUP(W582,ColumnMapping[New Table.Column],1,)</f>
        <v>PROJECT_CAWP_RESOURCE.SPREADNAME</v>
      </c>
      <c r="Y582" t="str">
        <f>_xlfn.XLOOKUP(Table6[[#This Row],[Table.Column]],ColumnMapping[Add Column Name],ColumnMapping[Old Table.Column],"",0,1)</f>
        <v/>
      </c>
      <c r="Z582" t="str">
        <f>_xlfn.XLOOKUP(Table6[[#This Row],[Old Table.Column]],Cobra8.6[Table.Column],Cobra8.6[TYPE],"",0,1)</f>
        <v/>
      </c>
      <c r="AA582" t="str">
        <f>_xlfn.XLOOKUP(Table6[[#This Row],[Old Table.Column]],Cobra8.6[Table.Column],Cobra8.6[LENGTH],"",0,1)</f>
        <v/>
      </c>
      <c r="AB582" t="s">
        <v>32</v>
      </c>
    </row>
    <row r="583" spans="1:28" hidden="1" x14ac:dyDescent="0.2">
      <c r="A583" t="s">
        <v>450</v>
      </c>
      <c r="B583" t="s">
        <v>1104</v>
      </c>
      <c r="C583" t="s">
        <v>30</v>
      </c>
      <c r="D583">
        <v>1</v>
      </c>
      <c r="E583" t="s">
        <v>31</v>
      </c>
      <c r="F583" t="str">
        <f>VLOOKUP($E583,'Data Type Lookup'!$A$1:$C$21,2,FALSE)</f>
        <v>RAW(16)</v>
      </c>
      <c r="I583" s="32" t="s">
        <v>32</v>
      </c>
      <c r="K583" s="32" t="s">
        <v>32</v>
      </c>
      <c r="P583" t="s">
        <v>1105</v>
      </c>
      <c r="Q583" t="s">
        <v>34</v>
      </c>
      <c r="R583" t="str">
        <f>VLOOKUP(E583,'Data Type Lookup'!$A$1:$C$21,3,FALSE)</f>
        <v>java.util.UUID</v>
      </c>
      <c r="S583">
        <v>3</v>
      </c>
      <c r="W583" t="str">
        <f t="shared" si="13"/>
        <v>PROJECT_CAWP_RESOURCE_TPHASE.ROW_UID</v>
      </c>
      <c r="X583" t="str">
        <f>VLOOKUP(W583,ColumnMapping[New Table.Column],1,)</f>
        <v>PROJECT_CAWP_RESOURCE_TPHASE.ROW_UID</v>
      </c>
      <c r="Y583" t="str">
        <f>_xlfn.XLOOKUP(Table6[[#This Row],[Table.Column]],ColumnMapping[Add Column Name],ColumnMapping[Old Table.Column],"",0,1)</f>
        <v/>
      </c>
      <c r="Z583" t="str">
        <f>_xlfn.XLOOKUP(Table6[[#This Row],[Old Table.Column]],Cobra8.6[Table.Column],Cobra8.6[TYPE],"",0,1)</f>
        <v/>
      </c>
      <c r="AA583" t="str">
        <f>_xlfn.XLOOKUP(Table6[[#This Row],[Old Table.Column]],Cobra8.6[Table.Column],Cobra8.6[LENGTH],"",0,1)</f>
        <v/>
      </c>
      <c r="AB583"/>
    </row>
    <row r="584" spans="1:28" hidden="1" x14ac:dyDescent="0.2">
      <c r="A584" t="s">
        <v>450</v>
      </c>
      <c r="B584" t="s">
        <v>1104</v>
      </c>
      <c r="C584" t="s">
        <v>35</v>
      </c>
      <c r="D584">
        <v>2</v>
      </c>
      <c r="E584" t="s">
        <v>36</v>
      </c>
      <c r="F584" t="str">
        <f>VLOOKUP($E584,'Data Type Lookup'!$A$1:$C$21,2,FALSE)</f>
        <v>NUMBER(19,0)</v>
      </c>
      <c r="I584" s="32" t="s">
        <v>32</v>
      </c>
      <c r="J584" s="32">
        <v>0</v>
      </c>
      <c r="P584" t="s">
        <v>37</v>
      </c>
      <c r="Q584" t="s">
        <v>38</v>
      </c>
      <c r="R584" t="str">
        <f>VLOOKUP(E584,'Data Type Lookup'!$A$1:$C$21,3,FALSE)</f>
        <v>Long</v>
      </c>
      <c r="S584">
        <v>3</v>
      </c>
      <c r="W584" t="str">
        <f t="shared" si="13"/>
        <v>PROJECT_CAWP_RESOURCE_TPHASE.SEQUENCE</v>
      </c>
      <c r="X584" t="str">
        <f>VLOOKUP(W584,ColumnMapping[New Table.Column],1,)</f>
        <v>PROJECT_CAWP_RESOURCE_TPHASE.SEQUENCE</v>
      </c>
      <c r="Y584" t="str">
        <f>_xlfn.XLOOKUP(Table6[[#This Row],[Table.Column]],ColumnMapping[Add Column Name],ColumnMapping[Old Table.Column],"",0,1)</f>
        <v/>
      </c>
      <c r="Z584" t="str">
        <f>_xlfn.XLOOKUP(Table6[[#This Row],[Old Table.Column]],Cobra8.6[Table.Column],Cobra8.6[TYPE],"",0,1)</f>
        <v/>
      </c>
      <c r="AA584" t="str">
        <f>_xlfn.XLOOKUP(Table6[[#This Row],[Old Table.Column]],Cobra8.6[Table.Column],Cobra8.6[LENGTH],"",0,1)</f>
        <v/>
      </c>
      <c r="AB584"/>
    </row>
    <row r="585" spans="1:28" hidden="1" x14ac:dyDescent="0.2">
      <c r="A585" t="s">
        <v>450</v>
      </c>
      <c r="B585" t="s">
        <v>1104</v>
      </c>
      <c r="C585" t="s">
        <v>1106</v>
      </c>
      <c r="D585">
        <v>3</v>
      </c>
      <c r="E585" t="s">
        <v>31</v>
      </c>
      <c r="F585" t="str">
        <f>VLOOKUP($E585,'Data Type Lookup'!$A$1:$C$21,2,FALSE)</f>
        <v>RAW(16)</v>
      </c>
      <c r="I585" s="32" t="s">
        <v>32</v>
      </c>
      <c r="M585" t="s">
        <v>1059</v>
      </c>
      <c r="N585" t="s">
        <v>30</v>
      </c>
      <c r="O585" t="s">
        <v>41</v>
      </c>
      <c r="P585" t="s">
        <v>1107</v>
      </c>
      <c r="Q585" t="s">
        <v>1108</v>
      </c>
      <c r="R585" t="str">
        <f>VLOOKUP(E585,'Data Type Lookup'!$A$1:$C$21,3,FALSE)</f>
        <v>java.util.UUID</v>
      </c>
      <c r="S585">
        <v>1</v>
      </c>
      <c r="V585" t="s">
        <v>1109</v>
      </c>
      <c r="W585" t="str">
        <f t="shared" si="13"/>
        <v>PROJECT_CAWP_RESOURCE_TPHASE.PROJECT_CAWP_RESOURCE_UID</v>
      </c>
      <c r="X585" t="str">
        <f>VLOOKUP(W585,ColumnMapping[New Table.Column],1,)</f>
        <v>PROJECT_CAWP_RESOURCE_TPHASE.PROJECT_CAWP_RESOURCE_UID</v>
      </c>
      <c r="Y585" t="str">
        <f>_xlfn.XLOOKUP(Table6[[#This Row],[Table.Column]],ColumnMapping[Add Column Name],ColumnMapping[Old Table.Column],"",0,1)</f>
        <v/>
      </c>
      <c r="Z585" t="str">
        <f>_xlfn.XLOOKUP(Table6[[#This Row],[Old Table.Column]],Cobra8.6[Table.Column],Cobra8.6[TYPE],"",0,1)</f>
        <v/>
      </c>
      <c r="AA585" t="str">
        <f>_xlfn.XLOOKUP(Table6[[#This Row],[Old Table.Column]],Cobra8.6[Table.Column],Cobra8.6[LENGTH],"",0,1)</f>
        <v/>
      </c>
      <c r="AB585"/>
    </row>
    <row r="586" spans="1:28" hidden="1" x14ac:dyDescent="0.2">
      <c r="A586" t="s">
        <v>450</v>
      </c>
      <c r="B586" t="s">
        <v>1104</v>
      </c>
      <c r="C586" t="s">
        <v>857</v>
      </c>
      <c r="D586">
        <v>4</v>
      </c>
      <c r="E586" t="s">
        <v>356</v>
      </c>
      <c r="F586" t="str">
        <f>VLOOKUP($E586,'Data Type Lookup'!$A$1:$C$21,2,FALSE)</f>
        <v>DATE</v>
      </c>
      <c r="I586" s="32" t="s">
        <v>32</v>
      </c>
      <c r="P586" t="s">
        <v>1110</v>
      </c>
      <c r="Q586" t="s">
        <v>1111</v>
      </c>
      <c r="R586" t="str">
        <f>VLOOKUP(E586,'Data Type Lookup'!$A$1:$C$21,3,FALSE)</f>
        <v>java.time.Instant</v>
      </c>
      <c r="V586" t="s">
        <v>1112</v>
      </c>
      <c r="W586" t="str">
        <f t="shared" si="13"/>
        <v>PROJECT_CAWP_RESOURCE_TPHASE.TPHASE_DATE</v>
      </c>
      <c r="X586" t="str">
        <f>VLOOKUP(W586,ColumnMapping[New Table.Column],1,)</f>
        <v>PROJECT_CAWP_RESOURCE_TPHASE.TPHASE_DATE</v>
      </c>
      <c r="Y586" t="str">
        <f>_xlfn.XLOOKUP(Table6[[#This Row],[Table.Column]],ColumnMapping[Add Column Name],ColumnMapping[Old Table.Column],"",0,1)</f>
        <v/>
      </c>
      <c r="Z586" t="str">
        <f>_xlfn.XLOOKUP(Table6[[#This Row],[Old Table.Column]],Cobra8.6[Table.Column],Cobra8.6[TYPE],"",0,1)</f>
        <v/>
      </c>
      <c r="AA586" t="str">
        <f>_xlfn.XLOOKUP(Table6[[#This Row],[Old Table.Column]],Cobra8.6[Table.Column],Cobra8.6[LENGTH],"",0,1)</f>
        <v/>
      </c>
      <c r="AB586"/>
    </row>
    <row r="587" spans="1:28" hidden="1" x14ac:dyDescent="0.2">
      <c r="A587" t="s">
        <v>450</v>
      </c>
      <c r="B587" t="s">
        <v>1104</v>
      </c>
      <c r="C587" t="s">
        <v>1113</v>
      </c>
      <c r="D587">
        <v>5</v>
      </c>
      <c r="E587" t="s">
        <v>161</v>
      </c>
      <c r="F587" t="str">
        <f>VLOOKUP($E587,'Data Type Lookup'!$A$1:$C$21,2,FALSE)</f>
        <v>NUMBER(21,6)</v>
      </c>
      <c r="J587" s="32">
        <v>0</v>
      </c>
      <c r="P587" t="s">
        <v>1114</v>
      </c>
      <c r="Q587" t="s">
        <v>1115</v>
      </c>
      <c r="R587" t="str">
        <f>VLOOKUP(E587,'Data Type Lookup'!$A$1:$C$21,3,FALSE)</f>
        <v>java.math.BigDecimal</v>
      </c>
      <c r="V587" t="s">
        <v>1116</v>
      </c>
      <c r="W587" t="str">
        <f t="shared" ref="W587:W650" si="14">_xlfn.CONCAT(B587,".",C587)</f>
        <v>PROJECT_CAWP_RESOURCE_TPHASE.RESULT1</v>
      </c>
      <c r="X587" t="str">
        <f>VLOOKUP(W587,ColumnMapping[New Table.Column],1,)</f>
        <v>PROJECT_CAWP_RESOURCE_TPHASE.RESULT1</v>
      </c>
      <c r="Y587" t="str">
        <f>_xlfn.XLOOKUP(Table6[[#This Row],[Table.Column]],ColumnMapping[Add Column Name],ColumnMapping[Old Table.Column],"",0,1)</f>
        <v/>
      </c>
      <c r="Z587" t="str">
        <f>_xlfn.XLOOKUP(Table6[[#This Row],[Old Table.Column]],Cobra8.6[Table.Column],Cobra8.6[TYPE],"",0,1)</f>
        <v/>
      </c>
      <c r="AA587" t="str">
        <f>_xlfn.XLOOKUP(Table6[[#This Row],[Old Table.Column]],Cobra8.6[Table.Column],Cobra8.6[LENGTH],"",0,1)</f>
        <v/>
      </c>
      <c r="AB587"/>
    </row>
    <row r="588" spans="1:28" hidden="1" x14ac:dyDescent="0.2">
      <c r="A588" t="s">
        <v>450</v>
      </c>
      <c r="B588" t="s">
        <v>1104</v>
      </c>
      <c r="C588" t="s">
        <v>1117</v>
      </c>
      <c r="D588">
        <v>6</v>
      </c>
      <c r="E588" t="s">
        <v>161</v>
      </c>
      <c r="F588" t="str">
        <f>VLOOKUP($E588,'Data Type Lookup'!$A$1:$C$21,2,FALSE)</f>
        <v>NUMBER(21,6)</v>
      </c>
      <c r="J588" s="32">
        <v>0</v>
      </c>
      <c r="P588" t="s">
        <v>1118</v>
      </c>
      <c r="Q588" t="s">
        <v>1119</v>
      </c>
      <c r="R588" t="str">
        <f>VLOOKUP(E588,'Data Type Lookup'!$A$1:$C$21,3,FALSE)</f>
        <v>java.math.BigDecimal</v>
      </c>
      <c r="V588" t="s">
        <v>1116</v>
      </c>
      <c r="W588" t="str">
        <f t="shared" si="14"/>
        <v>PROJECT_CAWP_RESOURCE_TPHASE.RESULT2</v>
      </c>
      <c r="X588" t="str">
        <f>VLOOKUP(W588,ColumnMapping[New Table.Column],1,)</f>
        <v>PROJECT_CAWP_RESOURCE_TPHASE.RESULT2</v>
      </c>
      <c r="Y588" t="str">
        <f>_xlfn.XLOOKUP(Table6[[#This Row],[Table.Column]],ColumnMapping[Add Column Name],ColumnMapping[Old Table.Column],"",0,1)</f>
        <v/>
      </c>
      <c r="Z588" t="str">
        <f>_xlfn.XLOOKUP(Table6[[#This Row],[Old Table.Column]],Cobra8.6[Table.Column],Cobra8.6[TYPE],"",0,1)</f>
        <v/>
      </c>
      <c r="AA588" t="str">
        <f>_xlfn.XLOOKUP(Table6[[#This Row],[Old Table.Column]],Cobra8.6[Table.Column],Cobra8.6[LENGTH],"",0,1)</f>
        <v/>
      </c>
      <c r="AB588"/>
    </row>
    <row r="589" spans="1:28" hidden="1" x14ac:dyDescent="0.2">
      <c r="A589" t="s">
        <v>450</v>
      </c>
      <c r="B589" t="s">
        <v>1104</v>
      </c>
      <c r="C589" t="s">
        <v>1120</v>
      </c>
      <c r="D589">
        <v>7</v>
      </c>
      <c r="E589" t="s">
        <v>161</v>
      </c>
      <c r="F589" t="str">
        <f>VLOOKUP($E589,'Data Type Lookup'!$A$1:$C$21,2,FALSE)</f>
        <v>NUMBER(21,6)</v>
      </c>
      <c r="J589" s="32">
        <v>0</v>
      </c>
      <c r="P589" t="s">
        <v>1121</v>
      </c>
      <c r="Q589" t="s">
        <v>1122</v>
      </c>
      <c r="R589" t="str">
        <f>VLOOKUP(E589,'Data Type Lookup'!$A$1:$C$21,3,FALSE)</f>
        <v>java.math.BigDecimal</v>
      </c>
      <c r="V589" t="s">
        <v>1116</v>
      </c>
      <c r="W589" t="str">
        <f t="shared" si="14"/>
        <v>PROJECT_CAWP_RESOURCE_TPHASE.RESULT3</v>
      </c>
      <c r="X589" t="str">
        <f>VLOOKUP(W589,ColumnMapping[New Table.Column],1,)</f>
        <v>PROJECT_CAWP_RESOURCE_TPHASE.RESULT3</v>
      </c>
      <c r="Y589" t="str">
        <f>_xlfn.XLOOKUP(Table6[[#This Row],[Table.Column]],ColumnMapping[Add Column Name],ColumnMapping[Old Table.Column],"",0,1)</f>
        <v/>
      </c>
      <c r="Z589" t="str">
        <f>_xlfn.XLOOKUP(Table6[[#This Row],[Old Table.Column]],Cobra8.6[Table.Column],Cobra8.6[TYPE],"",0,1)</f>
        <v/>
      </c>
      <c r="AA589" t="str">
        <f>_xlfn.XLOOKUP(Table6[[#This Row],[Old Table.Column]],Cobra8.6[Table.Column],Cobra8.6[LENGTH],"",0,1)</f>
        <v/>
      </c>
      <c r="AB589"/>
    </row>
    <row r="590" spans="1:28" hidden="1" x14ac:dyDescent="0.2">
      <c r="A590" t="s">
        <v>450</v>
      </c>
      <c r="B590" t="s">
        <v>1104</v>
      </c>
      <c r="C590" t="s">
        <v>1123</v>
      </c>
      <c r="D590">
        <v>8</v>
      </c>
      <c r="E590" t="s">
        <v>161</v>
      </c>
      <c r="F590" t="str">
        <f>VLOOKUP($E590,'Data Type Lookup'!$A$1:$C$21,2,FALSE)</f>
        <v>NUMBER(21,6)</v>
      </c>
      <c r="J590" s="32">
        <v>0</v>
      </c>
      <c r="P590" t="s">
        <v>1124</v>
      </c>
      <c r="Q590" t="s">
        <v>1125</v>
      </c>
      <c r="R590" t="str">
        <f>VLOOKUP(E590,'Data Type Lookup'!$A$1:$C$21,3,FALSE)</f>
        <v>java.math.BigDecimal</v>
      </c>
      <c r="V590" t="s">
        <v>1116</v>
      </c>
      <c r="W590" t="str">
        <f t="shared" si="14"/>
        <v>PROJECT_CAWP_RESOURCE_TPHASE.RESULT4</v>
      </c>
      <c r="X590" t="str">
        <f>VLOOKUP(W590,ColumnMapping[New Table.Column],1,)</f>
        <v>PROJECT_CAWP_RESOURCE_TPHASE.RESULT4</v>
      </c>
      <c r="Y590" t="str">
        <f>_xlfn.XLOOKUP(Table6[[#This Row],[Table.Column]],ColumnMapping[Add Column Name],ColumnMapping[Old Table.Column],"",0,1)</f>
        <v/>
      </c>
      <c r="Z590" t="str">
        <f>_xlfn.XLOOKUP(Table6[[#This Row],[Old Table.Column]],Cobra8.6[Table.Column],Cobra8.6[TYPE],"",0,1)</f>
        <v/>
      </c>
      <c r="AA590" t="str">
        <f>_xlfn.XLOOKUP(Table6[[#This Row],[Old Table.Column]],Cobra8.6[Table.Column],Cobra8.6[LENGTH],"",0,1)</f>
        <v/>
      </c>
      <c r="AB590"/>
    </row>
    <row r="591" spans="1:28" hidden="1" x14ac:dyDescent="0.2">
      <c r="A591" t="s">
        <v>450</v>
      </c>
      <c r="B591" t="s">
        <v>1104</v>
      </c>
      <c r="C591" t="s">
        <v>1126</v>
      </c>
      <c r="D591">
        <v>9</v>
      </c>
      <c r="E591" t="s">
        <v>161</v>
      </c>
      <c r="F591" t="str">
        <f>VLOOKUP($E591,'Data Type Lookup'!$A$1:$C$21,2,FALSE)</f>
        <v>NUMBER(21,6)</v>
      </c>
      <c r="J591" s="32">
        <v>0</v>
      </c>
      <c r="P591" t="s">
        <v>1127</v>
      </c>
      <c r="Q591" t="s">
        <v>1128</v>
      </c>
      <c r="R591" t="str">
        <f>VLOOKUP(E591,'Data Type Lookup'!$A$1:$C$21,3,FALSE)</f>
        <v>java.math.BigDecimal</v>
      </c>
      <c r="V591" t="s">
        <v>1116</v>
      </c>
      <c r="W591" t="str">
        <f t="shared" si="14"/>
        <v>PROJECT_CAWP_RESOURCE_TPHASE.RESULT5</v>
      </c>
      <c r="X591" t="str">
        <f>VLOOKUP(W591,ColumnMapping[New Table.Column],1,)</f>
        <v>PROJECT_CAWP_RESOURCE_TPHASE.RESULT5</v>
      </c>
      <c r="Y591" t="str">
        <f>_xlfn.XLOOKUP(Table6[[#This Row],[Table.Column]],ColumnMapping[Add Column Name],ColumnMapping[Old Table.Column],"",0,1)</f>
        <v/>
      </c>
      <c r="Z591" t="str">
        <f>_xlfn.XLOOKUP(Table6[[#This Row],[Old Table.Column]],Cobra8.6[Table.Column],Cobra8.6[TYPE],"",0,1)</f>
        <v/>
      </c>
      <c r="AA591" t="str">
        <f>_xlfn.XLOOKUP(Table6[[#This Row],[Old Table.Column]],Cobra8.6[Table.Column],Cobra8.6[LENGTH],"",0,1)</f>
        <v/>
      </c>
      <c r="AB591"/>
    </row>
    <row r="592" spans="1:28" hidden="1" x14ac:dyDescent="0.2">
      <c r="A592" t="s">
        <v>450</v>
      </c>
      <c r="B592" t="s">
        <v>1104</v>
      </c>
      <c r="C592" t="s">
        <v>1129</v>
      </c>
      <c r="D592">
        <v>10</v>
      </c>
      <c r="E592" t="s">
        <v>161</v>
      </c>
      <c r="F592" t="str">
        <f>VLOOKUP($E592,'Data Type Lookup'!$A$1:$C$21,2,FALSE)</f>
        <v>NUMBER(21,6)</v>
      </c>
      <c r="J592" s="32">
        <v>0</v>
      </c>
      <c r="P592" t="s">
        <v>1130</v>
      </c>
      <c r="Q592" t="s">
        <v>1131</v>
      </c>
      <c r="R592" t="str">
        <f>VLOOKUP(E592,'Data Type Lookup'!$A$1:$C$21,3,FALSE)</f>
        <v>java.math.BigDecimal</v>
      </c>
      <c r="V592" t="s">
        <v>1116</v>
      </c>
      <c r="W592" t="str">
        <f t="shared" si="14"/>
        <v>PROJECT_CAWP_RESOURCE_TPHASE.RESULT6</v>
      </c>
      <c r="X592" t="str">
        <f>VLOOKUP(W592,ColumnMapping[New Table.Column],1,)</f>
        <v>PROJECT_CAWP_RESOURCE_TPHASE.RESULT6</v>
      </c>
      <c r="Y592" t="str">
        <f>_xlfn.XLOOKUP(Table6[[#This Row],[Table.Column]],ColumnMapping[Add Column Name],ColumnMapping[Old Table.Column],"",0,1)</f>
        <v/>
      </c>
      <c r="Z592" t="str">
        <f>_xlfn.XLOOKUP(Table6[[#This Row],[Old Table.Column]],Cobra8.6[Table.Column],Cobra8.6[TYPE],"",0,1)</f>
        <v/>
      </c>
      <c r="AA592" t="str">
        <f>_xlfn.XLOOKUP(Table6[[#This Row],[Old Table.Column]],Cobra8.6[Table.Column],Cobra8.6[LENGTH],"",0,1)</f>
        <v/>
      </c>
      <c r="AB592"/>
    </row>
    <row r="593" spans="1:28" hidden="1" x14ac:dyDescent="0.2">
      <c r="A593" t="s">
        <v>450</v>
      </c>
      <c r="B593" t="s">
        <v>1104</v>
      </c>
      <c r="C593" t="s">
        <v>1132</v>
      </c>
      <c r="D593">
        <v>11</v>
      </c>
      <c r="E593" t="s">
        <v>161</v>
      </c>
      <c r="F593" t="str">
        <f>VLOOKUP($E593,'Data Type Lookup'!$A$1:$C$21,2,FALSE)</f>
        <v>NUMBER(21,6)</v>
      </c>
      <c r="J593" s="32">
        <v>0</v>
      </c>
      <c r="P593" t="s">
        <v>1133</v>
      </c>
      <c r="Q593" t="s">
        <v>1134</v>
      </c>
      <c r="R593" t="str">
        <f>VLOOKUP(E593,'Data Type Lookup'!$A$1:$C$21,3,FALSE)</f>
        <v>java.math.BigDecimal</v>
      </c>
      <c r="V593" t="s">
        <v>1116</v>
      </c>
      <c r="W593" t="str">
        <f t="shared" si="14"/>
        <v>PROJECT_CAWP_RESOURCE_TPHASE.RESULT7</v>
      </c>
      <c r="X593" t="str">
        <f>VLOOKUP(W593,ColumnMapping[New Table.Column],1,)</f>
        <v>PROJECT_CAWP_RESOURCE_TPHASE.RESULT7</v>
      </c>
      <c r="Y593" t="str">
        <f>_xlfn.XLOOKUP(Table6[[#This Row],[Table.Column]],ColumnMapping[Add Column Name],ColumnMapping[Old Table.Column],"",0,1)</f>
        <v/>
      </c>
      <c r="Z593" t="str">
        <f>_xlfn.XLOOKUP(Table6[[#This Row],[Old Table.Column]],Cobra8.6[Table.Column],Cobra8.6[TYPE],"",0,1)</f>
        <v/>
      </c>
      <c r="AA593" t="str">
        <f>_xlfn.XLOOKUP(Table6[[#This Row],[Old Table.Column]],Cobra8.6[Table.Column],Cobra8.6[LENGTH],"",0,1)</f>
        <v/>
      </c>
      <c r="AB593"/>
    </row>
    <row r="594" spans="1:28" hidden="1" x14ac:dyDescent="0.2">
      <c r="A594" t="s">
        <v>450</v>
      </c>
      <c r="B594" t="s">
        <v>1104</v>
      </c>
      <c r="C594" t="s">
        <v>1135</v>
      </c>
      <c r="D594">
        <v>12</v>
      </c>
      <c r="E594" t="s">
        <v>161</v>
      </c>
      <c r="F594" t="str">
        <f>VLOOKUP($E594,'Data Type Lookup'!$A$1:$C$21,2,FALSE)</f>
        <v>NUMBER(21,6)</v>
      </c>
      <c r="J594" s="32">
        <v>0</v>
      </c>
      <c r="P594" t="s">
        <v>1136</v>
      </c>
      <c r="Q594" t="s">
        <v>1137</v>
      </c>
      <c r="R594" t="str">
        <f>VLOOKUP(E594,'Data Type Lookup'!$A$1:$C$21,3,FALSE)</f>
        <v>java.math.BigDecimal</v>
      </c>
      <c r="V594" t="s">
        <v>1116</v>
      </c>
      <c r="W594" t="str">
        <f t="shared" si="14"/>
        <v>PROJECT_CAWP_RESOURCE_TPHASE.RESULT8</v>
      </c>
      <c r="X594" t="str">
        <f>VLOOKUP(W594,ColumnMapping[New Table.Column],1,)</f>
        <v>PROJECT_CAWP_RESOURCE_TPHASE.RESULT8</v>
      </c>
      <c r="Y594" t="str">
        <f>_xlfn.XLOOKUP(Table6[[#This Row],[Table.Column]],ColumnMapping[Add Column Name],ColumnMapping[Old Table.Column],"",0,1)</f>
        <v/>
      </c>
      <c r="Z594" t="str">
        <f>_xlfn.XLOOKUP(Table6[[#This Row],[Old Table.Column]],Cobra8.6[Table.Column],Cobra8.6[TYPE],"",0,1)</f>
        <v/>
      </c>
      <c r="AA594" t="str">
        <f>_xlfn.XLOOKUP(Table6[[#This Row],[Old Table.Column]],Cobra8.6[Table.Column],Cobra8.6[LENGTH],"",0,1)</f>
        <v/>
      </c>
      <c r="AB594"/>
    </row>
    <row r="595" spans="1:28" hidden="1" x14ac:dyDescent="0.2">
      <c r="A595" t="s">
        <v>450</v>
      </c>
      <c r="B595" t="s">
        <v>1104</v>
      </c>
      <c r="C595" t="s">
        <v>1138</v>
      </c>
      <c r="D595">
        <v>13</v>
      </c>
      <c r="E595" t="s">
        <v>161</v>
      </c>
      <c r="F595" t="str">
        <f>VLOOKUP($E595,'Data Type Lookup'!$A$1:$C$21,2,FALSE)</f>
        <v>NUMBER(21,6)</v>
      </c>
      <c r="J595" s="32">
        <v>0</v>
      </c>
      <c r="P595" t="s">
        <v>1139</v>
      </c>
      <c r="Q595" t="s">
        <v>1140</v>
      </c>
      <c r="R595" t="str">
        <f>VLOOKUP(E595,'Data Type Lookup'!$A$1:$C$21,3,FALSE)</f>
        <v>java.math.BigDecimal</v>
      </c>
      <c r="V595" t="s">
        <v>1116</v>
      </c>
      <c r="W595" t="str">
        <f t="shared" si="14"/>
        <v>PROJECT_CAWP_RESOURCE_TPHASE.RESULT9</v>
      </c>
      <c r="X595" t="str">
        <f>VLOOKUP(W595,ColumnMapping[New Table.Column],1,)</f>
        <v>PROJECT_CAWP_RESOURCE_TPHASE.RESULT9</v>
      </c>
      <c r="Y595" t="str">
        <f>_xlfn.XLOOKUP(Table6[[#This Row],[Table.Column]],ColumnMapping[Add Column Name],ColumnMapping[Old Table.Column],"",0,1)</f>
        <v/>
      </c>
      <c r="Z595" t="str">
        <f>_xlfn.XLOOKUP(Table6[[#This Row],[Old Table.Column]],Cobra8.6[Table.Column],Cobra8.6[TYPE],"",0,1)</f>
        <v/>
      </c>
      <c r="AA595" t="str">
        <f>_xlfn.XLOOKUP(Table6[[#This Row],[Old Table.Column]],Cobra8.6[Table.Column],Cobra8.6[LENGTH],"",0,1)</f>
        <v/>
      </c>
      <c r="AB595"/>
    </row>
    <row r="596" spans="1:28" hidden="1" x14ac:dyDescent="0.2">
      <c r="A596" t="s">
        <v>450</v>
      </c>
      <c r="B596" t="s">
        <v>1104</v>
      </c>
      <c r="C596" t="s">
        <v>1141</v>
      </c>
      <c r="D596">
        <v>14</v>
      </c>
      <c r="E596" t="s">
        <v>161</v>
      </c>
      <c r="F596" t="str">
        <f>VLOOKUP($E596,'Data Type Lookup'!$A$1:$C$21,2,FALSE)</f>
        <v>NUMBER(21,6)</v>
      </c>
      <c r="J596" s="32">
        <v>0</v>
      </c>
      <c r="P596" t="s">
        <v>1142</v>
      </c>
      <c r="Q596" t="s">
        <v>1143</v>
      </c>
      <c r="R596" t="str">
        <f>VLOOKUP(E596,'Data Type Lookup'!$A$1:$C$21,3,FALSE)</f>
        <v>java.math.BigDecimal</v>
      </c>
      <c r="V596" t="s">
        <v>1116</v>
      </c>
      <c r="W596" t="str">
        <f t="shared" si="14"/>
        <v>PROJECT_CAWP_RESOURCE_TPHASE.RESULT10</v>
      </c>
      <c r="X596" t="str">
        <f>VLOOKUP(W596,ColumnMapping[New Table.Column],1,)</f>
        <v>PROJECT_CAWP_RESOURCE_TPHASE.RESULT10</v>
      </c>
      <c r="Y596" t="str">
        <f>_xlfn.XLOOKUP(Table6[[#This Row],[Table.Column]],ColumnMapping[Add Column Name],ColumnMapping[Old Table.Column],"",0,1)</f>
        <v/>
      </c>
      <c r="Z596" t="str">
        <f>_xlfn.XLOOKUP(Table6[[#This Row],[Old Table.Column]],Cobra8.6[Table.Column],Cobra8.6[TYPE],"",0,1)</f>
        <v/>
      </c>
      <c r="AA596" t="str">
        <f>_xlfn.XLOOKUP(Table6[[#This Row],[Old Table.Column]],Cobra8.6[Table.Column],Cobra8.6[LENGTH],"",0,1)</f>
        <v/>
      </c>
      <c r="AB596"/>
    </row>
    <row r="597" spans="1:28" hidden="1" x14ac:dyDescent="0.2">
      <c r="A597" t="s">
        <v>450</v>
      </c>
      <c r="B597" t="s">
        <v>1104</v>
      </c>
      <c r="C597" t="s">
        <v>1144</v>
      </c>
      <c r="D597">
        <v>15</v>
      </c>
      <c r="E597" t="s">
        <v>161</v>
      </c>
      <c r="F597" t="str">
        <f>VLOOKUP($E597,'Data Type Lookup'!$A$1:$C$21,2,FALSE)</f>
        <v>NUMBER(21,6)</v>
      </c>
      <c r="J597" s="32">
        <v>0</v>
      </c>
      <c r="P597" t="s">
        <v>1145</v>
      </c>
      <c r="Q597" t="s">
        <v>1146</v>
      </c>
      <c r="R597" t="str">
        <f>VLOOKUP(E597,'Data Type Lookup'!$A$1:$C$21,3,FALSE)</f>
        <v>java.math.BigDecimal</v>
      </c>
      <c r="V597" t="s">
        <v>1116</v>
      </c>
      <c r="W597" t="str">
        <f t="shared" si="14"/>
        <v>PROJECT_CAWP_RESOURCE_TPHASE.RESULT11</v>
      </c>
      <c r="X597" t="str">
        <f>VLOOKUP(W597,ColumnMapping[New Table.Column],1,)</f>
        <v>PROJECT_CAWP_RESOURCE_TPHASE.RESULT11</v>
      </c>
      <c r="Y597" t="str">
        <f>_xlfn.XLOOKUP(Table6[[#This Row],[Table.Column]],ColumnMapping[Add Column Name],ColumnMapping[Old Table.Column],"",0,1)</f>
        <v/>
      </c>
      <c r="Z597" t="str">
        <f>_xlfn.XLOOKUP(Table6[[#This Row],[Old Table.Column]],Cobra8.6[Table.Column],Cobra8.6[TYPE],"",0,1)</f>
        <v/>
      </c>
      <c r="AA597" t="str">
        <f>_xlfn.XLOOKUP(Table6[[#This Row],[Old Table.Column]],Cobra8.6[Table.Column],Cobra8.6[LENGTH],"",0,1)</f>
        <v/>
      </c>
      <c r="AB597"/>
    </row>
    <row r="598" spans="1:28" hidden="1" x14ac:dyDescent="0.2">
      <c r="A598" t="s">
        <v>450</v>
      </c>
      <c r="B598" t="s">
        <v>1104</v>
      </c>
      <c r="C598" t="s">
        <v>1147</v>
      </c>
      <c r="D598">
        <v>16</v>
      </c>
      <c r="E598" t="s">
        <v>161</v>
      </c>
      <c r="F598" t="str">
        <f>VLOOKUP($E598,'Data Type Lookup'!$A$1:$C$21,2,FALSE)</f>
        <v>NUMBER(21,6)</v>
      </c>
      <c r="J598" s="32">
        <v>0</v>
      </c>
      <c r="P598" t="s">
        <v>1148</v>
      </c>
      <c r="Q598" t="s">
        <v>1149</v>
      </c>
      <c r="R598" t="str">
        <f>VLOOKUP(E598,'Data Type Lookup'!$A$1:$C$21,3,FALSE)</f>
        <v>java.math.BigDecimal</v>
      </c>
      <c r="V598" t="s">
        <v>1116</v>
      </c>
      <c r="W598" t="str">
        <f t="shared" si="14"/>
        <v>PROJECT_CAWP_RESOURCE_TPHASE.RESULT12</v>
      </c>
      <c r="X598" t="str">
        <f>VLOOKUP(W598,ColumnMapping[New Table.Column],1,)</f>
        <v>PROJECT_CAWP_RESOURCE_TPHASE.RESULT12</v>
      </c>
      <c r="Y598" t="str">
        <f>_xlfn.XLOOKUP(Table6[[#This Row],[Table.Column]],ColumnMapping[Add Column Name],ColumnMapping[Old Table.Column],"",0,1)</f>
        <v/>
      </c>
      <c r="Z598" t="str">
        <f>_xlfn.XLOOKUP(Table6[[#This Row],[Old Table.Column]],Cobra8.6[Table.Column],Cobra8.6[TYPE],"",0,1)</f>
        <v/>
      </c>
      <c r="AA598" t="str">
        <f>_xlfn.XLOOKUP(Table6[[#This Row],[Old Table.Column]],Cobra8.6[Table.Column],Cobra8.6[LENGTH],"",0,1)</f>
        <v/>
      </c>
      <c r="AB598"/>
    </row>
    <row r="599" spans="1:28" hidden="1" x14ac:dyDescent="0.2">
      <c r="A599" t="s">
        <v>450</v>
      </c>
      <c r="B599" t="s">
        <v>1104</v>
      </c>
      <c r="C599" t="s">
        <v>1150</v>
      </c>
      <c r="D599">
        <v>17</v>
      </c>
      <c r="E599" t="s">
        <v>161</v>
      </c>
      <c r="F599" t="str">
        <f>VLOOKUP($E599,'Data Type Lookup'!$A$1:$C$21,2,FALSE)</f>
        <v>NUMBER(21,6)</v>
      </c>
      <c r="J599" s="32">
        <v>0</v>
      </c>
      <c r="P599" t="s">
        <v>1151</v>
      </c>
      <c r="Q599" t="s">
        <v>1152</v>
      </c>
      <c r="R599" t="str">
        <f>VLOOKUP(E599,'Data Type Lookup'!$A$1:$C$21,3,FALSE)</f>
        <v>java.math.BigDecimal</v>
      </c>
      <c r="V599" t="s">
        <v>1116</v>
      </c>
      <c r="W599" t="str">
        <f t="shared" si="14"/>
        <v>PROJECT_CAWP_RESOURCE_TPHASE.RESULT13</v>
      </c>
      <c r="X599" t="str">
        <f>VLOOKUP(W599,ColumnMapping[New Table.Column],1,)</f>
        <v>PROJECT_CAWP_RESOURCE_TPHASE.RESULT13</v>
      </c>
      <c r="Y599" t="str">
        <f>_xlfn.XLOOKUP(Table6[[#This Row],[Table.Column]],ColumnMapping[Add Column Name],ColumnMapping[Old Table.Column],"",0,1)</f>
        <v/>
      </c>
      <c r="Z599" t="str">
        <f>_xlfn.XLOOKUP(Table6[[#This Row],[Old Table.Column]],Cobra8.6[Table.Column],Cobra8.6[TYPE],"",0,1)</f>
        <v/>
      </c>
      <c r="AA599" t="str">
        <f>_xlfn.XLOOKUP(Table6[[#This Row],[Old Table.Column]],Cobra8.6[Table.Column],Cobra8.6[LENGTH],"",0,1)</f>
        <v/>
      </c>
      <c r="AB599"/>
    </row>
    <row r="600" spans="1:28" hidden="1" x14ac:dyDescent="0.2">
      <c r="A600" t="s">
        <v>450</v>
      </c>
      <c r="B600" t="s">
        <v>1104</v>
      </c>
      <c r="C600" t="s">
        <v>1153</v>
      </c>
      <c r="D600">
        <v>18</v>
      </c>
      <c r="E600" t="s">
        <v>161</v>
      </c>
      <c r="F600" t="str">
        <f>VLOOKUP($E600,'Data Type Lookup'!$A$1:$C$21,2,FALSE)</f>
        <v>NUMBER(21,6)</v>
      </c>
      <c r="J600" s="32">
        <v>0</v>
      </c>
      <c r="P600" t="s">
        <v>1154</v>
      </c>
      <c r="Q600" t="s">
        <v>1155</v>
      </c>
      <c r="R600" t="str">
        <f>VLOOKUP(E600,'Data Type Lookup'!$A$1:$C$21,3,FALSE)</f>
        <v>java.math.BigDecimal</v>
      </c>
      <c r="V600" t="s">
        <v>1116</v>
      </c>
      <c r="W600" t="str">
        <f t="shared" si="14"/>
        <v>PROJECT_CAWP_RESOURCE_TPHASE.RESULT14</v>
      </c>
      <c r="X600" t="str">
        <f>VLOOKUP(W600,ColumnMapping[New Table.Column],1,)</f>
        <v>PROJECT_CAWP_RESOURCE_TPHASE.RESULT14</v>
      </c>
      <c r="Y600" t="str">
        <f>_xlfn.XLOOKUP(Table6[[#This Row],[Table.Column]],ColumnMapping[Add Column Name],ColumnMapping[Old Table.Column],"",0,1)</f>
        <v/>
      </c>
      <c r="Z600" t="str">
        <f>_xlfn.XLOOKUP(Table6[[#This Row],[Old Table.Column]],Cobra8.6[Table.Column],Cobra8.6[TYPE],"",0,1)</f>
        <v/>
      </c>
      <c r="AA600" t="str">
        <f>_xlfn.XLOOKUP(Table6[[#This Row],[Old Table.Column]],Cobra8.6[Table.Column],Cobra8.6[LENGTH],"",0,1)</f>
        <v/>
      </c>
      <c r="AB600"/>
    </row>
    <row r="601" spans="1:28" hidden="1" x14ac:dyDescent="0.2">
      <c r="A601" t="s">
        <v>450</v>
      </c>
      <c r="B601" t="s">
        <v>1104</v>
      </c>
      <c r="C601" t="s">
        <v>1156</v>
      </c>
      <c r="D601">
        <v>19</v>
      </c>
      <c r="E601" t="s">
        <v>161</v>
      </c>
      <c r="F601" t="str">
        <f>VLOOKUP($E601,'Data Type Lookup'!$A$1:$C$21,2,FALSE)</f>
        <v>NUMBER(21,6)</v>
      </c>
      <c r="J601" s="32">
        <v>0</v>
      </c>
      <c r="P601" t="s">
        <v>1157</v>
      </c>
      <c r="Q601" t="s">
        <v>1158</v>
      </c>
      <c r="R601" t="str">
        <f>VLOOKUP(E601,'Data Type Lookup'!$A$1:$C$21,3,FALSE)</f>
        <v>java.math.BigDecimal</v>
      </c>
      <c r="V601" t="s">
        <v>1116</v>
      </c>
      <c r="W601" t="str">
        <f t="shared" si="14"/>
        <v>PROJECT_CAWP_RESOURCE_TPHASE.RESULT15</v>
      </c>
      <c r="X601" t="str">
        <f>VLOOKUP(W601,ColumnMapping[New Table.Column],1,)</f>
        <v>PROJECT_CAWP_RESOURCE_TPHASE.RESULT15</v>
      </c>
      <c r="Y601" t="str">
        <f>_xlfn.XLOOKUP(Table6[[#This Row],[Table.Column]],ColumnMapping[Add Column Name],ColumnMapping[Old Table.Column],"",0,1)</f>
        <v/>
      </c>
      <c r="Z601" t="str">
        <f>_xlfn.XLOOKUP(Table6[[#This Row],[Old Table.Column]],Cobra8.6[Table.Column],Cobra8.6[TYPE],"",0,1)</f>
        <v/>
      </c>
      <c r="AA601" t="str">
        <f>_xlfn.XLOOKUP(Table6[[#This Row],[Old Table.Column]],Cobra8.6[Table.Column],Cobra8.6[LENGTH],"",0,1)</f>
        <v/>
      </c>
      <c r="AB601"/>
    </row>
    <row r="602" spans="1:28" hidden="1" x14ac:dyDescent="0.2">
      <c r="A602" t="s">
        <v>450</v>
      </c>
      <c r="B602" t="s">
        <v>1104</v>
      </c>
      <c r="C602" t="s">
        <v>1159</v>
      </c>
      <c r="D602">
        <v>20</v>
      </c>
      <c r="E602" t="s">
        <v>161</v>
      </c>
      <c r="F602" t="str">
        <f>VLOOKUP($E602,'Data Type Lookup'!$A$1:$C$21,2,FALSE)</f>
        <v>NUMBER(21,6)</v>
      </c>
      <c r="J602" s="32">
        <v>0</v>
      </c>
      <c r="P602" t="s">
        <v>1160</v>
      </c>
      <c r="Q602" t="s">
        <v>1161</v>
      </c>
      <c r="R602" t="str">
        <f>VLOOKUP(E602,'Data Type Lookup'!$A$1:$C$21,3,FALSE)</f>
        <v>java.math.BigDecimal</v>
      </c>
      <c r="V602" t="s">
        <v>1116</v>
      </c>
      <c r="W602" t="str">
        <f t="shared" si="14"/>
        <v>PROJECT_CAWP_RESOURCE_TPHASE.RESULT16</v>
      </c>
      <c r="X602" t="str">
        <f>VLOOKUP(W602,ColumnMapping[New Table.Column],1,)</f>
        <v>PROJECT_CAWP_RESOURCE_TPHASE.RESULT16</v>
      </c>
      <c r="Y602" t="str">
        <f>_xlfn.XLOOKUP(Table6[[#This Row],[Table.Column]],ColumnMapping[Add Column Name],ColumnMapping[Old Table.Column],"",0,1)</f>
        <v/>
      </c>
      <c r="Z602" t="str">
        <f>_xlfn.XLOOKUP(Table6[[#This Row],[Old Table.Column]],Cobra8.6[Table.Column],Cobra8.6[TYPE],"",0,1)</f>
        <v/>
      </c>
      <c r="AA602" t="str">
        <f>_xlfn.XLOOKUP(Table6[[#This Row],[Old Table.Column]],Cobra8.6[Table.Column],Cobra8.6[LENGTH],"",0,1)</f>
        <v/>
      </c>
      <c r="AB602"/>
    </row>
    <row r="603" spans="1:28" hidden="1" x14ac:dyDescent="0.2">
      <c r="A603" t="s">
        <v>450</v>
      </c>
      <c r="B603" t="s">
        <v>1104</v>
      </c>
      <c r="C603" t="s">
        <v>1162</v>
      </c>
      <c r="D603">
        <v>21</v>
      </c>
      <c r="E603" t="s">
        <v>161</v>
      </c>
      <c r="F603" t="str">
        <f>VLOOKUP($E603,'Data Type Lookup'!$A$1:$C$21,2,FALSE)</f>
        <v>NUMBER(21,6)</v>
      </c>
      <c r="J603" s="32">
        <v>0</v>
      </c>
      <c r="P603" t="s">
        <v>1163</v>
      </c>
      <c r="Q603" t="s">
        <v>1164</v>
      </c>
      <c r="R603" t="str">
        <f>VLOOKUP(E603,'Data Type Lookup'!$A$1:$C$21,3,FALSE)</f>
        <v>java.math.BigDecimal</v>
      </c>
      <c r="V603" t="s">
        <v>1116</v>
      </c>
      <c r="W603" t="str">
        <f t="shared" si="14"/>
        <v>PROJECT_CAWP_RESOURCE_TPHASE.RESULT17</v>
      </c>
      <c r="X603" t="str">
        <f>VLOOKUP(W603,ColumnMapping[New Table.Column],1,)</f>
        <v>PROJECT_CAWP_RESOURCE_TPHASE.RESULT17</v>
      </c>
      <c r="Y603" t="str">
        <f>_xlfn.XLOOKUP(Table6[[#This Row],[Table.Column]],ColumnMapping[Add Column Name],ColumnMapping[Old Table.Column],"",0,1)</f>
        <v/>
      </c>
      <c r="Z603" t="str">
        <f>_xlfn.XLOOKUP(Table6[[#This Row],[Old Table.Column]],Cobra8.6[Table.Column],Cobra8.6[TYPE],"",0,1)</f>
        <v/>
      </c>
      <c r="AA603" t="str">
        <f>_xlfn.XLOOKUP(Table6[[#This Row],[Old Table.Column]],Cobra8.6[Table.Column],Cobra8.6[LENGTH],"",0,1)</f>
        <v/>
      </c>
      <c r="AB603"/>
    </row>
    <row r="604" spans="1:28" hidden="1" x14ac:dyDescent="0.2">
      <c r="A604" t="s">
        <v>450</v>
      </c>
      <c r="B604" t="s">
        <v>1104</v>
      </c>
      <c r="C604" t="s">
        <v>1165</v>
      </c>
      <c r="D604">
        <v>22</v>
      </c>
      <c r="E604" t="s">
        <v>161</v>
      </c>
      <c r="F604" t="str">
        <f>VLOOKUP($E604,'Data Type Lookup'!$A$1:$C$21,2,FALSE)</f>
        <v>NUMBER(21,6)</v>
      </c>
      <c r="J604" s="32">
        <v>0</v>
      </c>
      <c r="P604" t="s">
        <v>1166</v>
      </c>
      <c r="Q604" t="s">
        <v>1167</v>
      </c>
      <c r="R604" t="str">
        <f>VLOOKUP(E604,'Data Type Lookup'!$A$1:$C$21,3,FALSE)</f>
        <v>java.math.BigDecimal</v>
      </c>
      <c r="V604" t="s">
        <v>1116</v>
      </c>
      <c r="W604" t="str">
        <f t="shared" si="14"/>
        <v>PROJECT_CAWP_RESOURCE_TPHASE.RESULT18</v>
      </c>
      <c r="X604" t="str">
        <f>VLOOKUP(W604,ColumnMapping[New Table.Column],1,)</f>
        <v>PROJECT_CAWP_RESOURCE_TPHASE.RESULT18</v>
      </c>
      <c r="Y604" t="str">
        <f>_xlfn.XLOOKUP(Table6[[#This Row],[Table.Column]],ColumnMapping[Add Column Name],ColumnMapping[Old Table.Column],"",0,1)</f>
        <v/>
      </c>
      <c r="Z604" t="str">
        <f>_xlfn.XLOOKUP(Table6[[#This Row],[Old Table.Column]],Cobra8.6[Table.Column],Cobra8.6[TYPE],"",0,1)</f>
        <v/>
      </c>
      <c r="AA604" t="str">
        <f>_xlfn.XLOOKUP(Table6[[#This Row],[Old Table.Column]],Cobra8.6[Table.Column],Cobra8.6[LENGTH],"",0,1)</f>
        <v/>
      </c>
      <c r="AB604"/>
    </row>
    <row r="605" spans="1:28" hidden="1" x14ac:dyDescent="0.2">
      <c r="A605" t="s">
        <v>450</v>
      </c>
      <c r="B605" t="s">
        <v>1104</v>
      </c>
      <c r="C605" t="s">
        <v>1168</v>
      </c>
      <c r="D605">
        <v>23</v>
      </c>
      <c r="E605" t="s">
        <v>161</v>
      </c>
      <c r="F605" t="str">
        <f>VLOOKUP($E605,'Data Type Lookup'!$A$1:$C$21,2,FALSE)</f>
        <v>NUMBER(21,6)</v>
      </c>
      <c r="J605" s="32">
        <v>0</v>
      </c>
      <c r="P605" t="s">
        <v>1169</v>
      </c>
      <c r="Q605" t="s">
        <v>1170</v>
      </c>
      <c r="R605" t="str">
        <f>VLOOKUP(E605,'Data Type Lookup'!$A$1:$C$21,3,FALSE)</f>
        <v>java.math.BigDecimal</v>
      </c>
      <c r="V605" t="s">
        <v>1116</v>
      </c>
      <c r="W605" t="str">
        <f t="shared" si="14"/>
        <v>PROJECT_CAWP_RESOURCE_TPHASE.RESULT19</v>
      </c>
      <c r="X605" t="str">
        <f>VLOOKUP(W605,ColumnMapping[New Table.Column],1,)</f>
        <v>PROJECT_CAWP_RESOURCE_TPHASE.RESULT19</v>
      </c>
      <c r="Y605" t="str">
        <f>_xlfn.XLOOKUP(Table6[[#This Row],[Table.Column]],ColumnMapping[Add Column Name],ColumnMapping[Old Table.Column],"",0,1)</f>
        <v/>
      </c>
      <c r="Z605" t="str">
        <f>_xlfn.XLOOKUP(Table6[[#This Row],[Old Table.Column]],Cobra8.6[Table.Column],Cobra8.6[TYPE],"",0,1)</f>
        <v/>
      </c>
      <c r="AA605" t="str">
        <f>_xlfn.XLOOKUP(Table6[[#This Row],[Old Table.Column]],Cobra8.6[Table.Column],Cobra8.6[LENGTH],"",0,1)</f>
        <v/>
      </c>
      <c r="AB605"/>
    </row>
    <row r="606" spans="1:28" hidden="1" x14ac:dyDescent="0.2">
      <c r="A606" t="s">
        <v>450</v>
      </c>
      <c r="B606" t="s">
        <v>1104</v>
      </c>
      <c r="C606" t="s">
        <v>1171</v>
      </c>
      <c r="D606">
        <v>24</v>
      </c>
      <c r="E606" t="s">
        <v>161</v>
      </c>
      <c r="F606" t="str">
        <f>VLOOKUP($E606,'Data Type Lookup'!$A$1:$C$21,2,FALSE)</f>
        <v>NUMBER(21,6)</v>
      </c>
      <c r="J606" s="32">
        <v>0</v>
      </c>
      <c r="P606" t="s">
        <v>1172</v>
      </c>
      <c r="Q606" t="s">
        <v>1173</v>
      </c>
      <c r="R606" t="str">
        <f>VLOOKUP(E606,'Data Type Lookup'!$A$1:$C$21,3,FALSE)</f>
        <v>java.math.BigDecimal</v>
      </c>
      <c r="V606" t="s">
        <v>1116</v>
      </c>
      <c r="W606" t="str">
        <f t="shared" si="14"/>
        <v>PROJECT_CAWP_RESOURCE_TPHASE.RESULT20</v>
      </c>
      <c r="X606" t="str">
        <f>VLOOKUP(W606,ColumnMapping[New Table.Column],1,)</f>
        <v>PROJECT_CAWP_RESOURCE_TPHASE.RESULT20</v>
      </c>
      <c r="Y606" t="str">
        <f>_xlfn.XLOOKUP(Table6[[#This Row],[Table.Column]],ColumnMapping[Add Column Name],ColumnMapping[Old Table.Column],"",0,1)</f>
        <v/>
      </c>
      <c r="Z606" t="str">
        <f>_xlfn.XLOOKUP(Table6[[#This Row],[Old Table.Column]],Cobra8.6[Table.Column],Cobra8.6[TYPE],"",0,1)</f>
        <v/>
      </c>
      <c r="AA606" t="str">
        <f>_xlfn.XLOOKUP(Table6[[#This Row],[Old Table.Column]],Cobra8.6[Table.Column],Cobra8.6[LENGTH],"",0,1)</f>
        <v/>
      </c>
      <c r="AB606"/>
    </row>
    <row r="607" spans="1:28" hidden="1" x14ac:dyDescent="0.2">
      <c r="A607" t="s">
        <v>450</v>
      </c>
      <c r="B607" t="s">
        <v>1104</v>
      </c>
      <c r="C607" t="s">
        <v>61</v>
      </c>
      <c r="D607">
        <v>25</v>
      </c>
      <c r="E607" t="s">
        <v>31</v>
      </c>
      <c r="F607" t="str">
        <f>VLOOKUP($E607,'Data Type Lookup'!$A$1:$C$21,2,FALSE)</f>
        <v>RAW(16)</v>
      </c>
      <c r="I607" s="32" t="s">
        <v>32</v>
      </c>
      <c r="P607" t="s">
        <v>1174</v>
      </c>
      <c r="Q607" t="s">
        <v>63</v>
      </c>
      <c r="R607" t="str">
        <f>VLOOKUP(E607,'Data Type Lookup'!$A$1:$C$21,3,FALSE)</f>
        <v>java.util.UUID</v>
      </c>
      <c r="S607">
        <v>2</v>
      </c>
      <c r="W607" t="str">
        <f t="shared" si="14"/>
        <v>PROJECT_CAWP_RESOURCE_TPHASE.CREATED_BY_USER_UID</v>
      </c>
      <c r="X607" t="str">
        <f>VLOOKUP(W607,ColumnMapping[New Table.Column],1,)</f>
        <v>PROJECT_CAWP_RESOURCE_TPHASE.CREATED_BY_USER_UID</v>
      </c>
      <c r="Y607" t="str">
        <f>_xlfn.XLOOKUP(Table6[[#This Row],[Table.Column]],ColumnMapping[Add Column Name],ColumnMapping[Old Table.Column],"",0,1)</f>
        <v/>
      </c>
      <c r="Z607" t="str">
        <f>_xlfn.XLOOKUP(Table6[[#This Row],[Old Table.Column]],Cobra8.6[Table.Column],Cobra8.6[TYPE],"",0,1)</f>
        <v/>
      </c>
      <c r="AA607" t="str">
        <f>_xlfn.XLOOKUP(Table6[[#This Row],[Old Table.Column]],Cobra8.6[Table.Column],Cobra8.6[LENGTH],"",0,1)</f>
        <v/>
      </c>
      <c r="AB607"/>
    </row>
    <row r="608" spans="1:28" hidden="1" x14ac:dyDescent="0.2">
      <c r="A608" t="s">
        <v>450</v>
      </c>
      <c r="B608" t="s">
        <v>1104</v>
      </c>
      <c r="C608" t="s">
        <v>64</v>
      </c>
      <c r="D608">
        <v>26</v>
      </c>
      <c r="E608" t="s">
        <v>65</v>
      </c>
      <c r="F608" t="str">
        <f>VLOOKUP($E608,'Data Type Lookup'!$A$1:$C$21,2,FALSE)</f>
        <v>TIMESTAMP</v>
      </c>
      <c r="I608" s="32" t="s">
        <v>32</v>
      </c>
      <c r="P608" t="s">
        <v>1175</v>
      </c>
      <c r="Q608" t="s">
        <v>67</v>
      </c>
      <c r="R608" t="str">
        <f>VLOOKUP(E608,'Data Type Lookup'!$A$1:$C$21,3,FALSE)</f>
        <v>java.time.Instant</v>
      </c>
      <c r="S608">
        <v>2</v>
      </c>
      <c r="W608" t="str">
        <f t="shared" si="14"/>
        <v>PROJECT_CAWP_RESOURCE_TPHASE.CREATED_DATE</v>
      </c>
      <c r="X608" t="str">
        <f>VLOOKUP(W608,ColumnMapping[New Table.Column],1,)</f>
        <v>PROJECT_CAWP_RESOURCE_TPHASE.CREATED_DATE</v>
      </c>
      <c r="Y608" t="str">
        <f>_xlfn.XLOOKUP(Table6[[#This Row],[Table.Column]],ColumnMapping[Add Column Name],ColumnMapping[Old Table.Column],"",0,1)</f>
        <v/>
      </c>
      <c r="Z608" t="str">
        <f>_xlfn.XLOOKUP(Table6[[#This Row],[Old Table.Column]],Cobra8.6[Table.Column],Cobra8.6[TYPE],"",0,1)</f>
        <v/>
      </c>
      <c r="AA608" t="str">
        <f>_xlfn.XLOOKUP(Table6[[#This Row],[Old Table.Column]],Cobra8.6[Table.Column],Cobra8.6[LENGTH],"",0,1)</f>
        <v/>
      </c>
      <c r="AB608"/>
    </row>
    <row r="609" spans="1:28" hidden="1" x14ac:dyDescent="0.2">
      <c r="A609" t="s">
        <v>450</v>
      </c>
      <c r="B609" t="s">
        <v>1104</v>
      </c>
      <c r="C609" t="s">
        <v>68</v>
      </c>
      <c r="D609">
        <v>27</v>
      </c>
      <c r="E609" t="s">
        <v>31</v>
      </c>
      <c r="F609" t="str">
        <f>VLOOKUP($E609,'Data Type Lookup'!$A$1:$C$21,2,FALSE)</f>
        <v>RAW(16)</v>
      </c>
      <c r="I609" s="32" t="s">
        <v>32</v>
      </c>
      <c r="P609" t="s">
        <v>1176</v>
      </c>
      <c r="Q609" t="s">
        <v>70</v>
      </c>
      <c r="R609" t="str">
        <f>VLOOKUP(E609,'Data Type Lookup'!$A$1:$C$21,3,FALSE)</f>
        <v>java.util.UUID</v>
      </c>
      <c r="S609">
        <v>2</v>
      </c>
      <c r="W609" t="str">
        <f t="shared" si="14"/>
        <v>PROJECT_CAWP_RESOURCE_TPHASE.LAST_MODIFIED_BY_USER_UID</v>
      </c>
      <c r="X609" t="str">
        <f>VLOOKUP(W609,ColumnMapping[New Table.Column],1,)</f>
        <v>PROJECT_CAWP_RESOURCE_TPHASE.LAST_MODIFIED_BY_USER_UID</v>
      </c>
      <c r="Y609" t="str">
        <f>_xlfn.XLOOKUP(Table6[[#This Row],[Table.Column]],ColumnMapping[Add Column Name],ColumnMapping[Old Table.Column],"",0,1)</f>
        <v/>
      </c>
      <c r="Z609" t="str">
        <f>_xlfn.XLOOKUP(Table6[[#This Row],[Old Table.Column]],Cobra8.6[Table.Column],Cobra8.6[TYPE],"",0,1)</f>
        <v/>
      </c>
      <c r="AA609" t="str">
        <f>_xlfn.XLOOKUP(Table6[[#This Row],[Old Table.Column]],Cobra8.6[Table.Column],Cobra8.6[LENGTH],"",0,1)</f>
        <v/>
      </c>
      <c r="AB609"/>
    </row>
    <row r="610" spans="1:28" hidden="1" x14ac:dyDescent="0.2">
      <c r="A610" t="s">
        <v>450</v>
      </c>
      <c r="B610" t="s">
        <v>1104</v>
      </c>
      <c r="C610" t="s">
        <v>71</v>
      </c>
      <c r="D610">
        <v>28</v>
      </c>
      <c r="E610" t="s">
        <v>65</v>
      </c>
      <c r="F610" t="str">
        <f>VLOOKUP($E610,'Data Type Lookup'!$A$1:$C$21,2,FALSE)</f>
        <v>TIMESTAMP</v>
      </c>
      <c r="I610" s="32" t="s">
        <v>32</v>
      </c>
      <c r="P610" t="s">
        <v>1177</v>
      </c>
      <c r="Q610" t="s">
        <v>73</v>
      </c>
      <c r="R610" t="str">
        <f>VLOOKUP(E610,'Data Type Lookup'!$A$1:$C$21,3,FALSE)</f>
        <v>java.time.Instant</v>
      </c>
      <c r="S610">
        <v>2</v>
      </c>
      <c r="W610" t="str">
        <f t="shared" si="14"/>
        <v>PROJECT_CAWP_RESOURCE_TPHASE.LAST_MODIFIED_DATE</v>
      </c>
      <c r="X610" t="str">
        <f>VLOOKUP(W610,ColumnMapping[New Table.Column],1,)</f>
        <v>PROJECT_CAWP_RESOURCE_TPHASE.LAST_MODIFIED_DATE</v>
      </c>
      <c r="Y610" t="str">
        <f>_xlfn.XLOOKUP(Table6[[#This Row],[Table.Column]],ColumnMapping[Add Column Name],ColumnMapping[Old Table.Column],"",0,1)</f>
        <v/>
      </c>
      <c r="Z610" t="str">
        <f>_xlfn.XLOOKUP(Table6[[#This Row],[Old Table.Column]],Cobra8.6[Table.Column],Cobra8.6[TYPE],"",0,1)</f>
        <v/>
      </c>
      <c r="AA610" t="str">
        <f>_xlfn.XLOOKUP(Table6[[#This Row],[Old Table.Column]],Cobra8.6[Table.Column],Cobra8.6[LENGTH],"",0,1)</f>
        <v/>
      </c>
      <c r="AB610"/>
    </row>
    <row r="611" spans="1:28" hidden="1" x14ac:dyDescent="0.2">
      <c r="A611" t="s">
        <v>450</v>
      </c>
      <c r="B611" s="17" t="s">
        <v>1104</v>
      </c>
      <c r="C611" s="17" t="s">
        <v>744</v>
      </c>
      <c r="D611" s="17">
        <v>29</v>
      </c>
      <c r="E611" s="17" t="s">
        <v>48</v>
      </c>
      <c r="F611" t="str">
        <f>VLOOKUP($E611,'Data Type Lookup'!$A$1:$C$21,2,FALSE)</f>
        <v>NVARCHAR2</v>
      </c>
      <c r="G611" s="17">
        <v>22</v>
      </c>
      <c r="H611" s="17"/>
      <c r="I611" s="29"/>
      <c r="J611" s="29"/>
      <c r="K611" s="29"/>
      <c r="L611" s="29"/>
      <c r="M611" s="17"/>
      <c r="N611" s="17"/>
      <c r="O611" s="17"/>
      <c r="P611" s="17" t="s">
        <v>745</v>
      </c>
      <c r="Q611" s="17" t="str">
        <f t="shared" ref="Q611:Q623" si="15">IF(C611="","",LOWER(LEFT(TRIM(C611),FIND("_",TRIM(C611)&amp;"_")-1))&amp;SUBSTITUTE(PROPER(SUBSTITUTE(MID(TRIM(C611),FIND("_",TRIM(C611)&amp;"_"),LEN(TRIM(C611))),"_"," "))," ",""))</f>
        <v>program</v>
      </c>
      <c r="R611" t="str">
        <f>VLOOKUP(E611,'Data Type Lookup'!$A$1:$C$21,3,FALSE)</f>
        <v>String</v>
      </c>
      <c r="S611" s="17"/>
      <c r="W611" t="str">
        <f t="shared" si="14"/>
        <v>PROJECT_CAWP_RESOURCE_TPHASE.PROGRAM</v>
      </c>
      <c r="X611" t="e">
        <f>VLOOKUP(W611,ColumnMapping[New Table.Column],1,)</f>
        <v>#N/A</v>
      </c>
      <c r="Y611" t="str">
        <f>_xlfn.XLOOKUP(Table6[[#This Row],[Table.Column]],ColumnMapping[Add Column Name],ColumnMapping[Old Table.Column],"",0,1)</f>
        <v>TPHASE.PROGRAM</v>
      </c>
      <c r="Z611" t="str">
        <f>_xlfn.XLOOKUP(Table6[[#This Row],[Old Table.Column]],Cobra8.6[Table.Column],Cobra8.6[TYPE],"",0,1)</f>
        <v>TEXT</v>
      </c>
      <c r="AA611">
        <f>_xlfn.XLOOKUP(Table6[[#This Row],[Old Table.Column]],Cobra8.6[Table.Column],Cobra8.6[LENGTH],"",0,1)</f>
        <v>22</v>
      </c>
      <c r="AB611" t="s">
        <v>32</v>
      </c>
    </row>
    <row r="612" spans="1:28" hidden="1" x14ac:dyDescent="0.2">
      <c r="A612" t="s">
        <v>450</v>
      </c>
      <c r="B612" s="17" t="s">
        <v>1104</v>
      </c>
      <c r="C612" s="17" t="s">
        <v>1100</v>
      </c>
      <c r="D612" s="17">
        <v>30</v>
      </c>
      <c r="E612" s="17" t="s">
        <v>48</v>
      </c>
      <c r="F612" t="str">
        <f>VLOOKUP($E612,'Data Type Lookup'!$A$1:$C$21,2,FALSE)</f>
        <v>NVARCHAR2</v>
      </c>
      <c r="G612" s="17">
        <v>20</v>
      </c>
      <c r="H612" s="17"/>
      <c r="I612" s="29"/>
      <c r="J612" s="29"/>
      <c r="K612" s="29"/>
      <c r="L612" s="29"/>
      <c r="M612" s="17"/>
      <c r="N612" s="17"/>
      <c r="O612" s="17"/>
      <c r="P612" s="17" t="s">
        <v>1178</v>
      </c>
      <c r="Q612" s="17" t="str">
        <f t="shared" si="15"/>
        <v>class</v>
      </c>
      <c r="R612" t="str">
        <f>VLOOKUP(E612,'Data Type Lookup'!$A$1:$C$21,3,FALSE)</f>
        <v>String</v>
      </c>
      <c r="S612" s="17"/>
      <c r="W612" t="str">
        <f t="shared" si="14"/>
        <v>PROJECT_CAWP_RESOURCE_TPHASE.CLASS</v>
      </c>
      <c r="X612" t="e">
        <f>VLOOKUP(W612,ColumnMapping[New Table.Column],1,)</f>
        <v>#N/A</v>
      </c>
      <c r="Y612" t="str">
        <f>_xlfn.XLOOKUP(Table6[[#This Row],[Table.Column]],ColumnMapping[Add Column Name],ColumnMapping[Old Table.Column],"",0,1)</f>
        <v>TPHASE.CLASS</v>
      </c>
      <c r="Z612" t="str">
        <f>_xlfn.XLOOKUP(Table6[[#This Row],[Old Table.Column]],Cobra8.6[Table.Column],Cobra8.6[TYPE],"",0,1)</f>
        <v>TEXT</v>
      </c>
      <c r="AA612">
        <f>_xlfn.XLOOKUP(Table6[[#This Row],[Old Table.Column]],Cobra8.6[Table.Column],Cobra8.6[LENGTH],"",0,1)</f>
        <v>20</v>
      </c>
      <c r="AB612" t="s">
        <v>32</v>
      </c>
    </row>
    <row r="613" spans="1:28" hidden="1" x14ac:dyDescent="0.2">
      <c r="A613" t="s">
        <v>450</v>
      </c>
      <c r="B613" s="17" t="s">
        <v>1104</v>
      </c>
      <c r="C613" s="17" t="s">
        <v>1098</v>
      </c>
      <c r="D613" s="17">
        <v>31</v>
      </c>
      <c r="E613" s="17" t="s">
        <v>48</v>
      </c>
      <c r="F613" t="str">
        <f>VLOOKUP($E613,'Data Type Lookup'!$A$1:$C$21,2,FALSE)</f>
        <v>NVARCHAR2</v>
      </c>
      <c r="G613" s="17">
        <v>59</v>
      </c>
      <c r="H613" s="17"/>
      <c r="I613" s="29"/>
      <c r="J613" s="29"/>
      <c r="K613" s="29"/>
      <c r="L613" s="29"/>
      <c r="M613" s="17"/>
      <c r="N613" s="17"/>
      <c r="O613" s="17"/>
      <c r="P613" s="17" t="s">
        <v>1179</v>
      </c>
      <c r="Q613" s="17" t="str">
        <f t="shared" si="15"/>
        <v>cecode</v>
      </c>
      <c r="R613" t="str">
        <f>VLOOKUP(E613,'Data Type Lookup'!$A$1:$C$21,3,FALSE)</f>
        <v>String</v>
      </c>
      <c r="S613" s="17"/>
      <c r="W613" t="str">
        <f t="shared" si="14"/>
        <v>PROJECT_CAWP_RESOURCE_TPHASE.CECODE</v>
      </c>
      <c r="X613" t="e">
        <f>VLOOKUP(W613,ColumnMapping[New Table.Column],1,)</f>
        <v>#N/A</v>
      </c>
      <c r="Y613" t="str">
        <f>_xlfn.XLOOKUP(Table6[[#This Row],[Table.Column]],ColumnMapping[Add Column Name],ColumnMapping[Old Table.Column],"",0,1)</f>
        <v>TPHASE.CECODE</v>
      </c>
      <c r="Z613" t="str">
        <f>_xlfn.XLOOKUP(Table6[[#This Row],[Old Table.Column]],Cobra8.6[Table.Column],Cobra8.6[TYPE],"",0,1)</f>
        <v>TEXT</v>
      </c>
      <c r="AA613">
        <f>_xlfn.XLOOKUP(Table6[[#This Row],[Old Table.Column]],Cobra8.6[Table.Column],Cobra8.6[LENGTH],"",0,1)</f>
        <v>59</v>
      </c>
      <c r="AB613" t="s">
        <v>32</v>
      </c>
    </row>
    <row r="614" spans="1:28" hidden="1" x14ac:dyDescent="0.2">
      <c r="A614" t="s">
        <v>450</v>
      </c>
      <c r="B614" s="17" t="s">
        <v>1104</v>
      </c>
      <c r="C614" s="17" t="s">
        <v>611</v>
      </c>
      <c r="D614" s="17">
        <v>32</v>
      </c>
      <c r="E614" t="s">
        <v>567</v>
      </c>
      <c r="F614" t="str">
        <f>VLOOKUP($E614,'Data Type Lookup'!$A$1:$C$21,2,FALSE)</f>
        <v>NUMBER(10,0)</v>
      </c>
      <c r="G614" s="17"/>
      <c r="H614" s="17"/>
      <c r="I614" s="29"/>
      <c r="J614" s="29">
        <v>0</v>
      </c>
      <c r="K614" s="29"/>
      <c r="L614" s="29"/>
      <c r="M614" s="17"/>
      <c r="N614" s="17"/>
      <c r="O614" s="17"/>
      <c r="P614" s="17" t="s">
        <v>612</v>
      </c>
      <c r="Q614" s="17" t="str">
        <f t="shared" si="15"/>
        <v>batchno</v>
      </c>
      <c r="R614" t="str">
        <f>VLOOKUP(E614,'Data Type Lookup'!$A$1:$C$21,3,FALSE)</f>
        <v>Integer</v>
      </c>
      <c r="S614" s="17"/>
      <c r="W614" t="str">
        <f t="shared" si="14"/>
        <v>PROJECT_CAWP_RESOURCE_TPHASE.BATCHNO</v>
      </c>
      <c r="X614" t="e">
        <f>VLOOKUP(W614,ColumnMapping[New Table.Column],1,)</f>
        <v>#N/A</v>
      </c>
      <c r="Y614" t="str">
        <f>_xlfn.XLOOKUP(Table6[[#This Row],[Table.Column]],ColumnMapping[Add Column Name],ColumnMapping[Old Table.Column],"",0,1)</f>
        <v>TPHASE.BATCHNO</v>
      </c>
      <c r="Z614" t="str">
        <f>_xlfn.XLOOKUP(Table6[[#This Row],[Old Table.Column]],Cobra8.6[Table.Column],Cobra8.6[TYPE],"",0,1)</f>
        <v>INTE</v>
      </c>
      <c r="AA614">
        <f>_xlfn.XLOOKUP(Table6[[#This Row],[Old Table.Column]],Cobra8.6[Table.Column],Cobra8.6[LENGTH],"",0,1)</f>
        <v>-1</v>
      </c>
      <c r="AB614" t="s">
        <v>32</v>
      </c>
    </row>
    <row r="615" spans="1:28" hidden="1" x14ac:dyDescent="0.2">
      <c r="A615" t="s">
        <v>450</v>
      </c>
      <c r="B615" s="17" t="s">
        <v>1104</v>
      </c>
      <c r="C615" s="39" t="s">
        <v>1009</v>
      </c>
      <c r="D615" s="39">
        <v>33</v>
      </c>
      <c r="E615" s="39" t="s">
        <v>36</v>
      </c>
      <c r="F615" s="39" t="s">
        <v>768</v>
      </c>
      <c r="G615" s="39"/>
      <c r="H615" s="39"/>
      <c r="I615" s="47"/>
      <c r="J615" s="47">
        <v>0</v>
      </c>
      <c r="K615" s="47"/>
      <c r="L615" s="47"/>
      <c r="M615" s="39"/>
      <c r="N615" s="39"/>
      <c r="O615" s="39"/>
      <c r="P615" s="39" t="s">
        <v>1010</v>
      </c>
      <c r="Q615" s="17" t="str">
        <f t="shared" si="15"/>
        <v>cawpid</v>
      </c>
      <c r="R615" t="str">
        <f>VLOOKUP(E615,'Data Type Lookup'!$A$1:$C$21,3,FALSE)</f>
        <v>Long</v>
      </c>
      <c r="S615" s="39"/>
      <c r="W615" t="str">
        <f t="shared" si="14"/>
        <v>PROJECT_CAWP_RESOURCE_TPHASE.CAWPID</v>
      </c>
      <c r="X615" t="e">
        <f>VLOOKUP(W615,ColumnMapping[New Table.Column],1,)</f>
        <v>#N/A</v>
      </c>
      <c r="Y615" t="str">
        <f>_xlfn.XLOOKUP(Table6[[#This Row],[Table.Column]],ColumnMapping[Add Column Name],ColumnMapping[Old Table.Column],"",0,1)</f>
        <v/>
      </c>
      <c r="Z615" t="str">
        <f>_xlfn.XLOOKUP(Table6[[#This Row],[Old Table.Column]],Cobra8.6[Table.Column],Cobra8.6[TYPE],"",0,1)</f>
        <v/>
      </c>
      <c r="AA615" t="str">
        <f>_xlfn.XLOOKUP(Table6[[#This Row],[Old Table.Column]],Cobra8.6[Table.Column],Cobra8.6[LENGTH],"",0,1)</f>
        <v/>
      </c>
      <c r="AB615" t="s">
        <v>32</v>
      </c>
    </row>
    <row r="616" spans="1:28" hidden="1" x14ac:dyDescent="0.2">
      <c r="A616" t="s">
        <v>450</v>
      </c>
      <c r="B616" s="17" t="s">
        <v>1104</v>
      </c>
      <c r="C616" s="14" t="s">
        <v>1180</v>
      </c>
      <c r="D616" s="39">
        <v>34</v>
      </c>
      <c r="E616" s="39" t="s">
        <v>36</v>
      </c>
      <c r="F616" s="39" t="s">
        <v>768</v>
      </c>
      <c r="G616" s="39"/>
      <c r="H616" s="39"/>
      <c r="I616" s="47"/>
      <c r="J616" s="47">
        <v>0</v>
      </c>
      <c r="K616" s="47"/>
      <c r="L616" s="47"/>
      <c r="M616" s="39"/>
      <c r="N616" s="39"/>
      <c r="O616" s="39"/>
      <c r="P616" s="39" t="s">
        <v>1181</v>
      </c>
      <c r="Q616" s="17" t="str">
        <f t="shared" si="15"/>
        <v>com</v>
      </c>
      <c r="R616" t="str">
        <f>VLOOKUP(E616,'Data Type Lookup'!$A$1:$C$21,3,FALSE)</f>
        <v>Long</v>
      </c>
      <c r="S616" s="39"/>
      <c r="W616" t="str">
        <f t="shared" si="14"/>
        <v>PROJECT_CAWP_RESOURCE_TPHASE.COM</v>
      </c>
      <c r="X616" t="e">
        <f>VLOOKUP(W616,ColumnMapping[New Table.Column],1,)</f>
        <v>#N/A</v>
      </c>
      <c r="Y616" t="str">
        <f>_xlfn.XLOOKUP(Table6[[#This Row],[Table.Column]],ColumnMapping[Add Column Name],ColumnMapping[Old Table.Column],"",0,1)</f>
        <v>TPHASE.COM</v>
      </c>
      <c r="Z616" t="str">
        <f>_xlfn.XLOOKUP(Table6[[#This Row],[Old Table.Column]],Cobra8.6[Table.Column],Cobra8.6[TYPE],"",0,1)</f>
        <v>DEC</v>
      </c>
      <c r="AA616">
        <f>_xlfn.XLOOKUP(Table6[[#This Row],[Old Table.Column]],Cobra8.6[Table.Column],Cobra8.6[LENGTH],"",0,1)</f>
        <v>21</v>
      </c>
      <c r="AB616" t="s">
        <v>32</v>
      </c>
    </row>
    <row r="617" spans="1:28" hidden="1" x14ac:dyDescent="0.2">
      <c r="A617" t="s">
        <v>450</v>
      </c>
      <c r="B617" s="17" t="s">
        <v>1104</v>
      </c>
      <c r="C617" s="14" t="s">
        <v>1182</v>
      </c>
      <c r="D617" s="39">
        <v>35</v>
      </c>
      <c r="E617" s="39" t="s">
        <v>36</v>
      </c>
      <c r="F617" s="39" t="s">
        <v>768</v>
      </c>
      <c r="G617" s="39"/>
      <c r="H617" s="39"/>
      <c r="I617" s="47"/>
      <c r="J617" s="47">
        <v>0</v>
      </c>
      <c r="K617" s="47"/>
      <c r="L617" s="47"/>
      <c r="M617" s="39"/>
      <c r="N617" s="39"/>
      <c r="O617" s="39"/>
      <c r="P617" s="39" t="s">
        <v>1183</v>
      </c>
      <c r="Q617" s="17" t="str">
        <f t="shared" si="15"/>
        <v>direct</v>
      </c>
      <c r="R617" t="str">
        <f>VLOOKUP(E617,'Data Type Lookup'!$A$1:$C$21,3,FALSE)</f>
        <v>Long</v>
      </c>
      <c r="S617" s="39"/>
      <c r="W617" t="str">
        <f t="shared" si="14"/>
        <v>PROJECT_CAWP_RESOURCE_TPHASE.DIRECT</v>
      </c>
      <c r="X617" t="e">
        <f>VLOOKUP(W617,ColumnMapping[New Table.Column],1,)</f>
        <v>#N/A</v>
      </c>
      <c r="Y617" t="str">
        <f>_xlfn.XLOOKUP(Table6[[#This Row],[Table.Column]],ColumnMapping[Add Column Name],ColumnMapping[Old Table.Column],"",0,1)</f>
        <v>TPHASE.DIRECT</v>
      </c>
      <c r="Z617" t="str">
        <f>_xlfn.XLOOKUP(Table6[[#This Row],[Old Table.Column]],Cobra8.6[Table.Column],Cobra8.6[TYPE],"",0,1)</f>
        <v>DEC</v>
      </c>
      <c r="AA617">
        <f>_xlfn.XLOOKUP(Table6[[#This Row],[Old Table.Column]],Cobra8.6[Table.Column],Cobra8.6[LENGTH],"",0,1)</f>
        <v>21</v>
      </c>
      <c r="AB617" t="s">
        <v>32</v>
      </c>
    </row>
    <row r="618" spans="1:28" hidden="1" x14ac:dyDescent="0.2">
      <c r="A618" t="s">
        <v>450</v>
      </c>
      <c r="B618" s="17" t="s">
        <v>1104</v>
      </c>
      <c r="C618" s="14" t="s">
        <v>525</v>
      </c>
      <c r="D618" s="39">
        <v>36</v>
      </c>
      <c r="E618" s="39" t="s">
        <v>36</v>
      </c>
      <c r="F618" s="39" t="s">
        <v>768</v>
      </c>
      <c r="G618" s="39"/>
      <c r="H618" s="39"/>
      <c r="I618" s="47"/>
      <c r="J618" s="47">
        <v>0</v>
      </c>
      <c r="K618" s="47"/>
      <c r="L618" s="47"/>
      <c r="M618" s="39"/>
      <c r="N618" s="39"/>
      <c r="O618" s="39"/>
      <c r="P618" s="39" t="s">
        <v>1184</v>
      </c>
      <c r="Q618" s="17" t="str">
        <f t="shared" si="15"/>
        <v>fee</v>
      </c>
      <c r="R618" t="str">
        <f>VLOOKUP(E618,'Data Type Lookup'!$A$1:$C$21,3,FALSE)</f>
        <v>Long</v>
      </c>
      <c r="S618" s="39"/>
      <c r="W618" t="str">
        <f t="shared" si="14"/>
        <v>PROJECT_CAWP_RESOURCE_TPHASE.FEE</v>
      </c>
      <c r="X618" t="e">
        <f>VLOOKUP(W618,ColumnMapping[New Table.Column],1,)</f>
        <v>#N/A</v>
      </c>
      <c r="Y618" t="str">
        <f>_xlfn.XLOOKUP(Table6[[#This Row],[Table.Column]],ColumnMapping[Add Column Name],ColumnMapping[Old Table.Column],"",0,1)</f>
        <v>TPHASE.FEE</v>
      </c>
      <c r="Z618" t="str">
        <f>_xlfn.XLOOKUP(Table6[[#This Row],[Old Table.Column]],Cobra8.6[Table.Column],Cobra8.6[TYPE],"",0,1)</f>
        <v>DEC</v>
      </c>
      <c r="AA618">
        <f>_xlfn.XLOOKUP(Table6[[#This Row],[Old Table.Column]],Cobra8.6[Table.Column],Cobra8.6[LENGTH],"",0,1)</f>
        <v>21</v>
      </c>
      <c r="AB618" t="s">
        <v>32</v>
      </c>
    </row>
    <row r="619" spans="1:28" hidden="1" x14ac:dyDescent="0.2">
      <c r="A619" t="s">
        <v>450</v>
      </c>
      <c r="B619" s="17" t="s">
        <v>1104</v>
      </c>
      <c r="C619" s="14" t="s">
        <v>1185</v>
      </c>
      <c r="D619" s="39">
        <v>37</v>
      </c>
      <c r="E619" s="39" t="s">
        <v>36</v>
      </c>
      <c r="F619" s="39" t="s">
        <v>768</v>
      </c>
      <c r="G619" s="39"/>
      <c r="H619" s="39"/>
      <c r="I619" s="47"/>
      <c r="J619" s="47">
        <v>0</v>
      </c>
      <c r="K619" s="47"/>
      <c r="L619" s="47"/>
      <c r="M619" s="39"/>
      <c r="N619" s="39"/>
      <c r="O619" s="39"/>
      <c r="P619" s="39" t="s">
        <v>1186</v>
      </c>
      <c r="Q619" s="17" t="str">
        <f t="shared" si="15"/>
        <v>fringe</v>
      </c>
      <c r="R619" t="str">
        <f>VLOOKUP(E619,'Data Type Lookup'!$A$1:$C$21,3,FALSE)</f>
        <v>Long</v>
      </c>
      <c r="S619" s="39"/>
      <c r="W619" t="str">
        <f t="shared" si="14"/>
        <v>PROJECT_CAWP_RESOURCE_TPHASE.FRINGE</v>
      </c>
      <c r="X619" t="e">
        <f>VLOOKUP(W619,ColumnMapping[New Table.Column],1,)</f>
        <v>#N/A</v>
      </c>
      <c r="Y619" t="str">
        <f>_xlfn.XLOOKUP(Table6[[#This Row],[Table.Column]],ColumnMapping[Add Column Name],ColumnMapping[Old Table.Column],"",0,1)</f>
        <v>TPHASE.FRINGE</v>
      </c>
      <c r="Z619" t="str">
        <f>_xlfn.XLOOKUP(Table6[[#This Row],[Old Table.Column]],Cobra8.6[Table.Column],Cobra8.6[TYPE],"",0,1)</f>
        <v>DEC</v>
      </c>
      <c r="AA619">
        <f>_xlfn.XLOOKUP(Table6[[#This Row],[Old Table.Column]],Cobra8.6[Table.Column],Cobra8.6[LENGTH],"",0,1)</f>
        <v>21</v>
      </c>
      <c r="AB619" t="s">
        <v>32</v>
      </c>
    </row>
    <row r="620" spans="1:28" hidden="1" x14ac:dyDescent="0.2">
      <c r="A620" t="s">
        <v>450</v>
      </c>
      <c r="B620" s="17" t="s">
        <v>1104</v>
      </c>
      <c r="C620" s="14" t="s">
        <v>1187</v>
      </c>
      <c r="D620" s="39">
        <v>38</v>
      </c>
      <c r="E620" s="39" t="s">
        <v>36</v>
      </c>
      <c r="F620" s="39" t="s">
        <v>768</v>
      </c>
      <c r="G620" s="39"/>
      <c r="H620" s="39"/>
      <c r="I620" s="47"/>
      <c r="J620" s="47">
        <v>0</v>
      </c>
      <c r="K620" s="47"/>
      <c r="L620" s="47"/>
      <c r="M620" s="39"/>
      <c r="N620" s="39"/>
      <c r="O620" s="39"/>
      <c r="P620" s="39" t="s">
        <v>1188</v>
      </c>
      <c r="Q620" s="17" t="str">
        <f t="shared" si="15"/>
        <v>fte</v>
      </c>
      <c r="R620" t="str">
        <f>VLOOKUP(E620,'Data Type Lookup'!$A$1:$C$21,3,FALSE)</f>
        <v>Long</v>
      </c>
      <c r="S620" s="39"/>
      <c r="W620" t="str">
        <f t="shared" si="14"/>
        <v>PROJECT_CAWP_RESOURCE_TPHASE.FTE</v>
      </c>
      <c r="X620" t="e">
        <f>VLOOKUP(W620,ColumnMapping[New Table.Column],1,)</f>
        <v>#N/A</v>
      </c>
      <c r="Y620" t="str">
        <f>_xlfn.XLOOKUP(Table6[[#This Row],[Table.Column]],ColumnMapping[Add Column Name],ColumnMapping[Old Table.Column],"",0,1)</f>
        <v>TPHASE.FTE</v>
      </c>
      <c r="Z620" t="str">
        <f>_xlfn.XLOOKUP(Table6[[#This Row],[Old Table.Column]],Cobra8.6[Table.Column],Cobra8.6[TYPE],"",0,1)</f>
        <v>DEC</v>
      </c>
      <c r="AA620">
        <f>_xlfn.XLOOKUP(Table6[[#This Row],[Old Table.Column]],Cobra8.6[Table.Column],Cobra8.6[LENGTH],"",0,1)</f>
        <v>21</v>
      </c>
      <c r="AB620" t="s">
        <v>32</v>
      </c>
    </row>
    <row r="621" spans="1:28" hidden="1" x14ac:dyDescent="0.2">
      <c r="A621" t="s">
        <v>450</v>
      </c>
      <c r="B621" s="17" t="s">
        <v>1104</v>
      </c>
      <c r="C621" s="14" t="s">
        <v>1189</v>
      </c>
      <c r="D621" s="39">
        <v>39</v>
      </c>
      <c r="E621" s="39" t="s">
        <v>36</v>
      </c>
      <c r="F621" s="39" t="s">
        <v>768</v>
      </c>
      <c r="G621" s="39"/>
      <c r="H621" s="39"/>
      <c r="I621" s="47"/>
      <c r="J621" s="47">
        <v>0</v>
      </c>
      <c r="K621" s="47"/>
      <c r="L621" s="47"/>
      <c r="M621" s="39"/>
      <c r="N621" s="39"/>
      <c r="O621" s="39"/>
      <c r="P621" s="39" t="s">
        <v>1190</v>
      </c>
      <c r="Q621" s="17" t="str">
        <f t="shared" si="15"/>
        <v>ganda</v>
      </c>
      <c r="R621" t="str">
        <f>VLOOKUP(E621,'Data Type Lookup'!$A$1:$C$21,3,FALSE)</f>
        <v>Long</v>
      </c>
      <c r="S621" s="39"/>
      <c r="W621" t="str">
        <f t="shared" si="14"/>
        <v>PROJECT_CAWP_RESOURCE_TPHASE.GANDA</v>
      </c>
      <c r="X621" t="e">
        <f>VLOOKUP(W621,ColumnMapping[New Table.Column],1,)</f>
        <v>#N/A</v>
      </c>
      <c r="Y621" t="str">
        <f>_xlfn.XLOOKUP(Table6[[#This Row],[Table.Column]],ColumnMapping[Add Column Name],ColumnMapping[Old Table.Column],"",0,1)</f>
        <v>TPHASE.GANDA</v>
      </c>
      <c r="Z621" t="str">
        <f>_xlfn.XLOOKUP(Table6[[#This Row],[Old Table.Column]],Cobra8.6[Table.Column],Cobra8.6[TYPE],"",0,1)</f>
        <v>DEC</v>
      </c>
      <c r="AA621">
        <f>_xlfn.XLOOKUP(Table6[[#This Row],[Old Table.Column]],Cobra8.6[Table.Column],Cobra8.6[LENGTH],"",0,1)</f>
        <v>21</v>
      </c>
      <c r="AB621" t="s">
        <v>32</v>
      </c>
    </row>
    <row r="622" spans="1:28" hidden="1" x14ac:dyDescent="0.2">
      <c r="A622" t="s">
        <v>450</v>
      </c>
      <c r="B622" s="17" t="s">
        <v>1104</v>
      </c>
      <c r="C622" s="14" t="s">
        <v>299</v>
      </c>
      <c r="D622" s="39">
        <v>40</v>
      </c>
      <c r="E622" s="39" t="s">
        <v>36</v>
      </c>
      <c r="F622" s="39" t="s">
        <v>768</v>
      </c>
      <c r="G622" s="39"/>
      <c r="H622" s="39"/>
      <c r="I622" s="47"/>
      <c r="J622" s="47">
        <v>0</v>
      </c>
      <c r="K622" s="47"/>
      <c r="L622" s="47"/>
      <c r="M622" s="39"/>
      <c r="N622" s="39"/>
      <c r="O622" s="39"/>
      <c r="P622" s="39" t="s">
        <v>1191</v>
      </c>
      <c r="Q622" s="17" t="str">
        <f t="shared" si="15"/>
        <v>hours</v>
      </c>
      <c r="R622" t="str">
        <f>VLOOKUP(E622,'Data Type Lookup'!$A$1:$C$21,3,FALSE)</f>
        <v>Long</v>
      </c>
      <c r="S622" s="39"/>
      <c r="W622" t="str">
        <f t="shared" si="14"/>
        <v>PROJECT_CAWP_RESOURCE_TPHASE.HOURS</v>
      </c>
      <c r="X622" t="e">
        <f>VLOOKUP(W622,ColumnMapping[New Table.Column],1,)</f>
        <v>#N/A</v>
      </c>
      <c r="Y622" t="str">
        <f>_xlfn.XLOOKUP(Table6[[#This Row],[Table.Column]],ColumnMapping[Add Column Name],ColumnMapping[Old Table.Column],"",0,1)</f>
        <v>TPHASE.HOURS</v>
      </c>
      <c r="Z622" t="str">
        <f>_xlfn.XLOOKUP(Table6[[#This Row],[Old Table.Column]],Cobra8.6[Table.Column],Cobra8.6[TYPE],"",0,1)</f>
        <v>DEC</v>
      </c>
      <c r="AA622">
        <f>_xlfn.XLOOKUP(Table6[[#This Row],[Old Table.Column]],Cobra8.6[Table.Column],Cobra8.6[LENGTH],"",0,1)</f>
        <v>21</v>
      </c>
      <c r="AB622" t="s">
        <v>32</v>
      </c>
    </row>
    <row r="623" spans="1:28" hidden="1" x14ac:dyDescent="0.2">
      <c r="A623" t="s">
        <v>450</v>
      </c>
      <c r="B623" s="17" t="s">
        <v>1104</v>
      </c>
      <c r="C623" s="14" t="s">
        <v>1192</v>
      </c>
      <c r="D623" s="39">
        <v>41</v>
      </c>
      <c r="E623" s="39" t="s">
        <v>36</v>
      </c>
      <c r="F623" s="39" t="s">
        <v>768</v>
      </c>
      <c r="G623" s="39"/>
      <c r="H623" s="39"/>
      <c r="I623" s="47"/>
      <c r="J623" s="47">
        <v>0</v>
      </c>
      <c r="K623" s="47"/>
      <c r="L623" s="47"/>
      <c r="M623" s="39"/>
      <c r="N623" s="39"/>
      <c r="O623" s="39"/>
      <c r="P623" s="39" t="s">
        <v>1193</v>
      </c>
      <c r="Q623" s="17" t="str">
        <f t="shared" si="15"/>
        <v>overhead</v>
      </c>
      <c r="R623" t="str">
        <f>VLOOKUP(E623,'Data Type Lookup'!$A$1:$C$21,3,FALSE)</f>
        <v>Long</v>
      </c>
      <c r="S623" s="39"/>
      <c r="W623" t="str">
        <f t="shared" si="14"/>
        <v>PROJECT_CAWP_RESOURCE_TPHASE.OVERHEAD</v>
      </c>
      <c r="X623" t="e">
        <f>VLOOKUP(W623,ColumnMapping[New Table.Column],1,)</f>
        <v>#N/A</v>
      </c>
      <c r="Y623" t="str">
        <f>_xlfn.XLOOKUP(Table6[[#This Row],[Table.Column]],ColumnMapping[Add Column Name],ColumnMapping[Old Table.Column],"",0,1)</f>
        <v>TPHASE.OVERHEAD</v>
      </c>
      <c r="Z623" t="str">
        <f>_xlfn.XLOOKUP(Table6[[#This Row],[Old Table.Column]],Cobra8.6[Table.Column],Cobra8.6[TYPE],"",0,1)</f>
        <v>DEC</v>
      </c>
      <c r="AA623">
        <f>_xlfn.XLOOKUP(Table6[[#This Row],[Old Table.Column]],Cobra8.6[Table.Column],Cobra8.6[LENGTH],"",0,1)</f>
        <v>21</v>
      </c>
      <c r="AB623" t="s">
        <v>32</v>
      </c>
    </row>
    <row r="624" spans="1:28" x14ac:dyDescent="0.2">
      <c r="A624" t="s">
        <v>450</v>
      </c>
      <c r="B624" t="s">
        <v>1194</v>
      </c>
      <c r="C624" t="s">
        <v>30</v>
      </c>
      <c r="D624">
        <v>1</v>
      </c>
      <c r="E624" t="s">
        <v>31</v>
      </c>
      <c r="F624" t="str">
        <f>VLOOKUP($E624,'Data Type Lookup'!$A$1:$C$21,2,FALSE)</f>
        <v>RAW(16)</v>
      </c>
      <c r="H624" s="2"/>
      <c r="I624" s="32" t="s">
        <v>32</v>
      </c>
      <c r="J624" s="38"/>
      <c r="K624" s="32" t="s">
        <v>32</v>
      </c>
      <c r="M624" t="s">
        <v>879</v>
      </c>
      <c r="N624" t="s">
        <v>30</v>
      </c>
      <c r="O624" t="s">
        <v>1195</v>
      </c>
      <c r="P624" t="s">
        <v>2621</v>
      </c>
      <c r="Q624" t="s">
        <v>34</v>
      </c>
      <c r="R624" t="str">
        <f>VLOOKUP(E624,'Data Type Lookup'!$A$1:$C$21,3,FALSE)</f>
        <v>java.util.UUID</v>
      </c>
      <c r="S624">
        <v>3</v>
      </c>
      <c r="U624" s="2"/>
      <c r="V624" s="8"/>
      <c r="W624" t="str">
        <f t="shared" si="14"/>
        <v>PROJECT_CAWP_TOTAL.ROW_UID</v>
      </c>
      <c r="X624" t="str">
        <f>VLOOKUP(W624,ColumnMapping[New Table.Column],1,)</f>
        <v>PROJECT_CAWP_TOTAL.ROW_UID</v>
      </c>
      <c r="Y624" t="str">
        <f>_xlfn.XLOOKUP(Table6[[#This Row],[Table.Column]],ColumnMapping[Add Column Name],ColumnMapping[Old Table.Column],"",0,1)</f>
        <v/>
      </c>
      <c r="Z624" t="str">
        <f>_xlfn.XLOOKUP(Table6[[#This Row],[Old Table.Column]],Cobra8.6[Table.Column],Cobra8.6[TYPE],"",0,1)</f>
        <v/>
      </c>
      <c r="AA624" t="str">
        <f>_xlfn.XLOOKUP(Table6[[#This Row],[Old Table.Column]],Cobra8.6[Table.Column],Cobra8.6[LENGTH],"",0,1)</f>
        <v/>
      </c>
      <c r="AB624"/>
    </row>
    <row r="625" spans="1:28" x14ac:dyDescent="0.2">
      <c r="A625" t="s">
        <v>450</v>
      </c>
      <c r="B625" t="s">
        <v>1194</v>
      </c>
      <c r="C625" t="s">
        <v>600</v>
      </c>
      <c r="D625">
        <v>3</v>
      </c>
      <c r="E625" t="s">
        <v>161</v>
      </c>
      <c r="F625" t="str">
        <f>VLOOKUP($E625,'Data Type Lookup'!$A$1:$C$21,2,FALSE)</f>
        <v>NUMBER(21,6)</v>
      </c>
      <c r="I625" s="32" t="s">
        <v>32</v>
      </c>
      <c r="J625" s="32">
        <v>0</v>
      </c>
      <c r="P625" t="s">
        <v>1196</v>
      </c>
      <c r="Q625" t="s">
        <v>839</v>
      </c>
      <c r="R625" t="str">
        <f>VLOOKUP(E625,'Data Type Lookup'!$A$1:$C$21,3,FALSE)</f>
        <v>java.math.BigDecimal</v>
      </c>
      <c r="W625" t="str">
        <f t="shared" si="14"/>
        <v>PROJECT_CAWP_TOTAL.ACWP</v>
      </c>
      <c r="X625" t="str">
        <f>VLOOKUP(W625,ColumnMapping[New Table.Column],1,)</f>
        <v>PROJECT_CAWP_TOTAL.ACWP</v>
      </c>
      <c r="Y625" t="str">
        <f>_xlfn.XLOOKUP(Table6[[#This Row],[Table.Column]],ColumnMapping[Add Column Name],ColumnMapping[Old Table.Column],"",0,1)</f>
        <v/>
      </c>
      <c r="Z625" t="str">
        <f>_xlfn.XLOOKUP(Table6[[#This Row],[Old Table.Column]],Cobra8.6[Table.Column],Cobra8.6[TYPE],"",0,1)</f>
        <v/>
      </c>
      <c r="AA625" t="str">
        <f>_xlfn.XLOOKUP(Table6[[#This Row],[Old Table.Column]],Cobra8.6[Table.Column],Cobra8.6[LENGTH],"",0,1)</f>
        <v/>
      </c>
      <c r="AB625"/>
    </row>
    <row r="626" spans="1:28" x14ac:dyDescent="0.2">
      <c r="A626" t="s">
        <v>450</v>
      </c>
      <c r="B626" t="s">
        <v>1194</v>
      </c>
      <c r="C626" t="s">
        <v>613</v>
      </c>
      <c r="D626">
        <v>4</v>
      </c>
      <c r="E626" t="s">
        <v>161</v>
      </c>
      <c r="F626" t="str">
        <f>VLOOKUP($E626,'Data Type Lookup'!$A$1:$C$21,2,FALSE)</f>
        <v>NUMBER(21,6)</v>
      </c>
      <c r="I626" s="32" t="s">
        <v>32</v>
      </c>
      <c r="J626" s="32">
        <v>0</v>
      </c>
      <c r="P626" t="s">
        <v>1197</v>
      </c>
      <c r="Q626" t="s">
        <v>838</v>
      </c>
      <c r="R626" t="str">
        <f>VLOOKUP(E626,'Data Type Lookup'!$A$1:$C$21,3,FALSE)</f>
        <v>java.math.BigDecimal</v>
      </c>
      <c r="W626" t="str">
        <f t="shared" si="14"/>
        <v>PROJECT_CAWP_TOTAL.BCWP</v>
      </c>
      <c r="X626" t="str">
        <f>VLOOKUP(W626,ColumnMapping[New Table.Column],1,)</f>
        <v>PROJECT_CAWP_TOTAL.BCWP</v>
      </c>
      <c r="Y626" t="str">
        <f>_xlfn.XLOOKUP(Table6[[#This Row],[Table.Column]],ColumnMapping[Add Column Name],ColumnMapping[Old Table.Column],"",0,1)</f>
        <v/>
      </c>
      <c r="Z626" t="str">
        <f>_xlfn.XLOOKUP(Table6[[#This Row],[Old Table.Column]],Cobra8.6[Table.Column],Cobra8.6[TYPE],"",0,1)</f>
        <v/>
      </c>
      <c r="AA626" t="str">
        <f>_xlfn.XLOOKUP(Table6[[#This Row],[Old Table.Column]],Cobra8.6[Table.Column],Cobra8.6[LENGTH],"",0,1)</f>
        <v/>
      </c>
      <c r="AB626"/>
    </row>
    <row r="627" spans="1:28" x14ac:dyDescent="0.2">
      <c r="A627" t="s">
        <v>450</v>
      </c>
      <c r="B627" t="s">
        <v>1194</v>
      </c>
      <c r="C627" t="s">
        <v>617</v>
      </c>
      <c r="D627">
        <v>5</v>
      </c>
      <c r="E627" t="s">
        <v>161</v>
      </c>
      <c r="F627" t="str">
        <f>VLOOKUP($E627,'Data Type Lookup'!$A$1:$C$21,2,FALSE)</f>
        <v>NUMBER(21,6)</v>
      </c>
      <c r="I627" s="32" t="s">
        <v>32</v>
      </c>
      <c r="J627" s="32">
        <v>0</v>
      </c>
      <c r="P627" t="s">
        <v>1198</v>
      </c>
      <c r="Q627" t="s">
        <v>837</v>
      </c>
      <c r="R627" t="str">
        <f>VLOOKUP(E627,'Data Type Lookup'!$A$1:$C$21,3,FALSE)</f>
        <v>java.math.BigDecimal</v>
      </c>
      <c r="W627" t="str">
        <f t="shared" si="14"/>
        <v>PROJECT_CAWP_TOTAL.BCWS</v>
      </c>
      <c r="X627" t="str">
        <f>VLOOKUP(W627,ColumnMapping[New Table.Column],1,)</f>
        <v>PROJECT_CAWP_TOTAL.BCWS</v>
      </c>
      <c r="Y627" t="str">
        <f>_xlfn.XLOOKUP(Table6[[#This Row],[Table.Column]],ColumnMapping[Add Column Name],ColumnMapping[Old Table.Column],"",0,1)</f>
        <v/>
      </c>
      <c r="Z627" t="str">
        <f>_xlfn.XLOOKUP(Table6[[#This Row],[Old Table.Column]],Cobra8.6[Table.Column],Cobra8.6[TYPE],"",0,1)</f>
        <v/>
      </c>
      <c r="AA627" t="str">
        <f>_xlfn.XLOOKUP(Table6[[#This Row],[Old Table.Column]],Cobra8.6[Table.Column],Cobra8.6[LENGTH],"",0,1)</f>
        <v/>
      </c>
      <c r="AB627"/>
    </row>
    <row r="628" spans="1:28" x14ac:dyDescent="0.2">
      <c r="A628" t="s">
        <v>450</v>
      </c>
      <c r="B628" t="s">
        <v>1194</v>
      </c>
      <c r="C628" t="s">
        <v>607</v>
      </c>
      <c r="D628">
        <v>6</v>
      </c>
      <c r="E628" t="s">
        <v>161</v>
      </c>
      <c r="F628" t="str">
        <f>VLOOKUP($E628,'Data Type Lookup'!$A$1:$C$21,2,FALSE)</f>
        <v>NUMBER(21,6)</v>
      </c>
      <c r="I628" s="32" t="s">
        <v>32</v>
      </c>
      <c r="J628" s="32">
        <v>0</v>
      </c>
      <c r="P628" t="s">
        <v>1199</v>
      </c>
      <c r="Q628" t="s">
        <v>836</v>
      </c>
      <c r="R628" t="str">
        <f>VLOOKUP(E628,'Data Type Lookup'!$A$1:$C$21,3,FALSE)</f>
        <v>java.math.BigDecimal</v>
      </c>
      <c r="W628" t="str">
        <f t="shared" si="14"/>
        <v>PROJECT_CAWP_TOTAL.BAC</v>
      </c>
      <c r="X628" t="str">
        <f>VLOOKUP(W628,ColumnMapping[New Table.Column],1,)</f>
        <v>PROJECT_CAWP_TOTAL.BAC</v>
      </c>
      <c r="Y628" t="str">
        <f>_xlfn.XLOOKUP(Table6[[#This Row],[Table.Column]],ColumnMapping[Add Column Name],ColumnMapping[Old Table.Column],"",0,1)</f>
        <v/>
      </c>
      <c r="Z628" t="str">
        <f>_xlfn.XLOOKUP(Table6[[#This Row],[Old Table.Column]],Cobra8.6[Table.Column],Cobra8.6[TYPE],"",0,1)</f>
        <v/>
      </c>
      <c r="AA628" t="str">
        <f>_xlfn.XLOOKUP(Table6[[#This Row],[Old Table.Column]],Cobra8.6[Table.Column],Cobra8.6[LENGTH],"",0,1)</f>
        <v/>
      </c>
      <c r="AB628"/>
    </row>
    <row r="629" spans="1:28" x14ac:dyDescent="0.2">
      <c r="A629" t="s">
        <v>450</v>
      </c>
      <c r="B629" t="s">
        <v>1194</v>
      </c>
      <c r="C629" t="s">
        <v>690</v>
      </c>
      <c r="D629">
        <v>7</v>
      </c>
      <c r="E629" t="s">
        <v>161</v>
      </c>
      <c r="F629" t="str">
        <f>VLOOKUP($E629,'Data Type Lookup'!$A$1:$C$21,2,FALSE)</f>
        <v>NUMBER(21,6)</v>
      </c>
      <c r="I629" s="32" t="s">
        <v>32</v>
      </c>
      <c r="J629" s="32">
        <v>0</v>
      </c>
      <c r="P629" t="s">
        <v>1200</v>
      </c>
      <c r="Q629" t="s">
        <v>826</v>
      </c>
      <c r="R629" t="str">
        <f>VLOOKUP(E629,'Data Type Lookup'!$A$1:$C$21,3,FALSE)</f>
        <v>java.math.BigDecimal</v>
      </c>
      <c r="W629" t="str">
        <f t="shared" si="14"/>
        <v>PROJECT_CAWP_TOTAL.EAC</v>
      </c>
      <c r="X629" t="str">
        <f>VLOOKUP(W629,ColumnMapping[New Table.Column],1,)</f>
        <v>PROJECT_CAWP_TOTAL.EAC</v>
      </c>
      <c r="Y629" t="str">
        <f>_xlfn.XLOOKUP(Table6[[#This Row],[Table.Column]],ColumnMapping[Add Column Name],ColumnMapping[Old Table.Column],"",0,1)</f>
        <v/>
      </c>
      <c r="Z629" t="str">
        <f>_xlfn.XLOOKUP(Table6[[#This Row],[Old Table.Column]],Cobra8.6[Table.Column],Cobra8.6[TYPE],"",0,1)</f>
        <v/>
      </c>
      <c r="AA629" t="str">
        <f>_xlfn.XLOOKUP(Table6[[#This Row],[Old Table.Column]],Cobra8.6[Table.Column],Cobra8.6[LENGTH],"",0,1)</f>
        <v/>
      </c>
      <c r="AB629"/>
    </row>
    <row r="630" spans="1:28" x14ac:dyDescent="0.2">
      <c r="A630" t="s">
        <v>450</v>
      </c>
      <c r="B630" t="s">
        <v>1194</v>
      </c>
      <c r="C630" t="s">
        <v>1013</v>
      </c>
      <c r="D630">
        <v>8</v>
      </c>
      <c r="E630" t="s">
        <v>161</v>
      </c>
      <c r="F630" t="str">
        <f>VLOOKUP($E630,'Data Type Lookup'!$A$1:$C$21,2,FALSE)</f>
        <v>NUMBER(21,6)</v>
      </c>
      <c r="I630" s="32" t="s">
        <v>32</v>
      </c>
      <c r="J630" s="32">
        <v>0</v>
      </c>
      <c r="P630" t="s">
        <v>1201</v>
      </c>
      <c r="Q630" t="s">
        <v>1202</v>
      </c>
      <c r="R630" t="str">
        <f>VLOOKUP(E630,'Data Type Lookup'!$A$1:$C$21,3,FALSE)</f>
        <v>java.math.BigDecimal</v>
      </c>
      <c r="W630" t="str">
        <f t="shared" si="14"/>
        <v>PROJECT_CAWP_TOTAL.EAC_NONLAB</v>
      </c>
      <c r="X630" t="str">
        <f>VLOOKUP(W630,ColumnMapping[New Table.Column],1,)</f>
        <v>PROJECT_CAWP_TOTAL.EAC_NONLAB</v>
      </c>
      <c r="Y630" t="str">
        <f>_xlfn.XLOOKUP(Table6[[#This Row],[Table.Column]],ColumnMapping[Add Column Name],ColumnMapping[Old Table.Column],"",0,1)</f>
        <v/>
      </c>
      <c r="Z630" t="str">
        <f>_xlfn.XLOOKUP(Table6[[#This Row],[Old Table.Column]],Cobra8.6[Table.Column],Cobra8.6[TYPE],"",0,1)</f>
        <v/>
      </c>
      <c r="AA630" t="str">
        <f>_xlfn.XLOOKUP(Table6[[#This Row],[Old Table.Column]],Cobra8.6[Table.Column],Cobra8.6[LENGTH],"",0,1)</f>
        <v/>
      </c>
      <c r="AB630"/>
    </row>
    <row r="631" spans="1:28" x14ac:dyDescent="0.2">
      <c r="A631" t="s">
        <v>450</v>
      </c>
      <c r="B631" t="s">
        <v>1194</v>
      </c>
      <c r="C631" t="s">
        <v>602</v>
      </c>
      <c r="D631">
        <v>9</v>
      </c>
      <c r="E631" t="s">
        <v>161</v>
      </c>
      <c r="F631" t="str">
        <f>VLOOKUP($E631,'Data Type Lookup'!$A$1:$C$21,2,FALSE)</f>
        <v>NUMBER(21,6)</v>
      </c>
      <c r="I631" s="32" t="s">
        <v>32</v>
      </c>
      <c r="J631" s="32">
        <v>0</v>
      </c>
      <c r="P631" t="s">
        <v>1203</v>
      </c>
      <c r="Q631" t="s">
        <v>842</v>
      </c>
      <c r="R631" t="str">
        <f>VLOOKUP(E631,'Data Type Lookup'!$A$1:$C$21,3,FALSE)</f>
        <v>java.math.BigDecimal</v>
      </c>
      <c r="W631" t="str">
        <f t="shared" si="14"/>
        <v>PROJECT_CAWP_TOTAL.ACWP_HRS</v>
      </c>
      <c r="X631" t="str">
        <f>VLOOKUP(W631,ColumnMapping[New Table.Column],1,)</f>
        <v>PROJECT_CAWP_TOTAL.ACWP_HRS</v>
      </c>
      <c r="Y631" t="str">
        <f>_xlfn.XLOOKUP(Table6[[#This Row],[Table.Column]],ColumnMapping[Add Column Name],ColumnMapping[Old Table.Column],"",0,1)</f>
        <v/>
      </c>
      <c r="Z631" t="str">
        <f>_xlfn.XLOOKUP(Table6[[#This Row],[Old Table.Column]],Cobra8.6[Table.Column],Cobra8.6[TYPE],"",0,1)</f>
        <v/>
      </c>
      <c r="AA631" t="str">
        <f>_xlfn.XLOOKUP(Table6[[#This Row],[Old Table.Column]],Cobra8.6[Table.Column],Cobra8.6[LENGTH],"",0,1)</f>
        <v/>
      </c>
      <c r="AB631"/>
    </row>
    <row r="632" spans="1:28" x14ac:dyDescent="0.2">
      <c r="A632" t="s">
        <v>450</v>
      </c>
      <c r="B632" t="s">
        <v>1194</v>
      </c>
      <c r="C632" t="s">
        <v>615</v>
      </c>
      <c r="D632">
        <v>10</v>
      </c>
      <c r="E632" t="s">
        <v>161</v>
      </c>
      <c r="F632" t="str">
        <f>VLOOKUP($E632,'Data Type Lookup'!$A$1:$C$21,2,FALSE)</f>
        <v>NUMBER(21,6)</v>
      </c>
      <c r="I632" s="32" t="s">
        <v>32</v>
      </c>
      <c r="J632" s="32">
        <v>0</v>
      </c>
      <c r="P632" t="s">
        <v>1204</v>
      </c>
      <c r="Q632" t="s">
        <v>841</v>
      </c>
      <c r="R632" t="str">
        <f>VLOOKUP(E632,'Data Type Lookup'!$A$1:$C$21,3,FALSE)</f>
        <v>java.math.BigDecimal</v>
      </c>
      <c r="W632" t="str">
        <f t="shared" si="14"/>
        <v>PROJECT_CAWP_TOTAL.BCWP_HRS</v>
      </c>
      <c r="X632" t="str">
        <f>VLOOKUP(W632,ColumnMapping[New Table.Column],1,)</f>
        <v>PROJECT_CAWP_TOTAL.BCWP_HRS</v>
      </c>
      <c r="Y632" t="str">
        <f>_xlfn.XLOOKUP(Table6[[#This Row],[Table.Column]],ColumnMapping[Add Column Name],ColumnMapping[Old Table.Column],"",0,1)</f>
        <v/>
      </c>
      <c r="Z632" t="str">
        <f>_xlfn.XLOOKUP(Table6[[#This Row],[Old Table.Column]],Cobra8.6[Table.Column],Cobra8.6[TYPE],"",0,1)</f>
        <v/>
      </c>
      <c r="AA632" t="str">
        <f>_xlfn.XLOOKUP(Table6[[#This Row],[Old Table.Column]],Cobra8.6[Table.Column],Cobra8.6[LENGTH],"",0,1)</f>
        <v/>
      </c>
      <c r="AB632"/>
    </row>
    <row r="633" spans="1:28" x14ac:dyDescent="0.2">
      <c r="A633" t="s">
        <v>450</v>
      </c>
      <c r="B633" t="s">
        <v>1194</v>
      </c>
      <c r="C633" t="s">
        <v>619</v>
      </c>
      <c r="D633">
        <v>11</v>
      </c>
      <c r="E633" t="s">
        <v>161</v>
      </c>
      <c r="F633" t="str">
        <f>VLOOKUP($E633,'Data Type Lookup'!$A$1:$C$21,2,FALSE)</f>
        <v>NUMBER(21,6)</v>
      </c>
      <c r="I633" s="32" t="s">
        <v>32</v>
      </c>
      <c r="J633" s="32">
        <v>0</v>
      </c>
      <c r="P633" t="s">
        <v>1205</v>
      </c>
      <c r="Q633" t="s">
        <v>840</v>
      </c>
      <c r="R633" t="str">
        <f>VLOOKUP(E633,'Data Type Lookup'!$A$1:$C$21,3,FALSE)</f>
        <v>java.math.BigDecimal</v>
      </c>
      <c r="W633" t="str">
        <f t="shared" si="14"/>
        <v>PROJECT_CAWP_TOTAL.BCWS_HRS</v>
      </c>
      <c r="X633" t="str">
        <f>VLOOKUP(W633,ColumnMapping[New Table.Column],1,)</f>
        <v>PROJECT_CAWP_TOTAL.BCWS_HRS</v>
      </c>
      <c r="Y633" t="str">
        <f>_xlfn.XLOOKUP(Table6[[#This Row],[Table.Column]],ColumnMapping[Add Column Name],ColumnMapping[Old Table.Column],"",0,1)</f>
        <v/>
      </c>
      <c r="Z633" t="str">
        <f>_xlfn.XLOOKUP(Table6[[#This Row],[Old Table.Column]],Cobra8.6[Table.Column],Cobra8.6[TYPE],"",0,1)</f>
        <v/>
      </c>
      <c r="AA633" t="str">
        <f>_xlfn.XLOOKUP(Table6[[#This Row],[Old Table.Column]],Cobra8.6[Table.Column],Cobra8.6[LENGTH],"",0,1)</f>
        <v/>
      </c>
      <c r="AB633"/>
    </row>
    <row r="634" spans="1:28" x14ac:dyDescent="0.2">
      <c r="A634" t="s">
        <v>450</v>
      </c>
      <c r="B634" t="s">
        <v>1194</v>
      </c>
      <c r="C634" t="s">
        <v>609</v>
      </c>
      <c r="D634">
        <v>12</v>
      </c>
      <c r="E634" t="s">
        <v>161</v>
      </c>
      <c r="F634" t="str">
        <f>VLOOKUP($E634,'Data Type Lookup'!$A$1:$C$21,2,FALSE)</f>
        <v>NUMBER(21,6)</v>
      </c>
      <c r="I634" s="32" t="s">
        <v>32</v>
      </c>
      <c r="J634" s="32">
        <v>0</v>
      </c>
      <c r="P634" t="s">
        <v>1206</v>
      </c>
      <c r="Q634" t="s">
        <v>843</v>
      </c>
      <c r="R634" t="str">
        <f>VLOOKUP(E634,'Data Type Lookup'!$A$1:$C$21,3,FALSE)</f>
        <v>java.math.BigDecimal</v>
      </c>
      <c r="W634" t="str">
        <f t="shared" si="14"/>
        <v>PROJECT_CAWP_TOTAL.BAC_HRS</v>
      </c>
      <c r="X634" t="str">
        <f>VLOOKUP(W634,ColumnMapping[New Table.Column],1,)</f>
        <v>PROJECT_CAWP_TOTAL.BAC_HRS</v>
      </c>
      <c r="Y634" t="str">
        <f>_xlfn.XLOOKUP(Table6[[#This Row],[Table.Column]],ColumnMapping[Add Column Name],ColumnMapping[Old Table.Column],"",0,1)</f>
        <v/>
      </c>
      <c r="Z634" t="str">
        <f>_xlfn.XLOOKUP(Table6[[#This Row],[Old Table.Column]],Cobra8.6[Table.Column],Cobra8.6[TYPE],"",0,1)</f>
        <v/>
      </c>
      <c r="AA634" t="str">
        <f>_xlfn.XLOOKUP(Table6[[#This Row],[Old Table.Column]],Cobra8.6[Table.Column],Cobra8.6[LENGTH],"",0,1)</f>
        <v/>
      </c>
      <c r="AB634"/>
    </row>
    <row r="635" spans="1:28" x14ac:dyDescent="0.2">
      <c r="A635" t="s">
        <v>450</v>
      </c>
      <c r="B635" t="s">
        <v>1194</v>
      </c>
      <c r="C635" t="s">
        <v>692</v>
      </c>
      <c r="D635">
        <v>13</v>
      </c>
      <c r="E635" t="s">
        <v>161</v>
      </c>
      <c r="F635" t="str">
        <f>VLOOKUP($E635,'Data Type Lookup'!$A$1:$C$21,2,FALSE)</f>
        <v>NUMBER(21,6)</v>
      </c>
      <c r="I635" s="32" t="s">
        <v>32</v>
      </c>
      <c r="J635" s="32">
        <v>0</v>
      </c>
      <c r="P635" t="s">
        <v>1207</v>
      </c>
      <c r="Q635" t="s">
        <v>844</v>
      </c>
      <c r="R635" t="str">
        <f>VLOOKUP(E635,'Data Type Lookup'!$A$1:$C$21,3,FALSE)</f>
        <v>java.math.BigDecimal</v>
      </c>
      <c r="W635" t="str">
        <f t="shared" si="14"/>
        <v>PROJECT_CAWP_TOTAL.EAC_HRS</v>
      </c>
      <c r="X635" t="str">
        <f>VLOOKUP(W635,ColumnMapping[New Table.Column],1,)</f>
        <v>PROJECT_CAWP_TOTAL.EAC_HRS</v>
      </c>
      <c r="Y635" t="str">
        <f>_xlfn.XLOOKUP(Table6[[#This Row],[Table.Column]],ColumnMapping[Add Column Name],ColumnMapping[Old Table.Column],"",0,1)</f>
        <v/>
      </c>
      <c r="Z635" t="str">
        <f>_xlfn.XLOOKUP(Table6[[#This Row],[Old Table.Column]],Cobra8.6[Table.Column],Cobra8.6[TYPE],"",0,1)</f>
        <v/>
      </c>
      <c r="AA635" t="str">
        <f>_xlfn.XLOOKUP(Table6[[#This Row],[Old Table.Column]],Cobra8.6[Table.Column],Cobra8.6[LENGTH],"",0,1)</f>
        <v/>
      </c>
      <c r="AB635"/>
    </row>
    <row r="636" spans="1:28" x14ac:dyDescent="0.2">
      <c r="A636" t="s">
        <v>450</v>
      </c>
      <c r="B636" t="s">
        <v>1194</v>
      </c>
      <c r="C636" t="s">
        <v>949</v>
      </c>
      <c r="D636">
        <v>14</v>
      </c>
      <c r="E636" t="s">
        <v>161</v>
      </c>
      <c r="F636" t="str">
        <f>VLOOKUP($E636,'Data Type Lookup'!$A$1:$C$21,2,FALSE)</f>
        <v>NUMBER(21,6)</v>
      </c>
      <c r="I636" s="32" t="s">
        <v>32</v>
      </c>
      <c r="J636" s="32">
        <v>0</v>
      </c>
      <c r="P636" t="s">
        <v>1208</v>
      </c>
      <c r="Q636" t="s">
        <v>1209</v>
      </c>
      <c r="R636" t="str">
        <f>VLOOKUP(E636,'Data Type Lookup'!$A$1:$C$21,3,FALSE)</f>
        <v>java.math.BigDecimal</v>
      </c>
      <c r="W636" t="str">
        <f t="shared" si="14"/>
        <v>PROJECT_CAWP_TOTAL.ACWPCP</v>
      </c>
      <c r="X636" t="str">
        <f>VLOOKUP(W636,ColumnMapping[New Table.Column],1,)</f>
        <v>PROJECT_CAWP_TOTAL.ACWPCP</v>
      </c>
      <c r="Y636" t="str">
        <f>_xlfn.XLOOKUP(Table6[[#This Row],[Table.Column]],ColumnMapping[Add Column Name],ColumnMapping[Old Table.Column],"",0,1)</f>
        <v/>
      </c>
      <c r="Z636" t="str">
        <f>_xlfn.XLOOKUP(Table6[[#This Row],[Old Table.Column]],Cobra8.6[Table.Column],Cobra8.6[TYPE],"",0,1)</f>
        <v/>
      </c>
      <c r="AA636" t="str">
        <f>_xlfn.XLOOKUP(Table6[[#This Row],[Old Table.Column]],Cobra8.6[Table.Column],Cobra8.6[LENGTH],"",0,1)</f>
        <v/>
      </c>
      <c r="AB636"/>
    </row>
    <row r="637" spans="1:28" x14ac:dyDescent="0.2">
      <c r="A637" t="s">
        <v>450</v>
      </c>
      <c r="B637" t="s">
        <v>1194</v>
      </c>
      <c r="C637" t="s">
        <v>955</v>
      </c>
      <c r="D637">
        <v>15</v>
      </c>
      <c r="E637" t="s">
        <v>161</v>
      </c>
      <c r="F637" t="str">
        <f>VLOOKUP($E637,'Data Type Lookup'!$A$1:$C$21,2,FALSE)</f>
        <v>NUMBER(21,6)</v>
      </c>
      <c r="I637" s="32" t="s">
        <v>32</v>
      </c>
      <c r="J637" s="32">
        <v>0</v>
      </c>
      <c r="P637" t="s">
        <v>1210</v>
      </c>
      <c r="Q637" t="s">
        <v>1211</v>
      </c>
      <c r="R637" t="str">
        <f>VLOOKUP(E637,'Data Type Lookup'!$A$1:$C$21,3,FALSE)</f>
        <v>java.math.BigDecimal</v>
      </c>
      <c r="W637" t="str">
        <f t="shared" si="14"/>
        <v>PROJECT_CAWP_TOTAL.BCWPCP</v>
      </c>
      <c r="X637" t="str">
        <f>VLOOKUP(W637,ColumnMapping[New Table.Column],1,)</f>
        <v>PROJECT_CAWP_TOTAL.BCWPCP</v>
      </c>
      <c r="Y637" t="str">
        <f>_xlfn.XLOOKUP(Table6[[#This Row],[Table.Column]],ColumnMapping[Add Column Name],ColumnMapping[Old Table.Column],"",0,1)</f>
        <v/>
      </c>
      <c r="Z637" t="str">
        <f>_xlfn.XLOOKUP(Table6[[#This Row],[Old Table.Column]],Cobra8.6[Table.Column],Cobra8.6[TYPE],"",0,1)</f>
        <v/>
      </c>
      <c r="AA637" t="str">
        <f>_xlfn.XLOOKUP(Table6[[#This Row],[Old Table.Column]],Cobra8.6[Table.Column],Cobra8.6[LENGTH],"",0,1)</f>
        <v/>
      </c>
      <c r="AB637"/>
    </row>
    <row r="638" spans="1:28" x14ac:dyDescent="0.2">
      <c r="A638" t="s">
        <v>450</v>
      </c>
      <c r="B638" t="s">
        <v>1194</v>
      </c>
      <c r="C638" t="s">
        <v>959</v>
      </c>
      <c r="D638">
        <v>16</v>
      </c>
      <c r="E638" t="s">
        <v>161</v>
      </c>
      <c r="F638" t="str">
        <f>VLOOKUP($E638,'Data Type Lookup'!$A$1:$C$21,2,FALSE)</f>
        <v>NUMBER(21,6)</v>
      </c>
      <c r="I638" s="32" t="s">
        <v>32</v>
      </c>
      <c r="J638" s="32">
        <v>0</v>
      </c>
      <c r="P638" t="s">
        <v>1212</v>
      </c>
      <c r="Q638" t="s">
        <v>1211</v>
      </c>
      <c r="R638" t="str">
        <f>VLOOKUP(E638,'Data Type Lookup'!$A$1:$C$21,3,FALSE)</f>
        <v>java.math.BigDecimal</v>
      </c>
      <c r="W638" t="str">
        <f t="shared" si="14"/>
        <v>PROJECT_CAWP_TOTAL.BCWSCP</v>
      </c>
      <c r="X638" t="str">
        <f>VLOOKUP(W638,ColumnMapping[New Table.Column],1,)</f>
        <v>PROJECT_CAWP_TOTAL.BCWSCP</v>
      </c>
      <c r="Y638" t="str">
        <f>_xlfn.XLOOKUP(Table6[[#This Row],[Table.Column]],ColumnMapping[Add Column Name],ColumnMapping[Old Table.Column],"",0,1)</f>
        <v/>
      </c>
      <c r="Z638" t="str">
        <f>_xlfn.XLOOKUP(Table6[[#This Row],[Old Table.Column]],Cobra8.6[Table.Column],Cobra8.6[TYPE],"",0,1)</f>
        <v/>
      </c>
      <c r="AA638" t="str">
        <f>_xlfn.XLOOKUP(Table6[[#This Row],[Old Table.Column]],Cobra8.6[Table.Column],Cobra8.6[LENGTH],"",0,1)</f>
        <v/>
      </c>
      <c r="AB638"/>
    </row>
    <row r="639" spans="1:28" x14ac:dyDescent="0.2">
      <c r="A639" t="s">
        <v>450</v>
      </c>
      <c r="B639" t="s">
        <v>1194</v>
      </c>
      <c r="C639" t="s">
        <v>951</v>
      </c>
      <c r="D639">
        <v>17</v>
      </c>
      <c r="E639" t="s">
        <v>161</v>
      </c>
      <c r="F639" t="str">
        <f>VLOOKUP($E639,'Data Type Lookup'!$A$1:$C$21,2,FALSE)</f>
        <v>NUMBER(21,6)</v>
      </c>
      <c r="I639" s="32" t="s">
        <v>32</v>
      </c>
      <c r="J639" s="32">
        <v>0</v>
      </c>
      <c r="P639" t="s">
        <v>1213</v>
      </c>
      <c r="Q639" t="s">
        <v>1214</v>
      </c>
      <c r="R639" t="str">
        <f>VLOOKUP(E639,'Data Type Lookup'!$A$1:$C$21,3,FALSE)</f>
        <v>java.math.BigDecimal</v>
      </c>
      <c r="W639" t="str">
        <f t="shared" si="14"/>
        <v>PROJECT_CAWP_TOTAL.ACWPCP_HRS</v>
      </c>
      <c r="X639" t="str">
        <f>VLOOKUP(W639,ColumnMapping[New Table.Column],1,)</f>
        <v>PROJECT_CAWP_TOTAL.ACWPCP_HRS</v>
      </c>
      <c r="Y639" t="str">
        <f>_xlfn.XLOOKUP(Table6[[#This Row],[Table.Column]],ColumnMapping[Add Column Name],ColumnMapping[Old Table.Column],"",0,1)</f>
        <v/>
      </c>
      <c r="Z639" t="str">
        <f>_xlfn.XLOOKUP(Table6[[#This Row],[Old Table.Column]],Cobra8.6[Table.Column],Cobra8.6[TYPE],"",0,1)</f>
        <v/>
      </c>
      <c r="AA639" t="str">
        <f>_xlfn.XLOOKUP(Table6[[#This Row],[Old Table.Column]],Cobra8.6[Table.Column],Cobra8.6[LENGTH],"",0,1)</f>
        <v/>
      </c>
      <c r="AB639"/>
    </row>
    <row r="640" spans="1:28" x14ac:dyDescent="0.2">
      <c r="A640" t="s">
        <v>450</v>
      </c>
      <c r="B640" t="s">
        <v>1194</v>
      </c>
      <c r="C640" t="s">
        <v>957</v>
      </c>
      <c r="D640">
        <v>18</v>
      </c>
      <c r="E640" t="s">
        <v>161</v>
      </c>
      <c r="F640" t="str">
        <f>VLOOKUP($E640,'Data Type Lookup'!$A$1:$C$21,2,FALSE)</f>
        <v>NUMBER(21,6)</v>
      </c>
      <c r="I640" s="32" t="s">
        <v>32</v>
      </c>
      <c r="J640" s="32">
        <v>0</v>
      </c>
      <c r="P640" t="s">
        <v>1215</v>
      </c>
      <c r="Q640" t="s">
        <v>1216</v>
      </c>
      <c r="R640" t="str">
        <f>VLOOKUP(E640,'Data Type Lookup'!$A$1:$C$21,3,FALSE)</f>
        <v>java.math.BigDecimal</v>
      </c>
      <c r="W640" t="str">
        <f t="shared" si="14"/>
        <v>PROJECT_CAWP_TOTAL.BCWPCP_HRS</v>
      </c>
      <c r="X640" t="str">
        <f>VLOOKUP(W640,ColumnMapping[New Table.Column],1,)</f>
        <v>PROJECT_CAWP_TOTAL.BCWPCP_HRS</v>
      </c>
      <c r="Y640" t="str">
        <f>_xlfn.XLOOKUP(Table6[[#This Row],[Table.Column]],ColumnMapping[Add Column Name],ColumnMapping[Old Table.Column],"",0,1)</f>
        <v/>
      </c>
      <c r="Z640" t="str">
        <f>_xlfn.XLOOKUP(Table6[[#This Row],[Old Table.Column]],Cobra8.6[Table.Column],Cobra8.6[TYPE],"",0,1)</f>
        <v/>
      </c>
      <c r="AA640" t="str">
        <f>_xlfn.XLOOKUP(Table6[[#This Row],[Old Table.Column]],Cobra8.6[Table.Column],Cobra8.6[LENGTH],"",0,1)</f>
        <v/>
      </c>
      <c r="AB640"/>
    </row>
    <row r="641" spans="1:28" x14ac:dyDescent="0.2">
      <c r="A641" t="s">
        <v>450</v>
      </c>
      <c r="B641" t="s">
        <v>1194</v>
      </c>
      <c r="C641" t="s">
        <v>961</v>
      </c>
      <c r="D641">
        <v>19</v>
      </c>
      <c r="E641" t="s">
        <v>161</v>
      </c>
      <c r="F641" t="str">
        <f>VLOOKUP($E641,'Data Type Lookup'!$A$1:$C$21,2,FALSE)</f>
        <v>NUMBER(21,6)</v>
      </c>
      <c r="I641" s="32" t="s">
        <v>32</v>
      </c>
      <c r="J641" s="32">
        <v>0</v>
      </c>
      <c r="P641" t="s">
        <v>1217</v>
      </c>
      <c r="Q641" t="s">
        <v>1216</v>
      </c>
      <c r="R641" t="str">
        <f>VLOOKUP(E641,'Data Type Lookup'!$A$1:$C$21,3,FALSE)</f>
        <v>java.math.BigDecimal</v>
      </c>
      <c r="W641" t="str">
        <f t="shared" si="14"/>
        <v>PROJECT_CAWP_TOTAL.BCWSCP_HRS</v>
      </c>
      <c r="X641" t="str">
        <f>VLOOKUP(W641,ColumnMapping[New Table.Column],1,)</f>
        <v>PROJECT_CAWP_TOTAL.BCWSCP_HRS</v>
      </c>
      <c r="Y641" t="str">
        <f>_xlfn.XLOOKUP(Table6[[#This Row],[Table.Column]],ColumnMapping[Add Column Name],ColumnMapping[Old Table.Column],"",0,1)</f>
        <v/>
      </c>
      <c r="Z641" t="str">
        <f>_xlfn.XLOOKUP(Table6[[#This Row],[Old Table.Column]],Cobra8.6[Table.Column],Cobra8.6[TYPE],"",0,1)</f>
        <v/>
      </c>
      <c r="AA641" t="str">
        <f>_xlfn.XLOOKUP(Table6[[#This Row],[Old Table.Column]],Cobra8.6[Table.Column],Cobra8.6[LENGTH],"",0,1)</f>
        <v/>
      </c>
      <c r="AB641"/>
    </row>
    <row r="642" spans="1:28" hidden="1" x14ac:dyDescent="0.2">
      <c r="A642" t="s">
        <v>450</v>
      </c>
      <c r="B642" t="s">
        <v>1218</v>
      </c>
      <c r="C642" t="s">
        <v>905</v>
      </c>
      <c r="D642">
        <v>12</v>
      </c>
      <c r="E642" t="s">
        <v>356</v>
      </c>
      <c r="F642" t="str">
        <f>VLOOKUP($E642,'Data Type Lookup'!$A$1:$C$21,2,FALSE)</f>
        <v>DATE</v>
      </c>
      <c r="P642" t="s">
        <v>906</v>
      </c>
      <c r="Q642" t="s">
        <v>907</v>
      </c>
      <c r="R642" t="str">
        <f>VLOOKUP(E642,'Data Type Lookup'!$A$1:$C$21,3,FALSE)</f>
        <v>java.time.Instant</v>
      </c>
      <c r="W642" t="str">
        <f t="shared" si="14"/>
        <v>PROJECT_CONTROL_ACCOUNT.ACTUAL_FINISH</v>
      </c>
      <c r="X642" t="str">
        <f>VLOOKUP(W642,ColumnMapping[New Table.Column],1,)</f>
        <v>PROJECT_CONTROL_ACCOUNT.ACTUAL_FINISH</v>
      </c>
      <c r="Y642" t="str">
        <f>_xlfn.XLOOKUP(Table6[[#This Row],[Table.Column]],ColumnMapping[Add Column Name],ColumnMapping[Old Table.Column],"",0,1)</f>
        <v/>
      </c>
      <c r="Z642" t="str">
        <f>_xlfn.XLOOKUP(Table6[[#This Row],[Old Table.Column]],Cobra8.6[Table.Column],Cobra8.6[TYPE],"",0,1)</f>
        <v/>
      </c>
      <c r="AA642" t="str">
        <f>_xlfn.XLOOKUP(Table6[[#This Row],[Old Table.Column]],Cobra8.6[Table.Column],Cobra8.6[LENGTH],"",0,1)</f>
        <v/>
      </c>
      <c r="AB642"/>
    </row>
    <row r="643" spans="1:28" hidden="1" x14ac:dyDescent="0.2">
      <c r="A643" t="s">
        <v>450</v>
      </c>
      <c r="B643" t="s">
        <v>1219</v>
      </c>
      <c r="C643" t="s">
        <v>905</v>
      </c>
      <c r="D643">
        <v>12</v>
      </c>
      <c r="E643" t="s">
        <v>356</v>
      </c>
      <c r="F643" t="str">
        <f>VLOOKUP($E643,'Data Type Lookup'!$A$1:$C$21,2,FALSE)</f>
        <v>DATE</v>
      </c>
      <c r="P643" t="s">
        <v>906</v>
      </c>
      <c r="Q643" t="s">
        <v>907</v>
      </c>
      <c r="R643" t="str">
        <f>VLOOKUP(E643,'Data Type Lookup'!$A$1:$C$21,3,FALSE)</f>
        <v>java.time.Instant</v>
      </c>
      <c r="W643" t="str">
        <f t="shared" si="14"/>
        <v>PROJECT_WORK_PACKAGE.ACTUAL_FINISH</v>
      </c>
      <c r="X643" t="str">
        <f>VLOOKUP(W643,ColumnMapping[New Table.Column],1,)</f>
        <v>PROJECT_WORK_PACKAGE.ACTUAL_FINISH</v>
      </c>
      <c r="Y643" t="str">
        <f>_xlfn.XLOOKUP(Table6[[#This Row],[Table.Column]],ColumnMapping[Add Column Name],ColumnMapping[Old Table.Column],"",0,1)</f>
        <v/>
      </c>
      <c r="Z643" t="str">
        <f>_xlfn.XLOOKUP(Table6[[#This Row],[Old Table.Column]],Cobra8.6[Table.Column],Cobra8.6[TYPE],"",0,1)</f>
        <v/>
      </c>
      <c r="AA643" t="str">
        <f>_xlfn.XLOOKUP(Table6[[#This Row],[Old Table.Column]],Cobra8.6[Table.Column],Cobra8.6[LENGTH],"",0,1)</f>
        <v/>
      </c>
      <c r="AB643"/>
    </row>
    <row r="644" spans="1:28" hidden="1" x14ac:dyDescent="0.2">
      <c r="A644" t="s">
        <v>450</v>
      </c>
      <c r="B644" t="s">
        <v>1218</v>
      </c>
      <c r="C644" t="s">
        <v>902</v>
      </c>
      <c r="D644">
        <v>11</v>
      </c>
      <c r="E644" t="s">
        <v>356</v>
      </c>
      <c r="F644" t="str">
        <f>VLOOKUP($E644,'Data Type Lookup'!$A$1:$C$21,2,FALSE)</f>
        <v>DATE</v>
      </c>
      <c r="P644" t="s">
        <v>903</v>
      </c>
      <c r="Q644" t="s">
        <v>904</v>
      </c>
      <c r="R644" t="str">
        <f>VLOOKUP(E644,'Data Type Lookup'!$A$1:$C$21,3,FALSE)</f>
        <v>java.time.Instant</v>
      </c>
      <c r="W644" t="str">
        <f t="shared" si="14"/>
        <v>PROJECT_CONTROL_ACCOUNT.ACTUAL_START</v>
      </c>
      <c r="X644" t="str">
        <f>VLOOKUP(W644,ColumnMapping[New Table.Column],1,)</f>
        <v>PROJECT_CONTROL_ACCOUNT.ACTUAL_START</v>
      </c>
      <c r="Y644" t="str">
        <f>_xlfn.XLOOKUP(Table6[[#This Row],[Table.Column]],ColumnMapping[Add Column Name],ColumnMapping[Old Table.Column],"",0,1)</f>
        <v/>
      </c>
      <c r="Z644" t="str">
        <f>_xlfn.XLOOKUP(Table6[[#This Row],[Old Table.Column]],Cobra8.6[Table.Column],Cobra8.6[TYPE],"",0,1)</f>
        <v/>
      </c>
      <c r="AA644" t="str">
        <f>_xlfn.XLOOKUP(Table6[[#This Row],[Old Table.Column]],Cobra8.6[Table.Column],Cobra8.6[LENGTH],"",0,1)</f>
        <v/>
      </c>
      <c r="AB644"/>
    </row>
    <row r="645" spans="1:28" hidden="1" x14ac:dyDescent="0.2">
      <c r="A645" t="s">
        <v>450</v>
      </c>
      <c r="B645" t="s">
        <v>1219</v>
      </c>
      <c r="C645" t="s">
        <v>902</v>
      </c>
      <c r="D645">
        <v>11</v>
      </c>
      <c r="E645" t="s">
        <v>356</v>
      </c>
      <c r="F645" t="str">
        <f>VLOOKUP($E645,'Data Type Lookup'!$A$1:$C$21,2,FALSE)</f>
        <v>DATE</v>
      </c>
      <c r="P645" t="s">
        <v>903</v>
      </c>
      <c r="Q645" t="s">
        <v>904</v>
      </c>
      <c r="R645" t="str">
        <f>VLOOKUP(E645,'Data Type Lookup'!$A$1:$C$21,3,FALSE)</f>
        <v>java.time.Instant</v>
      </c>
      <c r="W645" t="str">
        <f t="shared" si="14"/>
        <v>PROJECT_WORK_PACKAGE.ACTUAL_START</v>
      </c>
      <c r="X645" t="str">
        <f>VLOOKUP(W645,ColumnMapping[New Table.Column],1,)</f>
        <v>PROJECT_WORK_PACKAGE.ACTUAL_START</v>
      </c>
      <c r="Y645" t="str">
        <f>_xlfn.XLOOKUP(Table6[[#This Row],[Table.Column]],ColumnMapping[Add Column Name],ColumnMapping[Old Table.Column],"",0,1)</f>
        <v/>
      </c>
      <c r="Z645" t="str">
        <f>_xlfn.XLOOKUP(Table6[[#This Row],[Old Table.Column]],Cobra8.6[Table.Column],Cobra8.6[TYPE],"",0,1)</f>
        <v/>
      </c>
      <c r="AA645" t="str">
        <f>_xlfn.XLOOKUP(Table6[[#This Row],[Old Table.Column]],Cobra8.6[Table.Column],Cobra8.6[LENGTH],"",0,1)</f>
        <v/>
      </c>
      <c r="AB645"/>
    </row>
    <row r="646" spans="1:28" hidden="1" x14ac:dyDescent="0.2">
      <c r="A646" t="s">
        <v>450</v>
      </c>
      <c r="B646" s="17" t="s">
        <v>1218</v>
      </c>
      <c r="C646" s="17" t="s">
        <v>600</v>
      </c>
      <c r="D646" s="17"/>
      <c r="E646" s="17" t="s">
        <v>161</v>
      </c>
      <c r="F646" t="str">
        <f>VLOOKUP($E646,'Data Type Lookup'!$A$1:$C$21,2,FALSE)</f>
        <v>NUMBER(21,6)</v>
      </c>
      <c r="G646" s="17"/>
      <c r="H646" s="17"/>
      <c r="I646" s="29"/>
      <c r="J646" s="29">
        <v>0</v>
      </c>
      <c r="K646" s="29"/>
      <c r="L646" s="29"/>
      <c r="M646" s="17"/>
      <c r="N646" s="17"/>
      <c r="O646" s="17"/>
      <c r="P646" s="17"/>
      <c r="Q646" s="17"/>
      <c r="R646" s="17"/>
      <c r="S646" s="17"/>
      <c r="W646" t="str">
        <f t="shared" si="14"/>
        <v>PROJECT_CONTROL_ACCOUNT.ACWP</v>
      </c>
      <c r="X646" t="e">
        <f>VLOOKUP(W646,ColumnMapping[New Table.Column],1,)</f>
        <v>#N/A</v>
      </c>
      <c r="Y646" t="str">
        <f>_xlfn.XLOOKUP(Table6[[#This Row],[Table.Column]],ColumnMapping[Add Column Name],ColumnMapping[Old Table.Column],"",0,1)</f>
        <v>CAWP.ACWP</v>
      </c>
      <c r="Z646" t="str">
        <f>_xlfn.XLOOKUP(Table6[[#This Row],[Old Table.Column]],Cobra8.6[Table.Column],Cobra8.6[TYPE],"",0,1)</f>
        <v>DEC</v>
      </c>
      <c r="AA646">
        <f>_xlfn.XLOOKUP(Table6[[#This Row],[Old Table.Column]],Cobra8.6[Table.Column],Cobra8.6[LENGTH],"",0,1)</f>
        <v>21</v>
      </c>
      <c r="AB646"/>
    </row>
    <row r="647" spans="1:28" hidden="1" x14ac:dyDescent="0.2">
      <c r="A647" t="s">
        <v>450</v>
      </c>
      <c r="B647" s="17" t="s">
        <v>1218</v>
      </c>
      <c r="C647" s="17" t="s">
        <v>602</v>
      </c>
      <c r="D647" s="17"/>
      <c r="E647" s="17" t="s">
        <v>161</v>
      </c>
      <c r="F647" t="str">
        <f>VLOOKUP($E647,'Data Type Lookup'!$A$1:$C$21,2,FALSE)</f>
        <v>NUMBER(21,6)</v>
      </c>
      <c r="G647" s="17"/>
      <c r="H647" s="17"/>
      <c r="I647" s="29"/>
      <c r="J647" s="29">
        <v>0</v>
      </c>
      <c r="K647" s="29"/>
      <c r="L647" s="29"/>
      <c r="M647" s="17"/>
      <c r="N647" s="17"/>
      <c r="O647" s="17"/>
      <c r="P647" s="17"/>
      <c r="Q647" s="17"/>
      <c r="R647" s="17"/>
      <c r="S647" s="17"/>
      <c r="W647" t="str">
        <f t="shared" si="14"/>
        <v>PROJECT_CONTROL_ACCOUNT.ACWP_HRS</v>
      </c>
      <c r="X647" t="e">
        <f>VLOOKUP(W647,ColumnMapping[New Table.Column],1,)</f>
        <v>#N/A</v>
      </c>
      <c r="Y647" t="str">
        <f>_xlfn.XLOOKUP(Table6[[#This Row],[Table.Column]],ColumnMapping[Add Column Name],ColumnMapping[Old Table.Column],"",0,1)</f>
        <v>CAWP.ACWP_HRS</v>
      </c>
      <c r="Z647" t="str">
        <f>_xlfn.XLOOKUP(Table6[[#This Row],[Old Table.Column]],Cobra8.6[Table.Column],Cobra8.6[TYPE],"",0,1)</f>
        <v>DEC</v>
      </c>
      <c r="AA647">
        <f>_xlfn.XLOOKUP(Table6[[#This Row],[Old Table.Column]],Cobra8.6[Table.Column],Cobra8.6[LENGTH],"",0,1)</f>
        <v>21</v>
      </c>
      <c r="AB647"/>
    </row>
    <row r="648" spans="1:28" hidden="1" x14ac:dyDescent="0.2">
      <c r="A648" t="s">
        <v>450</v>
      </c>
      <c r="B648" s="17" t="s">
        <v>1218</v>
      </c>
      <c r="C648" s="17" t="s">
        <v>949</v>
      </c>
      <c r="D648" s="17"/>
      <c r="E648" s="17" t="s">
        <v>161</v>
      </c>
      <c r="F648" t="str">
        <f>VLOOKUP($E648,'Data Type Lookup'!$A$1:$C$21,2,FALSE)</f>
        <v>NUMBER(21,6)</v>
      </c>
      <c r="G648" s="17"/>
      <c r="H648" s="17"/>
      <c r="I648" s="29"/>
      <c r="J648" s="29">
        <v>0</v>
      </c>
      <c r="K648" s="29"/>
      <c r="L648" s="29"/>
      <c r="M648" s="17"/>
      <c r="N648" s="17"/>
      <c r="O648" s="17"/>
      <c r="P648" s="17"/>
      <c r="Q648" s="17"/>
      <c r="R648" s="17"/>
      <c r="S648" s="17"/>
      <c r="W648" t="str">
        <f t="shared" si="14"/>
        <v>PROJECT_CONTROL_ACCOUNT.ACWPCP</v>
      </c>
      <c r="X648" t="e">
        <f>VLOOKUP(W648,ColumnMapping[New Table.Column],1,)</f>
        <v>#N/A</v>
      </c>
      <c r="Y648" t="str">
        <f>_xlfn.XLOOKUP(Table6[[#This Row],[Table.Column]],ColumnMapping[Add Column Name],ColumnMapping[Old Table.Column],"",0,1)</f>
        <v>CAWP.ACWPCP</v>
      </c>
      <c r="Z648" t="str">
        <f>_xlfn.XLOOKUP(Table6[[#This Row],[Old Table.Column]],Cobra8.6[Table.Column],Cobra8.6[TYPE],"",0,1)</f>
        <v>DEC</v>
      </c>
      <c r="AA648">
        <f>_xlfn.XLOOKUP(Table6[[#This Row],[Old Table.Column]],Cobra8.6[Table.Column],Cobra8.6[LENGTH],"",0,1)</f>
        <v>21</v>
      </c>
      <c r="AB648"/>
    </row>
    <row r="649" spans="1:28" hidden="1" x14ac:dyDescent="0.2">
      <c r="A649" t="s">
        <v>450</v>
      </c>
      <c r="B649" s="17" t="s">
        <v>1218</v>
      </c>
      <c r="C649" s="17" t="s">
        <v>951</v>
      </c>
      <c r="D649" s="17"/>
      <c r="E649" s="17" t="s">
        <v>161</v>
      </c>
      <c r="F649" t="str">
        <f>VLOOKUP($E649,'Data Type Lookup'!$A$1:$C$21,2,FALSE)</f>
        <v>NUMBER(21,6)</v>
      </c>
      <c r="G649" s="17"/>
      <c r="H649" s="17"/>
      <c r="I649" s="29"/>
      <c r="J649" s="29">
        <v>0</v>
      </c>
      <c r="K649" s="29"/>
      <c r="L649" s="29"/>
      <c r="M649" s="17"/>
      <c r="N649" s="17"/>
      <c r="O649" s="17"/>
      <c r="P649" s="17"/>
      <c r="Q649" s="17"/>
      <c r="R649" s="17"/>
      <c r="S649" s="17"/>
      <c r="W649" t="str">
        <f t="shared" si="14"/>
        <v>PROJECT_CONTROL_ACCOUNT.ACWPCP_HRS</v>
      </c>
      <c r="X649" t="e">
        <f>VLOOKUP(W649,ColumnMapping[New Table.Column],1,)</f>
        <v>#N/A</v>
      </c>
      <c r="Y649" t="str">
        <f>_xlfn.XLOOKUP(Table6[[#This Row],[Table.Column]],ColumnMapping[Add Column Name],ColumnMapping[Old Table.Column],"",0,1)</f>
        <v>CAWP.ACWPCP_HRS</v>
      </c>
      <c r="Z649" t="str">
        <f>_xlfn.XLOOKUP(Table6[[#This Row],[Old Table.Column]],Cobra8.6[Table.Column],Cobra8.6[TYPE],"",0,1)</f>
        <v>DEC</v>
      </c>
      <c r="AA649">
        <f>_xlfn.XLOOKUP(Table6[[#This Row],[Old Table.Column]],Cobra8.6[Table.Column],Cobra8.6[LENGTH],"",0,1)</f>
        <v>21</v>
      </c>
      <c r="AB649"/>
    </row>
    <row r="650" spans="1:28" hidden="1" x14ac:dyDescent="0.2">
      <c r="A650" t="s">
        <v>450</v>
      </c>
      <c r="B650" s="17" t="s">
        <v>1218</v>
      </c>
      <c r="C650" s="17" t="s">
        <v>953</v>
      </c>
      <c r="D650" s="17"/>
      <c r="E650" s="17" t="s">
        <v>567</v>
      </c>
      <c r="F650" t="str">
        <f>VLOOKUP($E650,'Data Type Lookup'!$A$1:$C$21,2,FALSE)</f>
        <v>NUMBER(10,0)</v>
      </c>
      <c r="G650" s="17"/>
      <c r="H650" s="17"/>
      <c r="I650" s="29"/>
      <c r="J650" s="29">
        <v>0</v>
      </c>
      <c r="K650" s="29"/>
      <c r="L650" s="29"/>
      <c r="M650" s="17"/>
      <c r="N650" s="17"/>
      <c r="O650" s="17"/>
      <c r="P650" s="17"/>
      <c r="Q650" s="17"/>
      <c r="R650" s="17"/>
      <c r="S650" s="17"/>
      <c r="W650" t="str">
        <f t="shared" si="14"/>
        <v>PROJECT_CONTROL_ACCOUNT.APPLINK</v>
      </c>
      <c r="X650" t="e">
        <f>VLOOKUP(W650,ColumnMapping[New Table.Column],1,)</f>
        <v>#N/A</v>
      </c>
      <c r="Y650" t="str">
        <f>_xlfn.XLOOKUP(Table6[[#This Row],[Table.Column]],ColumnMapping[Add Column Name],ColumnMapping[Old Table.Column],"",0,1)</f>
        <v>CAWP.APPLINK</v>
      </c>
      <c r="Z650" t="str">
        <f>_xlfn.XLOOKUP(Table6[[#This Row],[Old Table.Column]],Cobra8.6[Table.Column],Cobra8.6[TYPE],"",0,1)</f>
        <v>INTE</v>
      </c>
      <c r="AA650">
        <f>_xlfn.XLOOKUP(Table6[[#This Row],[Old Table.Column]],Cobra8.6[Table.Column],Cobra8.6[LENGTH],"",0,1)</f>
        <v>-1</v>
      </c>
      <c r="AB650"/>
    </row>
    <row r="651" spans="1:28" hidden="1" x14ac:dyDescent="0.2">
      <c r="A651" t="s">
        <v>450</v>
      </c>
      <c r="B651" t="s">
        <v>1219</v>
      </c>
      <c r="C651" t="s">
        <v>1220</v>
      </c>
      <c r="D651">
        <v>7</v>
      </c>
      <c r="E651" t="s">
        <v>31</v>
      </c>
      <c r="F651" t="str">
        <f>VLOOKUP($E651,'Data Type Lookup'!$A$1:$C$21,2,FALSE)</f>
        <v>RAW(16)</v>
      </c>
      <c r="M651" t="s">
        <v>1219</v>
      </c>
      <c r="N651" t="s">
        <v>30</v>
      </c>
      <c r="O651" t="s">
        <v>41</v>
      </c>
      <c r="P651" t="s">
        <v>1221</v>
      </c>
      <c r="Q651" t="s">
        <v>1222</v>
      </c>
      <c r="R651" t="str">
        <f>VLOOKUP(E651,'Data Type Lookup'!$A$1:$C$21,3,FALSE)</f>
        <v>java.util.UUID</v>
      </c>
      <c r="S651">
        <v>1</v>
      </c>
      <c r="W651" t="str">
        <f t="shared" ref="W651:W714" si="16">_xlfn.CONCAT(B651,".",C651)</f>
        <v>PROJECT_WORK_PACKAGE.APPORTIONED_PROJECT_WP_UID</v>
      </c>
      <c r="X651" t="str">
        <f>VLOOKUP(W651,ColumnMapping[New Table.Column],1,)</f>
        <v>PROJECT_WORK_PACKAGE.APPORTIONED_PROJECT_WP_UID</v>
      </c>
      <c r="Y651" t="str">
        <f>_xlfn.XLOOKUP(Table6[[#This Row],[Table.Column]],ColumnMapping[Add Column Name],ColumnMapping[Old Table.Column],"",0,1)</f>
        <v/>
      </c>
      <c r="Z651" t="str">
        <f>_xlfn.XLOOKUP(Table6[[#This Row],[Old Table.Column]],Cobra8.6[Table.Column],Cobra8.6[TYPE],"",0,1)</f>
        <v/>
      </c>
      <c r="AA651" t="str">
        <f>_xlfn.XLOOKUP(Table6[[#This Row],[Old Table.Column]],Cobra8.6[Table.Column],Cobra8.6[LENGTH],"",0,1)</f>
        <v/>
      </c>
      <c r="AB651"/>
    </row>
    <row r="652" spans="1:28" hidden="1" x14ac:dyDescent="0.2">
      <c r="A652" t="s">
        <v>450</v>
      </c>
      <c r="B652" s="17" t="s">
        <v>1218</v>
      </c>
      <c r="C652" s="17" t="s">
        <v>607</v>
      </c>
      <c r="D652" s="17"/>
      <c r="E652" s="17" t="s">
        <v>161</v>
      </c>
      <c r="F652" t="str">
        <f>VLOOKUP($E652,'Data Type Lookup'!$A$1:$C$21,2,FALSE)</f>
        <v>NUMBER(21,6)</v>
      </c>
      <c r="G652" s="17"/>
      <c r="H652" s="17"/>
      <c r="I652" s="29"/>
      <c r="J652" s="29">
        <v>0</v>
      </c>
      <c r="K652" s="29"/>
      <c r="L652" s="29"/>
      <c r="M652" s="17"/>
      <c r="N652" s="17"/>
      <c r="O652" s="17"/>
      <c r="P652" s="17"/>
      <c r="Q652" s="17"/>
      <c r="R652" s="17"/>
      <c r="S652" s="17"/>
      <c r="W652" t="str">
        <f t="shared" si="16"/>
        <v>PROJECT_CONTROL_ACCOUNT.BAC</v>
      </c>
      <c r="X652" t="e">
        <f>VLOOKUP(W652,ColumnMapping[New Table.Column],1,)</f>
        <v>#N/A</v>
      </c>
      <c r="Y652" t="str">
        <f>_xlfn.XLOOKUP(Table6[[#This Row],[Table.Column]],ColumnMapping[Add Column Name],ColumnMapping[Old Table.Column],"",0,1)</f>
        <v>CAWP.BAC</v>
      </c>
      <c r="Z652" t="str">
        <f>_xlfn.XLOOKUP(Table6[[#This Row],[Old Table.Column]],Cobra8.6[Table.Column],Cobra8.6[TYPE],"",0,1)</f>
        <v>DEC</v>
      </c>
      <c r="AA652">
        <f>_xlfn.XLOOKUP(Table6[[#This Row],[Old Table.Column]],Cobra8.6[Table.Column],Cobra8.6[LENGTH],"",0,1)</f>
        <v>21</v>
      </c>
      <c r="AB652"/>
    </row>
    <row r="653" spans="1:28" hidden="1" x14ac:dyDescent="0.2">
      <c r="A653" t="s">
        <v>450</v>
      </c>
      <c r="B653" s="17" t="s">
        <v>1218</v>
      </c>
      <c r="C653" s="17" t="s">
        <v>609</v>
      </c>
      <c r="D653" s="17"/>
      <c r="E653" s="17" t="s">
        <v>161</v>
      </c>
      <c r="F653" t="str">
        <f>VLOOKUP($E653,'Data Type Lookup'!$A$1:$C$21,2,FALSE)</f>
        <v>NUMBER(21,6)</v>
      </c>
      <c r="G653" s="17"/>
      <c r="H653" s="17"/>
      <c r="I653" s="29"/>
      <c r="J653" s="29">
        <v>0</v>
      </c>
      <c r="K653" s="29"/>
      <c r="L653" s="29"/>
      <c r="M653" s="17"/>
      <c r="N653" s="17"/>
      <c r="O653" s="17"/>
      <c r="P653" s="17"/>
      <c r="Q653" s="17"/>
      <c r="R653" s="17"/>
      <c r="S653" s="17"/>
      <c r="W653" t="str">
        <f t="shared" si="16"/>
        <v>PROJECT_CONTROL_ACCOUNT.BAC_HRS</v>
      </c>
      <c r="X653" t="e">
        <f>VLOOKUP(W653,ColumnMapping[New Table.Column],1,)</f>
        <v>#N/A</v>
      </c>
      <c r="Y653" t="str">
        <f>_xlfn.XLOOKUP(Table6[[#This Row],[Table.Column]],ColumnMapping[Add Column Name],ColumnMapping[Old Table.Column],"",0,1)</f>
        <v>CAWP.BAC_HRS</v>
      </c>
      <c r="Z653" t="str">
        <f>_xlfn.XLOOKUP(Table6[[#This Row],[Old Table.Column]],Cobra8.6[Table.Column],Cobra8.6[TYPE],"",0,1)</f>
        <v>DEC</v>
      </c>
      <c r="AA653">
        <f>_xlfn.XLOOKUP(Table6[[#This Row],[Old Table.Column]],Cobra8.6[Table.Column],Cobra8.6[LENGTH],"",0,1)</f>
        <v>21</v>
      </c>
      <c r="AB653"/>
    </row>
    <row r="654" spans="1:28" hidden="1" x14ac:dyDescent="0.2">
      <c r="A654" t="s">
        <v>450</v>
      </c>
      <c r="B654" t="s">
        <v>1218</v>
      </c>
      <c r="C654" t="s">
        <v>501</v>
      </c>
      <c r="D654">
        <v>10</v>
      </c>
      <c r="E654" t="s">
        <v>356</v>
      </c>
      <c r="F654" t="str">
        <f>VLOOKUP($E654,'Data Type Lookup'!$A$1:$C$21,2,FALSE)</f>
        <v>DATE</v>
      </c>
      <c r="P654" t="s">
        <v>901</v>
      </c>
      <c r="Q654" t="s">
        <v>503</v>
      </c>
      <c r="R654" t="str">
        <f>VLOOKUP(E654,'Data Type Lookup'!$A$1:$C$21,3,FALSE)</f>
        <v>java.time.Instant</v>
      </c>
      <c r="W654" t="str">
        <f t="shared" si="16"/>
        <v>PROJECT_CONTROL_ACCOUNT.BASELINE_FINISH</v>
      </c>
      <c r="X654" t="str">
        <f>VLOOKUP(W654,ColumnMapping[New Table.Column],1,)</f>
        <v>PROJECT_CONTROL_ACCOUNT.BASELINE_FINISH</v>
      </c>
      <c r="Y654" t="str">
        <f>_xlfn.XLOOKUP(Table6[[#This Row],[Table.Column]],ColumnMapping[Add Column Name],ColumnMapping[Old Table.Column],"",0,1)</f>
        <v/>
      </c>
      <c r="Z654" t="str">
        <f>_xlfn.XLOOKUP(Table6[[#This Row],[Old Table.Column]],Cobra8.6[Table.Column],Cobra8.6[TYPE],"",0,1)</f>
        <v/>
      </c>
      <c r="AA654" t="str">
        <f>_xlfn.XLOOKUP(Table6[[#This Row],[Old Table.Column]],Cobra8.6[Table.Column],Cobra8.6[LENGTH],"",0,1)</f>
        <v/>
      </c>
      <c r="AB654"/>
    </row>
    <row r="655" spans="1:28" hidden="1" x14ac:dyDescent="0.2">
      <c r="A655" t="s">
        <v>450</v>
      </c>
      <c r="B655" t="s">
        <v>1219</v>
      </c>
      <c r="C655" t="s">
        <v>501</v>
      </c>
      <c r="D655">
        <v>10</v>
      </c>
      <c r="E655" t="s">
        <v>356</v>
      </c>
      <c r="F655" t="str">
        <f>VLOOKUP($E655,'Data Type Lookup'!$A$1:$C$21,2,FALSE)</f>
        <v>DATE</v>
      </c>
      <c r="P655" t="s">
        <v>901</v>
      </c>
      <c r="Q655" t="s">
        <v>503</v>
      </c>
      <c r="R655" t="str">
        <f>VLOOKUP(E655,'Data Type Lookup'!$A$1:$C$21,3,FALSE)</f>
        <v>java.time.Instant</v>
      </c>
      <c r="W655" t="str">
        <f t="shared" si="16"/>
        <v>PROJECT_WORK_PACKAGE.BASELINE_FINISH</v>
      </c>
      <c r="X655" t="str">
        <f>VLOOKUP(W655,ColumnMapping[New Table.Column],1,)</f>
        <v>PROJECT_WORK_PACKAGE.BASELINE_FINISH</v>
      </c>
      <c r="Y655" t="str">
        <f>_xlfn.XLOOKUP(Table6[[#This Row],[Table.Column]],ColumnMapping[Add Column Name],ColumnMapping[Old Table.Column],"",0,1)</f>
        <v/>
      </c>
      <c r="Z655" t="str">
        <f>_xlfn.XLOOKUP(Table6[[#This Row],[Old Table.Column]],Cobra8.6[Table.Column],Cobra8.6[TYPE],"",0,1)</f>
        <v/>
      </c>
      <c r="AA655" t="str">
        <f>_xlfn.XLOOKUP(Table6[[#This Row],[Old Table.Column]],Cobra8.6[Table.Column],Cobra8.6[LENGTH],"",0,1)</f>
        <v/>
      </c>
      <c r="AB655"/>
    </row>
    <row r="656" spans="1:28" hidden="1" x14ac:dyDescent="0.2">
      <c r="A656" t="s">
        <v>450</v>
      </c>
      <c r="B656" t="s">
        <v>1218</v>
      </c>
      <c r="C656" t="s">
        <v>498</v>
      </c>
      <c r="D656">
        <v>9</v>
      </c>
      <c r="E656" t="s">
        <v>356</v>
      </c>
      <c r="F656" t="str">
        <f>VLOOKUP($E656,'Data Type Lookup'!$A$1:$C$21,2,FALSE)</f>
        <v>DATE</v>
      </c>
      <c r="P656" t="s">
        <v>900</v>
      </c>
      <c r="Q656" t="s">
        <v>500</v>
      </c>
      <c r="R656" t="str">
        <f>VLOOKUP(E656,'Data Type Lookup'!$A$1:$C$21,3,FALSE)</f>
        <v>java.time.Instant</v>
      </c>
      <c r="W656" t="str">
        <f t="shared" si="16"/>
        <v>PROJECT_CONTROL_ACCOUNT.BASELINE_START</v>
      </c>
      <c r="X656" t="str">
        <f>VLOOKUP(W656,ColumnMapping[New Table.Column],1,)</f>
        <v>PROJECT_CONTROL_ACCOUNT.BASELINE_START</v>
      </c>
      <c r="Y656" t="str">
        <f>_xlfn.XLOOKUP(Table6[[#This Row],[Table.Column]],ColumnMapping[Add Column Name],ColumnMapping[Old Table.Column],"",0,1)</f>
        <v/>
      </c>
      <c r="Z656" t="str">
        <f>_xlfn.XLOOKUP(Table6[[#This Row],[Old Table.Column]],Cobra8.6[Table.Column],Cobra8.6[TYPE],"",0,1)</f>
        <v/>
      </c>
      <c r="AA656" t="str">
        <f>_xlfn.XLOOKUP(Table6[[#This Row],[Old Table.Column]],Cobra8.6[Table.Column],Cobra8.6[LENGTH],"",0,1)</f>
        <v/>
      </c>
      <c r="AB656"/>
    </row>
    <row r="657" spans="1:28" hidden="1" x14ac:dyDescent="0.2">
      <c r="A657" t="s">
        <v>450</v>
      </c>
      <c r="B657" t="s">
        <v>1219</v>
      </c>
      <c r="C657" t="s">
        <v>498</v>
      </c>
      <c r="D657">
        <v>9</v>
      </c>
      <c r="E657" t="s">
        <v>356</v>
      </c>
      <c r="F657" t="str">
        <f>VLOOKUP($E657,'Data Type Lookup'!$A$1:$C$21,2,FALSE)</f>
        <v>DATE</v>
      </c>
      <c r="P657" t="s">
        <v>900</v>
      </c>
      <c r="Q657" t="s">
        <v>500</v>
      </c>
      <c r="R657" t="str">
        <f>VLOOKUP(E657,'Data Type Lookup'!$A$1:$C$21,3,FALSE)</f>
        <v>java.time.Instant</v>
      </c>
      <c r="W657" t="str">
        <f t="shared" si="16"/>
        <v>PROJECT_WORK_PACKAGE.BASELINE_START</v>
      </c>
      <c r="X657" t="str">
        <f>VLOOKUP(W657,ColumnMapping[New Table.Column],1,)</f>
        <v>PROJECT_WORK_PACKAGE.BASELINE_START</v>
      </c>
      <c r="Y657" t="str">
        <f>_xlfn.XLOOKUP(Table6[[#This Row],[Table.Column]],ColumnMapping[Add Column Name],ColumnMapping[Old Table.Column],"",0,1)</f>
        <v/>
      </c>
      <c r="Z657" t="str">
        <f>_xlfn.XLOOKUP(Table6[[#This Row],[Old Table.Column]],Cobra8.6[Table.Column],Cobra8.6[TYPE],"",0,1)</f>
        <v/>
      </c>
      <c r="AA657" t="str">
        <f>_xlfn.XLOOKUP(Table6[[#This Row],[Old Table.Column]],Cobra8.6[Table.Column],Cobra8.6[LENGTH],"",0,1)</f>
        <v/>
      </c>
      <c r="AB657"/>
    </row>
    <row r="658" spans="1:28" hidden="1" x14ac:dyDescent="0.2">
      <c r="A658" t="s">
        <v>450</v>
      </c>
      <c r="B658" s="17" t="s">
        <v>1218</v>
      </c>
      <c r="C658" s="17" t="s">
        <v>613</v>
      </c>
      <c r="D658" s="17"/>
      <c r="E658" s="17" t="s">
        <v>161</v>
      </c>
      <c r="F658" t="str">
        <f>VLOOKUP($E658,'Data Type Lookup'!$A$1:$C$21,2,FALSE)</f>
        <v>NUMBER(21,6)</v>
      </c>
      <c r="G658" s="17"/>
      <c r="H658" s="17"/>
      <c r="I658" s="29"/>
      <c r="J658" s="29">
        <v>0</v>
      </c>
      <c r="K658" s="29"/>
      <c r="L658" s="29"/>
      <c r="M658" s="17"/>
      <c r="N658" s="17"/>
      <c r="O658" s="17"/>
      <c r="P658" s="17"/>
      <c r="Q658" s="17"/>
      <c r="R658" s="17"/>
      <c r="S658" s="17"/>
      <c r="W658" t="str">
        <f t="shared" si="16"/>
        <v>PROJECT_CONTROL_ACCOUNT.BCWP</v>
      </c>
      <c r="X658" t="e">
        <f>VLOOKUP(W658,ColumnMapping[New Table.Column],1,)</f>
        <v>#N/A</v>
      </c>
      <c r="Y658" t="str">
        <f>_xlfn.XLOOKUP(Table6[[#This Row],[Table.Column]],ColumnMapping[Add Column Name],ColumnMapping[Old Table.Column],"",0,1)</f>
        <v>CAWP.BCWP</v>
      </c>
      <c r="Z658" t="str">
        <f>_xlfn.XLOOKUP(Table6[[#This Row],[Old Table.Column]],Cobra8.6[Table.Column],Cobra8.6[TYPE],"",0,1)</f>
        <v>DEC</v>
      </c>
      <c r="AA658">
        <f>_xlfn.XLOOKUP(Table6[[#This Row],[Old Table.Column]],Cobra8.6[Table.Column],Cobra8.6[LENGTH],"",0,1)</f>
        <v>21</v>
      </c>
      <c r="AB658"/>
    </row>
    <row r="659" spans="1:28" hidden="1" x14ac:dyDescent="0.2">
      <c r="A659" t="s">
        <v>450</v>
      </c>
      <c r="B659" s="17" t="s">
        <v>1218</v>
      </c>
      <c r="C659" s="17" t="s">
        <v>615</v>
      </c>
      <c r="D659" s="17"/>
      <c r="E659" s="17" t="s">
        <v>161</v>
      </c>
      <c r="F659" t="str">
        <f>VLOOKUP($E659,'Data Type Lookup'!$A$1:$C$21,2,FALSE)</f>
        <v>NUMBER(21,6)</v>
      </c>
      <c r="G659" s="17"/>
      <c r="H659" s="17"/>
      <c r="I659" s="29"/>
      <c r="J659" s="29">
        <v>0</v>
      </c>
      <c r="K659" s="29"/>
      <c r="L659" s="29"/>
      <c r="M659" s="17"/>
      <c r="N659" s="17"/>
      <c r="O659" s="17"/>
      <c r="P659" s="17"/>
      <c r="Q659" s="17"/>
      <c r="R659" s="17"/>
      <c r="S659" s="17"/>
      <c r="W659" t="str">
        <f t="shared" si="16"/>
        <v>PROJECT_CONTROL_ACCOUNT.BCWP_HRS</v>
      </c>
      <c r="X659" t="e">
        <f>VLOOKUP(W659,ColumnMapping[New Table.Column],1,)</f>
        <v>#N/A</v>
      </c>
      <c r="Y659" t="str">
        <f>_xlfn.XLOOKUP(Table6[[#This Row],[Table.Column]],ColumnMapping[Add Column Name],ColumnMapping[Old Table.Column],"",0,1)</f>
        <v>CAWP.BCWP_HRS</v>
      </c>
      <c r="Z659" t="str">
        <f>_xlfn.XLOOKUP(Table6[[#This Row],[Old Table.Column]],Cobra8.6[Table.Column],Cobra8.6[TYPE],"",0,1)</f>
        <v>DEC</v>
      </c>
      <c r="AA659">
        <f>_xlfn.XLOOKUP(Table6[[#This Row],[Old Table.Column]],Cobra8.6[Table.Column],Cobra8.6[LENGTH],"",0,1)</f>
        <v>21</v>
      </c>
      <c r="AB659"/>
    </row>
    <row r="660" spans="1:28" hidden="1" x14ac:dyDescent="0.2">
      <c r="A660" t="s">
        <v>450</v>
      </c>
      <c r="B660" s="17" t="s">
        <v>1218</v>
      </c>
      <c r="C660" s="17" t="s">
        <v>955</v>
      </c>
      <c r="D660" s="17"/>
      <c r="E660" s="17" t="s">
        <v>161</v>
      </c>
      <c r="F660" t="str">
        <f>VLOOKUP($E660,'Data Type Lookup'!$A$1:$C$21,2,FALSE)</f>
        <v>NUMBER(21,6)</v>
      </c>
      <c r="G660" s="17"/>
      <c r="H660" s="17"/>
      <c r="I660" s="29"/>
      <c r="J660" s="29">
        <v>0</v>
      </c>
      <c r="K660" s="29"/>
      <c r="L660" s="29"/>
      <c r="M660" s="17"/>
      <c r="N660" s="17"/>
      <c r="O660" s="17"/>
      <c r="P660" s="17"/>
      <c r="Q660" s="17"/>
      <c r="R660" s="17"/>
      <c r="S660" s="17"/>
      <c r="W660" t="str">
        <f t="shared" si="16"/>
        <v>PROJECT_CONTROL_ACCOUNT.BCWPCP</v>
      </c>
      <c r="X660" t="e">
        <f>VLOOKUP(W660,ColumnMapping[New Table.Column],1,)</f>
        <v>#N/A</v>
      </c>
      <c r="Y660" t="str">
        <f>_xlfn.XLOOKUP(Table6[[#This Row],[Table.Column]],ColumnMapping[Add Column Name],ColumnMapping[Old Table.Column],"",0,1)</f>
        <v>CAWP.BCWPCP</v>
      </c>
      <c r="Z660" t="str">
        <f>_xlfn.XLOOKUP(Table6[[#This Row],[Old Table.Column]],Cobra8.6[Table.Column],Cobra8.6[TYPE],"",0,1)</f>
        <v>DEC</v>
      </c>
      <c r="AA660">
        <f>_xlfn.XLOOKUP(Table6[[#This Row],[Old Table.Column]],Cobra8.6[Table.Column],Cobra8.6[LENGTH],"",0,1)</f>
        <v>21</v>
      </c>
      <c r="AB660"/>
    </row>
    <row r="661" spans="1:28" hidden="1" x14ac:dyDescent="0.2">
      <c r="A661" t="s">
        <v>450</v>
      </c>
      <c r="B661" s="17" t="s">
        <v>1218</v>
      </c>
      <c r="C661" s="17" t="s">
        <v>957</v>
      </c>
      <c r="D661" s="17"/>
      <c r="E661" s="17" t="s">
        <v>161</v>
      </c>
      <c r="F661" t="str">
        <f>VLOOKUP($E661,'Data Type Lookup'!$A$1:$C$21,2,FALSE)</f>
        <v>NUMBER(21,6)</v>
      </c>
      <c r="G661" s="17"/>
      <c r="H661" s="17"/>
      <c r="I661" s="29"/>
      <c r="J661" s="29">
        <v>0</v>
      </c>
      <c r="K661" s="29"/>
      <c r="L661" s="29"/>
      <c r="M661" s="17"/>
      <c r="N661" s="17"/>
      <c r="O661" s="17"/>
      <c r="P661" s="17"/>
      <c r="Q661" s="17"/>
      <c r="R661" s="17"/>
      <c r="S661" s="17"/>
      <c r="W661" t="str">
        <f t="shared" si="16"/>
        <v>PROJECT_CONTROL_ACCOUNT.BCWPCP_HRS</v>
      </c>
      <c r="X661" t="e">
        <f>VLOOKUP(W661,ColumnMapping[New Table.Column],1,)</f>
        <v>#N/A</v>
      </c>
      <c r="Y661" t="str">
        <f>_xlfn.XLOOKUP(Table6[[#This Row],[Table.Column]],ColumnMapping[Add Column Name],ColumnMapping[Old Table.Column],"",0,1)</f>
        <v>CAWP.BCWPCP_HRS</v>
      </c>
      <c r="Z661" t="str">
        <f>_xlfn.XLOOKUP(Table6[[#This Row],[Old Table.Column]],Cobra8.6[Table.Column],Cobra8.6[TYPE],"",0,1)</f>
        <v>DEC</v>
      </c>
      <c r="AA661">
        <f>_xlfn.XLOOKUP(Table6[[#This Row],[Old Table.Column]],Cobra8.6[Table.Column],Cobra8.6[LENGTH],"",0,1)</f>
        <v>21</v>
      </c>
      <c r="AB661"/>
    </row>
    <row r="662" spans="1:28" hidden="1" x14ac:dyDescent="0.2">
      <c r="A662" t="s">
        <v>450</v>
      </c>
      <c r="B662" s="17" t="s">
        <v>1218</v>
      </c>
      <c r="C662" s="17" t="s">
        <v>617</v>
      </c>
      <c r="D662" s="17"/>
      <c r="E662" s="17" t="s">
        <v>161</v>
      </c>
      <c r="F662" t="str">
        <f>VLOOKUP($E662,'Data Type Lookup'!$A$1:$C$21,2,FALSE)</f>
        <v>NUMBER(21,6)</v>
      </c>
      <c r="G662" s="17"/>
      <c r="H662" s="17"/>
      <c r="I662" s="29"/>
      <c r="J662" s="29">
        <v>0</v>
      </c>
      <c r="K662" s="29"/>
      <c r="L662" s="29"/>
      <c r="M662" s="17"/>
      <c r="N662" s="17"/>
      <c r="O662" s="17"/>
      <c r="P662" s="17"/>
      <c r="Q662" s="17"/>
      <c r="R662" s="17"/>
      <c r="S662" s="17"/>
      <c r="W662" t="str">
        <f t="shared" si="16"/>
        <v>PROJECT_CONTROL_ACCOUNT.BCWS</v>
      </c>
      <c r="X662" t="e">
        <f>VLOOKUP(W662,ColumnMapping[New Table.Column],1,)</f>
        <v>#N/A</v>
      </c>
      <c r="Y662" t="str">
        <f>_xlfn.XLOOKUP(Table6[[#This Row],[Table.Column]],ColumnMapping[Add Column Name],ColumnMapping[Old Table.Column],"",0,1)</f>
        <v>CAWP.BCWS</v>
      </c>
      <c r="Z662" t="str">
        <f>_xlfn.XLOOKUP(Table6[[#This Row],[Old Table.Column]],Cobra8.6[Table.Column],Cobra8.6[TYPE],"",0,1)</f>
        <v>DEC</v>
      </c>
      <c r="AA662">
        <f>_xlfn.XLOOKUP(Table6[[#This Row],[Old Table.Column]],Cobra8.6[Table.Column],Cobra8.6[LENGTH],"",0,1)</f>
        <v>21</v>
      </c>
      <c r="AB662"/>
    </row>
    <row r="663" spans="1:28" hidden="1" x14ac:dyDescent="0.2">
      <c r="A663" t="s">
        <v>450</v>
      </c>
      <c r="B663" s="17" t="s">
        <v>1218</v>
      </c>
      <c r="C663" s="17" t="s">
        <v>619</v>
      </c>
      <c r="D663" s="17"/>
      <c r="E663" s="17" t="s">
        <v>161</v>
      </c>
      <c r="F663" t="str">
        <f>VLOOKUP($E663,'Data Type Lookup'!$A$1:$C$21,2,FALSE)</f>
        <v>NUMBER(21,6)</v>
      </c>
      <c r="G663" s="17"/>
      <c r="H663" s="17"/>
      <c r="I663" s="29"/>
      <c r="J663" s="29">
        <v>0</v>
      </c>
      <c r="K663" s="29"/>
      <c r="L663" s="29"/>
      <c r="M663" s="17"/>
      <c r="N663" s="17"/>
      <c r="O663" s="17"/>
      <c r="P663" s="17"/>
      <c r="Q663" s="17"/>
      <c r="R663" s="17"/>
      <c r="S663" s="17"/>
      <c r="W663" t="str">
        <f t="shared" si="16"/>
        <v>PROJECT_CONTROL_ACCOUNT.BCWS_HRS</v>
      </c>
      <c r="X663" t="e">
        <f>VLOOKUP(W663,ColumnMapping[New Table.Column],1,)</f>
        <v>#N/A</v>
      </c>
      <c r="Y663" t="str">
        <f>_xlfn.XLOOKUP(Table6[[#This Row],[Table.Column]],ColumnMapping[Add Column Name],ColumnMapping[Old Table.Column],"",0,1)</f>
        <v>CAWP.BCWS_HRS</v>
      </c>
      <c r="Z663" t="str">
        <f>_xlfn.XLOOKUP(Table6[[#This Row],[Old Table.Column]],Cobra8.6[Table.Column],Cobra8.6[TYPE],"",0,1)</f>
        <v>DEC</v>
      </c>
      <c r="AA663">
        <f>_xlfn.XLOOKUP(Table6[[#This Row],[Old Table.Column]],Cobra8.6[Table.Column],Cobra8.6[LENGTH],"",0,1)</f>
        <v>21</v>
      </c>
      <c r="AB663"/>
    </row>
    <row r="664" spans="1:28" hidden="1" x14ac:dyDescent="0.2">
      <c r="A664" t="s">
        <v>450</v>
      </c>
      <c r="B664" s="17" t="s">
        <v>1218</v>
      </c>
      <c r="C664" s="17" t="s">
        <v>959</v>
      </c>
      <c r="D664" s="17"/>
      <c r="E664" s="17" t="s">
        <v>161</v>
      </c>
      <c r="F664" t="str">
        <f>VLOOKUP($E664,'Data Type Lookup'!$A$1:$C$21,2,FALSE)</f>
        <v>NUMBER(21,6)</v>
      </c>
      <c r="G664" s="17"/>
      <c r="H664" s="17"/>
      <c r="I664" s="29"/>
      <c r="J664" s="29">
        <v>0</v>
      </c>
      <c r="K664" s="29"/>
      <c r="L664" s="29"/>
      <c r="M664" s="17"/>
      <c r="N664" s="17"/>
      <c r="O664" s="17"/>
      <c r="P664" s="17"/>
      <c r="Q664" s="17"/>
      <c r="R664" s="17"/>
      <c r="S664" s="17"/>
      <c r="W664" t="str">
        <f t="shared" si="16"/>
        <v>PROJECT_CONTROL_ACCOUNT.BCWSCP</v>
      </c>
      <c r="X664" t="e">
        <f>VLOOKUP(W664,ColumnMapping[New Table.Column],1,)</f>
        <v>#N/A</v>
      </c>
      <c r="Y664" t="str">
        <f>_xlfn.XLOOKUP(Table6[[#This Row],[Table.Column]],ColumnMapping[Add Column Name],ColumnMapping[Old Table.Column],"",0,1)</f>
        <v>CAWP.BCWSCP</v>
      </c>
      <c r="Z664" t="str">
        <f>_xlfn.XLOOKUP(Table6[[#This Row],[Old Table.Column]],Cobra8.6[Table.Column],Cobra8.6[TYPE],"",0,1)</f>
        <v>DEC</v>
      </c>
      <c r="AA664">
        <f>_xlfn.XLOOKUP(Table6[[#This Row],[Old Table.Column]],Cobra8.6[Table.Column],Cobra8.6[LENGTH],"",0,1)</f>
        <v>21</v>
      </c>
      <c r="AB664"/>
    </row>
    <row r="665" spans="1:28" hidden="1" x14ac:dyDescent="0.2">
      <c r="A665" t="s">
        <v>450</v>
      </c>
      <c r="B665" s="17" t="s">
        <v>1218</v>
      </c>
      <c r="C665" s="17" t="s">
        <v>961</v>
      </c>
      <c r="D665" s="17"/>
      <c r="E665" s="17" t="s">
        <v>161</v>
      </c>
      <c r="F665" t="str">
        <f>VLOOKUP($E665,'Data Type Lookup'!$A$1:$C$21,2,FALSE)</f>
        <v>NUMBER(21,6)</v>
      </c>
      <c r="G665" s="17"/>
      <c r="H665" s="17"/>
      <c r="I665" s="29"/>
      <c r="J665" s="29">
        <v>0</v>
      </c>
      <c r="K665" s="29"/>
      <c r="L665" s="29"/>
      <c r="M665" s="17"/>
      <c r="N665" s="17"/>
      <c r="O665" s="17"/>
      <c r="P665" s="17"/>
      <c r="Q665" s="17"/>
      <c r="R665" s="17"/>
      <c r="S665" s="17"/>
      <c r="W665" t="str">
        <f t="shared" si="16"/>
        <v>PROJECT_CONTROL_ACCOUNT.BCWSCP_HRS</v>
      </c>
      <c r="X665" t="e">
        <f>VLOOKUP(W665,ColumnMapping[New Table.Column],1,)</f>
        <v>#N/A</v>
      </c>
      <c r="Y665" t="str">
        <f>_xlfn.XLOOKUP(Table6[[#This Row],[Table.Column]],ColumnMapping[Add Column Name],ColumnMapping[Old Table.Column],"",0,1)</f>
        <v>CAWP.BCWSCP_HRS</v>
      </c>
      <c r="Z665" t="str">
        <f>_xlfn.XLOOKUP(Table6[[#This Row],[Old Table.Column]],Cobra8.6[Table.Column],Cobra8.6[TYPE],"",0,1)</f>
        <v>DEC</v>
      </c>
      <c r="AA665">
        <f>_xlfn.XLOOKUP(Table6[[#This Row],[Old Table.Column]],Cobra8.6[Table.Column],Cobra8.6[LENGTH],"",0,1)</f>
        <v>21</v>
      </c>
      <c r="AB665"/>
    </row>
    <row r="666" spans="1:28" hidden="1" x14ac:dyDescent="0.2">
      <c r="A666" t="s">
        <v>450</v>
      </c>
      <c r="B666" s="17" t="s">
        <v>1218</v>
      </c>
      <c r="C666" s="17" t="s">
        <v>963</v>
      </c>
      <c r="D666" s="17">
        <v>61</v>
      </c>
      <c r="E666" s="17" t="s">
        <v>48</v>
      </c>
      <c r="F666" t="str">
        <f>VLOOKUP($E666,'Data Type Lookup'!$A$1:$C$21,2,FALSE)</f>
        <v>NVARCHAR2</v>
      </c>
      <c r="G666">
        <f>_xlfn.XLOOKUP(Table6[[#This Row],[Old Table.Column]],Cobra8.6[Table.Column],Cobra8.6[LENGTH],"",0,1)</f>
        <v>59</v>
      </c>
      <c r="H666" s="17"/>
      <c r="I666" s="29"/>
      <c r="J666" s="29"/>
      <c r="K666" s="29"/>
      <c r="L666" s="29"/>
      <c r="M666" s="17"/>
      <c r="N666" s="17"/>
      <c r="O666" s="17"/>
      <c r="P666" s="17"/>
      <c r="Q666" s="17"/>
      <c r="R666" s="17"/>
      <c r="S666" s="17"/>
      <c r="W666" t="str">
        <f t="shared" si="16"/>
        <v>PROJECT_CONTROL_ACCOUNT.C1</v>
      </c>
      <c r="X666" t="e">
        <f>VLOOKUP(W666,ColumnMapping[New Table.Column],1,)</f>
        <v>#N/A</v>
      </c>
      <c r="Y666" t="str">
        <f>_xlfn.XLOOKUP(Table6[[#This Row],[Table.Column]],ColumnMapping[Add Column Name],ColumnMapping[Old Table.Column],"",0,1)</f>
        <v>CAWP.C1</v>
      </c>
      <c r="Z666" t="str">
        <f>_xlfn.XLOOKUP(Table6[[#This Row],[Old Table.Column]],Cobra8.6[Table.Column],Cobra8.6[TYPE],"",0,1)</f>
        <v>TEXT</v>
      </c>
      <c r="AA666">
        <f>_xlfn.XLOOKUP(Table6[[#This Row],[Old Table.Column]],Cobra8.6[Table.Column],Cobra8.6[LENGTH],"",0,1)</f>
        <v>59</v>
      </c>
      <c r="AB666"/>
    </row>
    <row r="667" spans="1:28" hidden="1" x14ac:dyDescent="0.2">
      <c r="A667" t="s">
        <v>450</v>
      </c>
      <c r="B667" s="17" t="s">
        <v>1218</v>
      </c>
      <c r="C667" s="17" t="s">
        <v>965</v>
      </c>
      <c r="D667" s="17">
        <v>70</v>
      </c>
      <c r="E667" s="17" t="s">
        <v>48</v>
      </c>
      <c r="F667" t="str">
        <f>VLOOKUP($E667,'Data Type Lookup'!$A$1:$C$21,2,FALSE)</f>
        <v>NVARCHAR2</v>
      </c>
      <c r="G667">
        <f>_xlfn.XLOOKUP(Table6[[#This Row],[Old Table.Column]],Cobra8.6[Table.Column],Cobra8.6[LENGTH],"",0,1)</f>
        <v>59</v>
      </c>
      <c r="H667" s="17"/>
      <c r="I667" s="29"/>
      <c r="J667" s="29"/>
      <c r="K667" s="29"/>
      <c r="L667" s="29"/>
      <c r="M667" s="17"/>
      <c r="N667" s="17"/>
      <c r="O667" s="17"/>
      <c r="P667" s="17"/>
      <c r="Q667" s="17"/>
      <c r="R667" s="17"/>
      <c r="S667" s="17"/>
      <c r="W667" t="str">
        <f t="shared" si="16"/>
        <v>PROJECT_CONTROL_ACCOUNT.C10</v>
      </c>
      <c r="X667" t="e">
        <f>VLOOKUP(W667,ColumnMapping[New Table.Column],1,)</f>
        <v>#N/A</v>
      </c>
      <c r="Y667" t="str">
        <f>_xlfn.XLOOKUP(Table6[[#This Row],[Table.Column]],ColumnMapping[Add Column Name],ColumnMapping[Old Table.Column],"",0,1)</f>
        <v>CAWP.C10</v>
      </c>
      <c r="Z667" t="str">
        <f>_xlfn.XLOOKUP(Table6[[#This Row],[Old Table.Column]],Cobra8.6[Table.Column],Cobra8.6[TYPE],"",0,1)</f>
        <v>TEXT</v>
      </c>
      <c r="AA667">
        <f>_xlfn.XLOOKUP(Table6[[#This Row],[Old Table.Column]],Cobra8.6[Table.Column],Cobra8.6[LENGTH],"",0,1)</f>
        <v>59</v>
      </c>
      <c r="AB667"/>
    </row>
    <row r="668" spans="1:28" hidden="1" x14ac:dyDescent="0.2">
      <c r="A668" t="s">
        <v>450</v>
      </c>
      <c r="B668" s="17" t="s">
        <v>1218</v>
      </c>
      <c r="C668" s="17" t="s">
        <v>967</v>
      </c>
      <c r="D668" s="17">
        <v>71</v>
      </c>
      <c r="E668" s="17" t="s">
        <v>48</v>
      </c>
      <c r="F668" t="str">
        <f>VLOOKUP($E668,'Data Type Lookup'!$A$1:$C$21,2,FALSE)</f>
        <v>NVARCHAR2</v>
      </c>
      <c r="G668">
        <f>_xlfn.XLOOKUP(Table6[[#This Row],[Old Table.Column]],Cobra8.6[Table.Column],Cobra8.6[LENGTH],"",0,1)</f>
        <v>59</v>
      </c>
      <c r="H668" s="17"/>
      <c r="I668" s="29"/>
      <c r="J668" s="29"/>
      <c r="K668" s="29"/>
      <c r="L668" s="29"/>
      <c r="M668" s="17"/>
      <c r="N668" s="17"/>
      <c r="O668" s="17"/>
      <c r="P668" s="17"/>
      <c r="Q668" s="17"/>
      <c r="R668" s="17"/>
      <c r="S668" s="17"/>
      <c r="W668" t="str">
        <f t="shared" si="16"/>
        <v>PROJECT_CONTROL_ACCOUNT.C11</v>
      </c>
      <c r="X668" t="e">
        <f>VLOOKUP(W668,ColumnMapping[New Table.Column],1,)</f>
        <v>#N/A</v>
      </c>
      <c r="Y668" t="str">
        <f>_xlfn.XLOOKUP(Table6[[#This Row],[Table.Column]],ColumnMapping[Add Column Name],ColumnMapping[Old Table.Column],"",0,1)</f>
        <v>CAWP.C11</v>
      </c>
      <c r="Z668" t="str">
        <f>_xlfn.XLOOKUP(Table6[[#This Row],[Old Table.Column]],Cobra8.6[Table.Column],Cobra8.6[TYPE],"",0,1)</f>
        <v>TEXT</v>
      </c>
      <c r="AA668">
        <f>_xlfn.XLOOKUP(Table6[[#This Row],[Old Table.Column]],Cobra8.6[Table.Column],Cobra8.6[LENGTH],"",0,1)</f>
        <v>59</v>
      </c>
      <c r="AB668"/>
    </row>
    <row r="669" spans="1:28" hidden="1" x14ac:dyDescent="0.2">
      <c r="A669" t="s">
        <v>450</v>
      </c>
      <c r="B669" s="17" t="s">
        <v>1218</v>
      </c>
      <c r="C669" s="17" t="s">
        <v>969</v>
      </c>
      <c r="D669" s="17">
        <v>72</v>
      </c>
      <c r="E669" s="17" t="s">
        <v>48</v>
      </c>
      <c r="F669" t="str">
        <f>VLOOKUP($E669,'Data Type Lookup'!$A$1:$C$21,2,FALSE)</f>
        <v>NVARCHAR2</v>
      </c>
      <c r="G669">
        <f>_xlfn.XLOOKUP(Table6[[#This Row],[Old Table.Column]],Cobra8.6[Table.Column],Cobra8.6[LENGTH],"",0,1)</f>
        <v>59</v>
      </c>
      <c r="H669" s="17"/>
      <c r="I669" s="29"/>
      <c r="J669" s="29"/>
      <c r="K669" s="29"/>
      <c r="L669" s="29"/>
      <c r="M669" s="17"/>
      <c r="N669" s="17"/>
      <c r="O669" s="17"/>
      <c r="P669" s="17"/>
      <c r="Q669" s="17"/>
      <c r="R669" s="17"/>
      <c r="S669" s="17"/>
      <c r="W669" t="str">
        <f t="shared" si="16"/>
        <v>PROJECT_CONTROL_ACCOUNT.C12</v>
      </c>
      <c r="X669" t="e">
        <f>VLOOKUP(W669,ColumnMapping[New Table.Column],1,)</f>
        <v>#N/A</v>
      </c>
      <c r="Y669" t="str">
        <f>_xlfn.XLOOKUP(Table6[[#This Row],[Table.Column]],ColumnMapping[Add Column Name],ColumnMapping[Old Table.Column],"",0,1)</f>
        <v>CAWP.C12</v>
      </c>
      <c r="Z669" t="str">
        <f>_xlfn.XLOOKUP(Table6[[#This Row],[Old Table.Column]],Cobra8.6[Table.Column],Cobra8.6[TYPE],"",0,1)</f>
        <v>TEXT</v>
      </c>
      <c r="AA669">
        <f>_xlfn.XLOOKUP(Table6[[#This Row],[Old Table.Column]],Cobra8.6[Table.Column],Cobra8.6[LENGTH],"",0,1)</f>
        <v>59</v>
      </c>
      <c r="AB669"/>
    </row>
    <row r="670" spans="1:28" hidden="1" x14ac:dyDescent="0.2">
      <c r="A670" t="s">
        <v>450</v>
      </c>
      <c r="B670" s="17" t="s">
        <v>1218</v>
      </c>
      <c r="C670" s="17" t="s">
        <v>971</v>
      </c>
      <c r="D670" s="17">
        <v>73</v>
      </c>
      <c r="E670" s="17" t="s">
        <v>48</v>
      </c>
      <c r="F670" t="str">
        <f>VLOOKUP($E670,'Data Type Lookup'!$A$1:$C$21,2,FALSE)</f>
        <v>NVARCHAR2</v>
      </c>
      <c r="G670">
        <f>_xlfn.XLOOKUP(Table6[[#This Row],[Old Table.Column]],Cobra8.6[Table.Column],Cobra8.6[LENGTH],"",0,1)</f>
        <v>59</v>
      </c>
      <c r="H670" s="17"/>
      <c r="I670" s="29"/>
      <c r="J670" s="29"/>
      <c r="K670" s="29"/>
      <c r="L670" s="29"/>
      <c r="M670" s="17"/>
      <c r="N670" s="17"/>
      <c r="O670" s="17"/>
      <c r="P670" s="17"/>
      <c r="Q670" s="17"/>
      <c r="R670" s="17"/>
      <c r="S670" s="17"/>
      <c r="W670" t="str">
        <f t="shared" si="16"/>
        <v>PROJECT_CONTROL_ACCOUNT.C13</v>
      </c>
      <c r="X670" t="e">
        <f>VLOOKUP(W670,ColumnMapping[New Table.Column],1,)</f>
        <v>#N/A</v>
      </c>
      <c r="Y670" t="str">
        <f>_xlfn.XLOOKUP(Table6[[#This Row],[Table.Column]],ColumnMapping[Add Column Name],ColumnMapping[Old Table.Column],"",0,1)</f>
        <v>CAWP.C13</v>
      </c>
      <c r="Z670" t="str">
        <f>_xlfn.XLOOKUP(Table6[[#This Row],[Old Table.Column]],Cobra8.6[Table.Column],Cobra8.6[TYPE],"",0,1)</f>
        <v>TEXT</v>
      </c>
      <c r="AA670">
        <f>_xlfn.XLOOKUP(Table6[[#This Row],[Old Table.Column]],Cobra8.6[Table.Column],Cobra8.6[LENGTH],"",0,1)</f>
        <v>59</v>
      </c>
      <c r="AB670"/>
    </row>
    <row r="671" spans="1:28" hidden="1" x14ac:dyDescent="0.2">
      <c r="A671" t="s">
        <v>450</v>
      </c>
      <c r="B671" s="17" t="s">
        <v>1218</v>
      </c>
      <c r="C671" s="17" t="s">
        <v>973</v>
      </c>
      <c r="D671" s="17">
        <v>74</v>
      </c>
      <c r="E671" s="17" t="s">
        <v>48</v>
      </c>
      <c r="F671" t="str">
        <f>VLOOKUP($E671,'Data Type Lookup'!$A$1:$C$21,2,FALSE)</f>
        <v>NVARCHAR2</v>
      </c>
      <c r="G671">
        <f>_xlfn.XLOOKUP(Table6[[#This Row],[Old Table.Column]],Cobra8.6[Table.Column],Cobra8.6[LENGTH],"",0,1)</f>
        <v>59</v>
      </c>
      <c r="H671" s="17"/>
      <c r="I671" s="29"/>
      <c r="J671" s="29"/>
      <c r="K671" s="29"/>
      <c r="L671" s="29"/>
      <c r="M671" s="17"/>
      <c r="N671" s="17"/>
      <c r="O671" s="17"/>
      <c r="P671" s="17"/>
      <c r="Q671" s="17"/>
      <c r="R671" s="17"/>
      <c r="S671" s="17"/>
      <c r="W671" t="str">
        <f t="shared" si="16"/>
        <v>PROJECT_CONTROL_ACCOUNT.C14</v>
      </c>
      <c r="X671" t="e">
        <f>VLOOKUP(W671,ColumnMapping[New Table.Column],1,)</f>
        <v>#N/A</v>
      </c>
      <c r="Y671" t="str">
        <f>_xlfn.XLOOKUP(Table6[[#This Row],[Table.Column]],ColumnMapping[Add Column Name],ColumnMapping[Old Table.Column],"",0,1)</f>
        <v>CAWP.C14</v>
      </c>
      <c r="Z671" t="str">
        <f>_xlfn.XLOOKUP(Table6[[#This Row],[Old Table.Column]],Cobra8.6[Table.Column],Cobra8.6[TYPE],"",0,1)</f>
        <v>TEXT</v>
      </c>
      <c r="AA671">
        <f>_xlfn.XLOOKUP(Table6[[#This Row],[Old Table.Column]],Cobra8.6[Table.Column],Cobra8.6[LENGTH],"",0,1)</f>
        <v>59</v>
      </c>
      <c r="AB671"/>
    </row>
    <row r="672" spans="1:28" hidden="1" x14ac:dyDescent="0.2">
      <c r="A672" t="s">
        <v>450</v>
      </c>
      <c r="B672" s="17" t="s">
        <v>1218</v>
      </c>
      <c r="C672" s="17" t="s">
        <v>975</v>
      </c>
      <c r="D672" s="17">
        <v>75</v>
      </c>
      <c r="E672" s="17" t="s">
        <v>48</v>
      </c>
      <c r="F672" t="str">
        <f>VLOOKUP($E672,'Data Type Lookup'!$A$1:$C$21,2,FALSE)</f>
        <v>NVARCHAR2</v>
      </c>
      <c r="G672">
        <f>_xlfn.XLOOKUP(Table6[[#This Row],[Old Table.Column]],Cobra8.6[Table.Column],Cobra8.6[LENGTH],"",0,1)</f>
        <v>59</v>
      </c>
      <c r="H672" s="17"/>
      <c r="I672" s="29"/>
      <c r="J672" s="29"/>
      <c r="K672" s="29"/>
      <c r="L672" s="29"/>
      <c r="M672" s="17"/>
      <c r="N672" s="17"/>
      <c r="O672" s="17"/>
      <c r="P672" s="17"/>
      <c r="Q672" s="17"/>
      <c r="R672" s="17"/>
      <c r="S672" s="17"/>
      <c r="W672" t="str">
        <f t="shared" si="16"/>
        <v>PROJECT_CONTROL_ACCOUNT.C15</v>
      </c>
      <c r="X672" t="e">
        <f>VLOOKUP(W672,ColumnMapping[New Table.Column],1,)</f>
        <v>#N/A</v>
      </c>
      <c r="Y672" t="str">
        <f>_xlfn.XLOOKUP(Table6[[#This Row],[Table.Column]],ColumnMapping[Add Column Name],ColumnMapping[Old Table.Column],"",0,1)</f>
        <v>CAWP.C15</v>
      </c>
      <c r="Z672" t="str">
        <f>_xlfn.XLOOKUP(Table6[[#This Row],[Old Table.Column]],Cobra8.6[Table.Column],Cobra8.6[TYPE],"",0,1)</f>
        <v>TEXT</v>
      </c>
      <c r="AA672">
        <f>_xlfn.XLOOKUP(Table6[[#This Row],[Old Table.Column]],Cobra8.6[Table.Column],Cobra8.6[LENGTH],"",0,1)</f>
        <v>59</v>
      </c>
      <c r="AB672"/>
    </row>
    <row r="673" spans="1:28" hidden="1" x14ac:dyDescent="0.2">
      <c r="A673" t="s">
        <v>450</v>
      </c>
      <c r="B673" s="17" t="s">
        <v>1218</v>
      </c>
      <c r="C673" s="17" t="s">
        <v>977</v>
      </c>
      <c r="D673" s="17">
        <v>76</v>
      </c>
      <c r="E673" s="17" t="s">
        <v>48</v>
      </c>
      <c r="F673" t="str">
        <f>VLOOKUP($E673,'Data Type Lookup'!$A$1:$C$21,2,FALSE)</f>
        <v>NVARCHAR2</v>
      </c>
      <c r="G673">
        <f>_xlfn.XLOOKUP(Table6[[#This Row],[Old Table.Column]],Cobra8.6[Table.Column],Cobra8.6[LENGTH],"",0,1)</f>
        <v>59</v>
      </c>
      <c r="H673" s="17"/>
      <c r="I673" s="29"/>
      <c r="J673" s="29"/>
      <c r="K673" s="29"/>
      <c r="L673" s="29"/>
      <c r="M673" s="17"/>
      <c r="N673" s="17"/>
      <c r="O673" s="17"/>
      <c r="P673" s="17"/>
      <c r="Q673" s="17"/>
      <c r="R673" s="17"/>
      <c r="S673" s="17"/>
      <c r="W673" t="str">
        <f t="shared" si="16"/>
        <v>PROJECT_CONTROL_ACCOUNT.C16</v>
      </c>
      <c r="X673" t="e">
        <f>VLOOKUP(W673,ColumnMapping[New Table.Column],1,)</f>
        <v>#N/A</v>
      </c>
      <c r="Y673" t="str">
        <f>_xlfn.XLOOKUP(Table6[[#This Row],[Table.Column]],ColumnMapping[Add Column Name],ColumnMapping[Old Table.Column],"",0,1)</f>
        <v>CAWP.C16</v>
      </c>
      <c r="Z673" t="str">
        <f>_xlfn.XLOOKUP(Table6[[#This Row],[Old Table.Column]],Cobra8.6[Table.Column],Cobra8.6[TYPE],"",0,1)</f>
        <v>TEXT</v>
      </c>
      <c r="AA673">
        <f>_xlfn.XLOOKUP(Table6[[#This Row],[Old Table.Column]],Cobra8.6[Table.Column],Cobra8.6[LENGTH],"",0,1)</f>
        <v>59</v>
      </c>
      <c r="AB673"/>
    </row>
    <row r="674" spans="1:28" hidden="1" x14ac:dyDescent="0.2">
      <c r="A674" t="s">
        <v>450</v>
      </c>
      <c r="B674" s="17" t="s">
        <v>1218</v>
      </c>
      <c r="C674" s="17" t="s">
        <v>979</v>
      </c>
      <c r="D674" s="17">
        <v>77</v>
      </c>
      <c r="E674" s="17" t="s">
        <v>48</v>
      </c>
      <c r="F674" t="str">
        <f>VLOOKUP($E674,'Data Type Lookup'!$A$1:$C$21,2,FALSE)</f>
        <v>NVARCHAR2</v>
      </c>
      <c r="G674">
        <f>_xlfn.XLOOKUP(Table6[[#This Row],[Old Table.Column]],Cobra8.6[Table.Column],Cobra8.6[LENGTH],"",0,1)</f>
        <v>59</v>
      </c>
      <c r="H674" s="17"/>
      <c r="I674" s="29"/>
      <c r="J674" s="29"/>
      <c r="K674" s="29"/>
      <c r="L674" s="29"/>
      <c r="M674" s="17"/>
      <c r="N674" s="17"/>
      <c r="O674" s="17"/>
      <c r="P674" s="17"/>
      <c r="Q674" s="17"/>
      <c r="R674" s="17"/>
      <c r="S674" s="17"/>
      <c r="W674" t="str">
        <f t="shared" si="16"/>
        <v>PROJECT_CONTROL_ACCOUNT.C17</v>
      </c>
      <c r="X674" t="e">
        <f>VLOOKUP(W674,ColumnMapping[New Table.Column],1,)</f>
        <v>#N/A</v>
      </c>
      <c r="Y674" t="str">
        <f>_xlfn.XLOOKUP(Table6[[#This Row],[Table.Column]],ColumnMapping[Add Column Name],ColumnMapping[Old Table.Column],"",0,1)</f>
        <v>CAWP.C17</v>
      </c>
      <c r="Z674" t="str">
        <f>_xlfn.XLOOKUP(Table6[[#This Row],[Old Table.Column]],Cobra8.6[Table.Column],Cobra8.6[TYPE],"",0,1)</f>
        <v>TEXT</v>
      </c>
      <c r="AA674">
        <f>_xlfn.XLOOKUP(Table6[[#This Row],[Old Table.Column]],Cobra8.6[Table.Column],Cobra8.6[LENGTH],"",0,1)</f>
        <v>59</v>
      </c>
      <c r="AB674"/>
    </row>
    <row r="675" spans="1:28" hidden="1" x14ac:dyDescent="0.2">
      <c r="A675" t="s">
        <v>450</v>
      </c>
      <c r="B675" s="17" t="s">
        <v>1218</v>
      </c>
      <c r="C675" s="17" t="s">
        <v>981</v>
      </c>
      <c r="D675" s="17">
        <v>78</v>
      </c>
      <c r="E675" s="17" t="s">
        <v>48</v>
      </c>
      <c r="F675" t="str">
        <f>VLOOKUP($E675,'Data Type Lookup'!$A$1:$C$21,2,FALSE)</f>
        <v>NVARCHAR2</v>
      </c>
      <c r="G675">
        <f>_xlfn.XLOOKUP(Table6[[#This Row],[Old Table.Column]],Cobra8.6[Table.Column],Cobra8.6[LENGTH],"",0,1)</f>
        <v>59</v>
      </c>
      <c r="H675" s="17"/>
      <c r="I675" s="29"/>
      <c r="J675" s="29"/>
      <c r="K675" s="29"/>
      <c r="L675" s="29"/>
      <c r="M675" s="17"/>
      <c r="N675" s="17"/>
      <c r="O675" s="17"/>
      <c r="P675" s="17"/>
      <c r="Q675" s="17"/>
      <c r="R675" s="17"/>
      <c r="S675" s="17"/>
      <c r="W675" t="str">
        <f t="shared" si="16"/>
        <v>PROJECT_CONTROL_ACCOUNT.C18</v>
      </c>
      <c r="X675" t="e">
        <f>VLOOKUP(W675,ColumnMapping[New Table.Column],1,)</f>
        <v>#N/A</v>
      </c>
      <c r="Y675" t="str">
        <f>_xlfn.XLOOKUP(Table6[[#This Row],[Table.Column]],ColumnMapping[Add Column Name],ColumnMapping[Old Table.Column],"",0,1)</f>
        <v>CAWP.C18</v>
      </c>
      <c r="Z675" t="str">
        <f>_xlfn.XLOOKUP(Table6[[#This Row],[Old Table.Column]],Cobra8.6[Table.Column],Cobra8.6[TYPE],"",0,1)</f>
        <v>TEXT</v>
      </c>
      <c r="AA675">
        <f>_xlfn.XLOOKUP(Table6[[#This Row],[Old Table.Column]],Cobra8.6[Table.Column],Cobra8.6[LENGTH],"",0,1)</f>
        <v>59</v>
      </c>
      <c r="AB675"/>
    </row>
    <row r="676" spans="1:28" hidden="1" x14ac:dyDescent="0.2">
      <c r="A676" t="s">
        <v>450</v>
      </c>
      <c r="B676" s="17" t="s">
        <v>1218</v>
      </c>
      <c r="C676" s="17" t="s">
        <v>983</v>
      </c>
      <c r="D676" s="17">
        <v>79</v>
      </c>
      <c r="E676" s="17" t="s">
        <v>48</v>
      </c>
      <c r="F676" t="str">
        <f>VLOOKUP($E676,'Data Type Lookup'!$A$1:$C$21,2,FALSE)</f>
        <v>NVARCHAR2</v>
      </c>
      <c r="G676">
        <f>_xlfn.XLOOKUP(Table6[[#This Row],[Old Table.Column]],Cobra8.6[Table.Column],Cobra8.6[LENGTH],"",0,1)</f>
        <v>59</v>
      </c>
      <c r="H676" s="17"/>
      <c r="I676" s="29"/>
      <c r="J676" s="29"/>
      <c r="K676" s="29"/>
      <c r="L676" s="29"/>
      <c r="M676" s="17"/>
      <c r="N676" s="17"/>
      <c r="O676" s="17"/>
      <c r="P676" s="17"/>
      <c r="Q676" s="17"/>
      <c r="R676" s="17"/>
      <c r="S676" s="17"/>
      <c r="W676" t="str">
        <f t="shared" si="16"/>
        <v>PROJECT_CONTROL_ACCOUNT.C19</v>
      </c>
      <c r="X676" t="e">
        <f>VLOOKUP(W676,ColumnMapping[New Table.Column],1,)</f>
        <v>#N/A</v>
      </c>
      <c r="Y676" t="str">
        <f>_xlfn.XLOOKUP(Table6[[#This Row],[Table.Column]],ColumnMapping[Add Column Name],ColumnMapping[Old Table.Column],"",0,1)</f>
        <v>CAWP.C19</v>
      </c>
      <c r="Z676" t="str">
        <f>_xlfn.XLOOKUP(Table6[[#This Row],[Old Table.Column]],Cobra8.6[Table.Column],Cobra8.6[TYPE],"",0,1)</f>
        <v>TEXT</v>
      </c>
      <c r="AA676">
        <f>_xlfn.XLOOKUP(Table6[[#This Row],[Old Table.Column]],Cobra8.6[Table.Column],Cobra8.6[LENGTH],"",0,1)</f>
        <v>59</v>
      </c>
      <c r="AB676"/>
    </row>
    <row r="677" spans="1:28" hidden="1" x14ac:dyDescent="0.2">
      <c r="A677" t="s">
        <v>450</v>
      </c>
      <c r="B677" s="17" t="s">
        <v>1218</v>
      </c>
      <c r="C677" s="17" t="s">
        <v>985</v>
      </c>
      <c r="D677" s="17">
        <v>62</v>
      </c>
      <c r="E677" s="17" t="s">
        <v>48</v>
      </c>
      <c r="F677" t="str">
        <f>VLOOKUP($E677,'Data Type Lookup'!$A$1:$C$21,2,FALSE)</f>
        <v>NVARCHAR2</v>
      </c>
      <c r="G677">
        <f>_xlfn.XLOOKUP(Table6[[#This Row],[Old Table.Column]],Cobra8.6[Table.Column],Cobra8.6[LENGTH],"",0,1)</f>
        <v>59</v>
      </c>
      <c r="H677" s="17"/>
      <c r="I677" s="29"/>
      <c r="J677" s="29"/>
      <c r="K677" s="29"/>
      <c r="L677" s="29"/>
      <c r="M677" s="17"/>
      <c r="N677" s="17"/>
      <c r="O677" s="17"/>
      <c r="P677" s="17"/>
      <c r="Q677" s="17"/>
      <c r="R677" s="17"/>
      <c r="S677" s="17"/>
      <c r="W677" t="str">
        <f t="shared" si="16"/>
        <v>PROJECT_CONTROL_ACCOUNT.C2</v>
      </c>
      <c r="X677" t="e">
        <f>VLOOKUP(W677,ColumnMapping[New Table.Column],1,)</f>
        <v>#N/A</v>
      </c>
      <c r="Y677" t="str">
        <f>_xlfn.XLOOKUP(Table6[[#This Row],[Table.Column]],ColumnMapping[Add Column Name],ColumnMapping[Old Table.Column],"",0,1)</f>
        <v>CAWP.C2</v>
      </c>
      <c r="Z677" t="str">
        <f>_xlfn.XLOOKUP(Table6[[#This Row],[Old Table.Column]],Cobra8.6[Table.Column],Cobra8.6[TYPE],"",0,1)</f>
        <v>TEXT</v>
      </c>
      <c r="AA677">
        <f>_xlfn.XLOOKUP(Table6[[#This Row],[Old Table.Column]],Cobra8.6[Table.Column],Cobra8.6[LENGTH],"",0,1)</f>
        <v>59</v>
      </c>
      <c r="AB677"/>
    </row>
    <row r="678" spans="1:28" hidden="1" x14ac:dyDescent="0.2">
      <c r="A678" t="s">
        <v>450</v>
      </c>
      <c r="B678" s="17" t="s">
        <v>1218</v>
      </c>
      <c r="C678" s="17" t="s">
        <v>987</v>
      </c>
      <c r="D678" s="17">
        <v>80</v>
      </c>
      <c r="E678" s="17" t="s">
        <v>48</v>
      </c>
      <c r="F678" t="str">
        <f>VLOOKUP($E678,'Data Type Lookup'!$A$1:$C$21,2,FALSE)</f>
        <v>NVARCHAR2</v>
      </c>
      <c r="G678">
        <f>_xlfn.XLOOKUP(Table6[[#This Row],[Old Table.Column]],Cobra8.6[Table.Column],Cobra8.6[LENGTH],"",0,1)</f>
        <v>59</v>
      </c>
      <c r="H678" s="17"/>
      <c r="I678" s="29"/>
      <c r="J678" s="29"/>
      <c r="K678" s="29"/>
      <c r="L678" s="29"/>
      <c r="M678" s="17"/>
      <c r="N678" s="17"/>
      <c r="O678" s="17"/>
      <c r="P678" s="17"/>
      <c r="Q678" s="17"/>
      <c r="R678" s="17"/>
      <c r="S678" s="17"/>
      <c r="W678" t="str">
        <f t="shared" si="16"/>
        <v>PROJECT_CONTROL_ACCOUNT.C20</v>
      </c>
      <c r="X678" t="e">
        <f>VLOOKUP(W678,ColumnMapping[New Table.Column],1,)</f>
        <v>#N/A</v>
      </c>
      <c r="Y678" t="str">
        <f>_xlfn.XLOOKUP(Table6[[#This Row],[Table.Column]],ColumnMapping[Add Column Name],ColumnMapping[Old Table.Column],"",0,1)</f>
        <v>CAWP.C20</v>
      </c>
      <c r="Z678" t="str">
        <f>_xlfn.XLOOKUP(Table6[[#This Row],[Old Table.Column]],Cobra8.6[Table.Column],Cobra8.6[TYPE],"",0,1)</f>
        <v>TEXT</v>
      </c>
      <c r="AA678">
        <f>_xlfn.XLOOKUP(Table6[[#This Row],[Old Table.Column]],Cobra8.6[Table.Column],Cobra8.6[LENGTH],"",0,1)</f>
        <v>59</v>
      </c>
      <c r="AB678"/>
    </row>
    <row r="679" spans="1:28" hidden="1" x14ac:dyDescent="0.2">
      <c r="A679" t="s">
        <v>450</v>
      </c>
      <c r="B679" s="17" t="s">
        <v>1218</v>
      </c>
      <c r="C679" s="17" t="s">
        <v>989</v>
      </c>
      <c r="D679" s="17">
        <v>63</v>
      </c>
      <c r="E679" s="17" t="s">
        <v>48</v>
      </c>
      <c r="F679" t="str">
        <f>VLOOKUP($E679,'Data Type Lookup'!$A$1:$C$21,2,FALSE)</f>
        <v>NVARCHAR2</v>
      </c>
      <c r="G679">
        <f>_xlfn.XLOOKUP(Table6[[#This Row],[Old Table.Column]],Cobra8.6[Table.Column],Cobra8.6[LENGTH],"",0,1)</f>
        <v>59</v>
      </c>
      <c r="H679" s="17"/>
      <c r="I679" s="29"/>
      <c r="J679" s="29"/>
      <c r="K679" s="29"/>
      <c r="L679" s="29"/>
      <c r="M679" s="17"/>
      <c r="N679" s="17"/>
      <c r="O679" s="17"/>
      <c r="P679" s="17"/>
      <c r="Q679" s="17"/>
      <c r="R679" s="17"/>
      <c r="S679" s="17"/>
      <c r="W679" t="str">
        <f t="shared" si="16"/>
        <v>PROJECT_CONTROL_ACCOUNT.C3</v>
      </c>
      <c r="X679" t="e">
        <f>VLOOKUP(W679,ColumnMapping[New Table.Column],1,)</f>
        <v>#N/A</v>
      </c>
      <c r="Y679" t="str">
        <f>_xlfn.XLOOKUP(Table6[[#This Row],[Table.Column]],ColumnMapping[Add Column Name],ColumnMapping[Old Table.Column],"",0,1)</f>
        <v>CAWP.C3</v>
      </c>
      <c r="Z679" t="str">
        <f>_xlfn.XLOOKUP(Table6[[#This Row],[Old Table.Column]],Cobra8.6[Table.Column],Cobra8.6[TYPE],"",0,1)</f>
        <v>TEXT</v>
      </c>
      <c r="AA679">
        <f>_xlfn.XLOOKUP(Table6[[#This Row],[Old Table.Column]],Cobra8.6[Table.Column],Cobra8.6[LENGTH],"",0,1)</f>
        <v>59</v>
      </c>
      <c r="AB679"/>
    </row>
    <row r="680" spans="1:28" hidden="1" x14ac:dyDescent="0.2">
      <c r="A680" t="s">
        <v>450</v>
      </c>
      <c r="B680" s="17" t="s">
        <v>1218</v>
      </c>
      <c r="C680" s="17" t="s">
        <v>991</v>
      </c>
      <c r="D680" s="17">
        <v>64</v>
      </c>
      <c r="E680" s="17" t="s">
        <v>48</v>
      </c>
      <c r="F680" t="str">
        <f>VLOOKUP($E680,'Data Type Lookup'!$A$1:$C$21,2,FALSE)</f>
        <v>NVARCHAR2</v>
      </c>
      <c r="G680">
        <f>_xlfn.XLOOKUP(Table6[[#This Row],[Old Table.Column]],Cobra8.6[Table.Column],Cobra8.6[LENGTH],"",0,1)</f>
        <v>59</v>
      </c>
      <c r="H680" s="17"/>
      <c r="I680" s="29"/>
      <c r="J680" s="29"/>
      <c r="K680" s="29"/>
      <c r="L680" s="29"/>
      <c r="M680" s="17"/>
      <c r="N680" s="17"/>
      <c r="O680" s="17"/>
      <c r="P680" s="17"/>
      <c r="Q680" s="17"/>
      <c r="R680" s="17"/>
      <c r="S680" s="17"/>
      <c r="W680" t="str">
        <f t="shared" si="16"/>
        <v>PROJECT_CONTROL_ACCOUNT.C4</v>
      </c>
      <c r="X680" t="e">
        <f>VLOOKUP(W680,ColumnMapping[New Table.Column],1,)</f>
        <v>#N/A</v>
      </c>
      <c r="Y680" t="str">
        <f>_xlfn.XLOOKUP(Table6[[#This Row],[Table.Column]],ColumnMapping[Add Column Name],ColumnMapping[Old Table.Column],"",0,1)</f>
        <v>CAWP.C4</v>
      </c>
      <c r="Z680" t="str">
        <f>_xlfn.XLOOKUP(Table6[[#This Row],[Old Table.Column]],Cobra8.6[Table.Column],Cobra8.6[TYPE],"",0,1)</f>
        <v>TEXT</v>
      </c>
      <c r="AA680">
        <f>_xlfn.XLOOKUP(Table6[[#This Row],[Old Table.Column]],Cobra8.6[Table.Column],Cobra8.6[LENGTH],"",0,1)</f>
        <v>59</v>
      </c>
      <c r="AB680"/>
    </row>
    <row r="681" spans="1:28" hidden="1" x14ac:dyDescent="0.2">
      <c r="A681" t="s">
        <v>450</v>
      </c>
      <c r="B681" s="17" t="s">
        <v>1218</v>
      </c>
      <c r="C681" s="17" t="s">
        <v>993</v>
      </c>
      <c r="D681" s="17">
        <v>65</v>
      </c>
      <c r="E681" s="17" t="s">
        <v>48</v>
      </c>
      <c r="F681" t="str">
        <f>VLOOKUP($E681,'Data Type Lookup'!$A$1:$C$21,2,FALSE)</f>
        <v>NVARCHAR2</v>
      </c>
      <c r="G681">
        <f>_xlfn.XLOOKUP(Table6[[#This Row],[Old Table.Column]],Cobra8.6[Table.Column],Cobra8.6[LENGTH],"",0,1)</f>
        <v>59</v>
      </c>
      <c r="H681" s="17"/>
      <c r="I681" s="29"/>
      <c r="J681" s="29"/>
      <c r="K681" s="29"/>
      <c r="L681" s="29"/>
      <c r="M681" s="17"/>
      <c r="N681" s="17"/>
      <c r="O681" s="17"/>
      <c r="P681" s="17"/>
      <c r="Q681" s="17"/>
      <c r="R681" s="17"/>
      <c r="S681" s="17"/>
      <c r="W681" t="str">
        <f t="shared" si="16"/>
        <v>PROJECT_CONTROL_ACCOUNT.C5</v>
      </c>
      <c r="X681" t="e">
        <f>VLOOKUP(W681,ColumnMapping[New Table.Column],1,)</f>
        <v>#N/A</v>
      </c>
      <c r="Y681" t="str">
        <f>_xlfn.XLOOKUP(Table6[[#This Row],[Table.Column]],ColumnMapping[Add Column Name],ColumnMapping[Old Table.Column],"",0,1)</f>
        <v>CAWP.C5</v>
      </c>
      <c r="Z681" t="str">
        <f>_xlfn.XLOOKUP(Table6[[#This Row],[Old Table.Column]],Cobra8.6[Table.Column],Cobra8.6[TYPE],"",0,1)</f>
        <v>TEXT</v>
      </c>
      <c r="AA681">
        <f>_xlfn.XLOOKUP(Table6[[#This Row],[Old Table.Column]],Cobra8.6[Table.Column],Cobra8.6[LENGTH],"",0,1)</f>
        <v>59</v>
      </c>
      <c r="AB681"/>
    </row>
    <row r="682" spans="1:28" hidden="1" x14ac:dyDescent="0.2">
      <c r="A682" t="s">
        <v>450</v>
      </c>
      <c r="B682" s="17" t="s">
        <v>1218</v>
      </c>
      <c r="C682" s="17" t="s">
        <v>995</v>
      </c>
      <c r="D682" s="17">
        <v>66</v>
      </c>
      <c r="E682" s="17" t="s">
        <v>48</v>
      </c>
      <c r="F682" t="str">
        <f>VLOOKUP($E682,'Data Type Lookup'!$A$1:$C$21,2,FALSE)</f>
        <v>NVARCHAR2</v>
      </c>
      <c r="G682">
        <f>_xlfn.XLOOKUP(Table6[[#This Row],[Old Table.Column]],Cobra8.6[Table.Column],Cobra8.6[LENGTH],"",0,1)</f>
        <v>59</v>
      </c>
      <c r="H682" s="17"/>
      <c r="I682" s="29"/>
      <c r="J682" s="29"/>
      <c r="K682" s="29"/>
      <c r="L682" s="29"/>
      <c r="M682" s="17"/>
      <c r="N682" s="17"/>
      <c r="O682" s="17"/>
      <c r="P682" s="17"/>
      <c r="Q682" s="17"/>
      <c r="R682" s="17"/>
      <c r="S682" s="17"/>
      <c r="W682" t="str">
        <f t="shared" si="16"/>
        <v>PROJECT_CONTROL_ACCOUNT.C6</v>
      </c>
      <c r="X682" t="e">
        <f>VLOOKUP(W682,ColumnMapping[New Table.Column],1,)</f>
        <v>#N/A</v>
      </c>
      <c r="Y682" t="str">
        <f>_xlfn.XLOOKUP(Table6[[#This Row],[Table.Column]],ColumnMapping[Add Column Name],ColumnMapping[Old Table.Column],"",0,1)</f>
        <v>CAWP.C6</v>
      </c>
      <c r="Z682" t="str">
        <f>_xlfn.XLOOKUP(Table6[[#This Row],[Old Table.Column]],Cobra8.6[Table.Column],Cobra8.6[TYPE],"",0,1)</f>
        <v>TEXT</v>
      </c>
      <c r="AA682">
        <f>_xlfn.XLOOKUP(Table6[[#This Row],[Old Table.Column]],Cobra8.6[Table.Column],Cobra8.6[LENGTH],"",0,1)</f>
        <v>59</v>
      </c>
      <c r="AB682"/>
    </row>
    <row r="683" spans="1:28" hidden="1" x14ac:dyDescent="0.2">
      <c r="A683" t="s">
        <v>450</v>
      </c>
      <c r="B683" s="17" t="s">
        <v>1218</v>
      </c>
      <c r="C683" s="17" t="s">
        <v>997</v>
      </c>
      <c r="D683" s="17">
        <v>67</v>
      </c>
      <c r="E683" s="17" t="s">
        <v>48</v>
      </c>
      <c r="F683" t="str">
        <f>VLOOKUP($E683,'Data Type Lookup'!$A$1:$C$21,2,FALSE)</f>
        <v>NVARCHAR2</v>
      </c>
      <c r="G683">
        <f>_xlfn.XLOOKUP(Table6[[#This Row],[Old Table.Column]],Cobra8.6[Table.Column],Cobra8.6[LENGTH],"",0,1)</f>
        <v>59</v>
      </c>
      <c r="H683" s="17"/>
      <c r="I683" s="29"/>
      <c r="J683" s="29"/>
      <c r="K683" s="29"/>
      <c r="L683" s="29"/>
      <c r="M683" s="17"/>
      <c r="N683" s="17"/>
      <c r="O683" s="17"/>
      <c r="P683" s="17"/>
      <c r="Q683" s="17"/>
      <c r="R683" s="17"/>
      <c r="S683" s="17"/>
      <c r="W683" t="str">
        <f t="shared" si="16"/>
        <v>PROJECT_CONTROL_ACCOUNT.C7</v>
      </c>
      <c r="X683" t="e">
        <f>VLOOKUP(W683,ColumnMapping[New Table.Column],1,)</f>
        <v>#N/A</v>
      </c>
      <c r="Y683" t="str">
        <f>_xlfn.XLOOKUP(Table6[[#This Row],[Table.Column]],ColumnMapping[Add Column Name],ColumnMapping[Old Table.Column],"",0,1)</f>
        <v>CAWP.C7</v>
      </c>
      <c r="Z683" t="str">
        <f>_xlfn.XLOOKUP(Table6[[#This Row],[Old Table.Column]],Cobra8.6[Table.Column],Cobra8.6[TYPE],"",0,1)</f>
        <v>TEXT</v>
      </c>
      <c r="AA683">
        <f>_xlfn.XLOOKUP(Table6[[#This Row],[Old Table.Column]],Cobra8.6[Table.Column],Cobra8.6[LENGTH],"",0,1)</f>
        <v>59</v>
      </c>
      <c r="AB683"/>
    </row>
    <row r="684" spans="1:28" hidden="1" x14ac:dyDescent="0.2">
      <c r="A684" t="s">
        <v>450</v>
      </c>
      <c r="B684" s="17" t="s">
        <v>1218</v>
      </c>
      <c r="C684" s="17" t="s">
        <v>999</v>
      </c>
      <c r="D684" s="17">
        <v>68</v>
      </c>
      <c r="E684" s="17" t="s">
        <v>48</v>
      </c>
      <c r="F684" t="str">
        <f>VLOOKUP($E684,'Data Type Lookup'!$A$1:$C$21,2,FALSE)</f>
        <v>NVARCHAR2</v>
      </c>
      <c r="G684">
        <f>_xlfn.XLOOKUP(Table6[[#This Row],[Old Table.Column]],Cobra8.6[Table.Column],Cobra8.6[LENGTH],"",0,1)</f>
        <v>59</v>
      </c>
      <c r="H684" s="17"/>
      <c r="I684" s="29"/>
      <c r="J684" s="29"/>
      <c r="K684" s="29"/>
      <c r="L684" s="29"/>
      <c r="M684" s="17"/>
      <c r="N684" s="17"/>
      <c r="O684" s="17"/>
      <c r="P684" s="17"/>
      <c r="Q684" s="17"/>
      <c r="R684" s="17"/>
      <c r="S684" s="17"/>
      <c r="W684" t="str">
        <f t="shared" si="16"/>
        <v>PROJECT_CONTROL_ACCOUNT.C8</v>
      </c>
      <c r="X684" t="e">
        <f>VLOOKUP(W684,ColumnMapping[New Table.Column],1,)</f>
        <v>#N/A</v>
      </c>
      <c r="Y684" t="str">
        <f>_xlfn.XLOOKUP(Table6[[#This Row],[Table.Column]],ColumnMapping[Add Column Name],ColumnMapping[Old Table.Column],"",0,1)</f>
        <v>CAWP.C8</v>
      </c>
      <c r="Z684" t="str">
        <f>_xlfn.XLOOKUP(Table6[[#This Row],[Old Table.Column]],Cobra8.6[Table.Column],Cobra8.6[TYPE],"",0,1)</f>
        <v>TEXT</v>
      </c>
      <c r="AA684">
        <f>_xlfn.XLOOKUP(Table6[[#This Row],[Old Table.Column]],Cobra8.6[Table.Column],Cobra8.6[LENGTH],"",0,1)</f>
        <v>59</v>
      </c>
      <c r="AB684"/>
    </row>
    <row r="685" spans="1:28" hidden="1" x14ac:dyDescent="0.2">
      <c r="A685" t="s">
        <v>450</v>
      </c>
      <c r="B685" s="17" t="s">
        <v>1218</v>
      </c>
      <c r="C685" s="17" t="s">
        <v>1001</v>
      </c>
      <c r="D685" s="17">
        <v>69</v>
      </c>
      <c r="E685" s="17" t="s">
        <v>48</v>
      </c>
      <c r="F685" t="str">
        <f>VLOOKUP($E685,'Data Type Lookup'!$A$1:$C$21,2,FALSE)</f>
        <v>NVARCHAR2</v>
      </c>
      <c r="G685">
        <f>_xlfn.XLOOKUP(Table6[[#This Row],[Old Table.Column]],Cobra8.6[Table.Column],Cobra8.6[LENGTH],"",0,1)</f>
        <v>59</v>
      </c>
      <c r="H685" s="17"/>
      <c r="I685" s="29"/>
      <c r="J685" s="29"/>
      <c r="K685" s="29"/>
      <c r="L685" s="29"/>
      <c r="M685" s="17"/>
      <c r="N685" s="17"/>
      <c r="O685" s="17"/>
      <c r="P685" s="17"/>
      <c r="Q685" s="17"/>
      <c r="R685" s="17"/>
      <c r="S685" s="17"/>
      <c r="W685" t="str">
        <f t="shared" si="16"/>
        <v>PROJECT_CONTROL_ACCOUNT.C9</v>
      </c>
      <c r="X685" t="e">
        <f>VLOOKUP(W685,ColumnMapping[New Table.Column],1,)</f>
        <v>#N/A</v>
      </c>
      <c r="Y685" t="str">
        <f>_xlfn.XLOOKUP(Table6[[#This Row],[Table.Column]],ColumnMapping[Add Column Name],ColumnMapping[Old Table.Column],"",0,1)</f>
        <v>CAWP.C9</v>
      </c>
      <c r="Z685" t="str">
        <f>_xlfn.XLOOKUP(Table6[[#This Row],[Old Table.Column]],Cobra8.6[Table.Column],Cobra8.6[TYPE],"",0,1)</f>
        <v>TEXT</v>
      </c>
      <c r="AA685">
        <f>_xlfn.XLOOKUP(Table6[[#This Row],[Old Table.Column]],Cobra8.6[Table.Column],Cobra8.6[LENGTH],"",0,1)</f>
        <v>59</v>
      </c>
      <c r="AB685"/>
    </row>
    <row r="686" spans="1:28" hidden="1" x14ac:dyDescent="0.2">
      <c r="A686" t="s">
        <v>450</v>
      </c>
      <c r="B686" s="17" t="s">
        <v>1218</v>
      </c>
      <c r="C686" s="17" t="s">
        <v>1003</v>
      </c>
      <c r="D686" s="17">
        <v>27</v>
      </c>
      <c r="E686" s="17" t="s">
        <v>48</v>
      </c>
      <c r="F686" t="str">
        <f>VLOOKUP($E686,'Data Type Lookup'!$A$1:$C$21,2,FALSE)</f>
        <v>NVARCHAR2</v>
      </c>
      <c r="G686">
        <f>_xlfn.XLOOKUP(Table6[[#This Row],[Old Table.Column]],Cobra8.6[Table.Column],Cobra8.6[LENGTH],"",0,1)</f>
        <v>59</v>
      </c>
      <c r="H686" s="17"/>
      <c r="I686" s="29"/>
      <c r="J686" s="29"/>
      <c r="K686" s="29"/>
      <c r="L686" s="29"/>
      <c r="M686" s="17"/>
      <c r="N686" s="17"/>
      <c r="O686" s="17"/>
      <c r="P686" s="17"/>
      <c r="Q686" s="17"/>
      <c r="R686" s="17"/>
      <c r="S686" s="17"/>
      <c r="W686" t="str">
        <f t="shared" si="16"/>
        <v>PROJECT_CONTROL_ACCOUNT.CA1</v>
      </c>
      <c r="X686" t="e">
        <f>VLOOKUP(W686,ColumnMapping[New Table.Column],1,)</f>
        <v>#N/A</v>
      </c>
      <c r="Y686" t="str">
        <f>_xlfn.XLOOKUP(Table6[[#This Row],[Table.Column]],ColumnMapping[Add Column Name],ColumnMapping[Old Table.Column],"",0,1)</f>
        <v>CAWP.CA1</v>
      </c>
      <c r="Z686" t="str">
        <f>_xlfn.XLOOKUP(Table6[[#This Row],[Old Table.Column]],Cobra8.6[Table.Column],Cobra8.6[TYPE],"",0,1)</f>
        <v>TEXT</v>
      </c>
      <c r="AA686">
        <f>_xlfn.XLOOKUP(Table6[[#This Row],[Old Table.Column]],Cobra8.6[Table.Column],Cobra8.6[LENGTH],"",0,1)</f>
        <v>59</v>
      </c>
      <c r="AB686"/>
    </row>
    <row r="687" spans="1:28" hidden="1" x14ac:dyDescent="0.2">
      <c r="A687" t="s">
        <v>450</v>
      </c>
      <c r="B687" s="17" t="s">
        <v>1218</v>
      </c>
      <c r="C687" s="17" t="s">
        <v>1005</v>
      </c>
      <c r="D687" s="17">
        <v>28</v>
      </c>
      <c r="E687" s="17" t="s">
        <v>48</v>
      </c>
      <c r="F687" t="str">
        <f>VLOOKUP($E687,'Data Type Lookup'!$A$1:$C$21,2,FALSE)</f>
        <v>NVARCHAR2</v>
      </c>
      <c r="G687">
        <f>_xlfn.XLOOKUP(Table6[[#This Row],[Old Table.Column]],Cobra8.6[Table.Column],Cobra8.6[LENGTH],"",0,1)</f>
        <v>59</v>
      </c>
      <c r="H687" s="17"/>
      <c r="I687" s="29"/>
      <c r="J687" s="29"/>
      <c r="K687" s="29"/>
      <c r="L687" s="29"/>
      <c r="M687" s="17"/>
      <c r="N687" s="17"/>
      <c r="O687" s="17"/>
      <c r="P687" s="17"/>
      <c r="Q687" s="17"/>
      <c r="R687" s="17"/>
      <c r="S687" s="17"/>
      <c r="W687" t="str">
        <f t="shared" si="16"/>
        <v>PROJECT_CONTROL_ACCOUNT.CA2</v>
      </c>
      <c r="X687" t="e">
        <f>VLOOKUP(W687,ColumnMapping[New Table.Column],1,)</f>
        <v>#N/A</v>
      </c>
      <c r="Y687" t="str">
        <f>_xlfn.XLOOKUP(Table6[[#This Row],[Table.Column]],ColumnMapping[Add Column Name],ColumnMapping[Old Table.Column],"",0,1)</f>
        <v>CAWP.CA2</v>
      </c>
      <c r="Z687" t="str">
        <f>_xlfn.XLOOKUP(Table6[[#This Row],[Old Table.Column]],Cobra8.6[Table.Column],Cobra8.6[TYPE],"",0,1)</f>
        <v>TEXT</v>
      </c>
      <c r="AA687">
        <f>_xlfn.XLOOKUP(Table6[[#This Row],[Old Table.Column]],Cobra8.6[Table.Column],Cobra8.6[LENGTH],"",0,1)</f>
        <v>59</v>
      </c>
      <c r="AB687"/>
    </row>
    <row r="688" spans="1:28" hidden="1" x14ac:dyDescent="0.2">
      <c r="A688" t="s">
        <v>450</v>
      </c>
      <c r="B688" s="17" t="s">
        <v>1218</v>
      </c>
      <c r="C688" s="17" t="s">
        <v>1007</v>
      </c>
      <c r="D688" s="17">
        <v>29</v>
      </c>
      <c r="E688" s="17" t="s">
        <v>48</v>
      </c>
      <c r="F688" t="str">
        <f>VLOOKUP($E688,'Data Type Lookup'!$A$1:$C$21,2,FALSE)</f>
        <v>NVARCHAR2</v>
      </c>
      <c r="G688">
        <f>_xlfn.XLOOKUP(Table6[[#This Row],[Old Table.Column]],Cobra8.6[Table.Column],Cobra8.6[LENGTH],"",0,1)</f>
        <v>59</v>
      </c>
      <c r="H688" s="17"/>
      <c r="I688" s="29"/>
      <c r="J688" s="29"/>
      <c r="K688" s="29"/>
      <c r="L688" s="29"/>
      <c r="M688" s="17"/>
      <c r="N688" s="17"/>
      <c r="O688" s="17"/>
      <c r="P688" s="17"/>
      <c r="Q688" s="17"/>
      <c r="R688" s="17"/>
      <c r="S688" s="17"/>
      <c r="W688" t="str">
        <f t="shared" si="16"/>
        <v>PROJECT_CONTROL_ACCOUNT.CA3</v>
      </c>
      <c r="X688" t="e">
        <f>VLOOKUP(W688,ColumnMapping[New Table.Column],1,)</f>
        <v>#N/A</v>
      </c>
      <c r="Y688" t="str">
        <f>_xlfn.XLOOKUP(Table6[[#This Row],[Table.Column]],ColumnMapping[Add Column Name],ColumnMapping[Old Table.Column],"",0,1)</f>
        <v>CAWP.CA3</v>
      </c>
      <c r="Z688" t="str">
        <f>_xlfn.XLOOKUP(Table6[[#This Row],[Old Table.Column]],Cobra8.6[Table.Column],Cobra8.6[TYPE],"",0,1)</f>
        <v>TEXT</v>
      </c>
      <c r="AA688">
        <f>_xlfn.XLOOKUP(Table6[[#This Row],[Old Table.Column]],Cobra8.6[Table.Column],Cobra8.6[LENGTH],"",0,1)</f>
        <v>59</v>
      </c>
      <c r="AB688"/>
    </row>
    <row r="689" spans="1:28" hidden="1" x14ac:dyDescent="0.2">
      <c r="A689" t="s">
        <v>450</v>
      </c>
      <c r="B689" s="17" t="s">
        <v>1218</v>
      </c>
      <c r="C689" s="17" t="s">
        <v>1011</v>
      </c>
      <c r="D689" s="17"/>
      <c r="E689" s="17" t="s">
        <v>567</v>
      </c>
      <c r="F689" t="str">
        <f>VLOOKUP($E689,'Data Type Lookup'!$A$1:$C$21,2,FALSE)</f>
        <v>NUMBER(10,0)</v>
      </c>
      <c r="G689" s="17"/>
      <c r="H689" s="17"/>
      <c r="I689" s="29"/>
      <c r="J689" s="29">
        <v>0</v>
      </c>
      <c r="K689" s="29"/>
      <c r="L689" s="29"/>
      <c r="M689" s="17"/>
      <c r="N689" s="17"/>
      <c r="O689" s="17"/>
      <c r="P689" s="17"/>
      <c r="Q689" s="17"/>
      <c r="R689" s="17"/>
      <c r="S689" s="17"/>
      <c r="W689" t="str">
        <f t="shared" si="16"/>
        <v>PROJECT_CONTROL_ACCOUNT.CL_BATCH</v>
      </c>
      <c r="X689" t="e">
        <f>VLOOKUP(W689,ColumnMapping[New Table.Column],1,)</f>
        <v>#N/A</v>
      </c>
      <c r="Y689" t="str">
        <f>_xlfn.XLOOKUP(Table6[[#This Row],[Table.Column]],ColumnMapping[Add Column Name],ColumnMapping[Old Table.Column],"",0,1)</f>
        <v>CAWP.CL_BATCH</v>
      </c>
      <c r="Z689" t="str">
        <f>_xlfn.XLOOKUP(Table6[[#This Row],[Old Table.Column]],Cobra8.6[Table.Column],Cobra8.6[TYPE],"",0,1)</f>
        <v>INTE</v>
      </c>
      <c r="AA689">
        <f>_xlfn.XLOOKUP(Table6[[#This Row],[Old Table.Column]],Cobra8.6[Table.Column],Cobra8.6[LENGTH],"",0,1)</f>
        <v>-1</v>
      </c>
      <c r="AB689"/>
    </row>
    <row r="690" spans="1:28" hidden="1" x14ac:dyDescent="0.2">
      <c r="A690" t="s">
        <v>450</v>
      </c>
      <c r="B690" t="s">
        <v>1218</v>
      </c>
      <c r="C690" t="s">
        <v>1223</v>
      </c>
      <c r="D690">
        <v>8</v>
      </c>
      <c r="E690" t="s">
        <v>31</v>
      </c>
      <c r="F690" t="str">
        <f>VLOOKUP($E690,'Data Type Lookup'!$A$1:$C$21,2,FALSE)</f>
        <v>RAW(16)</v>
      </c>
      <c r="P690" t="s">
        <v>1224</v>
      </c>
      <c r="Q690" t="s">
        <v>896</v>
      </c>
      <c r="R690" t="str">
        <f>VLOOKUP(E690,'Data Type Lookup'!$A$1:$C$21,3,FALSE)</f>
        <v>java.util.UUID</v>
      </c>
      <c r="S690">
        <v>1</v>
      </c>
      <c r="W690" t="str">
        <f t="shared" si="16"/>
        <v>PROJECT_CONTROL_ACCOUNT.CONTRACT_CLIN_UID</v>
      </c>
      <c r="X690" t="str">
        <f>VLOOKUP(W690,ColumnMapping[New Table.Column],1,)</f>
        <v>PROJECT_CONTROL_ACCOUNT.CONTRACT_CLIN_UID</v>
      </c>
      <c r="Y690" t="str">
        <f>_xlfn.XLOOKUP(Table6[[#This Row],[Table.Column]],ColumnMapping[Add Column Name],ColumnMapping[Old Table.Column],"",0,1)</f>
        <v/>
      </c>
      <c r="Z690" t="str">
        <f>_xlfn.XLOOKUP(Table6[[#This Row],[Old Table.Column]],Cobra8.6[Table.Column],Cobra8.6[TYPE],"",0,1)</f>
        <v/>
      </c>
      <c r="AA690" t="str">
        <f>_xlfn.XLOOKUP(Table6[[#This Row],[Old Table.Column]],Cobra8.6[Table.Column],Cobra8.6[LENGTH],"",0,1)</f>
        <v/>
      </c>
      <c r="AB690"/>
    </row>
    <row r="691" spans="1:28" hidden="1" x14ac:dyDescent="0.2">
      <c r="A691" t="s">
        <v>450</v>
      </c>
      <c r="B691" t="s">
        <v>1218</v>
      </c>
      <c r="C691" t="s">
        <v>61</v>
      </c>
      <c r="D691">
        <v>21</v>
      </c>
      <c r="E691" t="s">
        <v>31</v>
      </c>
      <c r="F691" t="str">
        <f>VLOOKUP($E691,'Data Type Lookup'!$A$1:$C$21,2,FALSE)</f>
        <v>RAW(16)</v>
      </c>
      <c r="I691" s="32" t="s">
        <v>32</v>
      </c>
      <c r="P691" t="s">
        <v>1225</v>
      </c>
      <c r="Q691" t="s">
        <v>63</v>
      </c>
      <c r="R691" t="str">
        <f>VLOOKUP(E691,'Data Type Lookup'!$A$1:$C$21,3,FALSE)</f>
        <v>java.util.UUID</v>
      </c>
      <c r="S691">
        <v>2</v>
      </c>
      <c r="W691" t="str">
        <f t="shared" si="16"/>
        <v>PROJECT_CONTROL_ACCOUNT.CREATED_BY_USER_UID</v>
      </c>
      <c r="X691" t="str">
        <f>VLOOKUP(W691,ColumnMapping[New Table.Column],1,)</f>
        <v>PROJECT_CONTROL_ACCOUNT.CREATED_BY_USER_UID</v>
      </c>
      <c r="Y691" t="str">
        <f>_xlfn.XLOOKUP(Table6[[#This Row],[Table.Column]],ColumnMapping[Add Column Name],ColumnMapping[Old Table.Column],"",0,1)</f>
        <v/>
      </c>
      <c r="Z691" t="str">
        <f>_xlfn.XLOOKUP(Table6[[#This Row],[Old Table.Column]],Cobra8.6[Table.Column],Cobra8.6[TYPE],"",0,1)</f>
        <v/>
      </c>
      <c r="AA691" t="str">
        <f>_xlfn.XLOOKUP(Table6[[#This Row],[Old Table.Column]],Cobra8.6[Table.Column],Cobra8.6[LENGTH],"",0,1)</f>
        <v/>
      </c>
      <c r="AB691"/>
    </row>
    <row r="692" spans="1:28" hidden="1" x14ac:dyDescent="0.2">
      <c r="A692" t="s">
        <v>450</v>
      </c>
      <c r="B692" t="s">
        <v>1219</v>
      </c>
      <c r="C692" t="s">
        <v>61</v>
      </c>
      <c r="D692">
        <v>26</v>
      </c>
      <c r="E692" t="s">
        <v>31</v>
      </c>
      <c r="F692" t="str">
        <f>VLOOKUP($E692,'Data Type Lookup'!$A$1:$C$21,2,FALSE)</f>
        <v>RAW(16)</v>
      </c>
      <c r="I692" s="32" t="s">
        <v>32</v>
      </c>
      <c r="P692" t="s">
        <v>1226</v>
      </c>
      <c r="Q692" t="s">
        <v>63</v>
      </c>
      <c r="R692" t="str">
        <f>VLOOKUP(E692,'Data Type Lookup'!$A$1:$C$21,3,FALSE)</f>
        <v>java.util.UUID</v>
      </c>
      <c r="S692">
        <v>2</v>
      </c>
      <c r="W692" t="str">
        <f t="shared" si="16"/>
        <v>PROJECT_WORK_PACKAGE.CREATED_BY_USER_UID</v>
      </c>
      <c r="X692" t="str">
        <f>VLOOKUP(W692,ColumnMapping[New Table.Column],1,)</f>
        <v>PROJECT_WORK_PACKAGE.CREATED_BY_USER_UID</v>
      </c>
      <c r="Y692" t="str">
        <f>_xlfn.XLOOKUP(Table6[[#This Row],[Table.Column]],ColumnMapping[Add Column Name],ColumnMapping[Old Table.Column],"",0,1)</f>
        <v/>
      </c>
      <c r="Z692" t="str">
        <f>_xlfn.XLOOKUP(Table6[[#This Row],[Old Table.Column]],Cobra8.6[Table.Column],Cobra8.6[TYPE],"",0,1)</f>
        <v/>
      </c>
      <c r="AA692" t="str">
        <f>_xlfn.XLOOKUP(Table6[[#This Row],[Old Table.Column]],Cobra8.6[Table.Column],Cobra8.6[LENGTH],"",0,1)</f>
        <v/>
      </c>
      <c r="AB692"/>
    </row>
    <row r="693" spans="1:28" hidden="1" x14ac:dyDescent="0.2">
      <c r="A693" t="s">
        <v>450</v>
      </c>
      <c r="B693" t="s">
        <v>1218</v>
      </c>
      <c r="C693" t="s">
        <v>64</v>
      </c>
      <c r="D693">
        <v>22</v>
      </c>
      <c r="E693" t="s">
        <v>65</v>
      </c>
      <c r="F693" t="str">
        <f>VLOOKUP($E693,'Data Type Lookup'!$A$1:$C$21,2,FALSE)</f>
        <v>TIMESTAMP</v>
      </c>
      <c r="I693" s="32" t="s">
        <v>32</v>
      </c>
      <c r="P693" t="s">
        <v>1227</v>
      </c>
      <c r="Q693" t="s">
        <v>67</v>
      </c>
      <c r="R693" t="str">
        <f>VLOOKUP(E693,'Data Type Lookup'!$A$1:$C$21,3,FALSE)</f>
        <v>java.time.Instant</v>
      </c>
      <c r="S693">
        <v>2</v>
      </c>
      <c r="W693" t="str">
        <f t="shared" si="16"/>
        <v>PROJECT_CONTROL_ACCOUNT.CREATED_DATE</v>
      </c>
      <c r="X693" t="str">
        <f>VLOOKUP(W693,ColumnMapping[New Table.Column],1,)</f>
        <v>PROJECT_CONTROL_ACCOUNT.CREATED_DATE</v>
      </c>
      <c r="Y693" t="str">
        <f>_xlfn.XLOOKUP(Table6[[#This Row],[Table.Column]],ColumnMapping[Add Column Name],ColumnMapping[Old Table.Column],"",0,1)</f>
        <v/>
      </c>
      <c r="Z693" t="str">
        <f>_xlfn.XLOOKUP(Table6[[#This Row],[Old Table.Column]],Cobra8.6[Table.Column],Cobra8.6[TYPE],"",0,1)</f>
        <v/>
      </c>
      <c r="AA693" t="str">
        <f>_xlfn.XLOOKUP(Table6[[#This Row],[Old Table.Column]],Cobra8.6[Table.Column],Cobra8.6[LENGTH],"",0,1)</f>
        <v/>
      </c>
      <c r="AB693"/>
    </row>
    <row r="694" spans="1:28" hidden="1" x14ac:dyDescent="0.2">
      <c r="A694" t="s">
        <v>450</v>
      </c>
      <c r="B694" t="s">
        <v>1219</v>
      </c>
      <c r="C694" t="s">
        <v>64</v>
      </c>
      <c r="D694">
        <v>27</v>
      </c>
      <c r="E694" t="s">
        <v>65</v>
      </c>
      <c r="F694" t="str">
        <f>VLOOKUP($E694,'Data Type Lookup'!$A$1:$C$21,2,FALSE)</f>
        <v>TIMESTAMP</v>
      </c>
      <c r="I694" s="32" t="s">
        <v>32</v>
      </c>
      <c r="P694" t="s">
        <v>1228</v>
      </c>
      <c r="Q694" t="s">
        <v>67</v>
      </c>
      <c r="R694" t="str">
        <f>VLOOKUP(E694,'Data Type Lookup'!$A$1:$C$21,3,FALSE)</f>
        <v>java.time.Instant</v>
      </c>
      <c r="S694">
        <v>2</v>
      </c>
      <c r="W694" t="str">
        <f t="shared" si="16"/>
        <v>PROJECT_WORK_PACKAGE.CREATED_DATE</v>
      </c>
      <c r="X694" t="str">
        <f>VLOOKUP(W694,ColumnMapping[New Table.Column],1,)</f>
        <v>PROJECT_WORK_PACKAGE.CREATED_DATE</v>
      </c>
      <c r="Y694" t="str">
        <f>_xlfn.XLOOKUP(Table6[[#This Row],[Table.Column]],ColumnMapping[Add Column Name],ColumnMapping[Old Table.Column],"",0,1)</f>
        <v/>
      </c>
      <c r="Z694" t="str">
        <f>_xlfn.XLOOKUP(Table6[[#This Row],[Old Table.Column]],Cobra8.6[Table.Column],Cobra8.6[TYPE],"",0,1)</f>
        <v/>
      </c>
      <c r="AA694" t="str">
        <f>_xlfn.XLOOKUP(Table6[[#This Row],[Old Table.Column]],Cobra8.6[Table.Column],Cobra8.6[LENGTH],"",0,1)</f>
        <v/>
      </c>
      <c r="AB694"/>
    </row>
    <row r="695" spans="1:28" hidden="1" x14ac:dyDescent="0.2">
      <c r="A695" t="s">
        <v>450</v>
      </c>
      <c r="B695" t="s">
        <v>1218</v>
      </c>
      <c r="C695" t="s">
        <v>15</v>
      </c>
      <c r="D695">
        <v>25</v>
      </c>
      <c r="E695" t="s">
        <v>48</v>
      </c>
      <c r="F695" t="str">
        <f>VLOOKUP($E695,'Data Type Lookup'!$A$1:$C$21,2,FALSE)</f>
        <v>NVARCHAR2</v>
      </c>
      <c r="G695">
        <v>256</v>
      </c>
      <c r="P695" t="s">
        <v>1229</v>
      </c>
      <c r="Q695" t="s">
        <v>75</v>
      </c>
      <c r="R695" t="str">
        <f>VLOOKUP(E695,'Data Type Lookup'!$A$1:$C$21,3,FALSE)</f>
        <v>String</v>
      </c>
      <c r="W695" t="str">
        <f t="shared" si="16"/>
        <v>PROJECT_CONTROL_ACCOUNT.DESCRIPTION</v>
      </c>
      <c r="X695" t="str">
        <f>VLOOKUP(W695,ColumnMapping[New Table.Column],1,)</f>
        <v>PROJECT_CONTROL_ACCOUNT.DESCRIPTION</v>
      </c>
      <c r="Y695" t="str">
        <f>_xlfn.XLOOKUP(Table6[[#This Row],[Table.Column]],ColumnMapping[Add Column Name],ColumnMapping[Old Table.Column],"",0,1)</f>
        <v/>
      </c>
      <c r="Z695" t="str">
        <f>_xlfn.XLOOKUP(Table6[[#This Row],[Old Table.Column]],Cobra8.6[Table.Column],Cobra8.6[TYPE],"",0,1)</f>
        <v/>
      </c>
      <c r="AA695" t="str">
        <f>_xlfn.XLOOKUP(Table6[[#This Row],[Old Table.Column]],Cobra8.6[Table.Column],Cobra8.6[LENGTH],"",0,1)</f>
        <v/>
      </c>
      <c r="AB695"/>
    </row>
    <row r="696" spans="1:28" hidden="1" x14ac:dyDescent="0.2">
      <c r="A696" t="s">
        <v>450</v>
      </c>
      <c r="B696" t="s">
        <v>1219</v>
      </c>
      <c r="C696" t="s">
        <v>15</v>
      </c>
      <c r="D696">
        <v>30</v>
      </c>
      <c r="E696" t="s">
        <v>48</v>
      </c>
      <c r="F696" t="str">
        <f>VLOOKUP($E696,'Data Type Lookup'!$A$1:$C$21,2,FALSE)</f>
        <v>NVARCHAR2</v>
      </c>
      <c r="G696">
        <v>256</v>
      </c>
      <c r="P696" t="s">
        <v>1230</v>
      </c>
      <c r="Q696" t="s">
        <v>75</v>
      </c>
      <c r="R696" t="str">
        <f>VLOOKUP(E696,'Data Type Lookup'!$A$1:$C$21,3,FALSE)</f>
        <v>String</v>
      </c>
      <c r="W696" t="str">
        <f t="shared" si="16"/>
        <v>PROJECT_WORK_PACKAGE.DESCRIPTION</v>
      </c>
      <c r="X696" t="str">
        <f>VLOOKUP(W696,ColumnMapping[New Table.Column],1,)</f>
        <v>PROJECT_WORK_PACKAGE.DESCRIPTION</v>
      </c>
      <c r="Y696" t="str">
        <f>_xlfn.XLOOKUP(Table6[[#This Row],[Table.Column]],ColumnMapping[Add Column Name],ColumnMapping[Old Table.Column],"",0,1)</f>
        <v/>
      </c>
      <c r="Z696" t="str">
        <f>_xlfn.XLOOKUP(Table6[[#This Row],[Old Table.Column]],Cobra8.6[Table.Column],Cobra8.6[TYPE],"",0,1)</f>
        <v/>
      </c>
      <c r="AA696" t="str">
        <f>_xlfn.XLOOKUP(Table6[[#This Row],[Old Table.Column]],Cobra8.6[Table.Column],Cobra8.6[LENGTH],"",0,1)</f>
        <v/>
      </c>
      <c r="AB696"/>
    </row>
    <row r="697" spans="1:28" hidden="1" x14ac:dyDescent="0.2">
      <c r="A697" t="s">
        <v>450</v>
      </c>
      <c r="B697" s="17" t="s">
        <v>1218</v>
      </c>
      <c r="C697" s="17" t="s">
        <v>690</v>
      </c>
      <c r="D697" s="17">
        <v>31</v>
      </c>
      <c r="E697" s="17" t="s">
        <v>161</v>
      </c>
      <c r="F697" t="str">
        <f>VLOOKUP($E697,'Data Type Lookup'!$A$1:$C$21,2,FALSE)</f>
        <v>NUMBER(21,6)</v>
      </c>
      <c r="G697" s="17"/>
      <c r="H697" s="17"/>
      <c r="I697" s="29"/>
      <c r="J697" s="29">
        <v>0</v>
      </c>
      <c r="K697" s="29"/>
      <c r="L697" s="29"/>
      <c r="M697" s="17"/>
      <c r="N697" s="17"/>
      <c r="O697" s="17"/>
      <c r="P697" s="17"/>
      <c r="Q697" s="17"/>
      <c r="R697" s="17"/>
      <c r="S697" s="17"/>
      <c r="W697" t="str">
        <f t="shared" si="16"/>
        <v>PROJECT_CONTROL_ACCOUNT.EAC</v>
      </c>
      <c r="X697" t="e">
        <f>VLOOKUP(W697,ColumnMapping[New Table.Column],1,)</f>
        <v>#N/A</v>
      </c>
      <c r="Y697" t="str">
        <f>_xlfn.XLOOKUP(Table6[[#This Row],[Table.Column]],ColumnMapping[Add Column Name],ColumnMapping[Old Table.Column],"",0,1)</f>
        <v>CAWP.EAC</v>
      </c>
      <c r="Z697" t="str">
        <f>_xlfn.XLOOKUP(Table6[[#This Row],[Old Table.Column]],Cobra8.6[Table.Column],Cobra8.6[TYPE],"",0,1)</f>
        <v>DEC</v>
      </c>
      <c r="AA697">
        <f>_xlfn.XLOOKUP(Table6[[#This Row],[Old Table.Column]],Cobra8.6[Table.Column],Cobra8.6[LENGTH],"",0,1)</f>
        <v>21</v>
      </c>
      <c r="AB697"/>
    </row>
    <row r="698" spans="1:28" hidden="1" x14ac:dyDescent="0.2">
      <c r="A698" t="s">
        <v>450</v>
      </c>
      <c r="B698" s="17" t="s">
        <v>1218</v>
      </c>
      <c r="C698" s="17" t="s">
        <v>692</v>
      </c>
      <c r="D698" s="17">
        <v>32</v>
      </c>
      <c r="E698" s="17" t="s">
        <v>161</v>
      </c>
      <c r="F698" t="str">
        <f>VLOOKUP($E698,'Data Type Lookup'!$A$1:$C$21,2,FALSE)</f>
        <v>NUMBER(21,6)</v>
      </c>
      <c r="G698" s="17"/>
      <c r="H698" s="17"/>
      <c r="I698" s="29"/>
      <c r="J698" s="29">
        <v>0</v>
      </c>
      <c r="K698" s="29"/>
      <c r="L698" s="29"/>
      <c r="M698" s="17"/>
      <c r="N698" s="17"/>
      <c r="O698" s="17"/>
      <c r="P698" s="17"/>
      <c r="Q698" s="17"/>
      <c r="R698" s="17"/>
      <c r="S698" s="17"/>
      <c r="W698" t="str">
        <f t="shared" si="16"/>
        <v>PROJECT_CONTROL_ACCOUNT.EAC_HRS</v>
      </c>
      <c r="X698" t="e">
        <f>VLOOKUP(W698,ColumnMapping[New Table.Column],1,)</f>
        <v>#N/A</v>
      </c>
      <c r="Y698" t="str">
        <f>_xlfn.XLOOKUP(Table6[[#This Row],[Table.Column]],ColumnMapping[Add Column Name],ColumnMapping[Old Table.Column],"",0,1)</f>
        <v>CAWP.EAC_HRS</v>
      </c>
      <c r="Z698" t="str">
        <f>_xlfn.XLOOKUP(Table6[[#This Row],[Old Table.Column]],Cobra8.6[Table.Column],Cobra8.6[TYPE],"",0,1)</f>
        <v>DEC</v>
      </c>
      <c r="AA698">
        <f>_xlfn.XLOOKUP(Table6[[#This Row],[Old Table.Column]],Cobra8.6[Table.Column],Cobra8.6[LENGTH],"",0,1)</f>
        <v>21</v>
      </c>
      <c r="AB698"/>
    </row>
    <row r="699" spans="1:28" hidden="1" x14ac:dyDescent="0.2">
      <c r="A699" t="s">
        <v>450</v>
      </c>
      <c r="B699" s="17" t="s">
        <v>1218</v>
      </c>
      <c r="C699" s="17" t="s">
        <v>1013</v>
      </c>
      <c r="D699" s="17">
        <v>33</v>
      </c>
      <c r="E699" s="17" t="s">
        <v>161</v>
      </c>
      <c r="F699" t="str">
        <f>VLOOKUP($E699,'Data Type Lookup'!$A$1:$C$21,2,FALSE)</f>
        <v>NUMBER(21,6)</v>
      </c>
      <c r="G699" s="17"/>
      <c r="H699" s="17"/>
      <c r="I699" s="29"/>
      <c r="J699" s="29">
        <v>0</v>
      </c>
      <c r="K699" s="29"/>
      <c r="L699" s="29"/>
      <c r="M699" s="17"/>
      <c r="N699" s="17"/>
      <c r="O699" s="17"/>
      <c r="P699" s="17"/>
      <c r="Q699" s="17"/>
      <c r="R699" s="17"/>
      <c r="S699" s="17"/>
      <c r="W699" t="str">
        <f t="shared" si="16"/>
        <v>PROJECT_CONTROL_ACCOUNT.EAC_NONLAB</v>
      </c>
      <c r="X699" t="e">
        <f>VLOOKUP(W699,ColumnMapping[New Table.Column],1,)</f>
        <v>#N/A</v>
      </c>
      <c r="Y699" t="str">
        <f>_xlfn.XLOOKUP(Table6[[#This Row],[Table.Column]],ColumnMapping[Add Column Name],ColumnMapping[Old Table.Column],"",0,1)</f>
        <v>CAWP.EAC_NONLAB</v>
      </c>
      <c r="Z699" t="str">
        <f>_xlfn.XLOOKUP(Table6[[#This Row],[Old Table.Column]],Cobra8.6[Table.Column],Cobra8.6[TYPE],"",0,1)</f>
        <v>DEC</v>
      </c>
      <c r="AA699">
        <f>_xlfn.XLOOKUP(Table6[[#This Row],[Old Table.Column]],Cobra8.6[Table.Column],Cobra8.6[LENGTH],"",0,1)</f>
        <v>21</v>
      </c>
      <c r="AB699"/>
    </row>
    <row r="700" spans="1:28" hidden="1" x14ac:dyDescent="0.2">
      <c r="A700" t="s">
        <v>450</v>
      </c>
      <c r="B700" t="s">
        <v>1218</v>
      </c>
      <c r="C700" t="s">
        <v>911</v>
      </c>
      <c r="D700">
        <v>14</v>
      </c>
      <c r="E700" t="s">
        <v>356</v>
      </c>
      <c r="F700" t="str">
        <f>VLOOKUP($E700,'Data Type Lookup'!$A$1:$C$21,2,FALSE)</f>
        <v>DATE</v>
      </c>
      <c r="P700" t="s">
        <v>912</v>
      </c>
      <c r="Q700" t="s">
        <v>913</v>
      </c>
      <c r="R700" t="str">
        <f>VLOOKUP(E700,'Data Type Lookup'!$A$1:$C$21,3,FALSE)</f>
        <v>java.time.Instant</v>
      </c>
      <c r="W700" t="str">
        <f t="shared" si="16"/>
        <v>PROJECT_CONTROL_ACCOUNT.EARLY_FINISH</v>
      </c>
      <c r="X700" t="str">
        <f>VLOOKUP(W700,ColumnMapping[New Table.Column],1,)</f>
        <v>PROJECT_CONTROL_ACCOUNT.EARLY_FINISH</v>
      </c>
      <c r="Y700" t="str">
        <f>_xlfn.XLOOKUP(Table6[[#This Row],[Table.Column]],ColumnMapping[Add Column Name],ColumnMapping[Old Table.Column],"",0,1)</f>
        <v/>
      </c>
      <c r="Z700" t="str">
        <f>_xlfn.XLOOKUP(Table6[[#This Row],[Old Table.Column]],Cobra8.6[Table.Column],Cobra8.6[TYPE],"",0,1)</f>
        <v/>
      </c>
      <c r="AA700" t="str">
        <f>_xlfn.XLOOKUP(Table6[[#This Row],[Old Table.Column]],Cobra8.6[Table.Column],Cobra8.6[LENGTH],"",0,1)</f>
        <v/>
      </c>
      <c r="AB700"/>
    </row>
    <row r="701" spans="1:28" hidden="1" x14ac:dyDescent="0.2">
      <c r="A701" t="s">
        <v>450</v>
      </c>
      <c r="B701" t="s">
        <v>1219</v>
      </c>
      <c r="C701" t="s">
        <v>911</v>
      </c>
      <c r="D701">
        <v>14</v>
      </c>
      <c r="E701" t="s">
        <v>356</v>
      </c>
      <c r="F701" t="str">
        <f>VLOOKUP($E701,'Data Type Lookup'!$A$1:$C$21,2,FALSE)</f>
        <v>DATE</v>
      </c>
      <c r="P701" t="s">
        <v>912</v>
      </c>
      <c r="Q701" t="s">
        <v>913</v>
      </c>
      <c r="R701" t="str">
        <f>VLOOKUP(E701,'Data Type Lookup'!$A$1:$C$21,3,FALSE)</f>
        <v>java.time.Instant</v>
      </c>
      <c r="W701" t="str">
        <f t="shared" si="16"/>
        <v>PROJECT_WORK_PACKAGE.EARLY_FINISH</v>
      </c>
      <c r="X701" t="str">
        <f>VLOOKUP(W701,ColumnMapping[New Table.Column],1,)</f>
        <v>PROJECT_WORK_PACKAGE.EARLY_FINISH</v>
      </c>
      <c r="Y701" t="str">
        <f>_xlfn.XLOOKUP(Table6[[#This Row],[Table.Column]],ColumnMapping[Add Column Name],ColumnMapping[Old Table.Column],"",0,1)</f>
        <v/>
      </c>
      <c r="Z701" t="str">
        <f>_xlfn.XLOOKUP(Table6[[#This Row],[Old Table.Column]],Cobra8.6[Table.Column],Cobra8.6[TYPE],"",0,1)</f>
        <v/>
      </c>
      <c r="AA701" t="str">
        <f>_xlfn.XLOOKUP(Table6[[#This Row],[Old Table.Column]],Cobra8.6[Table.Column],Cobra8.6[LENGTH],"",0,1)</f>
        <v/>
      </c>
      <c r="AB701"/>
    </row>
    <row r="702" spans="1:28" hidden="1" x14ac:dyDescent="0.2">
      <c r="A702" t="s">
        <v>450</v>
      </c>
      <c r="B702" t="s">
        <v>1218</v>
      </c>
      <c r="C702" t="s">
        <v>908</v>
      </c>
      <c r="D702">
        <v>13</v>
      </c>
      <c r="E702" t="s">
        <v>356</v>
      </c>
      <c r="F702" t="str">
        <f>VLOOKUP($E702,'Data Type Lookup'!$A$1:$C$21,2,FALSE)</f>
        <v>DATE</v>
      </c>
      <c r="P702" t="s">
        <v>909</v>
      </c>
      <c r="Q702" t="s">
        <v>910</v>
      </c>
      <c r="R702" t="str">
        <f>VLOOKUP(E702,'Data Type Lookup'!$A$1:$C$21,3,FALSE)</f>
        <v>java.time.Instant</v>
      </c>
      <c r="W702" t="str">
        <f t="shared" si="16"/>
        <v>PROJECT_CONTROL_ACCOUNT.EARLY_START</v>
      </c>
      <c r="X702" t="str">
        <f>VLOOKUP(W702,ColumnMapping[New Table.Column],1,)</f>
        <v>PROJECT_CONTROL_ACCOUNT.EARLY_START</v>
      </c>
      <c r="Y702" t="str">
        <f>_xlfn.XLOOKUP(Table6[[#This Row],[Table.Column]],ColumnMapping[Add Column Name],ColumnMapping[Old Table.Column],"",0,1)</f>
        <v/>
      </c>
      <c r="Z702" t="str">
        <f>_xlfn.XLOOKUP(Table6[[#This Row],[Old Table.Column]],Cobra8.6[Table.Column],Cobra8.6[TYPE],"",0,1)</f>
        <v/>
      </c>
      <c r="AA702" t="str">
        <f>_xlfn.XLOOKUP(Table6[[#This Row],[Old Table.Column]],Cobra8.6[Table.Column],Cobra8.6[LENGTH],"",0,1)</f>
        <v/>
      </c>
      <c r="AB702"/>
    </row>
    <row r="703" spans="1:28" hidden="1" x14ac:dyDescent="0.2">
      <c r="A703" t="s">
        <v>450</v>
      </c>
      <c r="B703" t="s">
        <v>1219</v>
      </c>
      <c r="C703" t="s">
        <v>908</v>
      </c>
      <c r="D703">
        <v>13</v>
      </c>
      <c r="E703" t="s">
        <v>356</v>
      </c>
      <c r="F703" t="str">
        <f>VLOOKUP($E703,'Data Type Lookup'!$A$1:$C$21,2,FALSE)</f>
        <v>DATE</v>
      </c>
      <c r="P703" t="s">
        <v>909</v>
      </c>
      <c r="Q703" t="s">
        <v>910</v>
      </c>
      <c r="R703" t="str">
        <f>VLOOKUP(E703,'Data Type Lookup'!$A$1:$C$21,3,FALSE)</f>
        <v>java.time.Instant</v>
      </c>
      <c r="W703" t="str">
        <f t="shared" si="16"/>
        <v>PROJECT_WORK_PACKAGE.EARLY_START</v>
      </c>
      <c r="X703" t="str">
        <f>VLOOKUP(W703,ColumnMapping[New Table.Column],1,)</f>
        <v>PROJECT_WORK_PACKAGE.EARLY_START</v>
      </c>
      <c r="Y703" t="str">
        <f>_xlfn.XLOOKUP(Table6[[#This Row],[Table.Column]],ColumnMapping[Add Column Name],ColumnMapping[Old Table.Column],"",0,1)</f>
        <v/>
      </c>
      <c r="Z703" t="str">
        <f>_xlfn.XLOOKUP(Table6[[#This Row],[Old Table.Column]],Cobra8.6[Table.Column],Cobra8.6[TYPE],"",0,1)</f>
        <v/>
      </c>
      <c r="AA703" t="str">
        <f>_xlfn.XLOOKUP(Table6[[#This Row],[Old Table.Column]],Cobra8.6[Table.Column],Cobra8.6[LENGTH],"",0,1)</f>
        <v/>
      </c>
      <c r="AB703"/>
    </row>
    <row r="704" spans="1:28" hidden="1" x14ac:dyDescent="0.2">
      <c r="A704" t="s">
        <v>450</v>
      </c>
      <c r="B704" s="17" t="s">
        <v>1218</v>
      </c>
      <c r="C704" s="17" t="s">
        <v>1015</v>
      </c>
      <c r="D704" s="17">
        <v>34</v>
      </c>
      <c r="E704" s="17" t="s">
        <v>86</v>
      </c>
      <c r="F704" t="str">
        <f>VLOOKUP($E704,'Data Type Lookup'!$A$1:$C$21,2,FALSE)</f>
        <v>VARCHAR2</v>
      </c>
      <c r="G704" s="17">
        <v>59</v>
      </c>
      <c r="H704" s="17"/>
      <c r="I704" s="29"/>
      <c r="J704" s="29"/>
      <c r="K704" s="29"/>
      <c r="L704" s="29"/>
      <c r="M704" s="17"/>
      <c r="N704" s="17"/>
      <c r="O704" s="17"/>
      <c r="P704" s="17"/>
      <c r="Q704" s="17"/>
      <c r="R704" s="17"/>
      <c r="S704" s="17"/>
      <c r="W704" t="str">
        <f t="shared" si="16"/>
        <v>PROJECT_CONTROL_ACCOUNT.EOC</v>
      </c>
      <c r="X704" t="e">
        <f>VLOOKUP(W704,ColumnMapping[New Table.Column],1,)</f>
        <v>#N/A</v>
      </c>
      <c r="Y704" t="str">
        <f>_xlfn.XLOOKUP(Table6[[#This Row],[Table.Column]],ColumnMapping[Add Column Name],ColumnMapping[Old Table.Column],"",0,1)</f>
        <v>CAWP.EOC</v>
      </c>
      <c r="Z704" t="str">
        <f>_xlfn.XLOOKUP(Table6[[#This Row],[Old Table.Column]],Cobra8.6[Table.Column],Cobra8.6[TYPE],"",0,1)</f>
        <v>TEXT</v>
      </c>
      <c r="AA704">
        <f>_xlfn.XLOOKUP(Table6[[#This Row],[Old Table.Column]],Cobra8.6[Table.Column],Cobra8.6[LENGTH],"",0,1)</f>
        <v>59</v>
      </c>
      <c r="AB704"/>
    </row>
    <row r="705" spans="1:28" hidden="1" x14ac:dyDescent="0.2">
      <c r="A705" t="s">
        <v>450</v>
      </c>
      <c r="B705" t="s">
        <v>1219</v>
      </c>
      <c r="C705" t="s">
        <v>933</v>
      </c>
      <c r="D705">
        <v>21</v>
      </c>
      <c r="E705" t="s">
        <v>86</v>
      </c>
      <c r="F705" t="str">
        <f>VLOOKUP($E705,'Data Type Lookup'!$A$1:$C$21,2,FALSE)</f>
        <v>VARCHAR2</v>
      </c>
      <c r="G705">
        <v>1</v>
      </c>
      <c r="P705" t="s">
        <v>934</v>
      </c>
      <c r="Q705" t="s">
        <v>935</v>
      </c>
      <c r="R705" t="str">
        <f>VLOOKUP(E705,'Data Type Lookup'!$A$1:$C$21,3,FALSE)</f>
        <v>String</v>
      </c>
      <c r="W705" t="str">
        <f t="shared" si="16"/>
        <v>PROJECT_WORK_PACKAGE.EVT</v>
      </c>
      <c r="X705" t="str">
        <f>VLOOKUP(W705,ColumnMapping[New Table.Column],1,)</f>
        <v>PROJECT_WORK_PACKAGE.EVT</v>
      </c>
      <c r="Y705" t="str">
        <f>_xlfn.XLOOKUP(Table6[[#This Row],[Table.Column]],ColumnMapping[Add Column Name],ColumnMapping[Old Table.Column],"",0,1)</f>
        <v/>
      </c>
      <c r="Z705" t="str">
        <f>_xlfn.XLOOKUP(Table6[[#This Row],[Old Table.Column]],Cobra8.6[Table.Column],Cobra8.6[TYPE],"",0,1)</f>
        <v/>
      </c>
      <c r="AA705" t="str">
        <f>_xlfn.XLOOKUP(Table6[[#This Row],[Old Table.Column]],Cobra8.6[Table.Column],Cobra8.6[LENGTH],"",0,1)</f>
        <v/>
      </c>
      <c r="AB705"/>
    </row>
    <row r="706" spans="1:28" hidden="1" x14ac:dyDescent="0.2">
      <c r="A706" t="s">
        <v>450</v>
      </c>
      <c r="B706" s="17" t="s">
        <v>1218</v>
      </c>
      <c r="C706" s="17" t="s">
        <v>443</v>
      </c>
      <c r="D706" s="17">
        <v>35</v>
      </c>
      <c r="E706" s="17" t="s">
        <v>86</v>
      </c>
      <c r="F706" t="str">
        <f>VLOOKUP($E706,'Data Type Lookup'!$A$1:$C$21,2,FALSE)</f>
        <v>VARCHAR2</v>
      </c>
      <c r="G706" s="17">
        <v>1</v>
      </c>
      <c r="H706" s="17"/>
      <c r="I706" s="29"/>
      <c r="J706" s="29"/>
      <c r="K706" s="29"/>
      <c r="L706" s="29"/>
      <c r="M706" s="17"/>
      <c r="N706" s="17"/>
      <c r="O706" s="17"/>
      <c r="P706" s="17"/>
      <c r="Q706" s="17"/>
      <c r="R706" s="17"/>
      <c r="S706" s="17"/>
      <c r="W706" t="str">
        <f t="shared" si="16"/>
        <v>PROJECT_CONTROL_ACCOUNT.FLAG</v>
      </c>
      <c r="X706" t="e">
        <f>VLOOKUP(W706,ColumnMapping[New Table.Column],1,)</f>
        <v>#N/A</v>
      </c>
      <c r="Y706" t="str">
        <f>_xlfn.XLOOKUP(Table6[[#This Row],[Table.Column]],ColumnMapping[Add Column Name],ColumnMapping[Old Table.Column],"",0,1)</f>
        <v>CAWP.FLAG</v>
      </c>
      <c r="Z706" t="str">
        <f>_xlfn.XLOOKUP(Table6[[#This Row],[Old Table.Column]],Cobra8.6[Table.Column],Cobra8.6[TYPE],"",0,1)</f>
        <v>TEXT</v>
      </c>
      <c r="AA706">
        <f>_xlfn.XLOOKUP(Table6[[#This Row],[Old Table.Column]],Cobra8.6[Table.Column],Cobra8.6[LENGTH],"",0,1)</f>
        <v>1</v>
      </c>
      <c r="AB706"/>
    </row>
    <row r="707" spans="1:28" hidden="1" x14ac:dyDescent="0.2">
      <c r="A707" t="s">
        <v>450</v>
      </c>
      <c r="B707" t="s">
        <v>1218</v>
      </c>
      <c r="C707" t="s">
        <v>504</v>
      </c>
      <c r="D707">
        <v>20</v>
      </c>
      <c r="E707" t="s">
        <v>356</v>
      </c>
      <c r="F707" t="str">
        <f>VLOOKUP($E707,'Data Type Lookup'!$A$1:$C$21,2,FALSE)</f>
        <v>DATE</v>
      </c>
      <c r="P707" t="s">
        <v>929</v>
      </c>
      <c r="Q707" t="s">
        <v>506</v>
      </c>
      <c r="R707" t="str">
        <f>VLOOKUP(E707,'Data Type Lookup'!$A$1:$C$21,3,FALSE)</f>
        <v>java.time.Instant</v>
      </c>
      <c r="W707" t="str">
        <f t="shared" si="16"/>
        <v>PROJECT_CONTROL_ACCOUNT.FORECAST_FINISH</v>
      </c>
      <c r="X707" t="str">
        <f>VLOOKUP(W707,ColumnMapping[New Table.Column],1,)</f>
        <v>PROJECT_CONTROL_ACCOUNT.FORECAST_FINISH</v>
      </c>
      <c r="Y707" t="str">
        <f>_xlfn.XLOOKUP(Table6[[#This Row],[Table.Column]],ColumnMapping[Add Column Name],ColumnMapping[Old Table.Column],"",0,1)</f>
        <v/>
      </c>
      <c r="Z707" t="str">
        <f>_xlfn.XLOOKUP(Table6[[#This Row],[Old Table.Column]],Cobra8.6[Table.Column],Cobra8.6[TYPE],"",0,1)</f>
        <v/>
      </c>
      <c r="AA707" t="str">
        <f>_xlfn.XLOOKUP(Table6[[#This Row],[Old Table.Column]],Cobra8.6[Table.Column],Cobra8.6[LENGTH],"",0,1)</f>
        <v/>
      </c>
      <c r="AB707"/>
    </row>
    <row r="708" spans="1:28" hidden="1" x14ac:dyDescent="0.2">
      <c r="A708" t="s">
        <v>450</v>
      </c>
      <c r="B708" t="s">
        <v>1219</v>
      </c>
      <c r="C708" t="s">
        <v>504</v>
      </c>
      <c r="D708">
        <v>20</v>
      </c>
      <c r="E708" t="s">
        <v>356</v>
      </c>
      <c r="F708" t="str">
        <f>VLOOKUP($E708,'Data Type Lookup'!$A$1:$C$21,2,FALSE)</f>
        <v>DATE</v>
      </c>
      <c r="P708" t="s">
        <v>929</v>
      </c>
      <c r="Q708" t="s">
        <v>506</v>
      </c>
      <c r="R708" t="str">
        <f>VLOOKUP(E708,'Data Type Lookup'!$A$1:$C$21,3,FALSE)</f>
        <v>java.time.Instant</v>
      </c>
      <c r="W708" t="str">
        <f t="shared" si="16"/>
        <v>PROJECT_WORK_PACKAGE.FORECAST_FINISH</v>
      </c>
      <c r="X708" t="str">
        <f>VLOOKUP(W708,ColumnMapping[New Table.Column],1,)</f>
        <v>PROJECT_WORK_PACKAGE.FORECAST_FINISH</v>
      </c>
      <c r="Y708" t="str">
        <f>_xlfn.XLOOKUP(Table6[[#This Row],[Table.Column]],ColumnMapping[Add Column Name],ColumnMapping[Old Table.Column],"",0,1)</f>
        <v/>
      </c>
      <c r="Z708" t="str">
        <f>_xlfn.XLOOKUP(Table6[[#This Row],[Old Table.Column]],Cobra8.6[Table.Column],Cobra8.6[TYPE],"",0,1)</f>
        <v/>
      </c>
      <c r="AA708" t="str">
        <f>_xlfn.XLOOKUP(Table6[[#This Row],[Old Table.Column]],Cobra8.6[Table.Column],Cobra8.6[LENGTH],"",0,1)</f>
        <v/>
      </c>
      <c r="AB708"/>
    </row>
    <row r="709" spans="1:28" hidden="1" x14ac:dyDescent="0.2">
      <c r="A709" t="s">
        <v>450</v>
      </c>
      <c r="B709" t="s">
        <v>1218</v>
      </c>
      <c r="C709" t="s">
        <v>926</v>
      </c>
      <c r="D709">
        <v>19</v>
      </c>
      <c r="E709" t="s">
        <v>356</v>
      </c>
      <c r="F709" t="str">
        <f>VLOOKUP($E709,'Data Type Lookup'!$A$1:$C$21,2,FALSE)</f>
        <v>DATE</v>
      </c>
      <c r="P709" t="s">
        <v>927</v>
      </c>
      <c r="Q709" t="s">
        <v>928</v>
      </c>
      <c r="R709" t="str">
        <f>VLOOKUP(E709,'Data Type Lookup'!$A$1:$C$21,3,FALSE)</f>
        <v>java.time.Instant</v>
      </c>
      <c r="W709" t="str">
        <f t="shared" si="16"/>
        <v>PROJECT_CONTROL_ACCOUNT.FORECAST_START</v>
      </c>
      <c r="X709" t="str">
        <f>VLOOKUP(W709,ColumnMapping[New Table.Column],1,)</f>
        <v>PROJECT_CONTROL_ACCOUNT.FORECAST_START</v>
      </c>
      <c r="Y709" t="str">
        <f>_xlfn.XLOOKUP(Table6[[#This Row],[Table.Column]],ColumnMapping[Add Column Name],ColumnMapping[Old Table.Column],"",0,1)</f>
        <v/>
      </c>
      <c r="Z709" t="str">
        <f>_xlfn.XLOOKUP(Table6[[#This Row],[Old Table.Column]],Cobra8.6[Table.Column],Cobra8.6[TYPE],"",0,1)</f>
        <v/>
      </c>
      <c r="AA709" t="str">
        <f>_xlfn.XLOOKUP(Table6[[#This Row],[Old Table.Column]],Cobra8.6[Table.Column],Cobra8.6[LENGTH],"",0,1)</f>
        <v/>
      </c>
      <c r="AB709"/>
    </row>
    <row r="710" spans="1:28" hidden="1" x14ac:dyDescent="0.2">
      <c r="A710" t="s">
        <v>450</v>
      </c>
      <c r="B710" t="s">
        <v>1219</v>
      </c>
      <c r="C710" t="s">
        <v>926</v>
      </c>
      <c r="D710">
        <v>19</v>
      </c>
      <c r="E710" t="s">
        <v>356</v>
      </c>
      <c r="F710" t="str">
        <f>VLOOKUP($E710,'Data Type Lookup'!$A$1:$C$21,2,FALSE)</f>
        <v>DATE</v>
      </c>
      <c r="P710" t="s">
        <v>927</v>
      </c>
      <c r="Q710" t="s">
        <v>928</v>
      </c>
      <c r="R710" t="str">
        <f>VLOOKUP(E710,'Data Type Lookup'!$A$1:$C$21,3,FALSE)</f>
        <v>java.time.Instant</v>
      </c>
      <c r="W710" t="str">
        <f t="shared" si="16"/>
        <v>PROJECT_WORK_PACKAGE.FORECAST_START</v>
      </c>
      <c r="X710" t="str">
        <f>VLOOKUP(W710,ColumnMapping[New Table.Column],1,)</f>
        <v>PROJECT_WORK_PACKAGE.FORECAST_START</v>
      </c>
      <c r="Y710" t="str">
        <f>_xlfn.XLOOKUP(Table6[[#This Row],[Table.Column]],ColumnMapping[Add Column Name],ColumnMapping[Old Table.Column],"",0,1)</f>
        <v/>
      </c>
      <c r="Z710" t="str">
        <f>_xlfn.XLOOKUP(Table6[[#This Row],[Old Table.Column]],Cobra8.6[Table.Column],Cobra8.6[TYPE],"",0,1)</f>
        <v/>
      </c>
      <c r="AA710" t="str">
        <f>_xlfn.XLOOKUP(Table6[[#This Row],[Old Table.Column]],Cobra8.6[Table.Column],Cobra8.6[LENGTH],"",0,1)</f>
        <v/>
      </c>
      <c r="AB710"/>
    </row>
    <row r="711" spans="1:28" hidden="1" x14ac:dyDescent="0.2">
      <c r="A711" t="s">
        <v>450</v>
      </c>
      <c r="B711" t="s">
        <v>1218</v>
      </c>
      <c r="C711" t="s">
        <v>68</v>
      </c>
      <c r="D711">
        <v>23</v>
      </c>
      <c r="E711" t="s">
        <v>31</v>
      </c>
      <c r="F711" t="str">
        <f>VLOOKUP($E711,'Data Type Lookup'!$A$1:$C$21,2,FALSE)</f>
        <v>RAW(16)</v>
      </c>
      <c r="I711" s="32" t="s">
        <v>32</v>
      </c>
      <c r="P711" t="s">
        <v>1231</v>
      </c>
      <c r="Q711" t="s">
        <v>70</v>
      </c>
      <c r="R711" t="str">
        <f>VLOOKUP(E711,'Data Type Lookup'!$A$1:$C$21,3,FALSE)</f>
        <v>java.util.UUID</v>
      </c>
      <c r="S711">
        <v>2</v>
      </c>
      <c r="W711" t="str">
        <f t="shared" si="16"/>
        <v>PROJECT_CONTROL_ACCOUNT.LAST_MODIFIED_BY_USER_UID</v>
      </c>
      <c r="X711" t="str">
        <f>VLOOKUP(W711,ColumnMapping[New Table.Column],1,)</f>
        <v>PROJECT_CONTROL_ACCOUNT.LAST_MODIFIED_BY_USER_UID</v>
      </c>
      <c r="Y711" t="str">
        <f>_xlfn.XLOOKUP(Table6[[#This Row],[Table.Column]],ColumnMapping[Add Column Name],ColumnMapping[Old Table.Column],"",0,1)</f>
        <v/>
      </c>
      <c r="Z711" t="str">
        <f>_xlfn.XLOOKUP(Table6[[#This Row],[Old Table.Column]],Cobra8.6[Table.Column],Cobra8.6[TYPE],"",0,1)</f>
        <v/>
      </c>
      <c r="AA711" t="str">
        <f>_xlfn.XLOOKUP(Table6[[#This Row],[Old Table.Column]],Cobra8.6[Table.Column],Cobra8.6[LENGTH],"",0,1)</f>
        <v/>
      </c>
      <c r="AB711"/>
    </row>
    <row r="712" spans="1:28" hidden="1" x14ac:dyDescent="0.2">
      <c r="A712" t="s">
        <v>450</v>
      </c>
      <c r="B712" t="s">
        <v>1219</v>
      </c>
      <c r="C712" t="s">
        <v>68</v>
      </c>
      <c r="D712">
        <v>28</v>
      </c>
      <c r="E712" t="s">
        <v>31</v>
      </c>
      <c r="F712" t="str">
        <f>VLOOKUP($E712,'Data Type Lookup'!$A$1:$C$21,2,FALSE)</f>
        <v>RAW(16)</v>
      </c>
      <c r="I712" s="32" t="s">
        <v>32</v>
      </c>
      <c r="P712" t="s">
        <v>1232</v>
      </c>
      <c r="Q712" t="s">
        <v>70</v>
      </c>
      <c r="R712" t="str">
        <f>VLOOKUP(E712,'Data Type Lookup'!$A$1:$C$21,3,FALSE)</f>
        <v>java.util.UUID</v>
      </c>
      <c r="S712">
        <v>2</v>
      </c>
      <c r="W712" t="str">
        <f t="shared" si="16"/>
        <v>PROJECT_WORK_PACKAGE.LAST_MODIFIED_BY_USER_UID</v>
      </c>
      <c r="X712" t="str">
        <f>VLOOKUP(W712,ColumnMapping[New Table.Column],1,)</f>
        <v>PROJECT_WORK_PACKAGE.LAST_MODIFIED_BY_USER_UID</v>
      </c>
      <c r="Y712" t="str">
        <f>_xlfn.XLOOKUP(Table6[[#This Row],[Table.Column]],ColumnMapping[Add Column Name],ColumnMapping[Old Table.Column],"",0,1)</f>
        <v/>
      </c>
      <c r="Z712" t="str">
        <f>_xlfn.XLOOKUP(Table6[[#This Row],[Old Table.Column]],Cobra8.6[Table.Column],Cobra8.6[TYPE],"",0,1)</f>
        <v/>
      </c>
      <c r="AA712" t="str">
        <f>_xlfn.XLOOKUP(Table6[[#This Row],[Old Table.Column]],Cobra8.6[Table.Column],Cobra8.6[LENGTH],"",0,1)</f>
        <v/>
      </c>
      <c r="AB712"/>
    </row>
    <row r="713" spans="1:28" hidden="1" x14ac:dyDescent="0.2">
      <c r="A713" t="s">
        <v>450</v>
      </c>
      <c r="B713" t="s">
        <v>1218</v>
      </c>
      <c r="C713" t="s">
        <v>71</v>
      </c>
      <c r="D713">
        <v>24</v>
      </c>
      <c r="E713" t="s">
        <v>65</v>
      </c>
      <c r="F713" t="str">
        <f>VLOOKUP($E713,'Data Type Lookup'!$A$1:$C$21,2,FALSE)</f>
        <v>TIMESTAMP</v>
      </c>
      <c r="I713" s="32" t="s">
        <v>32</v>
      </c>
      <c r="P713" t="s">
        <v>1233</v>
      </c>
      <c r="Q713" t="s">
        <v>73</v>
      </c>
      <c r="R713" t="str">
        <f>VLOOKUP(E713,'Data Type Lookup'!$A$1:$C$21,3,FALSE)</f>
        <v>java.time.Instant</v>
      </c>
      <c r="S713">
        <v>2</v>
      </c>
      <c r="W713" t="str">
        <f t="shared" si="16"/>
        <v>PROJECT_CONTROL_ACCOUNT.LAST_MODIFIED_DATE</v>
      </c>
      <c r="X713" t="str">
        <f>VLOOKUP(W713,ColumnMapping[New Table.Column],1,)</f>
        <v>PROJECT_CONTROL_ACCOUNT.LAST_MODIFIED_DATE</v>
      </c>
      <c r="Y713" t="str">
        <f>_xlfn.XLOOKUP(Table6[[#This Row],[Table.Column]],ColumnMapping[Add Column Name],ColumnMapping[Old Table.Column],"",0,1)</f>
        <v/>
      </c>
      <c r="Z713" t="str">
        <f>_xlfn.XLOOKUP(Table6[[#This Row],[Old Table.Column]],Cobra8.6[Table.Column],Cobra8.6[TYPE],"",0,1)</f>
        <v/>
      </c>
      <c r="AA713" t="str">
        <f>_xlfn.XLOOKUP(Table6[[#This Row],[Old Table.Column]],Cobra8.6[Table.Column],Cobra8.6[LENGTH],"",0,1)</f>
        <v/>
      </c>
      <c r="AB713"/>
    </row>
    <row r="714" spans="1:28" hidden="1" x14ac:dyDescent="0.2">
      <c r="A714" t="s">
        <v>450</v>
      </c>
      <c r="B714" t="s">
        <v>1219</v>
      </c>
      <c r="C714" t="s">
        <v>71</v>
      </c>
      <c r="D714">
        <v>29</v>
      </c>
      <c r="E714" t="s">
        <v>65</v>
      </c>
      <c r="F714" t="str">
        <f>VLOOKUP($E714,'Data Type Lookup'!$A$1:$C$21,2,FALSE)</f>
        <v>TIMESTAMP</v>
      </c>
      <c r="I714" s="32" t="s">
        <v>32</v>
      </c>
      <c r="P714" t="s">
        <v>1234</v>
      </c>
      <c r="Q714" t="s">
        <v>73</v>
      </c>
      <c r="R714" t="str">
        <f>VLOOKUP(E714,'Data Type Lookup'!$A$1:$C$21,3,FALSE)</f>
        <v>java.time.Instant</v>
      </c>
      <c r="S714">
        <v>2</v>
      </c>
      <c r="W714" t="str">
        <f t="shared" si="16"/>
        <v>PROJECT_WORK_PACKAGE.LAST_MODIFIED_DATE</v>
      </c>
      <c r="X714" t="str">
        <f>VLOOKUP(W714,ColumnMapping[New Table.Column],1,)</f>
        <v>PROJECT_WORK_PACKAGE.LAST_MODIFIED_DATE</v>
      </c>
      <c r="Y714" t="str">
        <f>_xlfn.XLOOKUP(Table6[[#This Row],[Table.Column]],ColumnMapping[Add Column Name],ColumnMapping[Old Table.Column],"",0,1)</f>
        <v/>
      </c>
      <c r="Z714" t="str">
        <f>_xlfn.XLOOKUP(Table6[[#This Row],[Old Table.Column]],Cobra8.6[Table.Column],Cobra8.6[TYPE],"",0,1)</f>
        <v/>
      </c>
      <c r="AA714" t="str">
        <f>_xlfn.XLOOKUP(Table6[[#This Row],[Old Table.Column]],Cobra8.6[Table.Column],Cobra8.6[LENGTH],"",0,1)</f>
        <v/>
      </c>
      <c r="AB714"/>
    </row>
    <row r="715" spans="1:28" hidden="1" x14ac:dyDescent="0.2">
      <c r="A715" t="s">
        <v>450</v>
      </c>
      <c r="B715" t="s">
        <v>1218</v>
      </c>
      <c r="C715" t="s">
        <v>917</v>
      </c>
      <c r="D715">
        <v>16</v>
      </c>
      <c r="E715" t="s">
        <v>356</v>
      </c>
      <c r="F715" t="str">
        <f>VLOOKUP($E715,'Data Type Lookup'!$A$1:$C$21,2,FALSE)</f>
        <v>DATE</v>
      </c>
      <c r="P715" t="s">
        <v>918</v>
      </c>
      <c r="Q715" t="s">
        <v>919</v>
      </c>
      <c r="R715" t="str">
        <f>VLOOKUP(E715,'Data Type Lookup'!$A$1:$C$21,3,FALSE)</f>
        <v>java.time.Instant</v>
      </c>
      <c r="W715" t="str">
        <f t="shared" ref="W715:W778" si="17">_xlfn.CONCAT(B715,".",C715)</f>
        <v>PROJECT_CONTROL_ACCOUNT.LATE_FINISH</v>
      </c>
      <c r="X715" t="str">
        <f>VLOOKUP(W715,ColumnMapping[New Table.Column],1,)</f>
        <v>PROJECT_CONTROL_ACCOUNT.LATE_FINISH</v>
      </c>
      <c r="Y715" t="str">
        <f>_xlfn.XLOOKUP(Table6[[#This Row],[Table.Column]],ColumnMapping[Add Column Name],ColumnMapping[Old Table.Column],"",0,1)</f>
        <v/>
      </c>
      <c r="Z715" t="str">
        <f>_xlfn.XLOOKUP(Table6[[#This Row],[Old Table.Column]],Cobra8.6[Table.Column],Cobra8.6[TYPE],"",0,1)</f>
        <v/>
      </c>
      <c r="AA715" t="str">
        <f>_xlfn.XLOOKUP(Table6[[#This Row],[Old Table.Column]],Cobra8.6[Table.Column],Cobra8.6[LENGTH],"",0,1)</f>
        <v/>
      </c>
      <c r="AB715"/>
    </row>
    <row r="716" spans="1:28" hidden="1" x14ac:dyDescent="0.2">
      <c r="A716" t="s">
        <v>450</v>
      </c>
      <c r="B716" t="s">
        <v>1219</v>
      </c>
      <c r="C716" t="s">
        <v>917</v>
      </c>
      <c r="D716">
        <v>16</v>
      </c>
      <c r="E716" t="s">
        <v>356</v>
      </c>
      <c r="F716" t="str">
        <f>VLOOKUP($E716,'Data Type Lookup'!$A$1:$C$21,2,FALSE)</f>
        <v>DATE</v>
      </c>
      <c r="P716" t="s">
        <v>918</v>
      </c>
      <c r="Q716" t="s">
        <v>919</v>
      </c>
      <c r="R716" t="str">
        <f>VLOOKUP(E716,'Data Type Lookup'!$A$1:$C$21,3,FALSE)</f>
        <v>java.time.Instant</v>
      </c>
      <c r="W716" t="str">
        <f t="shared" si="17"/>
        <v>PROJECT_WORK_PACKAGE.LATE_FINISH</v>
      </c>
      <c r="X716" t="str">
        <f>VLOOKUP(W716,ColumnMapping[New Table.Column],1,)</f>
        <v>PROJECT_WORK_PACKAGE.LATE_FINISH</v>
      </c>
      <c r="Y716" t="str">
        <f>_xlfn.XLOOKUP(Table6[[#This Row],[Table.Column]],ColumnMapping[Add Column Name],ColumnMapping[Old Table.Column],"",0,1)</f>
        <v/>
      </c>
      <c r="Z716" t="str">
        <f>_xlfn.XLOOKUP(Table6[[#This Row],[Old Table.Column]],Cobra8.6[Table.Column],Cobra8.6[TYPE],"",0,1)</f>
        <v/>
      </c>
      <c r="AA716" t="str">
        <f>_xlfn.XLOOKUP(Table6[[#This Row],[Old Table.Column]],Cobra8.6[Table.Column],Cobra8.6[LENGTH],"",0,1)</f>
        <v/>
      </c>
      <c r="AB716"/>
    </row>
    <row r="717" spans="1:28" hidden="1" x14ac:dyDescent="0.2">
      <c r="A717" t="s">
        <v>450</v>
      </c>
      <c r="B717" t="s">
        <v>1218</v>
      </c>
      <c r="C717" t="s">
        <v>914</v>
      </c>
      <c r="D717">
        <v>15</v>
      </c>
      <c r="E717" t="s">
        <v>356</v>
      </c>
      <c r="F717" t="str">
        <f>VLOOKUP($E717,'Data Type Lookup'!$A$1:$C$21,2,FALSE)</f>
        <v>DATE</v>
      </c>
      <c r="P717" t="s">
        <v>915</v>
      </c>
      <c r="Q717" t="s">
        <v>916</v>
      </c>
      <c r="R717" t="str">
        <f>VLOOKUP(E717,'Data Type Lookup'!$A$1:$C$21,3,FALSE)</f>
        <v>java.time.Instant</v>
      </c>
      <c r="W717" t="str">
        <f t="shared" si="17"/>
        <v>PROJECT_CONTROL_ACCOUNT.LATE_START</v>
      </c>
      <c r="X717" t="str">
        <f>VLOOKUP(W717,ColumnMapping[New Table.Column],1,)</f>
        <v>PROJECT_CONTROL_ACCOUNT.LATE_START</v>
      </c>
      <c r="Y717" t="str">
        <f>_xlfn.XLOOKUP(Table6[[#This Row],[Table.Column]],ColumnMapping[Add Column Name],ColumnMapping[Old Table.Column],"",0,1)</f>
        <v/>
      </c>
      <c r="Z717" t="str">
        <f>_xlfn.XLOOKUP(Table6[[#This Row],[Old Table.Column]],Cobra8.6[Table.Column],Cobra8.6[TYPE],"",0,1)</f>
        <v/>
      </c>
      <c r="AA717" t="str">
        <f>_xlfn.XLOOKUP(Table6[[#This Row],[Old Table.Column]],Cobra8.6[Table.Column],Cobra8.6[LENGTH],"",0,1)</f>
        <v/>
      </c>
      <c r="AB717"/>
    </row>
    <row r="718" spans="1:28" hidden="1" x14ac:dyDescent="0.2">
      <c r="A718" t="s">
        <v>450</v>
      </c>
      <c r="B718" t="s">
        <v>1219</v>
      </c>
      <c r="C718" t="s">
        <v>914</v>
      </c>
      <c r="D718">
        <v>15</v>
      </c>
      <c r="E718" t="s">
        <v>356</v>
      </c>
      <c r="F718" t="str">
        <f>VLOOKUP($E718,'Data Type Lookup'!$A$1:$C$21,2,FALSE)</f>
        <v>DATE</v>
      </c>
      <c r="P718" t="s">
        <v>915</v>
      </c>
      <c r="Q718" t="s">
        <v>916</v>
      </c>
      <c r="R718" t="str">
        <f>VLOOKUP(E718,'Data Type Lookup'!$A$1:$C$21,3,FALSE)</f>
        <v>java.time.Instant</v>
      </c>
      <c r="W718" t="str">
        <f t="shared" si="17"/>
        <v>PROJECT_WORK_PACKAGE.LATE_START</v>
      </c>
      <c r="X718" t="str">
        <f>VLOOKUP(W718,ColumnMapping[New Table.Column],1,)</f>
        <v>PROJECT_WORK_PACKAGE.LATE_START</v>
      </c>
      <c r="Y718" t="str">
        <f>_xlfn.XLOOKUP(Table6[[#This Row],[Table.Column]],ColumnMapping[Add Column Name],ColumnMapping[Old Table.Column],"",0,1)</f>
        <v/>
      </c>
      <c r="Z718" t="str">
        <f>_xlfn.XLOOKUP(Table6[[#This Row],[Old Table.Column]],Cobra8.6[Table.Column],Cobra8.6[TYPE],"",0,1)</f>
        <v/>
      </c>
      <c r="AA718" t="str">
        <f>_xlfn.XLOOKUP(Table6[[#This Row],[Old Table.Column]],Cobra8.6[Table.Column],Cobra8.6[LENGTH],"",0,1)</f>
        <v/>
      </c>
      <c r="AB718"/>
    </row>
    <row r="719" spans="1:28" hidden="1" x14ac:dyDescent="0.2">
      <c r="A719" t="s">
        <v>450</v>
      </c>
      <c r="B719" t="s">
        <v>1218</v>
      </c>
      <c r="C719" t="s">
        <v>1235</v>
      </c>
      <c r="D719">
        <v>7</v>
      </c>
      <c r="E719" t="s">
        <v>31</v>
      </c>
      <c r="F719" t="str">
        <f>VLOOKUP($E719,'Data Type Lookup'!$A$1:$C$21,2,FALSE)</f>
        <v>RAW(16)</v>
      </c>
      <c r="P719" t="s">
        <v>1236</v>
      </c>
      <c r="Q719" t="s">
        <v>1237</v>
      </c>
      <c r="R719" t="str">
        <f>VLOOKUP(E719,'Data Type Lookup'!$A$1:$C$21,3,FALSE)</f>
        <v>java.util.UUID</v>
      </c>
      <c r="S719">
        <v>1</v>
      </c>
      <c r="W719" t="str">
        <f t="shared" si="17"/>
        <v>PROJECT_CONTROL_ACCOUNT.MANAGER_USER_UID</v>
      </c>
      <c r="X719" t="str">
        <f>VLOOKUP(W719,ColumnMapping[New Table.Column],1,)</f>
        <v>PROJECT_CONTROL_ACCOUNT.MANAGER_USER_UID</v>
      </c>
      <c r="Y719" t="str">
        <f>_xlfn.XLOOKUP(Table6[[#This Row],[Table.Column]],ColumnMapping[Add Column Name],ColumnMapping[Old Table.Column],"",0,1)</f>
        <v/>
      </c>
      <c r="Z719" t="str">
        <f>_xlfn.XLOOKUP(Table6[[#This Row],[Old Table.Column]],Cobra8.6[Table.Column],Cobra8.6[TYPE],"",0,1)</f>
        <v/>
      </c>
      <c r="AA719" t="str">
        <f>_xlfn.XLOOKUP(Table6[[#This Row],[Old Table.Column]],Cobra8.6[Table.Column],Cobra8.6[LENGTH],"",0,1)</f>
        <v/>
      </c>
      <c r="AB719"/>
    </row>
    <row r="720" spans="1:28" hidden="1" x14ac:dyDescent="0.2">
      <c r="A720" t="s">
        <v>450</v>
      </c>
      <c r="B720" t="s">
        <v>1219</v>
      </c>
      <c r="C720" t="s">
        <v>1235</v>
      </c>
      <c r="D720">
        <v>8</v>
      </c>
      <c r="E720" t="s">
        <v>31</v>
      </c>
      <c r="F720" t="str">
        <f>VLOOKUP($E720,'Data Type Lookup'!$A$1:$C$21,2,FALSE)</f>
        <v>RAW(16)</v>
      </c>
      <c r="P720" t="s">
        <v>1238</v>
      </c>
      <c r="Q720" t="s">
        <v>1237</v>
      </c>
      <c r="R720" t="str">
        <f>VLOOKUP(E720,'Data Type Lookup'!$A$1:$C$21,3,FALSE)</f>
        <v>java.util.UUID</v>
      </c>
      <c r="S720">
        <v>1</v>
      </c>
      <c r="W720" t="str">
        <f t="shared" si="17"/>
        <v>PROJECT_WORK_PACKAGE.MANAGER_USER_UID</v>
      </c>
      <c r="X720" t="str">
        <f>VLOOKUP(W720,ColumnMapping[New Table.Column],1,)</f>
        <v>PROJECT_WORK_PACKAGE.MANAGER_USER_UID</v>
      </c>
      <c r="Y720" t="str">
        <f>_xlfn.XLOOKUP(Table6[[#This Row],[Table.Column]],ColumnMapping[Add Column Name],ColumnMapping[Old Table.Column],"",0,1)</f>
        <v/>
      </c>
      <c r="Z720" t="str">
        <f>_xlfn.XLOOKUP(Table6[[#This Row],[Old Table.Column]],Cobra8.6[Table.Column],Cobra8.6[TYPE],"",0,1)</f>
        <v/>
      </c>
      <c r="AA720" t="str">
        <f>_xlfn.XLOOKUP(Table6[[#This Row],[Old Table.Column]],Cobra8.6[Table.Column],Cobra8.6[LENGTH],"",0,1)</f>
        <v/>
      </c>
      <c r="AB720"/>
    </row>
    <row r="721" spans="1:28" hidden="1" x14ac:dyDescent="0.2">
      <c r="A721" t="s">
        <v>450</v>
      </c>
      <c r="B721" t="s">
        <v>1218</v>
      </c>
      <c r="C721" t="s">
        <v>47</v>
      </c>
      <c r="D721">
        <v>4</v>
      </c>
      <c r="E721" t="s">
        <v>48</v>
      </c>
      <c r="F721" t="str">
        <f>VLOOKUP($E721,'Data Type Lookup'!$A$1:$C$21,2,FALSE)</f>
        <v>NVARCHAR2</v>
      </c>
      <c r="G721">
        <v>100</v>
      </c>
      <c r="I721" s="32" t="s">
        <v>32</v>
      </c>
      <c r="L721" s="32" t="s">
        <v>32</v>
      </c>
      <c r="P721" t="s">
        <v>1239</v>
      </c>
      <c r="Q721" t="s">
        <v>50</v>
      </c>
      <c r="R721" t="str">
        <f>VLOOKUP(E721,'Data Type Lookup'!$A$1:$C$21,3,FALSE)</f>
        <v>String</v>
      </c>
      <c r="W721" t="str">
        <f t="shared" si="17"/>
        <v>PROJECT_CONTROL_ACCOUNT.NAME</v>
      </c>
      <c r="X721" t="str">
        <f>VLOOKUP(W721,ColumnMapping[New Table.Column],1,)</f>
        <v>PROJECT_CONTROL_ACCOUNT.NAME</v>
      </c>
      <c r="Y721" t="str">
        <f>_xlfn.XLOOKUP(Table6[[#This Row],[Table.Column]],ColumnMapping[Add Column Name],ColumnMapping[Old Table.Column],"",0,1)</f>
        <v/>
      </c>
      <c r="Z721" t="str">
        <f>_xlfn.XLOOKUP(Table6[[#This Row],[Old Table.Column]],Cobra8.6[Table.Column],Cobra8.6[TYPE],"",0,1)</f>
        <v/>
      </c>
      <c r="AA721" t="str">
        <f>_xlfn.XLOOKUP(Table6[[#This Row],[Old Table.Column]],Cobra8.6[Table.Column],Cobra8.6[LENGTH],"",0,1)</f>
        <v/>
      </c>
      <c r="AB721"/>
    </row>
    <row r="722" spans="1:28" hidden="1" x14ac:dyDescent="0.2">
      <c r="A722" t="s">
        <v>450</v>
      </c>
      <c r="B722" t="s">
        <v>1219</v>
      </c>
      <c r="C722" t="s">
        <v>47</v>
      </c>
      <c r="D722">
        <v>4</v>
      </c>
      <c r="E722" t="s">
        <v>48</v>
      </c>
      <c r="F722" t="str">
        <f>VLOOKUP($E722,'Data Type Lookup'!$A$1:$C$21,2,FALSE)</f>
        <v>NVARCHAR2</v>
      </c>
      <c r="G722">
        <v>100</v>
      </c>
      <c r="I722" s="32" t="s">
        <v>32</v>
      </c>
      <c r="L722" s="32" t="s">
        <v>32</v>
      </c>
      <c r="P722" t="s">
        <v>1240</v>
      </c>
      <c r="Q722" t="s">
        <v>50</v>
      </c>
      <c r="R722" t="str">
        <f>VLOOKUP(E722,'Data Type Lookup'!$A$1:$C$21,3,FALSE)</f>
        <v>String</v>
      </c>
      <c r="W722" t="str">
        <f t="shared" si="17"/>
        <v>PROJECT_WORK_PACKAGE.NAME</v>
      </c>
      <c r="X722" t="str">
        <f>VLOOKUP(W722,ColumnMapping[New Table.Column],1,)</f>
        <v>PROJECT_WORK_PACKAGE.NAME</v>
      </c>
      <c r="Y722" t="str">
        <f>_xlfn.XLOOKUP(Table6[[#This Row],[Table.Column]],ColumnMapping[Add Column Name],ColumnMapping[Old Table.Column],"",0,1)</f>
        <v/>
      </c>
      <c r="Z722" t="str">
        <f>_xlfn.XLOOKUP(Table6[[#This Row],[Old Table.Column]],Cobra8.6[Table.Column],Cobra8.6[TYPE],"",0,1)</f>
        <v/>
      </c>
      <c r="AA722" t="str">
        <f>_xlfn.XLOOKUP(Table6[[#This Row],[Old Table.Column]],Cobra8.6[Table.Column],Cobra8.6[LENGTH],"",0,1)</f>
        <v/>
      </c>
      <c r="AB722"/>
    </row>
    <row r="723" spans="1:28" hidden="1" x14ac:dyDescent="0.2">
      <c r="A723" t="s">
        <v>450</v>
      </c>
      <c r="B723" t="s">
        <v>1218</v>
      </c>
      <c r="C723" t="s">
        <v>882</v>
      </c>
      <c r="D723">
        <v>6</v>
      </c>
      <c r="E723" t="s">
        <v>31</v>
      </c>
      <c r="F723" t="str">
        <f>VLOOKUP($E723,'Data Type Lookup'!$A$1:$C$21,2,FALSE)</f>
        <v>RAW(16)</v>
      </c>
      <c r="M723" t="s">
        <v>29</v>
      </c>
      <c r="N723" t="s">
        <v>30</v>
      </c>
      <c r="O723" t="s">
        <v>41</v>
      </c>
      <c r="P723" t="s">
        <v>883</v>
      </c>
      <c r="Q723" t="s">
        <v>884</v>
      </c>
      <c r="R723" t="str">
        <f>VLOOKUP(E723,'Data Type Lookup'!$A$1:$C$21,3,FALSE)</f>
        <v>java.util.UUID</v>
      </c>
      <c r="S723">
        <v>1</v>
      </c>
      <c r="W723" t="str">
        <f t="shared" si="17"/>
        <v>PROJECT_CONTROL_ACCOUNT.OBS_CODE_UID</v>
      </c>
      <c r="X723" t="str">
        <f>VLOOKUP(W723,ColumnMapping[New Table.Column],1,)</f>
        <v>PROJECT_CONTROL_ACCOUNT.OBS_CODE_UID</v>
      </c>
      <c r="Y723" t="str">
        <f>_xlfn.XLOOKUP(Table6[[#This Row],[Table.Column]],ColumnMapping[Add Column Name],ColumnMapping[Old Table.Column],"",0,1)</f>
        <v/>
      </c>
      <c r="Z723" t="str">
        <f>_xlfn.XLOOKUP(Table6[[#This Row],[Old Table.Column]],Cobra8.6[Table.Column],Cobra8.6[TYPE],"",0,1)</f>
        <v/>
      </c>
      <c r="AA723" t="str">
        <f>_xlfn.XLOOKUP(Table6[[#This Row],[Old Table.Column]],Cobra8.6[Table.Column],Cobra8.6[LENGTH],"",0,1)</f>
        <v/>
      </c>
      <c r="AB723"/>
    </row>
    <row r="724" spans="1:28" hidden="1" x14ac:dyDescent="0.2">
      <c r="A724" t="s">
        <v>450</v>
      </c>
      <c r="B724" t="s">
        <v>1219</v>
      </c>
      <c r="C724" t="s">
        <v>882</v>
      </c>
      <c r="D724">
        <v>6</v>
      </c>
      <c r="E724" t="s">
        <v>31</v>
      </c>
      <c r="F724" t="str">
        <f>VLOOKUP($E724,'Data Type Lookup'!$A$1:$C$21,2,FALSE)</f>
        <v>RAW(16)</v>
      </c>
      <c r="M724" t="s">
        <v>29</v>
      </c>
      <c r="N724" t="s">
        <v>30</v>
      </c>
      <c r="O724" t="s">
        <v>41</v>
      </c>
      <c r="P724" t="s">
        <v>883</v>
      </c>
      <c r="Q724" t="s">
        <v>884</v>
      </c>
      <c r="R724" t="str">
        <f>VLOOKUP(E724,'Data Type Lookup'!$A$1:$C$21,3,FALSE)</f>
        <v>java.util.UUID</v>
      </c>
      <c r="S724">
        <v>1</v>
      </c>
      <c r="W724" t="str">
        <f t="shared" si="17"/>
        <v>PROJECT_WORK_PACKAGE.OBS_CODE_UID</v>
      </c>
      <c r="X724" t="str">
        <f>VLOOKUP(W724,ColumnMapping[New Table.Column],1,)</f>
        <v>PROJECT_WORK_PACKAGE.OBS_CODE_UID</v>
      </c>
      <c r="Y724" t="str">
        <f>_xlfn.XLOOKUP(Table6[[#This Row],[Table.Column]],ColumnMapping[Add Column Name],ColumnMapping[Old Table.Column],"",0,1)</f>
        <v/>
      </c>
      <c r="Z724" t="str">
        <f>_xlfn.XLOOKUP(Table6[[#This Row],[Old Table.Column]],Cobra8.6[Table.Column],Cobra8.6[TYPE],"",0,1)</f>
        <v/>
      </c>
      <c r="AA724" t="str">
        <f>_xlfn.XLOOKUP(Table6[[#This Row],[Old Table.Column]],Cobra8.6[Table.Column],Cobra8.6[LENGTH],"",0,1)</f>
        <v/>
      </c>
      <c r="AB724"/>
    </row>
    <row r="725" spans="1:28" hidden="1" x14ac:dyDescent="0.2">
      <c r="A725" t="s">
        <v>450</v>
      </c>
      <c r="B725" s="17" t="s">
        <v>1218</v>
      </c>
      <c r="C725" s="17" t="s">
        <v>1018</v>
      </c>
      <c r="D725" s="17">
        <v>36</v>
      </c>
      <c r="E725" s="17" t="s">
        <v>567</v>
      </c>
      <c r="F725" t="str">
        <f>VLOOKUP($E725,'Data Type Lookup'!$A$1:$C$21,2,FALSE)</f>
        <v>NUMBER(10,0)</v>
      </c>
      <c r="G725" s="17"/>
      <c r="H725" s="17"/>
      <c r="I725" s="29"/>
      <c r="J725" s="29">
        <v>0</v>
      </c>
      <c r="K725" s="29"/>
      <c r="L725" s="29"/>
      <c r="M725" s="17"/>
      <c r="N725" s="17"/>
      <c r="O725" s="17"/>
      <c r="P725" s="17"/>
      <c r="Q725" s="17"/>
      <c r="R725" s="17"/>
      <c r="S725" s="17"/>
      <c r="W725" t="str">
        <f t="shared" si="17"/>
        <v>PROJECT_CONTROL_ACCOUNT.OP_BATCH</v>
      </c>
      <c r="X725" t="e">
        <f>VLOOKUP(W725,ColumnMapping[New Table.Column],1,)</f>
        <v>#N/A</v>
      </c>
      <c r="Y725" t="str">
        <f>_xlfn.XLOOKUP(Table6[[#This Row],[Table.Column]],ColumnMapping[Add Column Name],ColumnMapping[Old Table.Column],"",0,1)</f>
        <v>CAWP.OP_BATCH</v>
      </c>
      <c r="Z725" t="str">
        <f>_xlfn.XLOOKUP(Table6[[#This Row],[Old Table.Column]],Cobra8.6[Table.Column],Cobra8.6[TYPE],"",0,1)</f>
        <v>INTE</v>
      </c>
      <c r="AA725">
        <f>_xlfn.XLOOKUP(Table6[[#This Row],[Old Table.Column]],Cobra8.6[Table.Column],Cobra8.6[LENGTH],"",0,1)</f>
        <v>-1</v>
      </c>
      <c r="AB725"/>
    </row>
    <row r="726" spans="1:28" hidden="1" x14ac:dyDescent="0.2">
      <c r="A726" t="s">
        <v>450</v>
      </c>
      <c r="B726" s="17" t="s">
        <v>1218</v>
      </c>
      <c r="C726" s="17" t="s">
        <v>1241</v>
      </c>
      <c r="D726" s="17">
        <v>37</v>
      </c>
      <c r="E726" s="17" t="s">
        <v>161</v>
      </c>
      <c r="F726" t="str">
        <f>VLOOKUP($E726,'Data Type Lookup'!$A$1:$C$21,2,FALSE)</f>
        <v>NUMBER(21,6)</v>
      </c>
      <c r="G726" s="17"/>
      <c r="H726" s="17"/>
      <c r="I726" s="29"/>
      <c r="J726" s="29">
        <v>0</v>
      </c>
      <c r="K726" s="29"/>
      <c r="L726" s="29"/>
      <c r="M726" s="17"/>
      <c r="N726" s="17"/>
      <c r="O726" s="17"/>
      <c r="P726" s="17"/>
      <c r="Q726" s="17"/>
      <c r="R726" s="17"/>
      <c r="S726" s="17"/>
      <c r="W726" t="str">
        <f t="shared" si="17"/>
        <v>PROJECT_CONTROL_ACCOUNT.PC_COMP</v>
      </c>
      <c r="X726" t="e">
        <f>VLOOKUP(W726,ColumnMapping[New Table.Column],1,)</f>
        <v>#N/A</v>
      </c>
      <c r="Y726" t="str">
        <f>_xlfn.XLOOKUP(Table6[[#This Row],[Table.Column]],ColumnMapping[Add Column Name],ColumnMapping[Old Table.Column],"",0,1)</f>
        <v>CAWP.PC_COMP</v>
      </c>
      <c r="Z726" t="str">
        <f>_xlfn.XLOOKUP(Table6[[#This Row],[Old Table.Column]],Cobra8.6[Table.Column],Cobra8.6[TYPE],"",0,1)</f>
        <v>DEC</v>
      </c>
      <c r="AA726">
        <f>_xlfn.XLOOKUP(Table6[[#This Row],[Old Table.Column]],Cobra8.6[Table.Column],Cobra8.6[LENGTH],"",0,1)</f>
        <v>11</v>
      </c>
      <c r="AB726"/>
    </row>
    <row r="727" spans="1:28" hidden="1" x14ac:dyDescent="0.2">
      <c r="A727" t="s">
        <v>450</v>
      </c>
      <c r="B727" t="s">
        <v>1218</v>
      </c>
      <c r="C727" t="s">
        <v>923</v>
      </c>
      <c r="D727">
        <v>18</v>
      </c>
      <c r="E727" t="s">
        <v>356</v>
      </c>
      <c r="F727" t="str">
        <f>VLOOKUP($E727,'Data Type Lookup'!$A$1:$C$21,2,FALSE)</f>
        <v>DATE</v>
      </c>
      <c r="P727" t="s">
        <v>924</v>
      </c>
      <c r="Q727" t="s">
        <v>925</v>
      </c>
      <c r="R727" t="str">
        <f>VLOOKUP(E727,'Data Type Lookup'!$A$1:$C$21,3,FALSE)</f>
        <v>java.time.Instant</v>
      </c>
      <c r="W727" t="str">
        <f t="shared" si="17"/>
        <v>PROJECT_CONTROL_ACCOUNT.PENDING_FINISH</v>
      </c>
      <c r="X727" t="str">
        <f>VLOOKUP(W727,ColumnMapping[New Table.Column],1,)</f>
        <v>PROJECT_CONTROL_ACCOUNT.PENDING_FINISH</v>
      </c>
      <c r="Y727" t="str">
        <f>_xlfn.XLOOKUP(Table6[[#This Row],[Table.Column]],ColumnMapping[Add Column Name],ColumnMapping[Old Table.Column],"",0,1)</f>
        <v/>
      </c>
      <c r="Z727" t="str">
        <f>_xlfn.XLOOKUP(Table6[[#This Row],[Old Table.Column]],Cobra8.6[Table.Column],Cobra8.6[TYPE],"",0,1)</f>
        <v/>
      </c>
      <c r="AA727" t="str">
        <f>_xlfn.XLOOKUP(Table6[[#This Row],[Old Table.Column]],Cobra8.6[Table.Column],Cobra8.6[LENGTH],"",0,1)</f>
        <v/>
      </c>
      <c r="AB727"/>
    </row>
    <row r="728" spans="1:28" hidden="1" x14ac:dyDescent="0.2">
      <c r="A728" t="s">
        <v>450</v>
      </c>
      <c r="B728" t="s">
        <v>1219</v>
      </c>
      <c r="C728" t="s">
        <v>923</v>
      </c>
      <c r="D728">
        <v>18</v>
      </c>
      <c r="E728" t="s">
        <v>356</v>
      </c>
      <c r="F728" t="str">
        <f>VLOOKUP($E728,'Data Type Lookup'!$A$1:$C$21,2,FALSE)</f>
        <v>DATE</v>
      </c>
      <c r="P728" t="s">
        <v>924</v>
      </c>
      <c r="Q728" t="s">
        <v>925</v>
      </c>
      <c r="R728" t="str">
        <f>VLOOKUP(E728,'Data Type Lookup'!$A$1:$C$21,3,FALSE)</f>
        <v>java.time.Instant</v>
      </c>
      <c r="W728" t="str">
        <f t="shared" si="17"/>
        <v>PROJECT_WORK_PACKAGE.PENDING_FINISH</v>
      </c>
      <c r="X728" t="str">
        <f>VLOOKUP(W728,ColumnMapping[New Table.Column],1,)</f>
        <v>PROJECT_WORK_PACKAGE.PENDING_FINISH</v>
      </c>
      <c r="Y728" t="str">
        <f>_xlfn.XLOOKUP(Table6[[#This Row],[Table.Column]],ColumnMapping[Add Column Name],ColumnMapping[Old Table.Column],"",0,1)</f>
        <v/>
      </c>
      <c r="Z728" t="str">
        <f>_xlfn.XLOOKUP(Table6[[#This Row],[Old Table.Column]],Cobra8.6[Table.Column],Cobra8.6[TYPE],"",0,1)</f>
        <v/>
      </c>
      <c r="AA728" t="str">
        <f>_xlfn.XLOOKUP(Table6[[#This Row],[Old Table.Column]],Cobra8.6[Table.Column],Cobra8.6[LENGTH],"",0,1)</f>
        <v/>
      </c>
      <c r="AB728"/>
    </row>
    <row r="729" spans="1:28" hidden="1" x14ac:dyDescent="0.2">
      <c r="A729" t="s">
        <v>450</v>
      </c>
      <c r="B729" t="s">
        <v>1218</v>
      </c>
      <c r="C729" t="s">
        <v>920</v>
      </c>
      <c r="D729">
        <v>17</v>
      </c>
      <c r="E729" t="s">
        <v>356</v>
      </c>
      <c r="F729" t="str">
        <f>VLOOKUP($E729,'Data Type Lookup'!$A$1:$C$21,2,FALSE)</f>
        <v>DATE</v>
      </c>
      <c r="P729" t="s">
        <v>921</v>
      </c>
      <c r="Q729" t="s">
        <v>922</v>
      </c>
      <c r="R729" t="str">
        <f>VLOOKUP(E729,'Data Type Lookup'!$A$1:$C$21,3,FALSE)</f>
        <v>java.time.Instant</v>
      </c>
      <c r="W729" t="str">
        <f t="shared" si="17"/>
        <v>PROJECT_CONTROL_ACCOUNT.PENDING_START</v>
      </c>
      <c r="X729" t="str">
        <f>VLOOKUP(W729,ColumnMapping[New Table.Column],1,)</f>
        <v>PROJECT_CONTROL_ACCOUNT.PENDING_START</v>
      </c>
      <c r="Y729" t="str">
        <f>_xlfn.XLOOKUP(Table6[[#This Row],[Table.Column]],ColumnMapping[Add Column Name],ColumnMapping[Old Table.Column],"",0,1)</f>
        <v/>
      </c>
      <c r="Z729" t="str">
        <f>_xlfn.XLOOKUP(Table6[[#This Row],[Old Table.Column]],Cobra8.6[Table.Column],Cobra8.6[TYPE],"",0,1)</f>
        <v/>
      </c>
      <c r="AA729" t="str">
        <f>_xlfn.XLOOKUP(Table6[[#This Row],[Old Table.Column]],Cobra8.6[Table.Column],Cobra8.6[LENGTH],"",0,1)</f>
        <v/>
      </c>
      <c r="AB729"/>
    </row>
    <row r="730" spans="1:28" hidden="1" x14ac:dyDescent="0.2">
      <c r="A730" t="s">
        <v>450</v>
      </c>
      <c r="B730" t="s">
        <v>1219</v>
      </c>
      <c r="C730" t="s">
        <v>920</v>
      </c>
      <c r="D730">
        <v>17</v>
      </c>
      <c r="E730" t="s">
        <v>356</v>
      </c>
      <c r="F730" t="str">
        <f>VLOOKUP($E730,'Data Type Lookup'!$A$1:$C$21,2,FALSE)</f>
        <v>DATE</v>
      </c>
      <c r="P730" t="s">
        <v>921</v>
      </c>
      <c r="Q730" t="s">
        <v>922</v>
      </c>
      <c r="R730" t="str">
        <f>VLOOKUP(E730,'Data Type Lookup'!$A$1:$C$21,3,FALSE)</f>
        <v>java.time.Instant</v>
      </c>
      <c r="W730" t="str">
        <f t="shared" si="17"/>
        <v>PROJECT_WORK_PACKAGE.PENDING_START</v>
      </c>
      <c r="X730" t="str">
        <f>VLOOKUP(W730,ColumnMapping[New Table.Column],1,)</f>
        <v>PROJECT_WORK_PACKAGE.PENDING_START</v>
      </c>
      <c r="Y730" t="str">
        <f>_xlfn.XLOOKUP(Table6[[#This Row],[Table.Column]],ColumnMapping[Add Column Name],ColumnMapping[Old Table.Column],"",0,1)</f>
        <v/>
      </c>
      <c r="Z730" t="str">
        <f>_xlfn.XLOOKUP(Table6[[#This Row],[Old Table.Column]],Cobra8.6[Table.Column],Cobra8.6[TYPE],"",0,1)</f>
        <v/>
      </c>
      <c r="AA730" t="str">
        <f>_xlfn.XLOOKUP(Table6[[#This Row],[Old Table.Column]],Cobra8.6[Table.Column],Cobra8.6[LENGTH],"",0,1)</f>
        <v/>
      </c>
      <c r="AB730"/>
    </row>
    <row r="731" spans="1:28" hidden="1" x14ac:dyDescent="0.2">
      <c r="A731" t="s">
        <v>450</v>
      </c>
      <c r="B731" t="s">
        <v>1219</v>
      </c>
      <c r="C731" t="s">
        <v>939</v>
      </c>
      <c r="D731">
        <v>23</v>
      </c>
      <c r="E731" t="s">
        <v>168</v>
      </c>
      <c r="F731" t="str">
        <f>VLOOKUP($E731,'Data Type Lookup'!$A$1:$C$21,2,FALSE)</f>
        <v>NUMBER(5,2)</v>
      </c>
      <c r="J731" s="32">
        <v>0</v>
      </c>
      <c r="P731" t="s">
        <v>940</v>
      </c>
      <c r="Q731" t="s">
        <v>941</v>
      </c>
      <c r="R731" t="str">
        <f>VLOOKUP(E731,'Data Type Lookup'!$A$1:$C$21,3,FALSE)</f>
        <v>java.math.BigDecimal</v>
      </c>
      <c r="W731" t="str">
        <f t="shared" si="17"/>
        <v>PROJECT_WORK_PACKAGE.PERCENT_COMPLETE</v>
      </c>
      <c r="X731" t="str">
        <f>VLOOKUP(W731,ColumnMapping[New Table.Column],1,)</f>
        <v>PROJECT_WORK_PACKAGE.PERCENT_COMPLETE</v>
      </c>
      <c r="Y731" t="str">
        <f>_xlfn.XLOOKUP(Table6[[#This Row],[Table.Column]],ColumnMapping[Add Column Name],ColumnMapping[Old Table.Column],"",0,1)</f>
        <v/>
      </c>
      <c r="Z731" t="str">
        <f>_xlfn.XLOOKUP(Table6[[#This Row],[Old Table.Column]],Cobra8.6[Table.Column],Cobra8.6[TYPE],"",0,1)</f>
        <v/>
      </c>
      <c r="AA731" t="str">
        <f>_xlfn.XLOOKUP(Table6[[#This Row],[Old Table.Column]],Cobra8.6[Table.Column],Cobra8.6[LENGTH],"",0,1)</f>
        <v/>
      </c>
      <c r="AB731"/>
    </row>
    <row r="732" spans="1:28" hidden="1" x14ac:dyDescent="0.2">
      <c r="A732" t="s">
        <v>450</v>
      </c>
      <c r="B732" s="17" t="s">
        <v>1218</v>
      </c>
      <c r="C732" s="17" t="s">
        <v>1242</v>
      </c>
      <c r="D732" s="17">
        <v>38</v>
      </c>
      <c r="E732" s="17" t="s">
        <v>86</v>
      </c>
      <c r="F732" t="str">
        <f>VLOOKUP($E732,'Data Type Lookup'!$A$1:$C$21,2,FALSE)</f>
        <v>VARCHAR2</v>
      </c>
      <c r="G732" s="17">
        <v>1</v>
      </c>
      <c r="H732" s="17"/>
      <c r="I732" s="29"/>
      <c r="J732" s="29"/>
      <c r="K732" s="29"/>
      <c r="L732" s="29"/>
      <c r="M732" s="17"/>
      <c r="N732" s="17"/>
      <c r="O732" s="17"/>
      <c r="P732" s="17"/>
      <c r="Q732" s="17"/>
      <c r="R732" s="17"/>
      <c r="S732" s="17"/>
      <c r="W732" t="str">
        <f t="shared" si="17"/>
        <v>PROJECT_CONTROL_ACCOUNT.PMT</v>
      </c>
      <c r="X732" t="e">
        <f>VLOOKUP(W732,ColumnMapping[New Table.Column],1,)</f>
        <v>#N/A</v>
      </c>
      <c r="Y732" t="str">
        <f>_xlfn.XLOOKUP(Table6[[#This Row],[Table.Column]],ColumnMapping[Add Column Name],ColumnMapping[Old Table.Column],"",0,1)</f>
        <v>CAWP.PMT</v>
      </c>
      <c r="Z732" t="str">
        <f>_xlfn.XLOOKUP(Table6[[#This Row],[Old Table.Column]],Cobra8.6[Table.Column],Cobra8.6[TYPE],"",0,1)</f>
        <v>TEXT</v>
      </c>
      <c r="AA732">
        <f>_xlfn.XLOOKUP(Table6[[#This Row],[Old Table.Column]],Cobra8.6[Table.Column],Cobra8.6[LENGTH],"",0,1)</f>
        <v>1</v>
      </c>
      <c r="AB732"/>
    </row>
    <row r="733" spans="1:28" hidden="1" x14ac:dyDescent="0.2">
      <c r="A733" t="s">
        <v>450</v>
      </c>
      <c r="B733" s="17" t="s">
        <v>1218</v>
      </c>
      <c r="C733" s="17" t="s">
        <v>744</v>
      </c>
      <c r="D733" s="17">
        <v>39</v>
      </c>
      <c r="E733" s="17" t="s">
        <v>86</v>
      </c>
      <c r="F733" t="str">
        <f>VLOOKUP($E733,'Data Type Lookup'!$A$1:$C$21,2,FALSE)</f>
        <v>VARCHAR2</v>
      </c>
      <c r="G733" s="17">
        <v>22</v>
      </c>
      <c r="H733" s="17"/>
      <c r="I733" s="29"/>
      <c r="J733" s="29"/>
      <c r="K733" s="29"/>
      <c r="L733" s="29"/>
      <c r="M733" s="17"/>
      <c r="N733" s="17"/>
      <c r="O733" s="17"/>
      <c r="P733" s="17"/>
      <c r="Q733" s="17"/>
      <c r="R733" s="17"/>
      <c r="S733" s="17"/>
      <c r="W733" t="str">
        <f t="shared" si="17"/>
        <v>PROJECT_CONTROL_ACCOUNT.PROGRAM</v>
      </c>
      <c r="X733" t="e">
        <f>VLOOKUP(W733,ColumnMapping[New Table.Column],1,)</f>
        <v>#N/A</v>
      </c>
      <c r="Y733" t="str">
        <f>_xlfn.XLOOKUP(Table6[[#This Row],[Table.Column]],ColumnMapping[Add Column Name],ColumnMapping[Old Table.Column],"",0,1)</f>
        <v>CAWP.PROGRAM</v>
      </c>
      <c r="Z733" t="str">
        <f>_xlfn.XLOOKUP(Table6[[#This Row],[Old Table.Column]],Cobra8.6[Table.Column],Cobra8.6[TYPE],"",0,1)</f>
        <v>TEXT</v>
      </c>
      <c r="AA733">
        <f>_xlfn.XLOOKUP(Table6[[#This Row],[Old Table.Column]],Cobra8.6[Table.Column],Cobra8.6[LENGTH],"",0,1)</f>
        <v>22</v>
      </c>
      <c r="AB733"/>
    </row>
    <row r="734" spans="1:28" hidden="1" x14ac:dyDescent="0.2">
      <c r="A734" t="s">
        <v>450</v>
      </c>
      <c r="B734" t="s">
        <v>1219</v>
      </c>
      <c r="C734" t="s">
        <v>1243</v>
      </c>
      <c r="D734">
        <v>3</v>
      </c>
      <c r="E734" t="s">
        <v>31</v>
      </c>
      <c r="F734" t="str">
        <f>VLOOKUP($E734,'Data Type Lookup'!$A$1:$C$21,2,FALSE)</f>
        <v>RAW(16)</v>
      </c>
      <c r="I734" s="32" t="s">
        <v>32</v>
      </c>
      <c r="L734" s="32" t="s">
        <v>32</v>
      </c>
      <c r="M734" t="s">
        <v>1218</v>
      </c>
      <c r="N734" t="s">
        <v>30</v>
      </c>
      <c r="O734" t="s">
        <v>41</v>
      </c>
      <c r="P734" t="s">
        <v>1244</v>
      </c>
      <c r="Q734" t="s">
        <v>1245</v>
      </c>
      <c r="R734" t="str">
        <f>VLOOKUP(E734,'Data Type Lookup'!$A$1:$C$21,3,FALSE)</f>
        <v>java.util.UUID</v>
      </c>
      <c r="S734">
        <v>1</v>
      </c>
      <c r="W734" t="str">
        <f t="shared" si="17"/>
        <v>PROJECT_WORK_PACKAGE.PROJECT_CONTROL_ACCOUNT_UID</v>
      </c>
      <c r="X734" t="str">
        <f>VLOOKUP(W734,ColumnMapping[New Table.Column],1,)</f>
        <v>PROJECT_WORK_PACKAGE.PROJECT_CONTROL_ACCOUNT_UID</v>
      </c>
      <c r="Y734" t="str">
        <f>_xlfn.XLOOKUP(Table6[[#This Row],[Table.Column]],ColumnMapping[Add Column Name],ColumnMapping[Old Table.Column],"",0,1)</f>
        <v/>
      </c>
      <c r="Z734" t="str">
        <f>_xlfn.XLOOKUP(Table6[[#This Row],[Old Table.Column]],Cobra8.6[Table.Column],Cobra8.6[TYPE],"",0,1)</f>
        <v/>
      </c>
      <c r="AA734" t="str">
        <f>_xlfn.XLOOKUP(Table6[[#This Row],[Old Table.Column]],Cobra8.6[Table.Column],Cobra8.6[LENGTH],"",0,1)</f>
        <v/>
      </c>
      <c r="AB734"/>
    </row>
    <row r="735" spans="1:28" hidden="1" x14ac:dyDescent="0.2">
      <c r="A735" t="s">
        <v>450</v>
      </c>
      <c r="B735" t="s">
        <v>1218</v>
      </c>
      <c r="C735" t="s">
        <v>770</v>
      </c>
      <c r="D735">
        <v>3</v>
      </c>
      <c r="E735" t="s">
        <v>31</v>
      </c>
      <c r="F735" t="str">
        <f>VLOOKUP($E735,'Data Type Lookup'!$A$1:$C$21,2,FALSE)</f>
        <v>RAW(16)</v>
      </c>
      <c r="I735" s="32" t="s">
        <v>32</v>
      </c>
      <c r="L735" s="32" t="s">
        <v>32</v>
      </c>
      <c r="M735" t="s">
        <v>451</v>
      </c>
      <c r="N735" t="s">
        <v>30</v>
      </c>
      <c r="O735" t="s">
        <v>41</v>
      </c>
      <c r="P735" t="s">
        <v>452</v>
      </c>
      <c r="Q735" t="s">
        <v>771</v>
      </c>
      <c r="R735" t="str">
        <f>VLOOKUP(E735,'Data Type Lookup'!$A$1:$C$21,3,FALSE)</f>
        <v>java.util.UUID</v>
      </c>
      <c r="S735">
        <v>1</v>
      </c>
      <c r="W735" t="str">
        <f t="shared" si="17"/>
        <v>PROJECT_CONTROL_ACCOUNT.PROJECT_UID</v>
      </c>
      <c r="X735" t="str">
        <f>VLOOKUP(W735,ColumnMapping[New Table.Column],1,)</f>
        <v>PROJECT_CONTROL_ACCOUNT.PROJECT_UID</v>
      </c>
      <c r="Y735" t="str">
        <f>_xlfn.XLOOKUP(Table6[[#This Row],[Table.Column]],ColumnMapping[Add Column Name],ColumnMapping[Old Table.Column],"",0,1)</f>
        <v/>
      </c>
      <c r="Z735" t="str">
        <f>_xlfn.XLOOKUP(Table6[[#This Row],[Old Table.Column]],Cobra8.6[Table.Column],Cobra8.6[TYPE],"",0,1)</f>
        <v/>
      </c>
      <c r="AA735" t="str">
        <f>_xlfn.XLOOKUP(Table6[[#This Row],[Old Table.Column]],Cobra8.6[Table.Column],Cobra8.6[LENGTH],"",0,1)</f>
        <v/>
      </c>
      <c r="AB735"/>
    </row>
    <row r="736" spans="1:28" hidden="1" x14ac:dyDescent="0.2">
      <c r="A736" t="s">
        <v>450</v>
      </c>
      <c r="B736" s="17" t="s">
        <v>1218</v>
      </c>
      <c r="C736" s="17" t="s">
        <v>1056</v>
      </c>
      <c r="D736" s="17">
        <v>40</v>
      </c>
      <c r="E736" s="17" t="s">
        <v>86</v>
      </c>
      <c r="F736" t="str">
        <f>VLOOKUP($E736,'Data Type Lookup'!$A$1:$C$21,2,FALSE)</f>
        <v>VARCHAR2</v>
      </c>
      <c r="G736" s="17">
        <v>239</v>
      </c>
      <c r="H736" s="17"/>
      <c r="I736" s="29"/>
      <c r="J736" s="29"/>
      <c r="K736" s="29"/>
      <c r="L736" s="29"/>
      <c r="M736" s="17"/>
      <c r="N736" s="17"/>
      <c r="O736" s="17"/>
      <c r="P736" s="17"/>
      <c r="Q736" s="17"/>
      <c r="R736" s="17"/>
      <c r="S736" s="17"/>
      <c r="W736" t="str">
        <f t="shared" si="17"/>
        <v>PROJECT_CONTROL_ACCOUNT.RESERVED1</v>
      </c>
      <c r="X736" t="e">
        <f>VLOOKUP(W736,ColumnMapping[New Table.Column],1,)</f>
        <v>#N/A</v>
      </c>
      <c r="Y736" t="str">
        <f>_xlfn.XLOOKUP(Table6[[#This Row],[Table.Column]],ColumnMapping[Add Column Name],ColumnMapping[Old Table.Column],"",0,1)</f>
        <v>CAWP.RESERVED1</v>
      </c>
      <c r="Z736" t="str">
        <f>_xlfn.XLOOKUP(Table6[[#This Row],[Old Table.Column]],Cobra8.6[Table.Column],Cobra8.6[TYPE],"",0,1)</f>
        <v>TEXT</v>
      </c>
      <c r="AA736">
        <f>_xlfn.XLOOKUP(Table6[[#This Row],[Old Table.Column]],Cobra8.6[Table.Column],Cobra8.6[LENGTH],"",0,1)</f>
        <v>239</v>
      </c>
      <c r="AB736"/>
    </row>
    <row r="737" spans="1:28" hidden="1" x14ac:dyDescent="0.2">
      <c r="A737" t="s">
        <v>450</v>
      </c>
      <c r="B737" t="s">
        <v>1068</v>
      </c>
      <c r="C737" t="s">
        <v>30</v>
      </c>
      <c r="D737">
        <v>1</v>
      </c>
      <c r="E737" t="s">
        <v>31</v>
      </c>
      <c r="F737" t="str">
        <f>VLOOKUP($E737,'Data Type Lookup'!$A$1:$C$21,2,FALSE)</f>
        <v>RAW(16)</v>
      </c>
      <c r="I737" s="32" t="s">
        <v>32</v>
      </c>
      <c r="K737" s="32" t="s">
        <v>32</v>
      </c>
      <c r="P737" t="s">
        <v>1069</v>
      </c>
      <c r="Q737" t="s">
        <v>34</v>
      </c>
      <c r="R737" t="str">
        <f>VLOOKUP(E737,'Data Type Lookup'!$A$1:$C$21,3,FALSE)</f>
        <v>java.util.UUID</v>
      </c>
      <c r="S737">
        <v>3</v>
      </c>
      <c r="V737" t="s">
        <v>1246</v>
      </c>
      <c r="W737" t="str">
        <f t="shared" si="17"/>
        <v>PROJECT_COST_CLASS.ROW_UID</v>
      </c>
      <c r="X737" t="str">
        <f>VLOOKUP(W737,ColumnMapping[New Table.Column],1,)</f>
        <v>PROJECT_COST_CLASS.ROW_UID</v>
      </c>
      <c r="Y737" t="str">
        <f>_xlfn.XLOOKUP(Table6[[#This Row],[Table.Column]],ColumnMapping[Add Column Name],ColumnMapping[Old Table.Column],"",0,1)</f>
        <v/>
      </c>
      <c r="Z737" t="str">
        <f>_xlfn.XLOOKUP(Table6[[#This Row],[Old Table.Column]],Cobra8.6[Table.Column],Cobra8.6[TYPE],"",0,1)</f>
        <v/>
      </c>
      <c r="AA737" t="str">
        <f>_xlfn.XLOOKUP(Table6[[#This Row],[Old Table.Column]],Cobra8.6[Table.Column],Cobra8.6[LENGTH],"",0,1)</f>
        <v/>
      </c>
      <c r="AB737"/>
    </row>
    <row r="738" spans="1:28" hidden="1" x14ac:dyDescent="0.2">
      <c r="A738" t="s">
        <v>450</v>
      </c>
      <c r="B738" t="s">
        <v>1068</v>
      </c>
      <c r="C738" t="s">
        <v>35</v>
      </c>
      <c r="D738">
        <v>2</v>
      </c>
      <c r="E738" t="s">
        <v>36</v>
      </c>
      <c r="F738" t="str">
        <f>VLOOKUP($E738,'Data Type Lookup'!$A$1:$C$21,2,FALSE)</f>
        <v>NUMBER(19,0)</v>
      </c>
      <c r="I738" s="32" t="s">
        <v>32</v>
      </c>
      <c r="J738" s="32">
        <v>0</v>
      </c>
      <c r="P738" t="s">
        <v>37</v>
      </c>
      <c r="Q738" t="s">
        <v>38</v>
      </c>
      <c r="R738" t="str">
        <f>VLOOKUP(E738,'Data Type Lookup'!$A$1:$C$21,3,FALSE)</f>
        <v>Long</v>
      </c>
      <c r="S738">
        <v>3</v>
      </c>
      <c r="W738" t="str">
        <f t="shared" si="17"/>
        <v>PROJECT_COST_CLASS.SEQUENCE</v>
      </c>
      <c r="X738" t="str">
        <f>VLOOKUP(W738,ColumnMapping[New Table.Column],1,)</f>
        <v>PROJECT_COST_CLASS.SEQUENCE</v>
      </c>
      <c r="Y738" t="str">
        <f>_xlfn.XLOOKUP(Table6[[#This Row],[Table.Column]],ColumnMapping[Add Column Name],ColumnMapping[Old Table.Column],"",0,1)</f>
        <v/>
      </c>
      <c r="Z738" t="str">
        <f>_xlfn.XLOOKUP(Table6[[#This Row],[Old Table.Column]],Cobra8.6[Table.Column],Cobra8.6[TYPE],"",0,1)</f>
        <v/>
      </c>
      <c r="AA738" t="str">
        <f>_xlfn.XLOOKUP(Table6[[#This Row],[Old Table.Column]],Cobra8.6[Table.Column],Cobra8.6[LENGTH],"",0,1)</f>
        <v/>
      </c>
      <c r="AB738"/>
    </row>
    <row r="739" spans="1:28" hidden="1" x14ac:dyDescent="0.2">
      <c r="A739" t="s">
        <v>450</v>
      </c>
      <c r="B739" t="s">
        <v>1068</v>
      </c>
      <c r="C739" t="s">
        <v>47</v>
      </c>
      <c r="D739">
        <v>3</v>
      </c>
      <c r="E739" t="s">
        <v>48</v>
      </c>
      <c r="F739" t="str">
        <f>VLOOKUP($E739,'Data Type Lookup'!$A$1:$C$21,2,FALSE)</f>
        <v>NVARCHAR2</v>
      </c>
      <c r="G739">
        <v>100</v>
      </c>
      <c r="I739" s="32" t="s">
        <v>32</v>
      </c>
      <c r="L739" s="32" t="s">
        <v>32</v>
      </c>
      <c r="P739" t="s">
        <v>1247</v>
      </c>
      <c r="Q739" t="s">
        <v>50</v>
      </c>
      <c r="R739" t="str">
        <f>VLOOKUP(E739,'Data Type Lookup'!$A$1:$C$21,3,FALSE)</f>
        <v>String</v>
      </c>
      <c r="W739" t="str">
        <f t="shared" si="17"/>
        <v>PROJECT_COST_CLASS.NAME</v>
      </c>
      <c r="X739" t="str">
        <f>VLOOKUP(W739,ColumnMapping[New Table.Column],1,)</f>
        <v>PROJECT_COST_CLASS.NAME</v>
      </c>
      <c r="Y739" t="str">
        <f>_xlfn.XLOOKUP(Table6[[#This Row],[Table.Column]],ColumnMapping[Add Column Name],ColumnMapping[Old Table.Column],"",0,1)</f>
        <v/>
      </c>
      <c r="Z739" t="str">
        <f>_xlfn.XLOOKUP(Table6[[#This Row],[Old Table.Column]],Cobra8.6[Table.Column],Cobra8.6[TYPE],"",0,1)</f>
        <v/>
      </c>
      <c r="AA739" t="str">
        <f>_xlfn.XLOOKUP(Table6[[#This Row],[Old Table.Column]],Cobra8.6[Table.Column],Cobra8.6[LENGTH],"",0,1)</f>
        <v/>
      </c>
      <c r="AB739"/>
    </row>
    <row r="740" spans="1:28" hidden="1" x14ac:dyDescent="0.2">
      <c r="A740" t="s">
        <v>450</v>
      </c>
      <c r="B740" t="s">
        <v>1068</v>
      </c>
      <c r="C740" t="s">
        <v>770</v>
      </c>
      <c r="D740">
        <v>4</v>
      </c>
      <c r="E740" t="s">
        <v>31</v>
      </c>
      <c r="F740" t="str">
        <f>VLOOKUP($E740,'Data Type Lookup'!$A$1:$C$21,2,FALSE)</f>
        <v>RAW(16)</v>
      </c>
      <c r="I740" s="32" t="s">
        <v>32</v>
      </c>
      <c r="L740" s="32" t="s">
        <v>32</v>
      </c>
      <c r="M740" t="s">
        <v>451</v>
      </c>
      <c r="N740" t="s">
        <v>30</v>
      </c>
      <c r="O740" t="s">
        <v>41</v>
      </c>
      <c r="P740" t="s">
        <v>452</v>
      </c>
      <c r="Q740" t="s">
        <v>771</v>
      </c>
      <c r="R740" t="str">
        <f>VLOOKUP(E741,'Data Type Lookup'!$A$1:$C$21,3,FALSE)</f>
        <v>java.util.UUID</v>
      </c>
      <c r="W740" t="str">
        <f t="shared" si="17"/>
        <v>PROJECT_COST_CLASS.PROJECT_UID</v>
      </c>
      <c r="X740" t="str">
        <f>VLOOKUP(W740,ColumnMapping[New Table.Column],1,)</f>
        <v>PROJECT_COST_CLASS.PROJECT_UID</v>
      </c>
      <c r="Y740" t="str">
        <f>_xlfn.XLOOKUP(Table6[[#This Row],[Table.Column]],ColumnMapping[Add Column Name],ColumnMapping[Old Table.Column],"",0,1)</f>
        <v/>
      </c>
      <c r="Z740" t="str">
        <f>_xlfn.XLOOKUP(Table6[[#This Row],[Old Table.Column]],Cobra8.6[Table.Column],Cobra8.6[TYPE],"",0,1)</f>
        <v/>
      </c>
      <c r="AA740" t="str">
        <f>_xlfn.XLOOKUP(Table6[[#This Row],[Old Table.Column]],Cobra8.6[Table.Column],Cobra8.6[LENGTH],"",0,1)</f>
        <v/>
      </c>
      <c r="AB740"/>
    </row>
    <row r="741" spans="1:28" hidden="1" x14ac:dyDescent="0.2">
      <c r="A741" t="s">
        <v>450</v>
      </c>
      <c r="B741" t="s">
        <v>1068</v>
      </c>
      <c r="C741" t="s">
        <v>475</v>
      </c>
      <c r="D741">
        <v>5</v>
      </c>
      <c r="E741" t="s">
        <v>31</v>
      </c>
      <c r="F741" t="str">
        <f>VLOOKUP($E741,'Data Type Lookup'!$A$1:$C$21,2,FALSE)</f>
        <v>RAW(16)</v>
      </c>
      <c r="I741" s="32" t="s">
        <v>32</v>
      </c>
      <c r="M741" t="s">
        <v>476</v>
      </c>
      <c r="N741" t="s">
        <v>30</v>
      </c>
      <c r="O741" t="s">
        <v>41</v>
      </c>
      <c r="P741" t="s">
        <v>477</v>
      </c>
      <c r="Q741" t="s">
        <v>478</v>
      </c>
      <c r="R741" t="str">
        <f>VLOOKUP(E741,'Data Type Lookup'!$A$1:$C$21,3,FALSE)</f>
        <v>java.util.UUID</v>
      </c>
      <c r="S741">
        <v>1</v>
      </c>
      <c r="V741" t="s">
        <v>1248</v>
      </c>
      <c r="W741" t="str">
        <f t="shared" si="17"/>
        <v>PROJECT_COST_CLASS.RATE_FILE_UID</v>
      </c>
      <c r="X741" t="str">
        <f>VLOOKUP(W741,ColumnMapping[New Table.Column],1,)</f>
        <v>PROJECT_COST_CLASS.RATE_FILE_UID</v>
      </c>
      <c r="Y741" t="str">
        <f>_xlfn.XLOOKUP(Table6[[#This Row],[Table.Column]],ColumnMapping[Add Column Name],ColumnMapping[Old Table.Column],"",0,1)</f>
        <v/>
      </c>
      <c r="Z741" t="str">
        <f>_xlfn.XLOOKUP(Table6[[#This Row],[Old Table.Column]],Cobra8.6[Table.Column],Cobra8.6[TYPE],"",0,1)</f>
        <v/>
      </c>
      <c r="AA741" t="str">
        <f>_xlfn.XLOOKUP(Table6[[#This Row],[Old Table.Column]],Cobra8.6[Table.Column],Cobra8.6[LENGTH],"",0,1)</f>
        <v/>
      </c>
      <c r="AB741"/>
    </row>
    <row r="742" spans="1:28" hidden="1" x14ac:dyDescent="0.2">
      <c r="A742" t="s">
        <v>450</v>
      </c>
      <c r="B742" t="s">
        <v>1068</v>
      </c>
      <c r="C742" t="s">
        <v>435</v>
      </c>
      <c r="D742">
        <v>6</v>
      </c>
      <c r="E742" t="s">
        <v>31</v>
      </c>
      <c r="F742" t="str">
        <f>VLOOKUP($E742,'Data Type Lookup'!$A$1:$C$21,2,FALSE)</f>
        <v>RAW(16)</v>
      </c>
      <c r="I742" s="32" t="s">
        <v>32</v>
      </c>
      <c r="M742" t="s">
        <v>415</v>
      </c>
      <c r="N742" t="s">
        <v>30</v>
      </c>
      <c r="O742" t="s">
        <v>41</v>
      </c>
      <c r="P742" t="s">
        <v>416</v>
      </c>
      <c r="Q742" t="s">
        <v>436</v>
      </c>
      <c r="R742" t="str">
        <f>VLOOKUP(E742,'Data Type Lookup'!$A$1:$C$21,3,FALSE)</f>
        <v>java.util.UUID</v>
      </c>
      <c r="S742">
        <v>1</v>
      </c>
      <c r="W742" t="str">
        <f t="shared" si="17"/>
        <v>PROJECT_COST_CLASS.FISCAL_CALENDAR_SET_UID</v>
      </c>
      <c r="X742" t="str">
        <f>VLOOKUP(W742,ColumnMapping[New Table.Column],1,)</f>
        <v>PROJECT_COST_CLASS.FISCAL_CALENDAR_SET_UID</v>
      </c>
      <c r="Y742" t="str">
        <f>_xlfn.XLOOKUP(Table6[[#This Row],[Table.Column]],ColumnMapping[Add Column Name],ColumnMapping[Old Table.Column],"",0,1)</f>
        <v/>
      </c>
      <c r="Z742" t="str">
        <f>_xlfn.XLOOKUP(Table6[[#This Row],[Old Table.Column]],Cobra8.6[Table.Column],Cobra8.6[TYPE],"",0,1)</f>
        <v/>
      </c>
      <c r="AA742" t="str">
        <f>_xlfn.XLOOKUP(Table6[[#This Row],[Old Table.Column]],Cobra8.6[Table.Column],Cobra8.6[LENGTH],"",0,1)</f>
        <v/>
      </c>
      <c r="AB742"/>
    </row>
    <row r="743" spans="1:28" hidden="1" x14ac:dyDescent="0.2">
      <c r="A743" t="s">
        <v>450</v>
      </c>
      <c r="B743" t="s">
        <v>1068</v>
      </c>
      <c r="C743" t="s">
        <v>1249</v>
      </c>
      <c r="D743">
        <v>7</v>
      </c>
      <c r="E743" t="s">
        <v>86</v>
      </c>
      <c r="F743" t="str">
        <f>VLOOKUP($E743,'Data Type Lookup'!$A$1:$C$21,2,FALSE)</f>
        <v>VARCHAR2</v>
      </c>
      <c r="G743">
        <v>1</v>
      </c>
      <c r="I743" s="32" t="s">
        <v>32</v>
      </c>
      <c r="P743" t="s">
        <v>1250</v>
      </c>
      <c r="Q743" t="s">
        <v>1251</v>
      </c>
      <c r="R743" t="str">
        <f>VLOOKUP(E743,'Data Type Lookup'!$A$1:$C$21,3,FALSE)</f>
        <v>String</v>
      </c>
      <c r="W743" t="str">
        <f t="shared" si="17"/>
        <v>PROJECT_COST_CLASS.COST_CLASS_TYPE</v>
      </c>
      <c r="X743" t="str">
        <f>VLOOKUP(W743,ColumnMapping[New Table.Column],1,)</f>
        <v>PROJECT_COST_CLASS.COST_CLASS_TYPE</v>
      </c>
      <c r="Y743" t="str">
        <f>_xlfn.XLOOKUP(Table6[[#This Row],[Table.Column]],ColumnMapping[Add Column Name],ColumnMapping[Old Table.Column],"",0,1)</f>
        <v/>
      </c>
      <c r="Z743" t="str">
        <f>_xlfn.XLOOKUP(Table6[[#This Row],[Old Table.Column]],Cobra8.6[Table.Column],Cobra8.6[TYPE],"",0,1)</f>
        <v/>
      </c>
      <c r="AA743" t="str">
        <f>_xlfn.XLOOKUP(Table6[[#This Row],[Old Table.Column]],Cobra8.6[Table.Column],Cobra8.6[LENGTH],"",0,1)</f>
        <v/>
      </c>
      <c r="AB743"/>
    </row>
    <row r="744" spans="1:28" hidden="1" x14ac:dyDescent="0.2">
      <c r="A744" t="s">
        <v>450</v>
      </c>
      <c r="B744" t="s">
        <v>1068</v>
      </c>
      <c r="C744" t="s">
        <v>1252</v>
      </c>
      <c r="D744">
        <v>8</v>
      </c>
      <c r="E744" t="s">
        <v>86</v>
      </c>
      <c r="F744" t="str">
        <f>VLOOKUP($E744,'Data Type Lookup'!$A$1:$C$21,2,FALSE)</f>
        <v>VARCHAR2</v>
      </c>
      <c r="G744">
        <v>2</v>
      </c>
      <c r="I744" s="32" t="s">
        <v>32</v>
      </c>
      <c r="P744" s="10" t="s">
        <v>1253</v>
      </c>
      <c r="Q744" t="s">
        <v>1254</v>
      </c>
      <c r="R744" t="str">
        <f>VLOOKUP(E744,'Data Type Lookup'!$A$1:$C$21,3,FALSE)</f>
        <v>String</v>
      </c>
      <c r="V744" t="s">
        <v>1255</v>
      </c>
      <c r="W744" t="str">
        <f t="shared" si="17"/>
        <v>PROJECT_COST_CLASS.COST_CLASS_LEVEL</v>
      </c>
      <c r="X744" t="str">
        <f>VLOOKUP(W744,ColumnMapping[New Table.Column],1,)</f>
        <v>PROJECT_COST_CLASS.COST_CLASS_LEVEL</v>
      </c>
      <c r="Y744" t="str">
        <f>_xlfn.XLOOKUP(Table6[[#This Row],[Table.Column]],ColumnMapping[Add Column Name],ColumnMapping[Old Table.Column],"",0,1)</f>
        <v/>
      </c>
      <c r="Z744" t="str">
        <f>_xlfn.XLOOKUP(Table6[[#This Row],[Old Table.Column]],Cobra8.6[Table.Column],Cobra8.6[TYPE],"",0,1)</f>
        <v/>
      </c>
      <c r="AA744" t="str">
        <f>_xlfn.XLOOKUP(Table6[[#This Row],[Old Table.Column]],Cobra8.6[Table.Column],Cobra8.6[LENGTH],"",0,1)</f>
        <v/>
      </c>
      <c r="AB744"/>
    </row>
    <row r="745" spans="1:28" hidden="1" x14ac:dyDescent="0.2">
      <c r="A745" t="s">
        <v>450</v>
      </c>
      <c r="B745" t="s">
        <v>1068</v>
      </c>
      <c r="C745" t="s">
        <v>1256</v>
      </c>
      <c r="D745">
        <v>9</v>
      </c>
      <c r="E745" t="s">
        <v>288</v>
      </c>
      <c r="F745" t="str">
        <f>VLOOKUP($E745,'Data Type Lookup'!$A$1:$C$21,2,FALSE)</f>
        <v>NUMBER(1,0)</v>
      </c>
      <c r="I745" s="32" t="s">
        <v>32</v>
      </c>
      <c r="J745" s="37">
        <v>0</v>
      </c>
      <c r="P745" t="s">
        <v>1257</v>
      </c>
      <c r="Q745" t="s">
        <v>1258</v>
      </c>
      <c r="R745" t="str">
        <f>VLOOKUP(E745,'Data Type Lookup'!$A$1:$C$21,3,FALSE)</f>
        <v>Boolean</v>
      </c>
      <c r="W745" t="str">
        <f t="shared" si="17"/>
        <v>PROJECT_COST_CLASS.REQUIRED</v>
      </c>
      <c r="X745" t="str">
        <f>VLOOKUP(W745,ColumnMapping[New Table.Column],1,)</f>
        <v>PROJECT_COST_CLASS.REQUIRED</v>
      </c>
      <c r="Y745" t="str">
        <f>_xlfn.XLOOKUP(Table6[[#This Row],[Table.Column]],ColumnMapping[Add Column Name],ColumnMapping[Old Table.Column],"",0,1)</f>
        <v/>
      </c>
      <c r="Z745" t="str">
        <f>_xlfn.XLOOKUP(Table6[[#This Row],[Old Table.Column]],Cobra8.6[Table.Column],Cobra8.6[TYPE],"",0,1)</f>
        <v/>
      </c>
      <c r="AA745" t="str">
        <f>_xlfn.XLOOKUP(Table6[[#This Row],[Old Table.Column]],Cobra8.6[Table.Column],Cobra8.6[LENGTH],"",0,1)</f>
        <v/>
      </c>
      <c r="AB745"/>
    </row>
    <row r="746" spans="1:28" hidden="1" x14ac:dyDescent="0.2">
      <c r="A746" t="s">
        <v>450</v>
      </c>
      <c r="B746" t="s">
        <v>1068</v>
      </c>
      <c r="C746" t="s">
        <v>1259</v>
      </c>
      <c r="D746">
        <v>10</v>
      </c>
      <c r="E746" t="s">
        <v>288</v>
      </c>
      <c r="F746" t="str">
        <f>VLOOKUP($E746,'Data Type Lookup'!$A$1:$C$21,2,FALSE)</f>
        <v>NUMBER(1,0)</v>
      </c>
      <c r="I746" s="32" t="s">
        <v>32</v>
      </c>
      <c r="J746" s="37">
        <v>1</v>
      </c>
      <c r="P746" t="s">
        <v>1260</v>
      </c>
      <c r="Q746" t="s">
        <v>1261</v>
      </c>
      <c r="R746" t="str">
        <f>VLOOKUP(E746,'Data Type Lookup'!$A$1:$C$21,3,FALSE)</f>
        <v>Boolean</v>
      </c>
      <c r="W746" t="str">
        <f t="shared" si="17"/>
        <v>PROJECT_COST_CLASS.CALC_SOURCE_RESULTS</v>
      </c>
      <c r="X746" t="str">
        <f>VLOOKUP(W746,ColumnMapping[New Table.Column],1,)</f>
        <v>PROJECT_COST_CLASS.CALC_SOURCE_RESULTS</v>
      </c>
      <c r="Y746" t="str">
        <f>_xlfn.XLOOKUP(Table6[[#This Row],[Table.Column]],ColumnMapping[Add Column Name],ColumnMapping[Old Table.Column],"",0,1)</f>
        <v/>
      </c>
      <c r="Z746" t="str">
        <f>_xlfn.XLOOKUP(Table6[[#This Row],[Old Table.Column]],Cobra8.6[Table.Column],Cobra8.6[TYPE],"",0,1)</f>
        <v/>
      </c>
      <c r="AA746" t="str">
        <f>_xlfn.XLOOKUP(Table6[[#This Row],[Old Table.Column]],Cobra8.6[Table.Column],Cobra8.6[LENGTH],"",0,1)</f>
        <v/>
      </c>
      <c r="AB746"/>
    </row>
    <row r="747" spans="1:28" hidden="1" x14ac:dyDescent="0.2">
      <c r="A747" t="s">
        <v>450</v>
      </c>
      <c r="B747" t="s">
        <v>1068</v>
      </c>
      <c r="C747" t="s">
        <v>1262</v>
      </c>
      <c r="D747">
        <v>11</v>
      </c>
      <c r="E747" t="s">
        <v>86</v>
      </c>
      <c r="F747" t="str">
        <f>VLOOKUP($E747,'Data Type Lookup'!$A$1:$C$21,2,FALSE)</f>
        <v>VARCHAR2</v>
      </c>
      <c r="G747">
        <v>1</v>
      </c>
      <c r="P747" t="s">
        <v>1263</v>
      </c>
      <c r="Q747" t="s">
        <v>1264</v>
      </c>
      <c r="R747" t="str">
        <f>VLOOKUP(E747,'Data Type Lookup'!$A$1:$C$21,3,FALSE)</f>
        <v>String</v>
      </c>
      <c r="W747" t="str">
        <f t="shared" si="17"/>
        <v>PROJECT_COST_CLASS.DATE_SET</v>
      </c>
      <c r="X747" t="str">
        <f>VLOOKUP(W747,ColumnMapping[New Table.Column],1,)</f>
        <v>PROJECT_COST_CLASS.DATE_SET</v>
      </c>
      <c r="Y747" t="str">
        <f>_xlfn.XLOOKUP(Table6[[#This Row],[Table.Column]],ColumnMapping[Add Column Name],ColumnMapping[Old Table.Column],"",0,1)</f>
        <v/>
      </c>
      <c r="Z747" t="str">
        <f>_xlfn.XLOOKUP(Table6[[#This Row],[Old Table.Column]],Cobra8.6[Table.Column],Cobra8.6[TYPE],"",0,1)</f>
        <v/>
      </c>
      <c r="AA747" t="str">
        <f>_xlfn.XLOOKUP(Table6[[#This Row],[Old Table.Column]],Cobra8.6[Table.Column],Cobra8.6[LENGTH],"",0,1)</f>
        <v/>
      </c>
      <c r="AB747"/>
    </row>
    <row r="748" spans="1:28" hidden="1" x14ac:dyDescent="0.2">
      <c r="A748" t="s">
        <v>450</v>
      </c>
      <c r="B748" t="s">
        <v>1068</v>
      </c>
      <c r="C748" t="s">
        <v>1265</v>
      </c>
      <c r="D748">
        <v>12</v>
      </c>
      <c r="E748" t="s">
        <v>86</v>
      </c>
      <c r="F748" t="str">
        <f>VLOOKUP($E748,'Data Type Lookup'!$A$1:$C$21,2,FALSE)</f>
        <v>VARCHAR2</v>
      </c>
      <c r="G748">
        <v>3</v>
      </c>
      <c r="J748" s="37"/>
      <c r="P748" s="17" t="s">
        <v>1266</v>
      </c>
      <c r="Q748" t="s">
        <v>1267</v>
      </c>
      <c r="R748" t="str">
        <f>VLOOKUP(E748,'Data Type Lookup'!$A$1:$C$21,3,FALSE)</f>
        <v>String</v>
      </c>
      <c r="W748" t="str">
        <f t="shared" si="17"/>
        <v>PROJECT_COST_CLASS.BUDGET_SOURCE</v>
      </c>
      <c r="X748" t="str">
        <f>VLOOKUP(W748,ColumnMapping[New Table.Column],1,)</f>
        <v>PROJECT_COST_CLASS.BUDGET_SOURCE</v>
      </c>
      <c r="Y748" t="str">
        <f>_xlfn.XLOOKUP(Table6[[#This Row],[Table.Column]],ColumnMapping[Add Column Name],ColumnMapping[Old Table.Column],"",0,1)</f>
        <v/>
      </c>
      <c r="Z748" t="str">
        <f>_xlfn.XLOOKUP(Table6[[#This Row],[Old Table.Column]],Cobra8.6[Table.Column],Cobra8.6[TYPE],"",0,1)</f>
        <v/>
      </c>
      <c r="AA748" t="str">
        <f>_xlfn.XLOOKUP(Table6[[#This Row],[Old Table.Column]],Cobra8.6[Table.Column],Cobra8.6[LENGTH],"",0,1)</f>
        <v/>
      </c>
      <c r="AB748"/>
    </row>
    <row r="749" spans="1:28" hidden="1" x14ac:dyDescent="0.2">
      <c r="A749" t="s">
        <v>450</v>
      </c>
      <c r="B749" t="s">
        <v>1068</v>
      </c>
      <c r="C749" t="s">
        <v>1268</v>
      </c>
      <c r="D749">
        <v>13</v>
      </c>
      <c r="E749" t="s">
        <v>86</v>
      </c>
      <c r="F749" t="str">
        <f>VLOOKUP($E749,'Data Type Lookup'!$A$1:$C$21,2,FALSE)</f>
        <v>VARCHAR2</v>
      </c>
      <c r="G749">
        <v>3</v>
      </c>
      <c r="J749" s="37"/>
      <c r="P749" t="s">
        <v>1269</v>
      </c>
      <c r="Q749" t="s">
        <v>1270</v>
      </c>
      <c r="R749" t="str">
        <f>VLOOKUP(E749,'Data Type Lookup'!$A$1:$C$21,3,FALSE)</f>
        <v>String</v>
      </c>
      <c r="W749" t="str">
        <f t="shared" si="17"/>
        <v>PROJECT_COST_CLASS.FCAST_METHOD</v>
      </c>
      <c r="X749" t="str">
        <f>VLOOKUP(W749,ColumnMapping[New Table.Column],1,)</f>
        <v>PROJECT_COST_CLASS.FCAST_METHOD</v>
      </c>
      <c r="Y749" t="str">
        <f>_xlfn.XLOOKUP(Table6[[#This Row],[Table.Column]],ColumnMapping[Add Column Name],ColumnMapping[Old Table.Column],"",0,1)</f>
        <v/>
      </c>
      <c r="Z749" t="str">
        <f>_xlfn.XLOOKUP(Table6[[#This Row],[Old Table.Column]],Cobra8.6[Table.Column],Cobra8.6[TYPE],"",0,1)</f>
        <v/>
      </c>
      <c r="AA749" t="str">
        <f>_xlfn.XLOOKUP(Table6[[#This Row],[Old Table.Column]],Cobra8.6[Table.Column],Cobra8.6[LENGTH],"",0,1)</f>
        <v/>
      </c>
      <c r="AB749"/>
    </row>
    <row r="750" spans="1:28" hidden="1" x14ac:dyDescent="0.2">
      <c r="A750" t="s">
        <v>450</v>
      </c>
      <c r="B750" t="s">
        <v>1068</v>
      </c>
      <c r="C750" t="s">
        <v>1271</v>
      </c>
      <c r="D750">
        <v>14</v>
      </c>
      <c r="E750" t="s">
        <v>86</v>
      </c>
      <c r="F750" t="str">
        <f>VLOOKUP($E750,'Data Type Lookup'!$A$1:$C$21,2,FALSE)</f>
        <v>VARCHAR2</v>
      </c>
      <c r="G750">
        <v>1</v>
      </c>
      <c r="P750" t="s">
        <v>1272</v>
      </c>
      <c r="Q750" t="s">
        <v>1273</v>
      </c>
      <c r="R750" t="str">
        <f>VLOOKUP(E750,'Data Type Lookup'!$A$1:$C$21,3,FALSE)</f>
        <v>String</v>
      </c>
      <c r="W750" t="str">
        <f t="shared" si="17"/>
        <v>PROJECT_COST_CLASS.FCAST_SCALE_EAC</v>
      </c>
      <c r="X750" t="e">
        <f>VLOOKUP(W750,ColumnMapping[New Table.Column],1,)</f>
        <v>#N/A</v>
      </c>
      <c r="Y750" t="str">
        <f>_xlfn.XLOOKUP(Table6[[#This Row],[Table.Column]],ColumnMapping[Add Column Name],ColumnMapping[Old Table.Column],"",0,1)</f>
        <v/>
      </c>
      <c r="Z750" t="str">
        <f>_xlfn.XLOOKUP(Table6[[#This Row],[Old Table.Column]],Cobra8.6[Table.Column],Cobra8.6[TYPE],"",0,1)</f>
        <v/>
      </c>
      <c r="AA750" t="str">
        <f>_xlfn.XLOOKUP(Table6[[#This Row],[Old Table.Column]],Cobra8.6[Table.Column],Cobra8.6[LENGTH],"",0,1)</f>
        <v/>
      </c>
      <c r="AB750"/>
    </row>
    <row r="751" spans="1:28" hidden="1" x14ac:dyDescent="0.2">
      <c r="A751" t="s">
        <v>450</v>
      </c>
      <c r="B751" t="s">
        <v>1068</v>
      </c>
      <c r="C751" t="s">
        <v>1274</v>
      </c>
      <c r="D751">
        <v>15</v>
      </c>
      <c r="E751" t="s">
        <v>86</v>
      </c>
      <c r="F751" t="str">
        <f>VLOOKUP($E751,'Data Type Lookup'!$A$1:$C$21,2,FALSE)</f>
        <v>VARCHAR2</v>
      </c>
      <c r="G751">
        <v>3</v>
      </c>
      <c r="P751" t="s">
        <v>1275</v>
      </c>
      <c r="Q751" t="s">
        <v>1276</v>
      </c>
      <c r="R751" t="str">
        <f>VLOOKUP(E751,'Data Type Lookup'!$A$1:$C$21,3,FALSE)</f>
        <v>String</v>
      </c>
      <c r="W751" t="str">
        <f t="shared" si="17"/>
        <v>PROJECT_COST_CLASS.FCAST_PERF_FACTOR_LEVEL</v>
      </c>
      <c r="X751" t="str">
        <f>VLOOKUP(W751,ColumnMapping[New Table.Column],1,)</f>
        <v>PROJECT_COST_CLASS.FCAST_PERF_FACTOR_LEVEL</v>
      </c>
      <c r="Y751" t="str">
        <f>_xlfn.XLOOKUP(Table6[[#This Row],[Table.Column]],ColumnMapping[Add Column Name],ColumnMapping[Old Table.Column],"",0,1)</f>
        <v/>
      </c>
      <c r="Z751" t="str">
        <f>_xlfn.XLOOKUP(Table6[[#This Row],[Old Table.Column]],Cobra8.6[Table.Column],Cobra8.6[TYPE],"",0,1)</f>
        <v/>
      </c>
      <c r="AA751" t="str">
        <f>_xlfn.XLOOKUP(Table6[[#This Row],[Old Table.Column]],Cobra8.6[Table.Column],Cobra8.6[LENGTH],"",0,1)</f>
        <v/>
      </c>
      <c r="AB751"/>
    </row>
    <row r="752" spans="1:28" hidden="1" x14ac:dyDescent="0.2">
      <c r="A752" t="s">
        <v>450</v>
      </c>
      <c r="B752" t="s">
        <v>1068</v>
      </c>
      <c r="C752" t="s">
        <v>1277</v>
      </c>
      <c r="D752">
        <v>16</v>
      </c>
      <c r="E752" t="s">
        <v>86</v>
      </c>
      <c r="F752" t="str">
        <f>VLOOKUP($E752,'Data Type Lookup'!$A$1:$C$21,2,FALSE)</f>
        <v>VARCHAR2</v>
      </c>
      <c r="G752">
        <v>1</v>
      </c>
      <c r="P752" t="s">
        <v>1278</v>
      </c>
      <c r="Q752" t="s">
        <v>1279</v>
      </c>
      <c r="R752" t="str">
        <f>VLOOKUP(E752,'Data Type Lookup'!$A$1:$C$21,3,FALSE)</f>
        <v>String</v>
      </c>
      <c r="W752" t="str">
        <f t="shared" si="17"/>
        <v>PROJECT_COST_CLASS.FCAST_PERF_FACTOR_CODE</v>
      </c>
      <c r="X752" t="str">
        <f>VLOOKUP(W752,ColumnMapping[New Table.Column],1,)</f>
        <v>PROJECT_COST_CLASS.FCAST_PERF_FACTOR_CODE</v>
      </c>
      <c r="Y752" t="str">
        <f>_xlfn.XLOOKUP(Table6[[#This Row],[Table.Column]],ColumnMapping[Add Column Name],ColumnMapping[Old Table.Column],"",0,1)</f>
        <v/>
      </c>
      <c r="Z752" t="str">
        <f>_xlfn.XLOOKUP(Table6[[#This Row],[Old Table.Column]],Cobra8.6[Table.Column],Cobra8.6[TYPE],"",0,1)</f>
        <v/>
      </c>
      <c r="AA752" t="str">
        <f>_xlfn.XLOOKUP(Table6[[#This Row],[Old Table.Column]],Cobra8.6[Table.Column],Cobra8.6[LENGTH],"",0,1)</f>
        <v/>
      </c>
      <c r="AB752"/>
    </row>
    <row r="753" spans="1:28" hidden="1" x14ac:dyDescent="0.2">
      <c r="A753" t="s">
        <v>450</v>
      </c>
      <c r="B753" t="s">
        <v>1068</v>
      </c>
      <c r="C753" t="s">
        <v>1280</v>
      </c>
      <c r="D753">
        <v>17</v>
      </c>
      <c r="E753" t="s">
        <v>161</v>
      </c>
      <c r="F753" t="str">
        <f>VLOOKUP($E753,'Data Type Lookup'!$A$1:$C$21,2,FALSE)</f>
        <v>NUMBER(21,6)</v>
      </c>
      <c r="I753" s="32" t="s">
        <v>32</v>
      </c>
      <c r="J753" s="32">
        <v>0</v>
      </c>
      <c r="P753" t="s">
        <v>1281</v>
      </c>
      <c r="Q753" t="s">
        <v>1282</v>
      </c>
      <c r="R753" t="str">
        <f>VLOOKUP(E753,'Data Type Lookup'!$A$1:$C$21,3,FALSE)</f>
        <v>java.math.BigDecimal</v>
      </c>
      <c r="W753" t="str">
        <f t="shared" si="17"/>
        <v>PROJECT_COST_CLASS.FCAST_PERF_FACTOR_WEIGHT_A</v>
      </c>
      <c r="X753" t="str">
        <f>VLOOKUP(W753,ColumnMapping[New Table.Column],1,)</f>
        <v>PROJECT_COST_CLASS.FCAST_PERF_FACTOR_WEIGHT_A</v>
      </c>
      <c r="Y753" t="str">
        <f>_xlfn.XLOOKUP(Table6[[#This Row],[Table.Column]],ColumnMapping[Add Column Name],ColumnMapping[Old Table.Column],"",0,1)</f>
        <v/>
      </c>
      <c r="Z753" t="str">
        <f>_xlfn.XLOOKUP(Table6[[#This Row],[Old Table.Column]],Cobra8.6[Table.Column],Cobra8.6[TYPE],"",0,1)</f>
        <v/>
      </c>
      <c r="AA753" t="str">
        <f>_xlfn.XLOOKUP(Table6[[#This Row],[Old Table.Column]],Cobra8.6[Table.Column],Cobra8.6[LENGTH],"",0,1)</f>
        <v/>
      </c>
      <c r="AB753"/>
    </row>
    <row r="754" spans="1:28" hidden="1" x14ac:dyDescent="0.2">
      <c r="A754" t="s">
        <v>450</v>
      </c>
      <c r="B754" t="s">
        <v>1068</v>
      </c>
      <c r="C754" t="s">
        <v>1283</v>
      </c>
      <c r="D754">
        <v>18</v>
      </c>
      <c r="E754" t="s">
        <v>161</v>
      </c>
      <c r="F754" t="str">
        <f>VLOOKUP($E754,'Data Type Lookup'!$A$1:$C$21,2,FALSE)</f>
        <v>NUMBER(21,6)</v>
      </c>
      <c r="I754" s="32" t="s">
        <v>32</v>
      </c>
      <c r="J754" s="32">
        <v>0</v>
      </c>
      <c r="P754" t="s">
        <v>1284</v>
      </c>
      <c r="Q754" t="s">
        <v>1285</v>
      </c>
      <c r="R754" t="str">
        <f>VLOOKUP(E754,'Data Type Lookup'!$A$1:$C$21,3,FALSE)</f>
        <v>java.math.BigDecimal</v>
      </c>
      <c r="W754" t="str">
        <f t="shared" si="17"/>
        <v>PROJECT_COST_CLASS.FCAST_PERF_FACTOR_WEIGHT_B</v>
      </c>
      <c r="X754" t="str">
        <f>VLOOKUP(W754,ColumnMapping[New Table.Column],1,)</f>
        <v>PROJECT_COST_CLASS.FCAST_PERF_FACTOR_WEIGHT_B</v>
      </c>
      <c r="Y754" t="str">
        <f>_xlfn.XLOOKUP(Table6[[#This Row],[Table.Column]],ColumnMapping[Add Column Name],ColumnMapping[Old Table.Column],"",0,1)</f>
        <v/>
      </c>
      <c r="Z754" t="str">
        <f>_xlfn.XLOOKUP(Table6[[#This Row],[Old Table.Column]],Cobra8.6[Table.Column],Cobra8.6[TYPE],"",0,1)</f>
        <v/>
      </c>
      <c r="AA754" t="str">
        <f>_xlfn.XLOOKUP(Table6[[#This Row],[Old Table.Column]],Cobra8.6[Table.Column],Cobra8.6[LENGTH],"",0,1)</f>
        <v/>
      </c>
      <c r="AB754"/>
    </row>
    <row r="755" spans="1:28" hidden="1" x14ac:dyDescent="0.2">
      <c r="A755" t="s">
        <v>450</v>
      </c>
      <c r="B755" t="s">
        <v>1068</v>
      </c>
      <c r="C755" t="s">
        <v>1286</v>
      </c>
      <c r="D755">
        <v>19</v>
      </c>
      <c r="E755" t="s">
        <v>52</v>
      </c>
      <c r="F755" t="str">
        <f>VLOOKUP($E755,'Data Type Lookup'!$A$1:$C$21,2,FALSE)</f>
        <v>NUMBER(5,0)</v>
      </c>
      <c r="I755" s="32" t="s">
        <v>32</v>
      </c>
      <c r="J755" s="32">
        <v>0</v>
      </c>
      <c r="P755" t="s">
        <v>1287</v>
      </c>
      <c r="Q755" t="s">
        <v>1288</v>
      </c>
      <c r="R755" t="str">
        <f>VLOOKUP(E755,'Data Type Lookup'!$A$1:$C$21,3,FALSE)</f>
        <v>Short</v>
      </c>
      <c r="W755" t="str">
        <f t="shared" si="17"/>
        <v>PROJECT_COST_CLASS.FCAST_PCT_RANGE1_PERCENT</v>
      </c>
      <c r="X755" t="str">
        <f>VLOOKUP(W755,ColumnMapping[New Table.Column],1,)</f>
        <v>PROJECT_COST_CLASS.FCAST_PCT_RANGE1_PERCENT</v>
      </c>
      <c r="Y755" t="str">
        <f>_xlfn.XLOOKUP(Table6[[#This Row],[Table.Column]],ColumnMapping[Add Column Name],ColumnMapping[Old Table.Column],"",0,1)</f>
        <v/>
      </c>
      <c r="Z755" t="str">
        <f>_xlfn.XLOOKUP(Table6[[#This Row],[Old Table.Column]],Cobra8.6[Table.Column],Cobra8.6[TYPE],"",0,1)</f>
        <v/>
      </c>
      <c r="AA755" t="str">
        <f>_xlfn.XLOOKUP(Table6[[#This Row],[Old Table.Column]],Cobra8.6[Table.Column],Cobra8.6[LENGTH],"",0,1)</f>
        <v/>
      </c>
      <c r="AB755"/>
    </row>
    <row r="756" spans="1:28" hidden="1" x14ac:dyDescent="0.2">
      <c r="A756" t="s">
        <v>450</v>
      </c>
      <c r="B756" t="s">
        <v>1068</v>
      </c>
      <c r="C756" t="s">
        <v>1289</v>
      </c>
      <c r="D756">
        <v>20</v>
      </c>
      <c r="E756" t="s">
        <v>52</v>
      </c>
      <c r="F756" t="str">
        <f>VLOOKUP($E756,'Data Type Lookup'!$A$1:$C$21,2,FALSE)</f>
        <v>NUMBER(5,0)</v>
      </c>
      <c r="I756" s="32" t="s">
        <v>32</v>
      </c>
      <c r="J756" s="32">
        <v>0</v>
      </c>
      <c r="P756" t="s">
        <v>1290</v>
      </c>
      <c r="Q756" t="s">
        <v>1291</v>
      </c>
      <c r="R756" t="str">
        <f>VLOOKUP(E756,'Data Type Lookup'!$A$1:$C$21,3,FALSE)</f>
        <v>Short</v>
      </c>
      <c r="W756" t="str">
        <f t="shared" si="17"/>
        <v>PROJECT_COST_CLASS.FCAST_PCT_RANGE2_PERCENT</v>
      </c>
      <c r="X756" t="str">
        <f>VLOOKUP(W756,ColumnMapping[New Table.Column],1,)</f>
        <v>PROJECT_COST_CLASS.FCAST_PCT_RANGE2_PERCENT</v>
      </c>
      <c r="Y756" t="str">
        <f>_xlfn.XLOOKUP(Table6[[#This Row],[Table.Column]],ColumnMapping[Add Column Name],ColumnMapping[Old Table.Column],"",0,1)</f>
        <v/>
      </c>
      <c r="Z756" t="str">
        <f>_xlfn.XLOOKUP(Table6[[#This Row],[Old Table.Column]],Cobra8.6[Table.Column],Cobra8.6[TYPE],"",0,1)</f>
        <v/>
      </c>
      <c r="AA756" t="str">
        <f>_xlfn.XLOOKUP(Table6[[#This Row],[Old Table.Column]],Cobra8.6[Table.Column],Cobra8.6[LENGTH],"",0,1)</f>
        <v/>
      </c>
      <c r="AB756"/>
    </row>
    <row r="757" spans="1:28" hidden="1" x14ac:dyDescent="0.2">
      <c r="A757" t="s">
        <v>450</v>
      </c>
      <c r="B757" t="s">
        <v>1068</v>
      </c>
      <c r="C757" t="s">
        <v>1292</v>
      </c>
      <c r="D757">
        <v>21</v>
      </c>
      <c r="E757" t="s">
        <v>52</v>
      </c>
      <c r="F757" t="str">
        <f>VLOOKUP($E757,'Data Type Lookup'!$A$1:$C$21,2,FALSE)</f>
        <v>NUMBER(5,0)</v>
      </c>
      <c r="I757" s="32" t="s">
        <v>32</v>
      </c>
      <c r="J757" s="32">
        <v>0</v>
      </c>
      <c r="P757" t="s">
        <v>1293</v>
      </c>
      <c r="Q757" t="s">
        <v>1294</v>
      </c>
      <c r="R757" t="str">
        <f>VLOOKUP(E757,'Data Type Lookup'!$A$1:$C$21,3,FALSE)</f>
        <v>Short</v>
      </c>
      <c r="W757" t="str">
        <f t="shared" si="17"/>
        <v>PROJECT_COST_CLASS.FCAST_PCT_RANGE3_PERCENT</v>
      </c>
      <c r="X757" t="str">
        <f>VLOOKUP(W757,ColumnMapping[New Table.Column],1,)</f>
        <v>PROJECT_COST_CLASS.FCAST_PCT_RANGE3_PERCENT</v>
      </c>
      <c r="Y757" t="str">
        <f>_xlfn.XLOOKUP(Table6[[#This Row],[Table.Column]],ColumnMapping[Add Column Name],ColumnMapping[Old Table.Column],"",0,1)</f>
        <v/>
      </c>
      <c r="Z757" t="str">
        <f>_xlfn.XLOOKUP(Table6[[#This Row],[Old Table.Column]],Cobra8.6[Table.Column],Cobra8.6[TYPE],"",0,1)</f>
        <v/>
      </c>
      <c r="AA757" t="str">
        <f>_xlfn.XLOOKUP(Table6[[#This Row],[Old Table.Column]],Cobra8.6[Table.Column],Cobra8.6[LENGTH],"",0,1)</f>
        <v/>
      </c>
      <c r="AB757"/>
    </row>
    <row r="758" spans="1:28" hidden="1" x14ac:dyDescent="0.2">
      <c r="A758" t="s">
        <v>450</v>
      </c>
      <c r="B758" t="s">
        <v>1068</v>
      </c>
      <c r="C758" t="s">
        <v>1295</v>
      </c>
      <c r="D758">
        <v>22</v>
      </c>
      <c r="E758" t="s">
        <v>86</v>
      </c>
      <c r="F758" t="str">
        <f>VLOOKUP($E758,'Data Type Lookup'!$A$1:$C$21,2,FALSE)</f>
        <v>VARCHAR2</v>
      </c>
      <c r="G758">
        <v>3</v>
      </c>
      <c r="P758" t="s">
        <v>1296</v>
      </c>
      <c r="Q758" t="s">
        <v>1297</v>
      </c>
      <c r="R758" t="str">
        <f>VLOOKUP(E758,'Data Type Lookup'!$A$1:$C$21,3,FALSE)</f>
        <v>String</v>
      </c>
      <c r="W758" t="str">
        <f t="shared" si="17"/>
        <v>PROJECT_COST_CLASS.FCAST_PCT_RANGE1_METHOD</v>
      </c>
      <c r="X758" t="str">
        <f>VLOOKUP(W758,ColumnMapping[New Table.Column],1,)</f>
        <v>PROJECT_COST_CLASS.FCAST_PCT_RANGE1_METHOD</v>
      </c>
      <c r="Y758" t="str">
        <f>_xlfn.XLOOKUP(Table6[[#This Row],[Table.Column]],ColumnMapping[Add Column Name],ColumnMapping[Old Table.Column],"",0,1)</f>
        <v/>
      </c>
      <c r="Z758" t="str">
        <f>_xlfn.XLOOKUP(Table6[[#This Row],[Old Table.Column]],Cobra8.6[Table.Column],Cobra8.6[TYPE],"",0,1)</f>
        <v/>
      </c>
      <c r="AA758" t="str">
        <f>_xlfn.XLOOKUP(Table6[[#This Row],[Old Table.Column]],Cobra8.6[Table.Column],Cobra8.6[LENGTH],"",0,1)</f>
        <v/>
      </c>
      <c r="AB758"/>
    </row>
    <row r="759" spans="1:28" hidden="1" x14ac:dyDescent="0.2">
      <c r="A759" t="s">
        <v>450</v>
      </c>
      <c r="B759" t="s">
        <v>1068</v>
      </c>
      <c r="C759" t="s">
        <v>1298</v>
      </c>
      <c r="D759">
        <v>23</v>
      </c>
      <c r="E759" t="s">
        <v>86</v>
      </c>
      <c r="F759" t="str">
        <f>VLOOKUP($E759,'Data Type Lookup'!$A$1:$C$21,2,FALSE)</f>
        <v>VARCHAR2</v>
      </c>
      <c r="G759">
        <v>3</v>
      </c>
      <c r="P759" t="s">
        <v>1299</v>
      </c>
      <c r="Q759" t="s">
        <v>1300</v>
      </c>
      <c r="R759" t="str">
        <f>VLOOKUP(E759,'Data Type Lookup'!$A$1:$C$21,3,FALSE)</f>
        <v>String</v>
      </c>
      <c r="W759" t="str">
        <f t="shared" si="17"/>
        <v>PROJECT_COST_CLASS.FCAST_PCT_RANGE2_METHOD</v>
      </c>
      <c r="X759" t="str">
        <f>VLOOKUP(W759,ColumnMapping[New Table.Column],1,)</f>
        <v>PROJECT_COST_CLASS.FCAST_PCT_RANGE2_METHOD</v>
      </c>
      <c r="Y759" t="str">
        <f>_xlfn.XLOOKUP(Table6[[#This Row],[Table.Column]],ColumnMapping[Add Column Name],ColumnMapping[Old Table.Column],"",0,1)</f>
        <v/>
      </c>
      <c r="Z759" t="str">
        <f>_xlfn.XLOOKUP(Table6[[#This Row],[Old Table.Column]],Cobra8.6[Table.Column],Cobra8.6[TYPE],"",0,1)</f>
        <v/>
      </c>
      <c r="AA759" t="str">
        <f>_xlfn.XLOOKUP(Table6[[#This Row],[Old Table.Column]],Cobra8.6[Table.Column],Cobra8.6[LENGTH],"",0,1)</f>
        <v/>
      </c>
      <c r="AB759"/>
    </row>
    <row r="760" spans="1:28" hidden="1" x14ac:dyDescent="0.2">
      <c r="A760" t="s">
        <v>450</v>
      </c>
      <c r="B760" t="s">
        <v>1068</v>
      </c>
      <c r="C760" t="s">
        <v>1301</v>
      </c>
      <c r="D760">
        <v>24</v>
      </c>
      <c r="E760" t="s">
        <v>86</v>
      </c>
      <c r="F760" t="str">
        <f>VLOOKUP($E760,'Data Type Lookup'!$A$1:$C$21,2,FALSE)</f>
        <v>VARCHAR2</v>
      </c>
      <c r="G760">
        <v>3</v>
      </c>
      <c r="P760" t="s">
        <v>1302</v>
      </c>
      <c r="Q760" t="s">
        <v>1303</v>
      </c>
      <c r="R760" t="str">
        <f>VLOOKUP(E760,'Data Type Lookup'!$A$1:$C$21,3,FALSE)</f>
        <v>String</v>
      </c>
      <c r="W760" t="str">
        <f t="shared" si="17"/>
        <v>PROJECT_COST_CLASS.FCAST_PCT_RANGE3_METHOD</v>
      </c>
      <c r="X760" t="str">
        <f>VLOOKUP(W760,ColumnMapping[New Table.Column],1,)</f>
        <v>PROJECT_COST_CLASS.FCAST_PCT_RANGE3_METHOD</v>
      </c>
      <c r="Y760" t="str">
        <f>_xlfn.XLOOKUP(Table6[[#This Row],[Table.Column]],ColumnMapping[Add Column Name],ColumnMapping[Old Table.Column],"",0,1)</f>
        <v/>
      </c>
      <c r="Z760" t="str">
        <f>_xlfn.XLOOKUP(Table6[[#This Row],[Old Table.Column]],Cobra8.6[Table.Column],Cobra8.6[TYPE],"",0,1)</f>
        <v/>
      </c>
      <c r="AA760" t="str">
        <f>_xlfn.XLOOKUP(Table6[[#This Row],[Old Table.Column]],Cobra8.6[Table.Column],Cobra8.6[LENGTH],"",0,1)</f>
        <v/>
      </c>
      <c r="AB760"/>
    </row>
    <row r="761" spans="1:28" hidden="1" x14ac:dyDescent="0.2">
      <c r="A761" t="s">
        <v>450</v>
      </c>
      <c r="B761" t="s">
        <v>1068</v>
      </c>
      <c r="C761" t="s">
        <v>1304</v>
      </c>
      <c r="D761">
        <v>25</v>
      </c>
      <c r="E761" t="s">
        <v>86</v>
      </c>
      <c r="F761" t="str">
        <f>VLOOKUP($E761,'Data Type Lookup'!$A$1:$C$21,2,FALSE)</f>
        <v>VARCHAR2</v>
      </c>
      <c r="G761">
        <v>3</v>
      </c>
      <c r="P761" t="s">
        <v>1305</v>
      </c>
      <c r="Q761" t="s">
        <v>1306</v>
      </c>
      <c r="R761" t="str">
        <f>VLOOKUP(E761,'Data Type Lookup'!$A$1:$C$21,3,FALSE)</f>
        <v>String</v>
      </c>
      <c r="W761" t="str">
        <f t="shared" si="17"/>
        <v>PROJECT_COST_CLASS.FCAST_PCT_RANGE4_METHOD</v>
      </c>
      <c r="X761" t="str">
        <f>VLOOKUP(W761,ColumnMapping[New Table.Column],1,)</f>
        <v>PROJECT_COST_CLASS.FCAST_PCT_RANGE4_METHOD</v>
      </c>
      <c r="Y761" t="str">
        <f>_xlfn.XLOOKUP(Table6[[#This Row],[Table.Column]],ColumnMapping[Add Column Name],ColumnMapping[Old Table.Column],"",0,1)</f>
        <v/>
      </c>
      <c r="Z761" t="str">
        <f>_xlfn.XLOOKUP(Table6[[#This Row],[Old Table.Column]],Cobra8.6[Table.Column],Cobra8.6[TYPE],"",0,1)</f>
        <v/>
      </c>
      <c r="AA761" t="str">
        <f>_xlfn.XLOOKUP(Table6[[#This Row],[Old Table.Column]],Cobra8.6[Table.Column],Cobra8.6[LENGTH],"",0,1)</f>
        <v/>
      </c>
      <c r="AB761"/>
    </row>
    <row r="762" spans="1:28" hidden="1" x14ac:dyDescent="0.2">
      <c r="A762" t="s">
        <v>450</v>
      </c>
      <c r="B762" t="s">
        <v>1068</v>
      </c>
      <c r="C762" t="s">
        <v>61</v>
      </c>
      <c r="D762">
        <v>26</v>
      </c>
      <c r="E762" t="s">
        <v>31</v>
      </c>
      <c r="F762" t="str">
        <f>VLOOKUP($E762,'Data Type Lookup'!$A$1:$C$21,2,FALSE)</f>
        <v>RAW(16)</v>
      </c>
      <c r="I762" s="32" t="s">
        <v>32</v>
      </c>
      <c r="P762" t="s">
        <v>1307</v>
      </c>
      <c r="Q762" t="s">
        <v>63</v>
      </c>
      <c r="R762" t="str">
        <f>VLOOKUP(E762,'Data Type Lookup'!$A$1:$C$21,3,FALSE)</f>
        <v>java.util.UUID</v>
      </c>
      <c r="S762">
        <v>2</v>
      </c>
      <c r="W762" t="str">
        <f t="shared" si="17"/>
        <v>PROJECT_COST_CLASS.CREATED_BY_USER_UID</v>
      </c>
      <c r="X762" t="str">
        <f>VLOOKUP(W762,ColumnMapping[New Table.Column],1,)</f>
        <v>PROJECT_COST_CLASS.CREATED_BY_USER_UID</v>
      </c>
      <c r="Y762" t="str">
        <f>_xlfn.XLOOKUP(Table6[[#This Row],[Table.Column]],ColumnMapping[Add Column Name],ColumnMapping[Old Table.Column],"",0,1)</f>
        <v/>
      </c>
      <c r="Z762" t="str">
        <f>_xlfn.XLOOKUP(Table6[[#This Row],[Old Table.Column]],Cobra8.6[Table.Column],Cobra8.6[TYPE],"",0,1)</f>
        <v/>
      </c>
      <c r="AA762" t="str">
        <f>_xlfn.XLOOKUP(Table6[[#This Row],[Old Table.Column]],Cobra8.6[Table.Column],Cobra8.6[LENGTH],"",0,1)</f>
        <v/>
      </c>
      <c r="AB762"/>
    </row>
    <row r="763" spans="1:28" hidden="1" x14ac:dyDescent="0.2">
      <c r="A763" t="s">
        <v>450</v>
      </c>
      <c r="B763" t="s">
        <v>1068</v>
      </c>
      <c r="C763" t="s">
        <v>64</v>
      </c>
      <c r="D763">
        <v>27</v>
      </c>
      <c r="E763" t="s">
        <v>65</v>
      </c>
      <c r="F763" t="str">
        <f>VLOOKUP($E763,'Data Type Lookup'!$A$1:$C$21,2,FALSE)</f>
        <v>TIMESTAMP</v>
      </c>
      <c r="I763" s="32" t="s">
        <v>32</v>
      </c>
      <c r="P763" t="s">
        <v>1308</v>
      </c>
      <c r="Q763" t="s">
        <v>67</v>
      </c>
      <c r="R763" t="str">
        <f>VLOOKUP(E763,'Data Type Lookup'!$A$1:$C$21,3,FALSE)</f>
        <v>java.time.Instant</v>
      </c>
      <c r="S763">
        <v>2</v>
      </c>
      <c r="W763" t="str">
        <f t="shared" si="17"/>
        <v>PROJECT_COST_CLASS.CREATED_DATE</v>
      </c>
      <c r="X763" t="str">
        <f>VLOOKUP(W763,ColumnMapping[New Table.Column],1,)</f>
        <v>PROJECT_COST_CLASS.CREATED_DATE</v>
      </c>
      <c r="Y763" t="str">
        <f>_xlfn.XLOOKUP(Table6[[#This Row],[Table.Column]],ColumnMapping[Add Column Name],ColumnMapping[Old Table.Column],"",0,1)</f>
        <v/>
      </c>
      <c r="Z763" t="str">
        <f>_xlfn.XLOOKUP(Table6[[#This Row],[Old Table.Column]],Cobra8.6[Table.Column],Cobra8.6[TYPE],"",0,1)</f>
        <v/>
      </c>
      <c r="AA763" t="str">
        <f>_xlfn.XLOOKUP(Table6[[#This Row],[Old Table.Column]],Cobra8.6[Table.Column],Cobra8.6[LENGTH],"",0,1)</f>
        <v/>
      </c>
      <c r="AB763"/>
    </row>
    <row r="764" spans="1:28" hidden="1" x14ac:dyDescent="0.2">
      <c r="A764" t="s">
        <v>450</v>
      </c>
      <c r="B764" t="s">
        <v>1068</v>
      </c>
      <c r="C764" t="s">
        <v>68</v>
      </c>
      <c r="D764">
        <v>28</v>
      </c>
      <c r="E764" t="s">
        <v>31</v>
      </c>
      <c r="F764" t="str">
        <f>VLOOKUP($E764,'Data Type Lookup'!$A$1:$C$21,2,FALSE)</f>
        <v>RAW(16)</v>
      </c>
      <c r="I764" s="32" t="s">
        <v>32</v>
      </c>
      <c r="P764" t="s">
        <v>1309</v>
      </c>
      <c r="Q764" t="s">
        <v>70</v>
      </c>
      <c r="R764" t="str">
        <f>VLOOKUP(E764,'Data Type Lookup'!$A$1:$C$21,3,FALSE)</f>
        <v>java.util.UUID</v>
      </c>
      <c r="S764">
        <v>2</v>
      </c>
      <c r="W764" t="str">
        <f t="shared" si="17"/>
        <v>PROJECT_COST_CLASS.LAST_MODIFIED_BY_USER_UID</v>
      </c>
      <c r="X764" t="str">
        <f>VLOOKUP(W764,ColumnMapping[New Table.Column],1,)</f>
        <v>PROJECT_COST_CLASS.LAST_MODIFIED_BY_USER_UID</v>
      </c>
      <c r="Y764" t="str">
        <f>_xlfn.XLOOKUP(Table6[[#This Row],[Table.Column]],ColumnMapping[Add Column Name],ColumnMapping[Old Table.Column],"",0,1)</f>
        <v/>
      </c>
      <c r="Z764" t="str">
        <f>_xlfn.XLOOKUP(Table6[[#This Row],[Old Table.Column]],Cobra8.6[Table.Column],Cobra8.6[TYPE],"",0,1)</f>
        <v/>
      </c>
      <c r="AA764" t="str">
        <f>_xlfn.XLOOKUP(Table6[[#This Row],[Old Table.Column]],Cobra8.6[Table.Column],Cobra8.6[LENGTH],"",0,1)</f>
        <v/>
      </c>
      <c r="AB764"/>
    </row>
    <row r="765" spans="1:28" hidden="1" x14ac:dyDescent="0.2">
      <c r="A765" t="s">
        <v>450</v>
      </c>
      <c r="B765" t="s">
        <v>1068</v>
      </c>
      <c r="C765" t="s">
        <v>71</v>
      </c>
      <c r="D765">
        <v>29</v>
      </c>
      <c r="E765" t="s">
        <v>65</v>
      </c>
      <c r="F765" t="str">
        <f>VLOOKUP($E765,'Data Type Lookup'!$A$1:$C$21,2,FALSE)</f>
        <v>TIMESTAMP</v>
      </c>
      <c r="I765" s="32" t="s">
        <v>32</v>
      </c>
      <c r="P765" t="s">
        <v>1310</v>
      </c>
      <c r="Q765" t="s">
        <v>73</v>
      </c>
      <c r="R765" t="str">
        <f>VLOOKUP(E765,'Data Type Lookup'!$A$1:$C$21,3,FALSE)</f>
        <v>java.time.Instant</v>
      </c>
      <c r="S765">
        <v>2</v>
      </c>
      <c r="W765" t="str">
        <f t="shared" si="17"/>
        <v>PROJECT_COST_CLASS.LAST_MODIFIED_DATE</v>
      </c>
      <c r="X765" t="str">
        <f>VLOOKUP(W765,ColumnMapping[New Table.Column],1,)</f>
        <v>PROJECT_COST_CLASS.LAST_MODIFIED_DATE</v>
      </c>
      <c r="Y765" t="str">
        <f>_xlfn.XLOOKUP(Table6[[#This Row],[Table.Column]],ColumnMapping[Add Column Name],ColumnMapping[Old Table.Column],"",0,1)</f>
        <v/>
      </c>
      <c r="Z765" t="str">
        <f>_xlfn.XLOOKUP(Table6[[#This Row],[Old Table.Column]],Cobra8.6[Table.Column],Cobra8.6[TYPE],"",0,1)</f>
        <v/>
      </c>
      <c r="AA765" t="str">
        <f>_xlfn.XLOOKUP(Table6[[#This Row],[Old Table.Column]],Cobra8.6[Table.Column],Cobra8.6[LENGTH],"",0,1)</f>
        <v/>
      </c>
      <c r="AB765"/>
    </row>
    <row r="766" spans="1:28" hidden="1" x14ac:dyDescent="0.2">
      <c r="A766" t="s">
        <v>450</v>
      </c>
      <c r="B766" t="s">
        <v>1068</v>
      </c>
      <c r="C766" t="s">
        <v>15</v>
      </c>
      <c r="D766">
        <v>30</v>
      </c>
      <c r="E766" t="s">
        <v>48</v>
      </c>
      <c r="F766" t="str">
        <f>VLOOKUP($E766,'Data Type Lookup'!$A$1:$C$21,2,FALSE)</f>
        <v>NVARCHAR2</v>
      </c>
      <c r="G766">
        <v>256</v>
      </c>
      <c r="P766" t="s">
        <v>1311</v>
      </c>
      <c r="Q766" t="s">
        <v>75</v>
      </c>
      <c r="R766" t="str">
        <f>VLOOKUP(E766,'Data Type Lookup'!$A$1:$C$21,3,FALSE)</f>
        <v>String</v>
      </c>
      <c r="W766" t="str">
        <f t="shared" si="17"/>
        <v>PROJECT_COST_CLASS.DESCRIPTION</v>
      </c>
      <c r="X766" t="str">
        <f>VLOOKUP(W766,ColumnMapping[New Table.Column],1,)</f>
        <v>PROJECT_COST_CLASS.DESCRIPTION</v>
      </c>
      <c r="Y766" t="str">
        <f>_xlfn.XLOOKUP(Table6[[#This Row],[Table.Column]],ColumnMapping[Add Column Name],ColumnMapping[Old Table.Column],"",0,1)</f>
        <v/>
      </c>
      <c r="Z766" t="str">
        <f>_xlfn.XLOOKUP(Table6[[#This Row],[Old Table.Column]],Cobra8.6[Table.Column],Cobra8.6[TYPE],"",0,1)</f>
        <v/>
      </c>
      <c r="AA766" t="str">
        <f>_xlfn.XLOOKUP(Table6[[#This Row],[Old Table.Column]],Cobra8.6[Table.Column],Cobra8.6[LENGTH],"",0,1)</f>
        <v/>
      </c>
      <c r="AB766"/>
    </row>
    <row r="767" spans="1:28" hidden="1" x14ac:dyDescent="0.2">
      <c r="A767" t="s">
        <v>450</v>
      </c>
      <c r="B767" s="17" t="s">
        <v>1068</v>
      </c>
      <c r="C767" s="17" t="s">
        <v>1312</v>
      </c>
      <c r="D767" s="17">
        <v>31</v>
      </c>
      <c r="E767" s="17" t="s">
        <v>52</v>
      </c>
      <c r="F767" t="str">
        <f>VLOOKUP($E767,'Data Type Lookup'!$A$1:$C$21,2,FALSE)</f>
        <v>NUMBER(5,0)</v>
      </c>
      <c r="G767" s="17"/>
      <c r="H767" s="17"/>
      <c r="I767" s="29"/>
      <c r="J767" s="29"/>
      <c r="K767" s="29"/>
      <c r="L767" s="29"/>
      <c r="M767" s="17"/>
      <c r="N767" s="17"/>
      <c r="O767" s="17"/>
      <c r="P767" s="17" t="s">
        <v>1313</v>
      </c>
      <c r="Q767" s="17" t="str">
        <f t="shared" ref="Q767:Q776" si="18">IF(C767="","",LOWER(LEFT(TRIM(C767),FIND("_",TRIM(C767)&amp;"_")-1))&amp;SUBSTITUTE(PROPER(SUBSTITUTE(MID(TRIM(C767),FIND("_",TRIM(C767)&amp;"_"),LEN(TRIM(C767))),"_"," "))," ",""))</f>
        <v>readonly</v>
      </c>
      <c r="R767" t="str">
        <f>VLOOKUP(E767,'Data Type Lookup'!$A$1:$C$21,3,FALSE)</f>
        <v>Short</v>
      </c>
      <c r="S767" s="17"/>
      <c r="W767" t="str">
        <f t="shared" si="17"/>
        <v>PROJECT_COST_CLASS.READONLY</v>
      </c>
      <c r="X767" t="e">
        <f>VLOOKUP(W767,ColumnMapping[New Table.Column],1,)</f>
        <v>#N/A</v>
      </c>
      <c r="Y767" t="str">
        <f>_xlfn.XLOOKUP(Table6[[#This Row],[Table.Column]],ColumnMapping[Add Column Name],ColumnMapping[Old Table.Column],"",0,1)</f>
        <v>CLASSES.READONLY</v>
      </c>
      <c r="Z767" t="str">
        <f>_xlfn.XLOOKUP(Table6[[#This Row],[Old Table.Column]],Cobra8.6[Table.Column],Cobra8.6[TYPE],"",0,1)</f>
        <v>INTE</v>
      </c>
      <c r="AA767">
        <f>_xlfn.XLOOKUP(Table6[[#This Row],[Old Table.Column]],Cobra8.6[Table.Column],Cobra8.6[LENGTH],"",0,1)</f>
        <v>-1</v>
      </c>
      <c r="AB767" t="s">
        <v>32</v>
      </c>
    </row>
    <row r="768" spans="1:28" hidden="1" x14ac:dyDescent="0.2">
      <c r="A768" t="s">
        <v>450</v>
      </c>
      <c r="B768" s="17" t="s">
        <v>1068</v>
      </c>
      <c r="C768" s="17" t="s">
        <v>1314</v>
      </c>
      <c r="D768" s="17">
        <v>32</v>
      </c>
      <c r="E768" s="17" t="s">
        <v>86</v>
      </c>
      <c r="F768" t="str">
        <f>VLOOKUP($E768,'Data Type Lookup'!$A$1:$C$21,2,FALSE)</f>
        <v>VARCHAR2</v>
      </c>
      <c r="G768" s="17">
        <v>30</v>
      </c>
      <c r="H768" s="17"/>
      <c r="I768" s="29"/>
      <c r="J768" s="29"/>
      <c r="K768" s="29"/>
      <c r="L768" s="29"/>
      <c r="M768" s="17"/>
      <c r="N768" s="17"/>
      <c r="O768" s="17"/>
      <c r="P768" s="17" t="s">
        <v>1315</v>
      </c>
      <c r="Q768" s="17" t="str">
        <f t="shared" si="18"/>
        <v>rangeFieldid</v>
      </c>
      <c r="R768" t="str">
        <f>VLOOKUP(E768,'Data Type Lookup'!$A$1:$C$21,3,FALSE)</f>
        <v>String</v>
      </c>
      <c r="S768" s="17"/>
      <c r="W768" t="str">
        <f t="shared" si="17"/>
        <v>PROJECT_COST_CLASS.RANGE_FIELDID</v>
      </c>
      <c r="X768" t="e">
        <f>VLOOKUP(W768,ColumnMapping[New Table.Column],1,)</f>
        <v>#N/A</v>
      </c>
      <c r="Y768" t="str">
        <f>_xlfn.XLOOKUP(Table6[[#This Row],[Table.Column]],ColumnMapping[Add Column Name],ColumnMapping[Old Table.Column],"",0,1)</f>
        <v>CLASSES.RANGE_FIELDID</v>
      </c>
      <c r="Z768" t="str">
        <f>_xlfn.XLOOKUP(Table6[[#This Row],[Old Table.Column]],Cobra8.6[Table.Column],Cobra8.6[TYPE],"",0,1)</f>
        <v>TEXT</v>
      </c>
      <c r="AA768">
        <f>_xlfn.XLOOKUP(Table6[[#This Row],[Old Table.Column]],Cobra8.6[Table.Column],Cobra8.6[LENGTH],"",0,1)</f>
        <v>30</v>
      </c>
      <c r="AB768" t="s">
        <v>32</v>
      </c>
    </row>
    <row r="769" spans="1:28" hidden="1" x14ac:dyDescent="0.2">
      <c r="A769" t="s">
        <v>450</v>
      </c>
      <c r="B769" s="17" t="s">
        <v>1068</v>
      </c>
      <c r="C769" s="17" t="s">
        <v>1316</v>
      </c>
      <c r="D769" s="17">
        <v>33</v>
      </c>
      <c r="E769" s="17" t="s">
        <v>36</v>
      </c>
      <c r="F769" t="str">
        <f>VLOOKUP($E769,'Data Type Lookup'!$A$1:$C$21,2,FALSE)</f>
        <v>NUMBER(19,0)</v>
      </c>
      <c r="G769" s="17"/>
      <c r="H769" s="17"/>
      <c r="I769" s="29"/>
      <c r="J769" s="29">
        <v>0</v>
      </c>
      <c r="K769" s="29"/>
      <c r="L769" s="29"/>
      <c r="M769" s="17"/>
      <c r="N769" s="17"/>
      <c r="O769" s="17"/>
      <c r="P769" s="17" t="s">
        <v>1317</v>
      </c>
      <c r="Q769" s="17" t="str">
        <f t="shared" si="18"/>
        <v>isBcws</v>
      </c>
      <c r="R769" t="str">
        <f>VLOOKUP(E769,'Data Type Lookup'!$A$1:$C$21,3,FALSE)</f>
        <v>Long</v>
      </c>
      <c r="S769" s="17"/>
      <c r="W769" t="str">
        <f t="shared" si="17"/>
        <v>PROJECT_COST_CLASS.IS_BCWS</v>
      </c>
      <c r="X769" t="e">
        <f>VLOOKUP(W769,ColumnMapping[New Table.Column],1,)</f>
        <v>#N/A</v>
      </c>
      <c r="Y769" t="str">
        <f>_xlfn.XLOOKUP(Table6[[#This Row],[Table.Column]],ColumnMapping[Add Column Name],ColumnMapping[Old Table.Column],"",0,1)</f>
        <v>CLASSES.IS_BCWS</v>
      </c>
      <c r="Z769" t="str">
        <f>_xlfn.XLOOKUP(Table6[[#This Row],[Old Table.Column]],Cobra8.6[Table.Column],Cobra8.6[TYPE],"",0,1)</f>
        <v>INTE</v>
      </c>
      <c r="AA769">
        <f>_xlfn.XLOOKUP(Table6[[#This Row],[Old Table.Column]],Cobra8.6[Table.Column],Cobra8.6[LENGTH],"",0,1)</f>
        <v>-1</v>
      </c>
      <c r="AB769" t="s">
        <v>32</v>
      </c>
    </row>
    <row r="770" spans="1:28" hidden="1" x14ac:dyDescent="0.2">
      <c r="A770" t="s">
        <v>450</v>
      </c>
      <c r="B770" s="17" t="s">
        <v>1068</v>
      </c>
      <c r="C770" s="17" t="s">
        <v>1318</v>
      </c>
      <c r="D770" s="17">
        <v>34</v>
      </c>
      <c r="E770" s="17" t="s">
        <v>36</v>
      </c>
      <c r="F770" t="str">
        <f>VLOOKUP($E770,'Data Type Lookup'!$A$1:$C$21,2,FALSE)</f>
        <v>NUMBER(19,0)</v>
      </c>
      <c r="G770" s="17"/>
      <c r="H770" s="17"/>
      <c r="I770" s="29"/>
      <c r="J770" s="29">
        <v>0</v>
      </c>
      <c r="K770" s="29"/>
      <c r="L770" s="29"/>
      <c r="M770" s="17"/>
      <c r="N770" s="17"/>
      <c r="O770" s="17"/>
      <c r="P770" s="17" t="s">
        <v>1319</v>
      </c>
      <c r="Q770" s="17" t="str">
        <f t="shared" si="18"/>
        <v>isAcwp</v>
      </c>
      <c r="R770" t="str">
        <f>VLOOKUP(E770,'Data Type Lookup'!$A$1:$C$21,3,FALSE)</f>
        <v>Long</v>
      </c>
      <c r="S770" s="17"/>
      <c r="W770" t="str">
        <f t="shared" si="17"/>
        <v>PROJECT_COST_CLASS.IS_ACWP</v>
      </c>
      <c r="X770" t="e">
        <f>VLOOKUP(W770,ColumnMapping[New Table.Column],1,)</f>
        <v>#N/A</v>
      </c>
      <c r="Y770" t="str">
        <f>_xlfn.XLOOKUP(Table6[[#This Row],[Table.Column]],ColumnMapping[Add Column Name],ColumnMapping[Old Table.Column],"",0,1)</f>
        <v>CLASSES.IS_ACWP</v>
      </c>
      <c r="Z770" t="str">
        <f>_xlfn.XLOOKUP(Table6[[#This Row],[Old Table.Column]],Cobra8.6[Table.Column],Cobra8.6[TYPE],"",0,1)</f>
        <v>INTE</v>
      </c>
      <c r="AA770">
        <f>_xlfn.XLOOKUP(Table6[[#This Row],[Old Table.Column]],Cobra8.6[Table.Column],Cobra8.6[LENGTH],"",0,1)</f>
        <v>-1</v>
      </c>
      <c r="AB770" t="s">
        <v>32</v>
      </c>
    </row>
    <row r="771" spans="1:28" hidden="1" x14ac:dyDescent="0.2">
      <c r="A771" t="s">
        <v>450</v>
      </c>
      <c r="B771" s="17" t="s">
        <v>1068</v>
      </c>
      <c r="C771" s="17" t="s">
        <v>1320</v>
      </c>
      <c r="D771" s="17">
        <v>35</v>
      </c>
      <c r="E771" s="17" t="s">
        <v>86</v>
      </c>
      <c r="F771" t="str">
        <f>VLOOKUP($E771,'Data Type Lookup'!$A$1:$C$21,2,FALSE)</f>
        <v>VARCHAR2</v>
      </c>
      <c r="G771" s="17">
        <v>1</v>
      </c>
      <c r="H771" s="17"/>
      <c r="I771" s="29"/>
      <c r="J771" s="37" t="s">
        <v>605</v>
      </c>
      <c r="K771" s="29"/>
      <c r="L771" s="29"/>
      <c r="M771" s="17"/>
      <c r="N771" s="17"/>
      <c r="O771" s="17"/>
      <c r="P771" s="17" t="s">
        <v>1321</v>
      </c>
      <c r="Q771" s="17" t="str">
        <f t="shared" si="18"/>
        <v>fcDateset</v>
      </c>
      <c r="R771" t="str">
        <f>VLOOKUP(E771,'Data Type Lookup'!$A$1:$C$21,3,FALSE)</f>
        <v>String</v>
      </c>
      <c r="S771" s="17"/>
      <c r="W771" t="str">
        <f t="shared" si="17"/>
        <v>PROJECT_COST_CLASS.FC_DATESET</v>
      </c>
      <c r="X771" t="e">
        <f>VLOOKUP(W771,ColumnMapping[New Table.Column],1,)</f>
        <v>#N/A</v>
      </c>
      <c r="Y771" t="str">
        <f>_xlfn.XLOOKUP(Table6[[#This Row],[Table.Column]],ColumnMapping[Add Column Name],ColumnMapping[Old Table.Column],"",0,1)</f>
        <v>CLASSES.FC_DATESET</v>
      </c>
      <c r="Z771" t="str">
        <f>_xlfn.XLOOKUP(Table6[[#This Row],[Old Table.Column]],Cobra8.6[Table.Column],Cobra8.6[TYPE],"",0,1)</f>
        <v>TEXT</v>
      </c>
      <c r="AA771">
        <f>_xlfn.XLOOKUP(Table6[[#This Row],[Old Table.Column]],Cobra8.6[Table.Column],Cobra8.6[LENGTH],"",0,1)</f>
        <v>1</v>
      </c>
      <c r="AB771" t="s">
        <v>32</v>
      </c>
    </row>
    <row r="772" spans="1:28" hidden="1" x14ac:dyDescent="0.2">
      <c r="A772" t="s">
        <v>450</v>
      </c>
      <c r="B772" s="17" t="s">
        <v>1068</v>
      </c>
      <c r="C772" s="17" t="s">
        <v>1322</v>
      </c>
      <c r="D772" s="17">
        <v>36</v>
      </c>
      <c r="E772" s="17" t="s">
        <v>86</v>
      </c>
      <c r="F772" t="str">
        <f>VLOOKUP($E772,'Data Type Lookup'!$A$1:$C$21,2,FALSE)</f>
        <v>VARCHAR2</v>
      </c>
      <c r="G772" s="17">
        <v>3</v>
      </c>
      <c r="H772" s="17"/>
      <c r="I772" s="29"/>
      <c r="J772" s="37" t="s">
        <v>605</v>
      </c>
      <c r="K772" s="29"/>
      <c r="L772" s="29"/>
      <c r="M772" s="17"/>
      <c r="N772" s="17"/>
      <c r="O772" s="17"/>
      <c r="P772" s="17" t="s">
        <v>1323</v>
      </c>
      <c r="Q772" s="17" t="str">
        <f t="shared" si="18"/>
        <v>plusplus</v>
      </c>
      <c r="R772" t="str">
        <f>VLOOKUP(E772,'Data Type Lookup'!$A$1:$C$21,3,FALSE)</f>
        <v>String</v>
      </c>
      <c r="S772" s="17"/>
      <c r="W772" t="str">
        <f t="shared" si="17"/>
        <v>PROJECT_COST_CLASS.PLUSPLUS</v>
      </c>
      <c r="X772" t="e">
        <f>VLOOKUP(W772,ColumnMapping[New Table.Column],1,)</f>
        <v>#N/A</v>
      </c>
      <c r="Y772" t="str">
        <f>_xlfn.XLOOKUP(Table6[[#This Row],[Table.Column]],ColumnMapping[Add Column Name],ColumnMapping[Old Table.Column],"",0,1)</f>
        <v>CLASSES.PLUSPLUS</v>
      </c>
      <c r="Z772" t="str">
        <f>_xlfn.XLOOKUP(Table6[[#This Row],[Old Table.Column]],Cobra8.6[Table.Column],Cobra8.6[TYPE],"",0,1)</f>
        <v>TEXT</v>
      </c>
      <c r="AA772">
        <f>_xlfn.XLOOKUP(Table6[[#This Row],[Old Table.Column]],Cobra8.6[Table.Column],Cobra8.6[LENGTH],"",0,1)</f>
        <v>3</v>
      </c>
      <c r="AB772" t="s">
        <v>32</v>
      </c>
    </row>
    <row r="773" spans="1:28" hidden="1" x14ac:dyDescent="0.2">
      <c r="A773" t="s">
        <v>450</v>
      </c>
      <c r="B773" s="17" t="s">
        <v>1068</v>
      </c>
      <c r="C773" s="17" t="s">
        <v>1324</v>
      </c>
      <c r="D773" s="17">
        <v>37</v>
      </c>
      <c r="E773" s="17" t="s">
        <v>86</v>
      </c>
      <c r="F773" t="str">
        <f>VLOOKUP($E773,'Data Type Lookup'!$A$1:$C$21,2,FALSE)</f>
        <v>VARCHAR2</v>
      </c>
      <c r="G773" s="17">
        <v>3</v>
      </c>
      <c r="H773" s="17"/>
      <c r="I773" s="29"/>
      <c r="J773" s="37" t="s">
        <v>605</v>
      </c>
      <c r="K773" s="29"/>
      <c r="L773" s="29"/>
      <c r="M773" s="17"/>
      <c r="N773" s="17"/>
      <c r="O773" s="17"/>
      <c r="P773" s="17" t="s">
        <v>1325</v>
      </c>
      <c r="Q773" s="17" t="str">
        <f t="shared" si="18"/>
        <v>minusplus</v>
      </c>
      <c r="R773" t="str">
        <f>VLOOKUP(E773,'Data Type Lookup'!$A$1:$C$21,3,FALSE)</f>
        <v>String</v>
      </c>
      <c r="S773" s="17"/>
      <c r="W773" t="str">
        <f t="shared" si="17"/>
        <v>PROJECT_COST_CLASS.MINUSPLUS</v>
      </c>
      <c r="X773" t="e">
        <f>VLOOKUP(W773,ColumnMapping[New Table.Column],1,)</f>
        <v>#N/A</v>
      </c>
      <c r="Y773" t="str">
        <f>_xlfn.XLOOKUP(Table6[[#This Row],[Table.Column]],ColumnMapping[Add Column Name],ColumnMapping[Old Table.Column],"",0,1)</f>
        <v>CLASSES.MINUSPLUS</v>
      </c>
      <c r="Z773" t="str">
        <f>_xlfn.XLOOKUP(Table6[[#This Row],[Old Table.Column]],Cobra8.6[Table.Column],Cobra8.6[TYPE],"",0,1)</f>
        <v>TEXT</v>
      </c>
      <c r="AA773">
        <f>_xlfn.XLOOKUP(Table6[[#This Row],[Old Table.Column]],Cobra8.6[Table.Column],Cobra8.6[LENGTH],"",0,1)</f>
        <v>3</v>
      </c>
      <c r="AB773" t="s">
        <v>32</v>
      </c>
    </row>
    <row r="774" spans="1:28" hidden="1" x14ac:dyDescent="0.2">
      <c r="A774" t="s">
        <v>450</v>
      </c>
      <c r="B774" s="17" t="s">
        <v>1068</v>
      </c>
      <c r="C774" s="17" t="s">
        <v>1326</v>
      </c>
      <c r="D774" s="17">
        <v>38</v>
      </c>
      <c r="E774" s="17" t="s">
        <v>86</v>
      </c>
      <c r="F774" t="str">
        <f>VLOOKUP($E774,'Data Type Lookup'!$A$1:$C$21,2,FALSE)</f>
        <v>VARCHAR2</v>
      </c>
      <c r="G774" s="17">
        <v>3</v>
      </c>
      <c r="H774" s="17"/>
      <c r="I774" s="29"/>
      <c r="J774" s="37" t="s">
        <v>605</v>
      </c>
      <c r="K774" s="29"/>
      <c r="L774" s="29"/>
      <c r="M774" s="17"/>
      <c r="N774" s="17"/>
      <c r="O774" s="17"/>
      <c r="P774" s="17" t="s">
        <v>1327</v>
      </c>
      <c r="Q774" s="17" t="str">
        <f t="shared" si="18"/>
        <v>minusminus</v>
      </c>
      <c r="R774" t="str">
        <f>VLOOKUP(E774,'Data Type Lookup'!$A$1:$C$21,3,FALSE)</f>
        <v>String</v>
      </c>
      <c r="S774" s="17"/>
      <c r="W774" t="str">
        <f t="shared" si="17"/>
        <v>PROJECT_COST_CLASS.MINUSMINUS</v>
      </c>
      <c r="X774" t="e">
        <f>VLOOKUP(W774,ColumnMapping[New Table.Column],1,)</f>
        <v>#N/A</v>
      </c>
      <c r="Y774" t="str">
        <f>_xlfn.XLOOKUP(Table6[[#This Row],[Table.Column]],ColumnMapping[Add Column Name],ColumnMapping[Old Table.Column],"",0,1)</f>
        <v>CLASSES.MINUSMINUS</v>
      </c>
      <c r="Z774" t="str">
        <f>_xlfn.XLOOKUP(Table6[[#This Row],[Old Table.Column]],Cobra8.6[Table.Column],Cobra8.6[TYPE],"",0,1)</f>
        <v>TEXT</v>
      </c>
      <c r="AA774">
        <f>_xlfn.XLOOKUP(Table6[[#This Row],[Old Table.Column]],Cobra8.6[Table.Column],Cobra8.6[LENGTH],"",0,1)</f>
        <v>3</v>
      </c>
      <c r="AB774" t="s">
        <v>32</v>
      </c>
    </row>
    <row r="775" spans="1:28" hidden="1" x14ac:dyDescent="0.2">
      <c r="A775" t="s">
        <v>450</v>
      </c>
      <c r="B775" s="17" t="s">
        <v>1068</v>
      </c>
      <c r="C775" t="s">
        <v>1328</v>
      </c>
      <c r="D775" s="39">
        <v>39</v>
      </c>
      <c r="E775" s="39" t="s">
        <v>86</v>
      </c>
      <c r="F775" s="39" t="s">
        <v>349</v>
      </c>
      <c r="G775" s="39">
        <v>2</v>
      </c>
      <c r="H775" s="39"/>
      <c r="I775" s="47"/>
      <c r="J775" s="37" t="s">
        <v>605</v>
      </c>
      <c r="K775" s="47"/>
      <c r="L775" s="47"/>
      <c r="M775" s="39"/>
      <c r="N775" s="39"/>
      <c r="O775" s="39"/>
      <c r="P775" s="39" t="s">
        <v>1329</v>
      </c>
      <c r="Q775" s="17" t="str">
        <f t="shared" si="18"/>
        <v>classcal</v>
      </c>
      <c r="R775" t="str">
        <f>VLOOKUP(E775,'Data Type Lookup'!$A$1:$C$21,3,FALSE)</f>
        <v>String</v>
      </c>
      <c r="S775" s="39"/>
      <c r="W775" t="str">
        <f t="shared" si="17"/>
        <v>PROJECT_COST_CLASS.CLASSCAL</v>
      </c>
      <c r="X775" t="e">
        <f>VLOOKUP(W775,ColumnMapping[New Table.Column],1,)</f>
        <v>#N/A</v>
      </c>
      <c r="Y775" t="str">
        <f>_xlfn.XLOOKUP(Table6[[#This Row],[Table.Column]],ColumnMapping[Add Column Name],ColumnMapping[Old Table.Column],"",0,1)</f>
        <v/>
      </c>
      <c r="Z775" t="str">
        <f>_xlfn.XLOOKUP(Table6[[#This Row],[Old Table.Column]],Cobra8.6[Table.Column],Cobra8.6[TYPE],"",0,1)</f>
        <v/>
      </c>
      <c r="AA775" t="str">
        <f>_xlfn.XLOOKUP(Table6[[#This Row],[Old Table.Column]],Cobra8.6[Table.Column],Cobra8.6[LENGTH],"",0,1)</f>
        <v/>
      </c>
      <c r="AB775" t="s">
        <v>32</v>
      </c>
    </row>
    <row r="776" spans="1:28" hidden="1" x14ac:dyDescent="0.2">
      <c r="A776" t="s">
        <v>450</v>
      </c>
      <c r="B776" s="17" t="s">
        <v>1068</v>
      </c>
      <c r="C776" t="s">
        <v>1330</v>
      </c>
      <c r="D776" s="39">
        <v>40</v>
      </c>
      <c r="E776" s="39" t="s">
        <v>86</v>
      </c>
      <c r="F776" s="39" t="s">
        <v>349</v>
      </c>
      <c r="G776" s="39">
        <v>22</v>
      </c>
      <c r="H776" s="39"/>
      <c r="I776" s="47"/>
      <c r="J776" s="37" t="s">
        <v>605</v>
      </c>
      <c r="K776" s="47"/>
      <c r="L776" s="47"/>
      <c r="M776" s="39"/>
      <c r="N776" s="39"/>
      <c r="O776" s="39"/>
      <c r="P776" s="39" t="s">
        <v>1331</v>
      </c>
      <c r="Q776" s="17" t="str">
        <f t="shared" si="18"/>
        <v>classrate</v>
      </c>
      <c r="R776" t="str">
        <f>VLOOKUP(E776,'Data Type Lookup'!$A$1:$C$21,3,FALSE)</f>
        <v>String</v>
      </c>
      <c r="S776" s="39"/>
      <c r="W776" t="str">
        <f t="shared" si="17"/>
        <v>PROJECT_COST_CLASS.CLASSRATE</v>
      </c>
      <c r="X776" t="e">
        <f>VLOOKUP(W776,ColumnMapping[New Table.Column],1,)</f>
        <v>#N/A</v>
      </c>
      <c r="Y776" t="str">
        <f>_xlfn.XLOOKUP(Table6[[#This Row],[Table.Column]],ColumnMapping[Add Column Name],ColumnMapping[Old Table.Column],"",0,1)</f>
        <v/>
      </c>
      <c r="Z776" t="str">
        <f>_xlfn.XLOOKUP(Table6[[#This Row],[Old Table.Column]],Cobra8.6[Table.Column],Cobra8.6[TYPE],"",0,1)</f>
        <v/>
      </c>
      <c r="AA776" t="str">
        <f>_xlfn.XLOOKUP(Table6[[#This Row],[Old Table.Column]],Cobra8.6[Table.Column],Cobra8.6[LENGTH],"",0,1)</f>
        <v/>
      </c>
      <c r="AB776" t="s">
        <v>32</v>
      </c>
    </row>
    <row r="777" spans="1:28" hidden="1" x14ac:dyDescent="0.2">
      <c r="A777" t="s">
        <v>450</v>
      </c>
      <c r="B777" s="17" t="s">
        <v>1068</v>
      </c>
      <c r="C777" s="39" t="s">
        <v>744</v>
      </c>
      <c r="D777" s="39">
        <v>41</v>
      </c>
      <c r="E777" s="39" t="s">
        <v>86</v>
      </c>
      <c r="F777" s="39" t="s">
        <v>349</v>
      </c>
      <c r="G777" s="39">
        <v>22</v>
      </c>
      <c r="H777" s="39"/>
      <c r="I777" s="47"/>
      <c r="J777" s="37" t="s">
        <v>605</v>
      </c>
      <c r="K777" s="47"/>
      <c r="L777" s="47"/>
      <c r="M777" s="39"/>
      <c r="N777" s="39"/>
      <c r="O777" s="39"/>
      <c r="P777" s="39" t="s">
        <v>745</v>
      </c>
      <c r="Q777" s="39" t="s">
        <v>814</v>
      </c>
      <c r="R777" s="39" t="s">
        <v>681</v>
      </c>
      <c r="S777" s="39"/>
      <c r="W777" t="str">
        <f t="shared" si="17"/>
        <v>PROJECT_COST_CLASS.PROGRAM</v>
      </c>
      <c r="X777" t="e">
        <f>VLOOKUP(W777,ColumnMapping[New Table.Column],1,)</f>
        <v>#N/A</v>
      </c>
      <c r="Y777" t="str">
        <f>_xlfn.XLOOKUP(Table6[[#This Row],[Table.Column]],ColumnMapping[Add Column Name],ColumnMapping[Old Table.Column],"",0,1)</f>
        <v/>
      </c>
      <c r="Z777" t="str">
        <f>_xlfn.XLOOKUP(Table6[[#This Row],[Old Table.Column]],Cobra8.6[Table.Column],Cobra8.6[TYPE],"",0,1)</f>
        <v/>
      </c>
      <c r="AA777" t="str">
        <f>_xlfn.XLOOKUP(Table6[[#This Row],[Old Table.Column]],Cobra8.6[Table.Column],Cobra8.6[LENGTH],"",0,1)</f>
        <v/>
      </c>
      <c r="AB777" t="s">
        <v>32</v>
      </c>
    </row>
    <row r="778" spans="1:28" hidden="1" x14ac:dyDescent="0.2">
      <c r="A778" t="s">
        <v>450</v>
      </c>
      <c r="B778" t="s">
        <v>1332</v>
      </c>
      <c r="C778" t="s">
        <v>30</v>
      </c>
      <c r="D778">
        <v>1</v>
      </c>
      <c r="E778" t="s">
        <v>31</v>
      </c>
      <c r="F778" t="str">
        <f>VLOOKUP($E778,'Data Type Lookup'!$A$1:$C$21,2,FALSE)</f>
        <v>RAW(16)</v>
      </c>
      <c r="I778" s="32" t="s">
        <v>32</v>
      </c>
      <c r="K778" s="32" t="s">
        <v>32</v>
      </c>
      <c r="P778" t="s">
        <v>1333</v>
      </c>
      <c r="Q778" t="s">
        <v>34</v>
      </c>
      <c r="R778" t="str">
        <f>VLOOKUP(E778,'Data Type Lookup'!$A$1:$C$21,3,FALSE)</f>
        <v>java.util.UUID</v>
      </c>
      <c r="S778">
        <v>3</v>
      </c>
      <c r="V778" t="s">
        <v>1334</v>
      </c>
      <c r="W778" t="str">
        <f t="shared" si="17"/>
        <v>PROJECT_COST_CLASS_LINK.ROW_UID</v>
      </c>
      <c r="X778" t="str">
        <f>VLOOKUP(W778,ColumnMapping[New Table.Column],1,)</f>
        <v>PROJECT_COST_CLASS_LINK.ROW_UID</v>
      </c>
      <c r="Y778" t="str">
        <f>_xlfn.XLOOKUP(Table6[[#This Row],[Table.Column]],ColumnMapping[Add Column Name],ColumnMapping[Old Table.Column],"",0,1)</f>
        <v/>
      </c>
      <c r="Z778" t="str">
        <f>_xlfn.XLOOKUP(Table6[[#This Row],[Old Table.Column]],Cobra8.6[Table.Column],Cobra8.6[TYPE],"",0,1)</f>
        <v/>
      </c>
      <c r="AA778" t="str">
        <f>_xlfn.XLOOKUP(Table6[[#This Row],[Old Table.Column]],Cobra8.6[Table.Column],Cobra8.6[LENGTH],"",0,1)</f>
        <v/>
      </c>
      <c r="AB778"/>
    </row>
    <row r="779" spans="1:28" hidden="1" x14ac:dyDescent="0.2">
      <c r="A779" t="s">
        <v>450</v>
      </c>
      <c r="B779" t="s">
        <v>1332</v>
      </c>
      <c r="C779" t="s">
        <v>35</v>
      </c>
      <c r="D779">
        <v>2</v>
      </c>
      <c r="E779" t="s">
        <v>36</v>
      </c>
      <c r="F779" t="str">
        <f>VLOOKUP($E779,'Data Type Lookup'!$A$1:$C$21,2,FALSE)</f>
        <v>NUMBER(19,0)</v>
      </c>
      <c r="I779" s="32" t="s">
        <v>32</v>
      </c>
      <c r="J779" s="32">
        <v>0</v>
      </c>
      <c r="P779" t="s">
        <v>37</v>
      </c>
      <c r="Q779" t="s">
        <v>38</v>
      </c>
      <c r="R779" t="str">
        <f>VLOOKUP(E779,'Data Type Lookup'!$A$1:$C$21,3,FALSE)</f>
        <v>Long</v>
      </c>
      <c r="S779">
        <v>3</v>
      </c>
      <c r="W779" t="str">
        <f t="shared" ref="W779:W841" si="19">_xlfn.CONCAT(B779,".",C779)</f>
        <v>PROJECT_COST_CLASS_LINK.SEQUENCE</v>
      </c>
      <c r="X779" t="str">
        <f>VLOOKUP(W779,ColumnMapping[New Table.Column],1,)</f>
        <v>PROJECT_COST_CLASS_LINK.SEQUENCE</v>
      </c>
      <c r="Y779" t="str">
        <f>_xlfn.XLOOKUP(Table6[[#This Row],[Table.Column]],ColumnMapping[Add Column Name],ColumnMapping[Old Table.Column],"",0,1)</f>
        <v/>
      </c>
      <c r="Z779" t="str">
        <f>_xlfn.XLOOKUP(Table6[[#This Row],[Old Table.Column]],Cobra8.6[Table.Column],Cobra8.6[TYPE],"",0,1)</f>
        <v/>
      </c>
      <c r="AA779" t="str">
        <f>_xlfn.XLOOKUP(Table6[[#This Row],[Old Table.Column]],Cobra8.6[Table.Column],Cobra8.6[LENGTH],"",0,1)</f>
        <v/>
      </c>
      <c r="AB779"/>
    </row>
    <row r="780" spans="1:28" hidden="1" x14ac:dyDescent="0.2">
      <c r="A780" t="s">
        <v>450</v>
      </c>
      <c r="B780" t="s">
        <v>1332</v>
      </c>
      <c r="C780" t="s">
        <v>1335</v>
      </c>
      <c r="D780">
        <v>3</v>
      </c>
      <c r="E780" t="s">
        <v>31</v>
      </c>
      <c r="F780" t="str">
        <f>VLOOKUP($E780,'Data Type Lookup'!$A$1:$C$21,2,FALSE)</f>
        <v>RAW(16)</v>
      </c>
      <c r="I780" s="32" t="s">
        <v>32</v>
      </c>
      <c r="L780" s="32" t="s">
        <v>32</v>
      </c>
      <c r="M780" t="s">
        <v>1068</v>
      </c>
      <c r="N780" t="s">
        <v>30</v>
      </c>
      <c r="O780" t="s">
        <v>41</v>
      </c>
      <c r="P780" t="s">
        <v>1336</v>
      </c>
      <c r="Q780" t="s">
        <v>1337</v>
      </c>
      <c r="R780" t="str">
        <f>VLOOKUP(E780,'Data Type Lookup'!$A$1:$C$21,3,FALSE)</f>
        <v>java.util.UUID</v>
      </c>
      <c r="S780">
        <v>1</v>
      </c>
      <c r="W780" t="str">
        <f t="shared" si="19"/>
        <v>PROJECT_COST_CLASS_LINK.PARENT_PROJECT_COST_CLASS_UID</v>
      </c>
      <c r="X780" t="str">
        <f>VLOOKUP(W780,ColumnMapping[New Table.Column],1,)</f>
        <v>PROJECT_COST_CLASS_LINK.PARENT_PROJECT_COST_CLASS_UID</v>
      </c>
      <c r="Y780" t="str">
        <f>_xlfn.XLOOKUP(Table6[[#This Row],[Table.Column]],ColumnMapping[Add Column Name],ColumnMapping[Old Table.Column],"",0,1)</f>
        <v/>
      </c>
      <c r="Z780" t="str">
        <f>_xlfn.XLOOKUP(Table6[[#This Row],[Old Table.Column]],Cobra8.6[Table.Column],Cobra8.6[TYPE],"",0,1)</f>
        <v/>
      </c>
      <c r="AA780" t="str">
        <f>_xlfn.XLOOKUP(Table6[[#This Row],[Old Table.Column]],Cobra8.6[Table.Column],Cobra8.6[LENGTH],"",0,1)</f>
        <v/>
      </c>
      <c r="AB780"/>
    </row>
    <row r="781" spans="1:28" hidden="1" x14ac:dyDescent="0.2">
      <c r="A781" t="s">
        <v>450</v>
      </c>
      <c r="B781" t="s">
        <v>1332</v>
      </c>
      <c r="C781" t="s">
        <v>1067</v>
      </c>
      <c r="D781">
        <v>4</v>
      </c>
      <c r="E781" t="s">
        <v>31</v>
      </c>
      <c r="F781" t="str">
        <f>VLOOKUP($E781,'Data Type Lookup'!$A$1:$C$21,2,FALSE)</f>
        <v>RAW(16)</v>
      </c>
      <c r="I781" s="32" t="s">
        <v>32</v>
      </c>
      <c r="L781" s="32" t="s">
        <v>32</v>
      </c>
      <c r="M781" t="s">
        <v>1068</v>
      </c>
      <c r="N781" t="s">
        <v>30</v>
      </c>
      <c r="O781" t="s">
        <v>41</v>
      </c>
      <c r="P781" t="s">
        <v>1338</v>
      </c>
      <c r="Q781" t="s">
        <v>1339</v>
      </c>
      <c r="R781" t="str">
        <f>VLOOKUP(E781,'Data Type Lookup'!$A$1:$C$21,3,FALSE)</f>
        <v>java.util.UUID</v>
      </c>
      <c r="S781">
        <v>1</v>
      </c>
      <c r="W781" t="str">
        <f t="shared" si="19"/>
        <v>PROJECT_COST_CLASS_LINK.PROJECT_COST_CLASS_UID</v>
      </c>
      <c r="X781" t="str">
        <f>VLOOKUP(W781,ColumnMapping[New Table.Column],1,)</f>
        <v>PROJECT_COST_CLASS_LINK.PROJECT_COST_CLASS_UID</v>
      </c>
      <c r="Y781" t="str">
        <f>_xlfn.XLOOKUP(Table6[[#This Row],[Table.Column]],ColumnMapping[Add Column Name],ColumnMapping[Old Table.Column],"",0,1)</f>
        <v/>
      </c>
      <c r="Z781" t="str">
        <f>_xlfn.XLOOKUP(Table6[[#This Row],[Old Table.Column]],Cobra8.6[Table.Column],Cobra8.6[TYPE],"",0,1)</f>
        <v/>
      </c>
      <c r="AA781" t="str">
        <f>_xlfn.XLOOKUP(Table6[[#This Row],[Old Table.Column]],Cobra8.6[Table.Column],Cobra8.6[LENGTH],"",0,1)</f>
        <v/>
      </c>
      <c r="AB781"/>
    </row>
    <row r="782" spans="1:28" hidden="1" x14ac:dyDescent="0.2">
      <c r="A782" t="s">
        <v>450</v>
      </c>
      <c r="B782" t="s">
        <v>1332</v>
      </c>
      <c r="C782" t="s">
        <v>61</v>
      </c>
      <c r="D782">
        <v>5</v>
      </c>
      <c r="E782" t="s">
        <v>31</v>
      </c>
      <c r="F782" t="str">
        <f>VLOOKUP($E782,'Data Type Lookup'!$A$1:$C$21,2,FALSE)</f>
        <v>RAW(16)</v>
      </c>
      <c r="I782" s="32" t="s">
        <v>32</v>
      </c>
      <c r="P782" t="s">
        <v>1340</v>
      </c>
      <c r="Q782" t="s">
        <v>63</v>
      </c>
      <c r="R782" t="str">
        <f>VLOOKUP(E782,'Data Type Lookup'!$A$1:$C$21,3,FALSE)</f>
        <v>java.util.UUID</v>
      </c>
      <c r="S782">
        <v>2</v>
      </c>
      <c r="W782" t="str">
        <f t="shared" si="19"/>
        <v>PROJECT_COST_CLASS_LINK.CREATED_BY_USER_UID</v>
      </c>
      <c r="X782" t="str">
        <f>VLOOKUP(W782,ColumnMapping[New Table.Column],1,)</f>
        <v>PROJECT_COST_CLASS_LINK.CREATED_BY_USER_UID</v>
      </c>
      <c r="Y782" t="str">
        <f>_xlfn.XLOOKUP(Table6[[#This Row],[Table.Column]],ColumnMapping[Add Column Name],ColumnMapping[Old Table.Column],"",0,1)</f>
        <v/>
      </c>
      <c r="Z782" t="str">
        <f>_xlfn.XLOOKUP(Table6[[#This Row],[Old Table.Column]],Cobra8.6[Table.Column],Cobra8.6[TYPE],"",0,1)</f>
        <v/>
      </c>
      <c r="AA782" t="str">
        <f>_xlfn.XLOOKUP(Table6[[#This Row],[Old Table.Column]],Cobra8.6[Table.Column],Cobra8.6[LENGTH],"",0,1)</f>
        <v/>
      </c>
      <c r="AB782"/>
    </row>
    <row r="783" spans="1:28" hidden="1" x14ac:dyDescent="0.2">
      <c r="A783" t="s">
        <v>450</v>
      </c>
      <c r="B783" t="s">
        <v>1332</v>
      </c>
      <c r="C783" t="s">
        <v>64</v>
      </c>
      <c r="D783">
        <v>6</v>
      </c>
      <c r="E783" t="s">
        <v>65</v>
      </c>
      <c r="F783" t="str">
        <f>VLOOKUP($E783,'Data Type Lookup'!$A$1:$C$21,2,FALSE)</f>
        <v>TIMESTAMP</v>
      </c>
      <c r="I783" s="32" t="s">
        <v>32</v>
      </c>
      <c r="P783" t="s">
        <v>1341</v>
      </c>
      <c r="Q783" t="s">
        <v>67</v>
      </c>
      <c r="R783" t="str">
        <f>VLOOKUP(E783,'Data Type Lookup'!$A$1:$C$21,3,FALSE)</f>
        <v>java.time.Instant</v>
      </c>
      <c r="S783">
        <v>2</v>
      </c>
      <c r="W783" t="str">
        <f t="shared" si="19"/>
        <v>PROJECT_COST_CLASS_LINK.CREATED_DATE</v>
      </c>
      <c r="X783" t="str">
        <f>VLOOKUP(W783,ColumnMapping[New Table.Column],1,)</f>
        <v>PROJECT_COST_CLASS_LINK.CREATED_DATE</v>
      </c>
      <c r="Y783" t="str">
        <f>_xlfn.XLOOKUP(Table6[[#This Row],[Table.Column]],ColumnMapping[Add Column Name],ColumnMapping[Old Table.Column],"",0,1)</f>
        <v/>
      </c>
      <c r="Z783" t="str">
        <f>_xlfn.XLOOKUP(Table6[[#This Row],[Old Table.Column]],Cobra8.6[Table.Column],Cobra8.6[TYPE],"",0,1)</f>
        <v/>
      </c>
      <c r="AA783" t="str">
        <f>_xlfn.XLOOKUP(Table6[[#This Row],[Old Table.Column]],Cobra8.6[Table.Column],Cobra8.6[LENGTH],"",0,1)</f>
        <v/>
      </c>
      <c r="AB783"/>
    </row>
    <row r="784" spans="1:28" hidden="1" x14ac:dyDescent="0.2">
      <c r="A784" t="s">
        <v>450</v>
      </c>
      <c r="B784" t="s">
        <v>1332</v>
      </c>
      <c r="C784" t="s">
        <v>68</v>
      </c>
      <c r="D784">
        <v>7</v>
      </c>
      <c r="E784" t="s">
        <v>31</v>
      </c>
      <c r="F784" t="str">
        <f>VLOOKUP($E784,'Data Type Lookup'!$A$1:$C$21,2,FALSE)</f>
        <v>RAW(16)</v>
      </c>
      <c r="I784" s="32" t="s">
        <v>32</v>
      </c>
      <c r="P784" t="s">
        <v>1342</v>
      </c>
      <c r="Q784" t="s">
        <v>70</v>
      </c>
      <c r="R784" t="str">
        <f>VLOOKUP(E784,'Data Type Lookup'!$A$1:$C$21,3,FALSE)</f>
        <v>java.util.UUID</v>
      </c>
      <c r="S784">
        <v>2</v>
      </c>
      <c r="W784" t="str">
        <f t="shared" si="19"/>
        <v>PROJECT_COST_CLASS_LINK.LAST_MODIFIED_BY_USER_UID</v>
      </c>
      <c r="X784" t="str">
        <f>VLOOKUP(W784,ColumnMapping[New Table.Column],1,)</f>
        <v>PROJECT_COST_CLASS_LINK.LAST_MODIFIED_BY_USER_UID</v>
      </c>
      <c r="Y784" t="str">
        <f>_xlfn.XLOOKUP(Table6[[#This Row],[Table.Column]],ColumnMapping[Add Column Name],ColumnMapping[Old Table.Column],"",0,1)</f>
        <v/>
      </c>
      <c r="Z784" t="str">
        <f>_xlfn.XLOOKUP(Table6[[#This Row],[Old Table.Column]],Cobra8.6[Table.Column],Cobra8.6[TYPE],"",0,1)</f>
        <v/>
      </c>
      <c r="AA784" t="str">
        <f>_xlfn.XLOOKUP(Table6[[#This Row],[Old Table.Column]],Cobra8.6[Table.Column],Cobra8.6[LENGTH],"",0,1)</f>
        <v/>
      </c>
      <c r="AB784"/>
    </row>
    <row r="785" spans="1:28" hidden="1" x14ac:dyDescent="0.2">
      <c r="A785" t="s">
        <v>450</v>
      </c>
      <c r="B785" t="s">
        <v>1332</v>
      </c>
      <c r="C785" t="s">
        <v>71</v>
      </c>
      <c r="D785">
        <v>8</v>
      </c>
      <c r="E785" t="s">
        <v>65</v>
      </c>
      <c r="F785" t="str">
        <f>VLOOKUP($E785,'Data Type Lookup'!$A$1:$C$21,2,FALSE)</f>
        <v>TIMESTAMP</v>
      </c>
      <c r="I785" s="32" t="s">
        <v>32</v>
      </c>
      <c r="P785" t="s">
        <v>1343</v>
      </c>
      <c r="Q785" t="s">
        <v>73</v>
      </c>
      <c r="R785" t="str">
        <f>VLOOKUP(E785,'Data Type Lookup'!$A$1:$C$21,3,FALSE)</f>
        <v>java.time.Instant</v>
      </c>
      <c r="S785">
        <v>2</v>
      </c>
      <c r="W785" t="str">
        <f t="shared" si="19"/>
        <v>PROJECT_COST_CLASS_LINK.LAST_MODIFIED_DATE</v>
      </c>
      <c r="X785" t="str">
        <f>VLOOKUP(W785,ColumnMapping[New Table.Column],1,)</f>
        <v>PROJECT_COST_CLASS_LINK.LAST_MODIFIED_DATE</v>
      </c>
      <c r="Y785" t="str">
        <f>_xlfn.XLOOKUP(Table6[[#This Row],[Table.Column]],ColumnMapping[Add Column Name],ColumnMapping[Old Table.Column],"",0,1)</f>
        <v/>
      </c>
      <c r="Z785" t="str">
        <f>_xlfn.XLOOKUP(Table6[[#This Row],[Old Table.Column]],Cobra8.6[Table.Column],Cobra8.6[TYPE],"",0,1)</f>
        <v/>
      </c>
      <c r="AA785" t="str">
        <f>_xlfn.XLOOKUP(Table6[[#This Row],[Old Table.Column]],Cobra8.6[Table.Column],Cobra8.6[LENGTH],"",0,1)</f>
        <v/>
      </c>
      <c r="AB785"/>
    </row>
    <row r="786" spans="1:28" hidden="1" x14ac:dyDescent="0.2">
      <c r="A786" t="s">
        <v>450</v>
      </c>
      <c r="B786" s="17" t="s">
        <v>1332</v>
      </c>
      <c r="C786" s="17" t="s">
        <v>744</v>
      </c>
      <c r="D786" s="17">
        <v>9</v>
      </c>
      <c r="E786" s="17" t="s">
        <v>86</v>
      </c>
      <c r="F786" t="str">
        <f>VLOOKUP($E786,'Data Type Lookup'!$A$1:$C$21,2,FALSE)</f>
        <v>VARCHAR2</v>
      </c>
      <c r="G786" s="17">
        <v>22</v>
      </c>
      <c r="H786" s="17"/>
      <c r="I786" s="29"/>
      <c r="J786" s="29"/>
      <c r="K786" s="29"/>
      <c r="L786" s="29"/>
      <c r="M786" s="17"/>
      <c r="N786" s="17"/>
      <c r="O786" s="17"/>
      <c r="P786" s="17" t="s">
        <v>745</v>
      </c>
      <c r="Q786" s="17" t="s">
        <v>814</v>
      </c>
      <c r="R786" t="str">
        <f>VLOOKUP(E786,'Data Type Lookup'!$A$1:$C$21,3,FALSE)</f>
        <v>String</v>
      </c>
      <c r="S786" s="17"/>
      <c r="W786" t="str">
        <f t="shared" si="19"/>
        <v>PROJECT_COST_CLASS_LINK.PROGRAM</v>
      </c>
      <c r="X786" t="e">
        <f>VLOOKUP(W786,ColumnMapping[New Table.Column],1,)</f>
        <v>#N/A</v>
      </c>
      <c r="Y786" t="str">
        <f>_xlfn.XLOOKUP(Table6[[#This Row],[Table.Column]],ColumnMapping[Add Column Name],ColumnMapping[Old Table.Column],"",0,1)</f>
        <v>CLASSESLINK.PROGRAM</v>
      </c>
      <c r="Z786" t="str">
        <f>_xlfn.XLOOKUP(Table6[[#This Row],[Old Table.Column]],Cobra8.6[Table.Column],Cobra8.6[TYPE],"",0,1)</f>
        <v>TEXT</v>
      </c>
      <c r="AA786">
        <f>_xlfn.XLOOKUP(Table6[[#This Row],[Old Table.Column]],Cobra8.6[Table.Column],Cobra8.6[LENGTH],"",0,1)</f>
        <v>22</v>
      </c>
      <c r="AB786" t="s">
        <v>32</v>
      </c>
    </row>
    <row r="787" spans="1:28" hidden="1" x14ac:dyDescent="0.2">
      <c r="A787" t="s">
        <v>450</v>
      </c>
      <c r="B787" s="17" t="s">
        <v>1332</v>
      </c>
      <c r="C787" s="39" t="s">
        <v>1100</v>
      </c>
      <c r="D787" s="39">
        <v>10</v>
      </c>
      <c r="E787" s="39" t="s">
        <v>86</v>
      </c>
      <c r="F787" s="39" t="s">
        <v>349</v>
      </c>
      <c r="G787" s="39">
        <v>20</v>
      </c>
      <c r="H787" s="39"/>
      <c r="I787" s="47"/>
      <c r="J787" s="47"/>
      <c r="K787" s="47"/>
      <c r="L787" s="47"/>
      <c r="M787" s="39"/>
      <c r="N787" s="39"/>
      <c r="O787" s="39"/>
      <c r="P787" s="39" t="s">
        <v>1178</v>
      </c>
      <c r="Q787" s="39" t="s">
        <v>1101</v>
      </c>
      <c r="R787" t="str">
        <f>VLOOKUP(E787,'Data Type Lookup'!$A$1:$C$21,3,FALSE)</f>
        <v>String</v>
      </c>
      <c r="S787" s="39"/>
      <c r="W787" t="str">
        <f t="shared" si="19"/>
        <v>PROJECT_COST_CLASS_LINK.CLASS</v>
      </c>
      <c r="X787" t="e">
        <f>VLOOKUP(W787,ColumnMapping[New Table.Column],1,)</f>
        <v>#N/A</v>
      </c>
      <c r="Y787" t="str">
        <f>_xlfn.XLOOKUP(Table6[[#This Row],[Table.Column]],ColumnMapping[Add Column Name],ColumnMapping[Old Table.Column],"",0,1)</f>
        <v/>
      </c>
      <c r="Z787" t="str">
        <f>_xlfn.XLOOKUP(Table6[[#This Row],[Old Table.Column]],Cobra8.6[Table.Column],Cobra8.6[TYPE],"",0,1)</f>
        <v/>
      </c>
      <c r="AA787" t="str">
        <f>_xlfn.XLOOKUP(Table6[[#This Row],[Old Table.Column]],Cobra8.6[Table.Column],Cobra8.6[LENGTH],"",0,1)</f>
        <v/>
      </c>
      <c r="AB787" t="s">
        <v>32</v>
      </c>
    </row>
    <row r="788" spans="1:28" hidden="1" x14ac:dyDescent="0.2">
      <c r="A788" t="s">
        <v>450</v>
      </c>
      <c r="B788" s="17" t="s">
        <v>1332</v>
      </c>
      <c r="C788" s="39" t="s">
        <v>1344</v>
      </c>
      <c r="D788" s="39">
        <v>11</v>
      </c>
      <c r="E788" s="39" t="s">
        <v>86</v>
      </c>
      <c r="F788" s="39" t="s">
        <v>349</v>
      </c>
      <c r="G788" s="39">
        <v>20</v>
      </c>
      <c r="H788" s="39"/>
      <c r="I788" s="47"/>
      <c r="J788" s="47"/>
      <c r="K788" s="47"/>
      <c r="L788" s="47"/>
      <c r="M788" s="39"/>
      <c r="N788" s="39"/>
      <c r="O788" s="39"/>
      <c r="P788" s="39" t="s">
        <v>1345</v>
      </c>
      <c r="Q788" s="39" t="s">
        <v>1346</v>
      </c>
      <c r="R788" t="str">
        <f>VLOOKUP(E788,'Data Type Lookup'!$A$1:$C$21,3,FALSE)</f>
        <v>String</v>
      </c>
      <c r="S788" s="39"/>
      <c r="W788" t="str">
        <f t="shared" si="19"/>
        <v>PROJECT_COST_CLASS_LINK.CONTAINEDCLASS</v>
      </c>
      <c r="X788" t="e">
        <f>VLOOKUP(W788,ColumnMapping[New Table.Column],1,)</f>
        <v>#N/A</v>
      </c>
      <c r="Y788" t="str">
        <f>_xlfn.XLOOKUP(Table6[[#This Row],[Table.Column]],ColumnMapping[Add Column Name],ColumnMapping[Old Table.Column],"",0,1)</f>
        <v/>
      </c>
      <c r="Z788" t="str">
        <f>_xlfn.XLOOKUP(Table6[[#This Row],[Old Table.Column]],Cobra8.6[Table.Column],Cobra8.6[TYPE],"",0,1)</f>
        <v/>
      </c>
      <c r="AA788" t="str">
        <f>_xlfn.XLOOKUP(Table6[[#This Row],[Old Table.Column]],Cobra8.6[Table.Column],Cobra8.6[LENGTH],"",0,1)</f>
        <v/>
      </c>
      <c r="AB788" t="s">
        <v>32</v>
      </c>
    </row>
    <row r="789" spans="1:28" hidden="1" x14ac:dyDescent="0.2">
      <c r="A789" t="s">
        <v>450</v>
      </c>
      <c r="B789" t="s">
        <v>1347</v>
      </c>
      <c r="C789" t="s">
        <v>30</v>
      </c>
      <c r="D789">
        <v>1</v>
      </c>
      <c r="E789" t="s">
        <v>31</v>
      </c>
      <c r="F789" t="str">
        <f>VLOOKUP($E789,'Data Type Lookup'!$A$1:$C$21,2,FALSE)</f>
        <v>RAW(16)</v>
      </c>
      <c r="I789" s="32" t="s">
        <v>32</v>
      </c>
      <c r="K789" s="32" t="s">
        <v>32</v>
      </c>
      <c r="P789" t="s">
        <v>1348</v>
      </c>
      <c r="Q789" t="s">
        <v>34</v>
      </c>
      <c r="R789" t="str">
        <f>VLOOKUP(E789,'Data Type Lookup'!$A$1:$C$21,3,FALSE)</f>
        <v>java.util.UUID</v>
      </c>
      <c r="S789">
        <v>3</v>
      </c>
      <c r="W789" t="str">
        <f t="shared" si="19"/>
        <v>PROJECT_COST_SET.ROW_UID</v>
      </c>
      <c r="X789" t="str">
        <f>VLOOKUP(W789,ColumnMapping[New Table.Column],1,)</f>
        <v>PROJECT_COST_SET.ROW_UID</v>
      </c>
      <c r="Y789" t="str">
        <f>_xlfn.XLOOKUP(Table6[[#This Row],[Table.Column]],ColumnMapping[Add Column Name],ColumnMapping[Old Table.Column],"",0,1)</f>
        <v/>
      </c>
      <c r="Z789" t="str">
        <f>_xlfn.XLOOKUP(Table6[[#This Row],[Old Table.Column]],Cobra8.6[Table.Column],Cobra8.6[TYPE],"",0,1)</f>
        <v/>
      </c>
      <c r="AA789" t="str">
        <f>_xlfn.XLOOKUP(Table6[[#This Row],[Old Table.Column]],Cobra8.6[Table.Column],Cobra8.6[LENGTH],"",0,1)</f>
        <v/>
      </c>
      <c r="AB789"/>
    </row>
    <row r="790" spans="1:28" hidden="1" x14ac:dyDescent="0.2">
      <c r="A790" t="s">
        <v>450</v>
      </c>
      <c r="B790" t="s">
        <v>1347</v>
      </c>
      <c r="C790" t="s">
        <v>35</v>
      </c>
      <c r="D790">
        <v>2</v>
      </c>
      <c r="E790" t="s">
        <v>36</v>
      </c>
      <c r="F790" t="str">
        <f>VLOOKUP($E790,'Data Type Lookup'!$A$1:$C$21,2,FALSE)</f>
        <v>NUMBER(19,0)</v>
      </c>
      <c r="I790" s="32" t="s">
        <v>32</v>
      </c>
      <c r="J790" s="32">
        <v>0</v>
      </c>
      <c r="P790" t="s">
        <v>37</v>
      </c>
      <c r="Q790" t="s">
        <v>38</v>
      </c>
      <c r="R790" t="str">
        <f>VLOOKUP(E790,'Data Type Lookup'!$A$1:$C$21,3,FALSE)</f>
        <v>Long</v>
      </c>
      <c r="S790">
        <v>3</v>
      </c>
      <c r="W790" t="str">
        <f t="shared" si="19"/>
        <v>PROJECT_COST_SET.SEQUENCE</v>
      </c>
      <c r="X790" t="str">
        <f>VLOOKUP(W790,ColumnMapping[New Table.Column],1,)</f>
        <v>PROJECT_COST_SET.SEQUENCE</v>
      </c>
      <c r="Y790" t="str">
        <f>_xlfn.XLOOKUP(Table6[[#This Row],[Table.Column]],ColumnMapping[Add Column Name],ColumnMapping[Old Table.Column],"",0,1)</f>
        <v/>
      </c>
      <c r="Z790" t="str">
        <f>_xlfn.XLOOKUP(Table6[[#This Row],[Old Table.Column]],Cobra8.6[Table.Column],Cobra8.6[TYPE],"",0,1)</f>
        <v/>
      </c>
      <c r="AA790" t="str">
        <f>_xlfn.XLOOKUP(Table6[[#This Row],[Old Table.Column]],Cobra8.6[Table.Column],Cobra8.6[LENGTH],"",0,1)</f>
        <v/>
      </c>
      <c r="AB790"/>
    </row>
    <row r="791" spans="1:28" hidden="1" x14ac:dyDescent="0.2">
      <c r="A791" t="s">
        <v>450</v>
      </c>
      <c r="B791" t="s">
        <v>1347</v>
      </c>
      <c r="C791" t="s">
        <v>770</v>
      </c>
      <c r="D791">
        <v>3</v>
      </c>
      <c r="E791" t="s">
        <v>31</v>
      </c>
      <c r="F791" t="str">
        <f>VLOOKUP($E791,'Data Type Lookup'!$A$1:$C$21,2,FALSE)</f>
        <v>RAW(16)</v>
      </c>
      <c r="I791" s="32" t="s">
        <v>32</v>
      </c>
      <c r="L791" s="32" t="s">
        <v>32</v>
      </c>
      <c r="M791" t="s">
        <v>451</v>
      </c>
      <c r="N791" t="s">
        <v>30</v>
      </c>
      <c r="O791" t="s">
        <v>41</v>
      </c>
      <c r="P791" t="s">
        <v>452</v>
      </c>
      <c r="Q791" t="s">
        <v>771</v>
      </c>
      <c r="R791" t="str">
        <f>VLOOKUP(E791,'Data Type Lookup'!$A$1:$C$21,3,FALSE)</f>
        <v>java.util.UUID</v>
      </c>
      <c r="V791" s="9" t="s">
        <v>1349</v>
      </c>
      <c r="W791" t="str">
        <f t="shared" si="19"/>
        <v>PROJECT_COST_SET.PROJECT_UID</v>
      </c>
      <c r="X791" t="str">
        <f>VLOOKUP(W791,ColumnMapping[New Table.Column],1,)</f>
        <v>PROJECT_COST_SET.PROJECT_UID</v>
      </c>
      <c r="Y791" t="str">
        <f>_xlfn.XLOOKUP(Table6[[#This Row],[Table.Column]],ColumnMapping[Add Column Name],ColumnMapping[Old Table.Column],"",0,1)</f>
        <v/>
      </c>
      <c r="Z791" t="str">
        <f>_xlfn.XLOOKUP(Table6[[#This Row],[Old Table.Column]],Cobra8.6[Table.Column],Cobra8.6[TYPE],"",0,1)</f>
        <v/>
      </c>
      <c r="AA791" t="str">
        <f>_xlfn.XLOOKUP(Table6[[#This Row],[Old Table.Column]],Cobra8.6[Table.Column],Cobra8.6[LENGTH],"",0,1)</f>
        <v/>
      </c>
      <c r="AB791"/>
    </row>
    <row r="792" spans="1:28" hidden="1" x14ac:dyDescent="0.2">
      <c r="A792" t="s">
        <v>450</v>
      </c>
      <c r="B792" t="s">
        <v>1347</v>
      </c>
      <c r="C792" t="s">
        <v>47</v>
      </c>
      <c r="D792">
        <v>4</v>
      </c>
      <c r="E792" t="s">
        <v>48</v>
      </c>
      <c r="F792" t="str">
        <f>VLOOKUP($E792,'Data Type Lookup'!$A$1:$C$21,2,FALSE)</f>
        <v>NVARCHAR2</v>
      </c>
      <c r="G792">
        <v>100</v>
      </c>
      <c r="I792" s="32" t="s">
        <v>32</v>
      </c>
      <c r="L792" s="32" t="s">
        <v>32</v>
      </c>
      <c r="P792" t="s">
        <v>1350</v>
      </c>
      <c r="Q792" t="s">
        <v>50</v>
      </c>
      <c r="R792" t="str">
        <f>VLOOKUP(E792,'Data Type Lookup'!$A$1:$C$21,3,FALSE)</f>
        <v>String</v>
      </c>
      <c r="W792" t="str">
        <f t="shared" si="19"/>
        <v>PROJECT_COST_SET.NAME</v>
      </c>
      <c r="X792" t="str">
        <f>VLOOKUP(W792,ColumnMapping[New Table.Column],1,)</f>
        <v>PROJECT_COST_SET.NAME</v>
      </c>
      <c r="Y792" t="str">
        <f>_xlfn.XLOOKUP(Table6[[#This Row],[Table.Column]],ColumnMapping[Add Column Name],ColumnMapping[Old Table.Column],"",0,1)</f>
        <v/>
      </c>
      <c r="Z792" t="str">
        <f>_xlfn.XLOOKUP(Table6[[#This Row],[Old Table.Column]],Cobra8.6[Table.Column],Cobra8.6[TYPE],"",0,1)</f>
        <v/>
      </c>
      <c r="AA792" t="str">
        <f>_xlfn.XLOOKUP(Table6[[#This Row],[Old Table.Column]],Cobra8.6[Table.Column],Cobra8.6[LENGTH],"",0,1)</f>
        <v/>
      </c>
      <c r="AB792"/>
    </row>
    <row r="793" spans="1:28" hidden="1" x14ac:dyDescent="0.2">
      <c r="A793" t="s">
        <v>450</v>
      </c>
      <c r="B793" t="s">
        <v>1347</v>
      </c>
      <c r="C793" t="s">
        <v>1256</v>
      </c>
      <c r="D793">
        <v>5</v>
      </c>
      <c r="E793" t="s">
        <v>288</v>
      </c>
      <c r="F793" t="str">
        <f>VLOOKUP($E793,'Data Type Lookup'!$A$1:$C$21,2,FALSE)</f>
        <v>NUMBER(1,0)</v>
      </c>
      <c r="I793" s="32" t="s">
        <v>32</v>
      </c>
      <c r="J793" s="37">
        <v>0</v>
      </c>
      <c r="P793" t="s">
        <v>1351</v>
      </c>
      <c r="Q793" t="s">
        <v>1352</v>
      </c>
      <c r="R793" t="str">
        <f>VLOOKUP(E793,'Data Type Lookup'!$A$1:$C$21,3,FALSE)</f>
        <v>Boolean</v>
      </c>
      <c r="W793" t="str">
        <f t="shared" si="19"/>
        <v>PROJECT_COST_SET.REQUIRED</v>
      </c>
      <c r="X793" t="str">
        <f>VLOOKUP(W793,ColumnMapping[New Table.Column],1,)</f>
        <v>PROJECT_COST_SET.REQUIRED</v>
      </c>
      <c r="Y793" t="str">
        <f>_xlfn.XLOOKUP(Table6[[#This Row],[Table.Column]],ColumnMapping[Add Column Name],ColumnMapping[Old Table.Column],"",0,1)</f>
        <v/>
      </c>
      <c r="Z793" t="str">
        <f>_xlfn.XLOOKUP(Table6[[#This Row],[Old Table.Column]],Cobra8.6[Table.Column],Cobra8.6[TYPE],"",0,1)</f>
        <v/>
      </c>
      <c r="AA793" t="str">
        <f>_xlfn.XLOOKUP(Table6[[#This Row],[Old Table.Column]],Cobra8.6[Table.Column],Cobra8.6[LENGTH],"",0,1)</f>
        <v/>
      </c>
      <c r="AB793"/>
    </row>
    <row r="794" spans="1:28" hidden="1" x14ac:dyDescent="0.2">
      <c r="A794" t="s">
        <v>450</v>
      </c>
      <c r="B794" t="s">
        <v>1347</v>
      </c>
      <c r="C794" t="s">
        <v>61</v>
      </c>
      <c r="D794">
        <v>6</v>
      </c>
      <c r="E794" t="s">
        <v>31</v>
      </c>
      <c r="F794" t="str">
        <f>VLOOKUP($E794,'Data Type Lookup'!$A$1:$C$21,2,FALSE)</f>
        <v>RAW(16)</v>
      </c>
      <c r="I794" s="32" t="s">
        <v>32</v>
      </c>
      <c r="P794" t="s">
        <v>1353</v>
      </c>
      <c r="Q794" t="s">
        <v>63</v>
      </c>
      <c r="R794" t="str">
        <f>VLOOKUP(E794,'Data Type Lookup'!$A$1:$C$21,3,FALSE)</f>
        <v>java.util.UUID</v>
      </c>
      <c r="S794">
        <v>2</v>
      </c>
      <c r="W794" t="str">
        <f t="shared" si="19"/>
        <v>PROJECT_COST_SET.CREATED_BY_USER_UID</v>
      </c>
      <c r="X794" t="str">
        <f>VLOOKUP(W794,ColumnMapping[New Table.Column],1,)</f>
        <v>PROJECT_COST_SET.CREATED_BY_USER_UID</v>
      </c>
      <c r="Y794" t="str">
        <f>_xlfn.XLOOKUP(Table6[[#This Row],[Table.Column]],ColumnMapping[Add Column Name],ColumnMapping[Old Table.Column],"",0,1)</f>
        <v/>
      </c>
      <c r="Z794" t="str">
        <f>_xlfn.XLOOKUP(Table6[[#This Row],[Old Table.Column]],Cobra8.6[Table.Column],Cobra8.6[TYPE],"",0,1)</f>
        <v/>
      </c>
      <c r="AA794" t="str">
        <f>_xlfn.XLOOKUP(Table6[[#This Row],[Old Table.Column]],Cobra8.6[Table.Column],Cobra8.6[LENGTH],"",0,1)</f>
        <v/>
      </c>
      <c r="AB794"/>
    </row>
    <row r="795" spans="1:28" hidden="1" x14ac:dyDescent="0.2">
      <c r="A795" t="s">
        <v>450</v>
      </c>
      <c r="B795" t="s">
        <v>1347</v>
      </c>
      <c r="C795" t="s">
        <v>64</v>
      </c>
      <c r="D795">
        <v>7</v>
      </c>
      <c r="E795" t="s">
        <v>65</v>
      </c>
      <c r="F795" t="str">
        <f>VLOOKUP($E795,'Data Type Lookup'!$A$1:$C$21,2,FALSE)</f>
        <v>TIMESTAMP</v>
      </c>
      <c r="I795" s="32" t="s">
        <v>32</v>
      </c>
      <c r="P795" t="s">
        <v>1354</v>
      </c>
      <c r="Q795" t="s">
        <v>67</v>
      </c>
      <c r="R795" t="str">
        <f>VLOOKUP(E795,'Data Type Lookup'!$A$1:$C$21,3,FALSE)</f>
        <v>java.time.Instant</v>
      </c>
      <c r="S795">
        <v>2</v>
      </c>
      <c r="W795" t="str">
        <f t="shared" si="19"/>
        <v>PROJECT_COST_SET.CREATED_DATE</v>
      </c>
      <c r="X795" t="str">
        <f>VLOOKUP(W795,ColumnMapping[New Table.Column],1,)</f>
        <v>PROJECT_COST_SET.CREATED_DATE</v>
      </c>
      <c r="Y795" t="str">
        <f>_xlfn.XLOOKUP(Table6[[#This Row],[Table.Column]],ColumnMapping[Add Column Name],ColumnMapping[Old Table.Column],"",0,1)</f>
        <v/>
      </c>
      <c r="Z795" t="str">
        <f>_xlfn.XLOOKUP(Table6[[#This Row],[Old Table.Column]],Cobra8.6[Table.Column],Cobra8.6[TYPE],"",0,1)</f>
        <v/>
      </c>
      <c r="AA795" t="str">
        <f>_xlfn.XLOOKUP(Table6[[#This Row],[Old Table.Column]],Cobra8.6[Table.Column],Cobra8.6[LENGTH],"",0,1)</f>
        <v/>
      </c>
      <c r="AB795"/>
    </row>
    <row r="796" spans="1:28" hidden="1" x14ac:dyDescent="0.2">
      <c r="A796" t="s">
        <v>450</v>
      </c>
      <c r="B796" t="s">
        <v>1347</v>
      </c>
      <c r="C796" t="s">
        <v>68</v>
      </c>
      <c r="D796">
        <v>8</v>
      </c>
      <c r="E796" t="s">
        <v>31</v>
      </c>
      <c r="F796" t="str">
        <f>VLOOKUP($E796,'Data Type Lookup'!$A$1:$C$21,2,FALSE)</f>
        <v>RAW(16)</v>
      </c>
      <c r="I796" s="32" t="s">
        <v>32</v>
      </c>
      <c r="P796" t="s">
        <v>1355</v>
      </c>
      <c r="Q796" t="s">
        <v>70</v>
      </c>
      <c r="R796" t="str">
        <f>VLOOKUP(E796,'Data Type Lookup'!$A$1:$C$21,3,FALSE)</f>
        <v>java.util.UUID</v>
      </c>
      <c r="S796">
        <v>2</v>
      </c>
      <c r="W796" t="str">
        <f t="shared" si="19"/>
        <v>PROJECT_COST_SET.LAST_MODIFIED_BY_USER_UID</v>
      </c>
      <c r="X796" t="str">
        <f>VLOOKUP(W796,ColumnMapping[New Table.Column],1,)</f>
        <v>PROJECT_COST_SET.LAST_MODIFIED_BY_USER_UID</v>
      </c>
      <c r="Y796" t="str">
        <f>_xlfn.XLOOKUP(Table6[[#This Row],[Table.Column]],ColumnMapping[Add Column Name],ColumnMapping[Old Table.Column],"",0,1)</f>
        <v/>
      </c>
      <c r="Z796" t="str">
        <f>_xlfn.XLOOKUP(Table6[[#This Row],[Old Table.Column]],Cobra8.6[Table.Column],Cobra8.6[TYPE],"",0,1)</f>
        <v/>
      </c>
      <c r="AA796" t="str">
        <f>_xlfn.XLOOKUP(Table6[[#This Row],[Old Table.Column]],Cobra8.6[Table.Column],Cobra8.6[LENGTH],"",0,1)</f>
        <v/>
      </c>
      <c r="AB796"/>
    </row>
    <row r="797" spans="1:28" hidden="1" x14ac:dyDescent="0.2">
      <c r="A797" t="s">
        <v>450</v>
      </c>
      <c r="B797" t="s">
        <v>1347</v>
      </c>
      <c r="C797" t="s">
        <v>71</v>
      </c>
      <c r="D797">
        <v>9</v>
      </c>
      <c r="E797" t="s">
        <v>65</v>
      </c>
      <c r="F797" t="str">
        <f>VLOOKUP($E797,'Data Type Lookup'!$A$1:$C$21,2,FALSE)</f>
        <v>TIMESTAMP</v>
      </c>
      <c r="I797" s="32" t="s">
        <v>32</v>
      </c>
      <c r="P797" t="s">
        <v>1356</v>
      </c>
      <c r="Q797" t="s">
        <v>73</v>
      </c>
      <c r="R797" t="str">
        <f>VLOOKUP(E797,'Data Type Lookup'!$A$1:$C$21,3,FALSE)</f>
        <v>java.time.Instant</v>
      </c>
      <c r="S797">
        <v>2</v>
      </c>
      <c r="W797" t="str">
        <f t="shared" si="19"/>
        <v>PROJECT_COST_SET.LAST_MODIFIED_DATE</v>
      </c>
      <c r="X797" t="str">
        <f>VLOOKUP(W797,ColumnMapping[New Table.Column],1,)</f>
        <v>PROJECT_COST_SET.LAST_MODIFIED_DATE</v>
      </c>
      <c r="Y797" t="str">
        <f>_xlfn.XLOOKUP(Table6[[#This Row],[Table.Column]],ColumnMapping[Add Column Name],ColumnMapping[Old Table.Column],"",0,1)</f>
        <v/>
      </c>
      <c r="Z797" t="str">
        <f>_xlfn.XLOOKUP(Table6[[#This Row],[Old Table.Column]],Cobra8.6[Table.Column],Cobra8.6[TYPE],"",0,1)</f>
        <v/>
      </c>
      <c r="AA797" t="str">
        <f>_xlfn.XLOOKUP(Table6[[#This Row],[Old Table.Column]],Cobra8.6[Table.Column],Cobra8.6[LENGTH],"",0,1)</f>
        <v/>
      </c>
      <c r="AB797"/>
    </row>
    <row r="798" spans="1:28" hidden="1" x14ac:dyDescent="0.2">
      <c r="A798" t="s">
        <v>450</v>
      </c>
      <c r="B798" t="s">
        <v>1347</v>
      </c>
      <c r="C798" t="s">
        <v>15</v>
      </c>
      <c r="D798">
        <v>10</v>
      </c>
      <c r="E798" t="s">
        <v>48</v>
      </c>
      <c r="F798" t="str">
        <f>VLOOKUP($E798,'Data Type Lookup'!$A$1:$C$21,2,FALSE)</f>
        <v>NVARCHAR2</v>
      </c>
      <c r="G798">
        <v>256</v>
      </c>
      <c r="P798" t="s">
        <v>1357</v>
      </c>
      <c r="Q798" t="s">
        <v>75</v>
      </c>
      <c r="R798" t="str">
        <f>VLOOKUP(E798,'Data Type Lookup'!$A$1:$C$21,3,FALSE)</f>
        <v>String</v>
      </c>
      <c r="W798" t="str">
        <f t="shared" si="19"/>
        <v>PROJECT_COST_SET.DESCRIPTION</v>
      </c>
      <c r="X798" t="str">
        <f>VLOOKUP(W798,ColumnMapping[New Table.Column],1,)</f>
        <v>PROJECT_COST_SET.DESCRIPTION</v>
      </c>
      <c r="Y798" t="str">
        <f>_xlfn.XLOOKUP(Table6[[#This Row],[Table.Column]],ColumnMapping[Add Column Name],ColumnMapping[Old Table.Column],"",0,1)</f>
        <v/>
      </c>
      <c r="Z798" t="str">
        <f>_xlfn.XLOOKUP(Table6[[#This Row],[Old Table.Column]],Cobra8.6[Table.Column],Cobra8.6[TYPE],"",0,1)</f>
        <v/>
      </c>
      <c r="AA798" t="str">
        <f>_xlfn.XLOOKUP(Table6[[#This Row],[Old Table.Column]],Cobra8.6[Table.Column],Cobra8.6[LENGTH],"",0,1)</f>
        <v/>
      </c>
      <c r="AB798"/>
    </row>
    <row r="799" spans="1:28" hidden="1" x14ac:dyDescent="0.2">
      <c r="A799" t="s">
        <v>450</v>
      </c>
      <c r="B799" t="s">
        <v>1347</v>
      </c>
      <c r="C799" s="39" t="s">
        <v>744</v>
      </c>
      <c r="D799" s="39">
        <v>11</v>
      </c>
      <c r="E799" s="39" t="s">
        <v>86</v>
      </c>
      <c r="F799" s="39" t="s">
        <v>773</v>
      </c>
      <c r="G799" s="39">
        <v>22</v>
      </c>
      <c r="H799" s="39"/>
      <c r="I799" s="47"/>
      <c r="J799" s="37" t="s">
        <v>605</v>
      </c>
      <c r="K799" s="47"/>
      <c r="L799" s="47"/>
      <c r="M799" s="39"/>
      <c r="N799" s="39"/>
      <c r="O799" s="39"/>
      <c r="P799" s="39" t="s">
        <v>745</v>
      </c>
      <c r="Q799" s="39" t="s">
        <v>814</v>
      </c>
      <c r="R799" s="39" t="s">
        <v>681</v>
      </c>
      <c r="S799" s="39"/>
      <c r="W799" t="str">
        <f t="shared" si="19"/>
        <v>PROJECT_COST_SET.PROGRAM</v>
      </c>
      <c r="X799" t="e">
        <f>VLOOKUP(W799,ColumnMapping[New Table.Column],1,)</f>
        <v>#N/A</v>
      </c>
      <c r="Y799" t="str">
        <f>_xlfn.XLOOKUP(Table6[[#This Row],[Table.Column]],ColumnMapping[Add Column Name],ColumnMapping[Old Table.Column],"",0,1)</f>
        <v/>
      </c>
      <c r="Z799" t="str">
        <f>_xlfn.XLOOKUP(Table6[[#This Row],[Old Table.Column]],Cobra8.6[Table.Column],Cobra8.6[TYPE],"",0,1)</f>
        <v/>
      </c>
      <c r="AA799" t="str">
        <f>_xlfn.XLOOKUP(Table6[[#This Row],[Old Table.Column]],Cobra8.6[Table.Column],Cobra8.6[LENGTH],"",0,1)</f>
        <v/>
      </c>
      <c r="AB799" t="s">
        <v>32</v>
      </c>
    </row>
    <row r="800" spans="1:28" hidden="1" x14ac:dyDescent="0.2">
      <c r="A800" t="s">
        <v>450</v>
      </c>
      <c r="B800" t="s">
        <v>1358</v>
      </c>
      <c r="C800" t="s">
        <v>30</v>
      </c>
      <c r="D800">
        <v>1</v>
      </c>
      <c r="E800" t="s">
        <v>31</v>
      </c>
      <c r="F800" t="str">
        <f>VLOOKUP($E800,'Data Type Lookup'!$A$1:$C$21,2,FALSE)</f>
        <v>RAW(16)</v>
      </c>
      <c r="I800" s="32" t="s">
        <v>32</v>
      </c>
      <c r="K800" s="32" t="s">
        <v>32</v>
      </c>
      <c r="P800" t="s">
        <v>1359</v>
      </c>
      <c r="Q800" t="s">
        <v>34</v>
      </c>
      <c r="R800" t="str">
        <f>VLOOKUP(E800,'Data Type Lookup'!$A$1:$C$21,3,FALSE)</f>
        <v>java.util.UUID</v>
      </c>
      <c r="S800">
        <v>3</v>
      </c>
      <c r="W800" t="str">
        <f t="shared" si="19"/>
        <v>PROJECT_COST_SET_CLASS.ROW_UID</v>
      </c>
      <c r="X800" t="str">
        <f>VLOOKUP(W800,ColumnMapping[New Table.Column],1,)</f>
        <v>PROJECT_COST_SET_CLASS.ROW_UID</v>
      </c>
      <c r="Y800" t="str">
        <f>_xlfn.XLOOKUP(Table6[[#This Row],[Table.Column]],ColumnMapping[Add Column Name],ColumnMapping[Old Table.Column],"",0,1)</f>
        <v/>
      </c>
      <c r="Z800" t="str">
        <f>_xlfn.XLOOKUP(Table6[[#This Row],[Old Table.Column]],Cobra8.6[Table.Column],Cobra8.6[TYPE],"",0,1)</f>
        <v/>
      </c>
      <c r="AA800" t="str">
        <f>_xlfn.XLOOKUP(Table6[[#This Row],[Old Table.Column]],Cobra8.6[Table.Column],Cobra8.6[LENGTH],"",0,1)</f>
        <v/>
      </c>
      <c r="AB800"/>
    </row>
    <row r="801" spans="1:28" hidden="1" x14ac:dyDescent="0.2">
      <c r="A801" t="s">
        <v>450</v>
      </c>
      <c r="B801" t="s">
        <v>1358</v>
      </c>
      <c r="C801" t="s">
        <v>35</v>
      </c>
      <c r="D801">
        <v>2</v>
      </c>
      <c r="E801" t="s">
        <v>36</v>
      </c>
      <c r="F801" t="str">
        <f>VLOOKUP($E801,'Data Type Lookup'!$A$1:$C$21,2,FALSE)</f>
        <v>NUMBER(19,0)</v>
      </c>
      <c r="I801" s="32" t="s">
        <v>32</v>
      </c>
      <c r="J801" s="32">
        <v>0</v>
      </c>
      <c r="P801" t="s">
        <v>37</v>
      </c>
      <c r="Q801" t="s">
        <v>38</v>
      </c>
      <c r="R801" t="str">
        <f>VLOOKUP(E801,'Data Type Lookup'!$A$1:$C$21,3,FALSE)</f>
        <v>Long</v>
      </c>
      <c r="S801">
        <v>3</v>
      </c>
      <c r="W801" t="str">
        <f t="shared" si="19"/>
        <v>PROJECT_COST_SET_CLASS.SEQUENCE</v>
      </c>
      <c r="X801" t="str">
        <f>VLOOKUP(W801,ColumnMapping[New Table.Column],1,)</f>
        <v>PROJECT_COST_SET_CLASS.SEQUENCE</v>
      </c>
      <c r="Y801" t="str">
        <f>_xlfn.XLOOKUP(Table6[[#This Row],[Table.Column]],ColumnMapping[Add Column Name],ColumnMapping[Old Table.Column],"",0,1)</f>
        <v/>
      </c>
      <c r="Z801" t="str">
        <f>_xlfn.XLOOKUP(Table6[[#This Row],[Old Table.Column]],Cobra8.6[Table.Column],Cobra8.6[TYPE],"",0,1)</f>
        <v/>
      </c>
      <c r="AA801" t="str">
        <f>_xlfn.XLOOKUP(Table6[[#This Row],[Old Table.Column]],Cobra8.6[Table.Column],Cobra8.6[LENGTH],"",0,1)</f>
        <v/>
      </c>
      <c r="AB801"/>
    </row>
    <row r="802" spans="1:28" hidden="1" x14ac:dyDescent="0.2">
      <c r="A802" t="s">
        <v>450</v>
      </c>
      <c r="B802" t="s">
        <v>1358</v>
      </c>
      <c r="C802" t="s">
        <v>1360</v>
      </c>
      <c r="D802">
        <v>4</v>
      </c>
      <c r="E802" t="s">
        <v>31</v>
      </c>
      <c r="F802" t="str">
        <f>VLOOKUP($E802,'Data Type Lookup'!$A$1:$C$21,2,FALSE)</f>
        <v>RAW(16)</v>
      </c>
      <c r="I802" s="32" t="s">
        <v>32</v>
      </c>
      <c r="L802" s="32" t="s">
        <v>32</v>
      </c>
      <c r="M802" t="s">
        <v>1347</v>
      </c>
      <c r="N802" t="s">
        <v>30</v>
      </c>
      <c r="O802" t="s">
        <v>41</v>
      </c>
      <c r="P802" t="s">
        <v>1361</v>
      </c>
      <c r="Q802" t="s">
        <v>1362</v>
      </c>
      <c r="R802" t="str">
        <f>VLOOKUP(E802,'Data Type Lookup'!$A$1:$C$21,3,FALSE)</f>
        <v>java.util.UUID</v>
      </c>
      <c r="S802">
        <v>1</v>
      </c>
      <c r="W802" t="str">
        <f t="shared" si="19"/>
        <v>PROJECT_COST_SET_CLASS.PROJECT_COST_SET_UID</v>
      </c>
      <c r="X802" t="str">
        <f>VLOOKUP(W802,ColumnMapping[New Table.Column],1,)</f>
        <v>PROJECT_COST_SET_CLASS.PROJECT_COST_SET_UID</v>
      </c>
      <c r="Y802" t="str">
        <f>_xlfn.XLOOKUP(Table6[[#This Row],[Table.Column]],ColumnMapping[Add Column Name],ColumnMapping[Old Table.Column],"",0,1)</f>
        <v/>
      </c>
      <c r="Z802" t="str">
        <f>_xlfn.XLOOKUP(Table6[[#This Row],[Old Table.Column]],Cobra8.6[Table.Column],Cobra8.6[TYPE],"",0,1)</f>
        <v/>
      </c>
      <c r="AA802" t="str">
        <f>_xlfn.XLOOKUP(Table6[[#This Row],[Old Table.Column]],Cobra8.6[Table.Column],Cobra8.6[LENGTH],"",0,1)</f>
        <v/>
      </c>
      <c r="AB802"/>
    </row>
    <row r="803" spans="1:28" hidden="1" x14ac:dyDescent="0.2">
      <c r="A803" t="s">
        <v>450</v>
      </c>
      <c r="B803" t="s">
        <v>1358</v>
      </c>
      <c r="C803" t="s">
        <v>1067</v>
      </c>
      <c r="D803">
        <v>5</v>
      </c>
      <c r="E803" t="s">
        <v>31</v>
      </c>
      <c r="F803" t="str">
        <f>VLOOKUP($E803,'Data Type Lookup'!$A$1:$C$21,2,FALSE)</f>
        <v>RAW(16)</v>
      </c>
      <c r="I803" s="32" t="s">
        <v>32</v>
      </c>
      <c r="L803" s="32" t="s">
        <v>32</v>
      </c>
      <c r="M803" t="s">
        <v>1068</v>
      </c>
      <c r="N803" t="s">
        <v>30</v>
      </c>
      <c r="O803" t="s">
        <v>41</v>
      </c>
      <c r="P803" t="s">
        <v>1363</v>
      </c>
      <c r="Q803" t="s">
        <v>1364</v>
      </c>
      <c r="R803" t="str">
        <f>VLOOKUP(E803,'Data Type Lookup'!$A$1:$C$21,3,FALSE)</f>
        <v>java.util.UUID</v>
      </c>
      <c r="S803">
        <v>1</v>
      </c>
      <c r="W803" t="str">
        <f t="shared" si="19"/>
        <v>PROJECT_COST_SET_CLASS.PROJECT_COST_CLASS_UID</v>
      </c>
      <c r="X803" t="str">
        <f>VLOOKUP(W803,ColumnMapping[New Table.Column],1,)</f>
        <v>PROJECT_COST_SET_CLASS.PROJECT_COST_CLASS_UID</v>
      </c>
      <c r="Y803" t="str">
        <f>_xlfn.XLOOKUP(Table6[[#This Row],[Table.Column]],ColumnMapping[Add Column Name],ColumnMapping[Old Table.Column],"",0,1)</f>
        <v/>
      </c>
      <c r="Z803" t="str">
        <f>_xlfn.XLOOKUP(Table6[[#This Row],[Old Table.Column]],Cobra8.6[Table.Column],Cobra8.6[TYPE],"",0,1)</f>
        <v/>
      </c>
      <c r="AA803" t="str">
        <f>_xlfn.XLOOKUP(Table6[[#This Row],[Old Table.Column]],Cobra8.6[Table.Column],Cobra8.6[LENGTH],"",0,1)</f>
        <v/>
      </c>
      <c r="AB803"/>
    </row>
    <row r="804" spans="1:28" hidden="1" x14ac:dyDescent="0.2">
      <c r="A804" t="s">
        <v>450</v>
      </c>
      <c r="B804" t="s">
        <v>1358</v>
      </c>
      <c r="C804" t="s">
        <v>61</v>
      </c>
      <c r="D804">
        <v>6</v>
      </c>
      <c r="E804" t="s">
        <v>31</v>
      </c>
      <c r="F804" t="str">
        <f>VLOOKUP($E804,'Data Type Lookup'!$A$1:$C$21,2,FALSE)</f>
        <v>RAW(16)</v>
      </c>
      <c r="I804" s="32" t="s">
        <v>32</v>
      </c>
      <c r="P804" t="s">
        <v>1365</v>
      </c>
      <c r="Q804" t="s">
        <v>63</v>
      </c>
      <c r="R804" t="str">
        <f>VLOOKUP(E804,'Data Type Lookup'!$A$1:$C$21,3,FALSE)</f>
        <v>java.util.UUID</v>
      </c>
      <c r="S804">
        <v>2</v>
      </c>
      <c r="W804" t="str">
        <f t="shared" si="19"/>
        <v>PROJECT_COST_SET_CLASS.CREATED_BY_USER_UID</v>
      </c>
      <c r="X804" t="str">
        <f>VLOOKUP(W804,ColumnMapping[New Table.Column],1,)</f>
        <v>PROJECT_COST_SET_CLASS.CREATED_BY_USER_UID</v>
      </c>
      <c r="Y804" t="str">
        <f>_xlfn.XLOOKUP(Table6[[#This Row],[Table.Column]],ColumnMapping[Add Column Name],ColumnMapping[Old Table.Column],"",0,1)</f>
        <v/>
      </c>
      <c r="Z804" t="str">
        <f>_xlfn.XLOOKUP(Table6[[#This Row],[Old Table.Column]],Cobra8.6[Table.Column],Cobra8.6[TYPE],"",0,1)</f>
        <v/>
      </c>
      <c r="AA804" t="str">
        <f>_xlfn.XLOOKUP(Table6[[#This Row],[Old Table.Column]],Cobra8.6[Table.Column],Cobra8.6[LENGTH],"",0,1)</f>
        <v/>
      </c>
      <c r="AB804"/>
    </row>
    <row r="805" spans="1:28" hidden="1" x14ac:dyDescent="0.2">
      <c r="A805" t="s">
        <v>450</v>
      </c>
      <c r="B805" t="s">
        <v>1358</v>
      </c>
      <c r="C805" t="s">
        <v>64</v>
      </c>
      <c r="D805">
        <v>7</v>
      </c>
      <c r="E805" t="s">
        <v>65</v>
      </c>
      <c r="F805" t="str">
        <f>VLOOKUP($E805,'Data Type Lookup'!$A$1:$C$21,2,FALSE)</f>
        <v>TIMESTAMP</v>
      </c>
      <c r="I805" s="32" t="s">
        <v>32</v>
      </c>
      <c r="P805" t="s">
        <v>1366</v>
      </c>
      <c r="Q805" t="s">
        <v>67</v>
      </c>
      <c r="R805" t="str">
        <f>VLOOKUP(E805,'Data Type Lookup'!$A$1:$C$21,3,FALSE)</f>
        <v>java.time.Instant</v>
      </c>
      <c r="S805">
        <v>2</v>
      </c>
      <c r="W805" t="str">
        <f t="shared" si="19"/>
        <v>PROJECT_COST_SET_CLASS.CREATED_DATE</v>
      </c>
      <c r="X805" t="str">
        <f>VLOOKUP(W805,ColumnMapping[New Table.Column],1,)</f>
        <v>PROJECT_COST_SET_CLASS.CREATED_DATE</v>
      </c>
      <c r="Y805" t="str">
        <f>_xlfn.XLOOKUP(Table6[[#This Row],[Table.Column]],ColumnMapping[Add Column Name],ColumnMapping[Old Table.Column],"",0,1)</f>
        <v/>
      </c>
      <c r="Z805" t="str">
        <f>_xlfn.XLOOKUP(Table6[[#This Row],[Old Table.Column]],Cobra8.6[Table.Column],Cobra8.6[TYPE],"",0,1)</f>
        <v/>
      </c>
      <c r="AA805" t="str">
        <f>_xlfn.XLOOKUP(Table6[[#This Row],[Old Table.Column]],Cobra8.6[Table.Column],Cobra8.6[LENGTH],"",0,1)</f>
        <v/>
      </c>
      <c r="AB805"/>
    </row>
    <row r="806" spans="1:28" hidden="1" x14ac:dyDescent="0.2">
      <c r="A806" t="s">
        <v>450</v>
      </c>
      <c r="B806" t="s">
        <v>1358</v>
      </c>
      <c r="C806" t="s">
        <v>68</v>
      </c>
      <c r="D806">
        <v>7</v>
      </c>
      <c r="E806" t="s">
        <v>31</v>
      </c>
      <c r="F806" t="str">
        <f>VLOOKUP($E806,'Data Type Lookup'!$A$1:$C$21,2,FALSE)</f>
        <v>RAW(16)</v>
      </c>
      <c r="I806" s="32" t="s">
        <v>32</v>
      </c>
      <c r="P806" t="s">
        <v>1367</v>
      </c>
      <c r="Q806" t="s">
        <v>70</v>
      </c>
      <c r="R806" t="str">
        <f>VLOOKUP(E806,'Data Type Lookup'!$A$1:$C$21,3,FALSE)</f>
        <v>java.util.UUID</v>
      </c>
      <c r="S806">
        <v>2</v>
      </c>
      <c r="W806" t="str">
        <f t="shared" si="19"/>
        <v>PROJECT_COST_SET_CLASS.LAST_MODIFIED_BY_USER_UID</v>
      </c>
      <c r="X806" t="str">
        <f>VLOOKUP(W806,ColumnMapping[New Table.Column],1,)</f>
        <v>PROJECT_COST_SET_CLASS.LAST_MODIFIED_BY_USER_UID</v>
      </c>
      <c r="Y806" t="str">
        <f>_xlfn.XLOOKUP(Table6[[#This Row],[Table.Column]],ColumnMapping[Add Column Name],ColumnMapping[Old Table.Column],"",0,1)</f>
        <v/>
      </c>
      <c r="Z806" t="str">
        <f>_xlfn.XLOOKUP(Table6[[#This Row],[Old Table.Column]],Cobra8.6[Table.Column],Cobra8.6[TYPE],"",0,1)</f>
        <v/>
      </c>
      <c r="AA806" t="str">
        <f>_xlfn.XLOOKUP(Table6[[#This Row],[Old Table.Column]],Cobra8.6[Table.Column],Cobra8.6[LENGTH],"",0,1)</f>
        <v/>
      </c>
      <c r="AB806"/>
    </row>
    <row r="807" spans="1:28" hidden="1" x14ac:dyDescent="0.2">
      <c r="A807" t="s">
        <v>450</v>
      </c>
      <c r="B807" t="s">
        <v>1358</v>
      </c>
      <c r="C807" t="s">
        <v>71</v>
      </c>
      <c r="D807">
        <v>8</v>
      </c>
      <c r="E807" t="s">
        <v>65</v>
      </c>
      <c r="F807" t="str">
        <f>VLOOKUP($E807,'Data Type Lookup'!$A$1:$C$21,2,FALSE)</f>
        <v>TIMESTAMP</v>
      </c>
      <c r="I807" s="32" t="s">
        <v>32</v>
      </c>
      <c r="P807" t="s">
        <v>1368</v>
      </c>
      <c r="Q807" t="s">
        <v>73</v>
      </c>
      <c r="R807" t="str">
        <f>VLOOKUP(E807,'Data Type Lookup'!$A$1:$C$21,3,FALSE)</f>
        <v>java.time.Instant</v>
      </c>
      <c r="S807">
        <v>2</v>
      </c>
      <c r="W807" t="str">
        <f t="shared" si="19"/>
        <v>PROJECT_COST_SET_CLASS.LAST_MODIFIED_DATE</v>
      </c>
      <c r="X807" t="str">
        <f>VLOOKUP(W807,ColumnMapping[New Table.Column],1,)</f>
        <v>PROJECT_COST_SET_CLASS.LAST_MODIFIED_DATE</v>
      </c>
      <c r="Y807" t="str">
        <f>_xlfn.XLOOKUP(Table6[[#This Row],[Table.Column]],ColumnMapping[Add Column Name],ColumnMapping[Old Table.Column],"",0,1)</f>
        <v/>
      </c>
      <c r="Z807" t="str">
        <f>_xlfn.XLOOKUP(Table6[[#This Row],[Old Table.Column]],Cobra8.6[Table.Column],Cobra8.6[TYPE],"",0,1)</f>
        <v/>
      </c>
      <c r="AA807" t="str">
        <f>_xlfn.XLOOKUP(Table6[[#This Row],[Old Table.Column]],Cobra8.6[Table.Column],Cobra8.6[LENGTH],"",0,1)</f>
        <v/>
      </c>
      <c r="AB807"/>
    </row>
    <row r="808" spans="1:28" hidden="1" x14ac:dyDescent="0.2">
      <c r="A808" t="s">
        <v>450</v>
      </c>
      <c r="B808" s="17" t="s">
        <v>1358</v>
      </c>
      <c r="C808" s="17" t="s">
        <v>744</v>
      </c>
      <c r="D808" s="17">
        <v>9</v>
      </c>
      <c r="E808" s="17" t="s">
        <v>86</v>
      </c>
      <c r="F808" t="str">
        <f>VLOOKUP($E808,'Data Type Lookup'!$A$1:$C$21,2,FALSE)</f>
        <v>VARCHAR2</v>
      </c>
      <c r="G808" s="17">
        <v>22</v>
      </c>
      <c r="H808" s="17"/>
      <c r="I808" s="29"/>
      <c r="J808" s="37" t="s">
        <v>605</v>
      </c>
      <c r="K808" s="29"/>
      <c r="L808" s="29"/>
      <c r="M808" s="17"/>
      <c r="N808" s="17"/>
      <c r="O808" s="17"/>
      <c r="P808" s="17" t="s">
        <v>745</v>
      </c>
      <c r="Q808" s="17" t="s">
        <v>814</v>
      </c>
      <c r="R808" t="str">
        <f>VLOOKUP(E808,'Data Type Lookup'!$A$1:$C$21,3,FALSE)</f>
        <v>String</v>
      </c>
      <c r="S808" s="17"/>
      <c r="W808" t="str">
        <f t="shared" si="19"/>
        <v>PROJECT_COST_SET_CLASS.PROGRAM</v>
      </c>
      <c r="X808" t="e">
        <f>VLOOKUP(W808,ColumnMapping[New Table.Column],1,)</f>
        <v>#N/A</v>
      </c>
      <c r="Y808" t="str">
        <f>_xlfn.XLOOKUP(Table6[[#This Row],[Table.Column]],ColumnMapping[Add Column Name],ColumnMapping[Old Table.Column],"",0,1)</f>
        <v>COSTREPCLASS.PROGRAM</v>
      </c>
      <c r="Z808" t="str">
        <f>_xlfn.XLOOKUP(Table6[[#This Row],[Old Table.Column]],Cobra8.6[Table.Column],Cobra8.6[TYPE],"",0,1)</f>
        <v>TEXT</v>
      </c>
      <c r="AA808">
        <f>_xlfn.XLOOKUP(Table6[[#This Row],[Old Table.Column]],Cobra8.6[Table.Column],Cobra8.6[LENGTH],"",0,1)</f>
        <v>22</v>
      </c>
      <c r="AB808" t="s">
        <v>32</v>
      </c>
    </row>
    <row r="809" spans="1:28" hidden="1" x14ac:dyDescent="0.2">
      <c r="A809" t="s">
        <v>450</v>
      </c>
      <c r="B809" s="17" t="s">
        <v>1358</v>
      </c>
      <c r="C809" s="39" t="s">
        <v>1369</v>
      </c>
      <c r="D809" s="39">
        <v>10</v>
      </c>
      <c r="E809" s="39" t="s">
        <v>86</v>
      </c>
      <c r="F809" s="39" t="s">
        <v>349</v>
      </c>
      <c r="G809" s="39">
        <v>20</v>
      </c>
      <c r="H809" s="39"/>
      <c r="I809" s="47"/>
      <c r="J809" s="37" t="s">
        <v>605</v>
      </c>
      <c r="K809" s="47"/>
      <c r="L809" s="47"/>
      <c r="M809" s="39"/>
      <c r="N809" s="39"/>
      <c r="O809" s="39"/>
      <c r="P809" s="39" t="s">
        <v>1370</v>
      </c>
      <c r="Q809" s="39" t="s">
        <v>1371</v>
      </c>
      <c r="R809" t="str">
        <f>VLOOKUP(E809,'Data Type Lookup'!$A$1:$C$21,3,FALSE)</f>
        <v>String</v>
      </c>
      <c r="S809" s="39"/>
      <c r="W809" t="str">
        <f t="shared" si="19"/>
        <v>PROJECT_COST_SET_CLASS.COST</v>
      </c>
      <c r="X809" t="e">
        <f>VLOOKUP(W809,ColumnMapping[New Table.Column],1,)</f>
        <v>#N/A</v>
      </c>
      <c r="Y809" t="str">
        <f>_xlfn.XLOOKUP(Table6[[#This Row],[Table.Column]],ColumnMapping[Add Column Name],ColumnMapping[Old Table.Column],"",0,1)</f>
        <v/>
      </c>
      <c r="Z809" t="str">
        <f>_xlfn.XLOOKUP(Table6[[#This Row],[Old Table.Column]],Cobra8.6[Table.Column],Cobra8.6[TYPE],"",0,1)</f>
        <v/>
      </c>
      <c r="AA809" t="str">
        <f>_xlfn.XLOOKUP(Table6[[#This Row],[Old Table.Column]],Cobra8.6[Table.Column],Cobra8.6[LENGTH],"",0,1)</f>
        <v/>
      </c>
      <c r="AB809" t="s">
        <v>32</v>
      </c>
    </row>
    <row r="810" spans="1:28" hidden="1" x14ac:dyDescent="0.2">
      <c r="A810" t="s">
        <v>450</v>
      </c>
      <c r="B810" s="17" t="s">
        <v>1358</v>
      </c>
      <c r="C810" s="39" t="s">
        <v>1100</v>
      </c>
      <c r="D810" s="39">
        <v>11</v>
      </c>
      <c r="E810" s="39" t="s">
        <v>86</v>
      </c>
      <c r="F810" s="39" t="s">
        <v>349</v>
      </c>
      <c r="G810" s="39">
        <v>20</v>
      </c>
      <c r="H810" s="39"/>
      <c r="I810" s="47"/>
      <c r="J810" s="47"/>
      <c r="K810" s="47"/>
      <c r="L810" s="47"/>
      <c r="M810" s="39"/>
      <c r="N810" s="39"/>
      <c r="O810" s="39"/>
      <c r="P810" s="39" t="s">
        <v>1178</v>
      </c>
      <c r="Q810" s="39" t="s">
        <v>1101</v>
      </c>
      <c r="R810" t="str">
        <f>VLOOKUP(E810,'Data Type Lookup'!$A$1:$C$21,3,FALSE)</f>
        <v>String</v>
      </c>
      <c r="S810" s="39"/>
      <c r="W810" t="str">
        <f t="shared" si="19"/>
        <v>PROJECT_COST_SET_CLASS.CLASS</v>
      </c>
      <c r="X810" t="e">
        <f>VLOOKUP(W810,ColumnMapping[New Table.Column],1,)</f>
        <v>#N/A</v>
      </c>
      <c r="Y810" t="str">
        <f>_xlfn.XLOOKUP(Table6[[#This Row],[Table.Column]],ColumnMapping[Add Column Name],ColumnMapping[Old Table.Column],"",0,1)</f>
        <v/>
      </c>
      <c r="Z810" t="str">
        <f>_xlfn.XLOOKUP(Table6[[#This Row],[Old Table.Column]],Cobra8.6[Table.Column],Cobra8.6[TYPE],"",0,1)</f>
        <v/>
      </c>
      <c r="AA810" t="str">
        <f>_xlfn.XLOOKUP(Table6[[#This Row],[Old Table.Column]],Cobra8.6[Table.Column],Cobra8.6[LENGTH],"",0,1)</f>
        <v/>
      </c>
      <c r="AB810" t="s">
        <v>32</v>
      </c>
    </row>
    <row r="811" spans="1:28" hidden="1" x14ac:dyDescent="0.2">
      <c r="A811" t="s">
        <v>450</v>
      </c>
      <c r="B811" t="s">
        <v>1372</v>
      </c>
      <c r="C811" t="s">
        <v>30</v>
      </c>
      <c r="D811">
        <v>1</v>
      </c>
      <c r="E811" t="s">
        <v>31</v>
      </c>
      <c r="F811" t="str">
        <f>VLOOKUP($E811,'Data Type Lookup'!$A$1:$C$21,2,FALSE)</f>
        <v>RAW(16)</v>
      </c>
      <c r="I811" s="32" t="s">
        <v>32</v>
      </c>
      <c r="K811" s="32" t="s">
        <v>32</v>
      </c>
      <c r="M811" t="s">
        <v>451</v>
      </c>
      <c r="N811" t="s">
        <v>30</v>
      </c>
      <c r="O811" t="s">
        <v>1195</v>
      </c>
      <c r="P811" t="s">
        <v>452</v>
      </c>
      <c r="Q811" t="s">
        <v>34</v>
      </c>
      <c r="R811" t="str">
        <f>VLOOKUP(E811,'Data Type Lookup'!$A$1:$C$21,3,FALSE)</f>
        <v>java.util.UUID</v>
      </c>
      <c r="S811">
        <v>3</v>
      </c>
      <c r="V811" t="s">
        <v>1373</v>
      </c>
      <c r="W811" t="str">
        <f t="shared" si="19"/>
        <v>PROJECT_COST_TOTAL.ROW_UID</v>
      </c>
      <c r="X811" t="str">
        <f>VLOOKUP(W811,ColumnMapping[New Table.Column],1,)</f>
        <v>PROJECT_COST_TOTAL.ROW_UID</v>
      </c>
      <c r="Y811" t="str">
        <f>_xlfn.XLOOKUP(Table6[[#This Row],[Table.Column]],ColumnMapping[Add Column Name],ColumnMapping[Old Table.Column],"",0,1)</f>
        <v/>
      </c>
      <c r="Z811" t="str">
        <f>_xlfn.XLOOKUP(Table6[[#This Row],[Old Table.Column]],Cobra8.6[Table.Column],Cobra8.6[TYPE],"",0,1)</f>
        <v/>
      </c>
      <c r="AA811" t="str">
        <f>_xlfn.XLOOKUP(Table6[[#This Row],[Old Table.Column]],Cobra8.6[Table.Column],Cobra8.6[LENGTH],"",0,1)</f>
        <v/>
      </c>
      <c r="AB811"/>
    </row>
    <row r="812" spans="1:28" hidden="1" x14ac:dyDescent="0.2">
      <c r="A812" t="s">
        <v>450</v>
      </c>
      <c r="B812" t="s">
        <v>1372</v>
      </c>
      <c r="C812" t="s">
        <v>600</v>
      </c>
      <c r="D812">
        <v>2</v>
      </c>
      <c r="E812" t="s">
        <v>161</v>
      </c>
      <c r="F812" t="str">
        <f>VLOOKUP($E812,'Data Type Lookup'!$A$1:$C$21,2,FALSE)</f>
        <v>NUMBER(21,6)</v>
      </c>
      <c r="I812" s="32" t="s">
        <v>32</v>
      </c>
      <c r="J812" s="32">
        <v>0</v>
      </c>
      <c r="P812" t="s">
        <v>1374</v>
      </c>
      <c r="Q812" t="s">
        <v>839</v>
      </c>
      <c r="R812" t="str">
        <f>VLOOKUP(E812,'Data Type Lookup'!$A$1:$C$21,3,FALSE)</f>
        <v>java.math.BigDecimal</v>
      </c>
      <c r="V812" t="s">
        <v>1375</v>
      </c>
      <c r="W812" t="str">
        <f t="shared" si="19"/>
        <v>PROJECT_COST_TOTAL.ACWP</v>
      </c>
      <c r="X812" t="str">
        <f>VLOOKUP(W812,ColumnMapping[New Table.Column],1,)</f>
        <v>PROJECT_COST_TOTAL.ACWP</v>
      </c>
      <c r="Y812" t="str">
        <f>_xlfn.XLOOKUP(Table6[[#This Row],[Table.Column]],ColumnMapping[Add Column Name],ColumnMapping[Old Table.Column],"",0,1)</f>
        <v/>
      </c>
      <c r="Z812" t="str">
        <f>_xlfn.XLOOKUP(Table6[[#This Row],[Old Table.Column]],Cobra8.6[Table.Column],Cobra8.6[TYPE],"",0,1)</f>
        <v/>
      </c>
      <c r="AA812" t="str">
        <f>_xlfn.XLOOKUP(Table6[[#This Row],[Old Table.Column]],Cobra8.6[Table.Column],Cobra8.6[LENGTH],"",0,1)</f>
        <v/>
      </c>
      <c r="AB812"/>
    </row>
    <row r="813" spans="1:28" hidden="1" x14ac:dyDescent="0.2">
      <c r="A813" t="s">
        <v>450</v>
      </c>
      <c r="B813" t="s">
        <v>1372</v>
      </c>
      <c r="C813" t="s">
        <v>613</v>
      </c>
      <c r="D813">
        <v>3</v>
      </c>
      <c r="E813" t="s">
        <v>161</v>
      </c>
      <c r="F813" t="str">
        <f>VLOOKUP($E813,'Data Type Lookup'!$A$1:$C$21,2,FALSE)</f>
        <v>NUMBER(21,6)</v>
      </c>
      <c r="I813" s="32" t="s">
        <v>32</v>
      </c>
      <c r="J813" s="32">
        <v>0</v>
      </c>
      <c r="P813" t="s">
        <v>1376</v>
      </c>
      <c r="Q813" t="s">
        <v>838</v>
      </c>
      <c r="R813" t="str">
        <f>VLOOKUP(E813,'Data Type Lookup'!$A$1:$C$21,3,FALSE)</f>
        <v>java.math.BigDecimal</v>
      </c>
      <c r="V813" t="s">
        <v>1375</v>
      </c>
      <c r="W813" t="str">
        <f t="shared" si="19"/>
        <v>PROJECT_COST_TOTAL.BCWP</v>
      </c>
      <c r="X813" t="str">
        <f>VLOOKUP(W813,ColumnMapping[New Table.Column],1,)</f>
        <v>PROJECT_COST_TOTAL.BCWP</v>
      </c>
      <c r="Y813" t="str">
        <f>_xlfn.XLOOKUP(Table6[[#This Row],[Table.Column]],ColumnMapping[Add Column Name],ColumnMapping[Old Table.Column],"",0,1)</f>
        <v/>
      </c>
      <c r="Z813" t="str">
        <f>_xlfn.XLOOKUP(Table6[[#This Row],[Old Table.Column]],Cobra8.6[Table.Column],Cobra8.6[TYPE],"",0,1)</f>
        <v/>
      </c>
      <c r="AA813" t="str">
        <f>_xlfn.XLOOKUP(Table6[[#This Row],[Old Table.Column]],Cobra8.6[Table.Column],Cobra8.6[LENGTH],"",0,1)</f>
        <v/>
      </c>
      <c r="AB813"/>
    </row>
    <row r="814" spans="1:28" hidden="1" x14ac:dyDescent="0.2">
      <c r="A814" t="s">
        <v>450</v>
      </c>
      <c r="B814" t="s">
        <v>1372</v>
      </c>
      <c r="C814" t="s">
        <v>617</v>
      </c>
      <c r="D814">
        <v>4</v>
      </c>
      <c r="E814" t="s">
        <v>161</v>
      </c>
      <c r="F814" t="str">
        <f>VLOOKUP($E814,'Data Type Lookup'!$A$1:$C$21,2,FALSE)</f>
        <v>NUMBER(21,6)</v>
      </c>
      <c r="I814" s="32" t="s">
        <v>32</v>
      </c>
      <c r="J814" s="32">
        <v>0</v>
      </c>
      <c r="P814" t="s">
        <v>1377</v>
      </c>
      <c r="Q814" t="s">
        <v>837</v>
      </c>
      <c r="R814" t="str">
        <f>VLOOKUP(E814,'Data Type Lookup'!$A$1:$C$21,3,FALSE)</f>
        <v>java.math.BigDecimal</v>
      </c>
      <c r="V814" t="s">
        <v>1375</v>
      </c>
      <c r="W814" t="str">
        <f t="shared" si="19"/>
        <v>PROJECT_COST_TOTAL.BCWS</v>
      </c>
      <c r="X814" t="str">
        <f>VLOOKUP(W814,ColumnMapping[New Table.Column],1,)</f>
        <v>PROJECT_COST_TOTAL.BCWS</v>
      </c>
      <c r="Y814" t="str">
        <f>_xlfn.XLOOKUP(Table6[[#This Row],[Table.Column]],ColumnMapping[Add Column Name],ColumnMapping[Old Table.Column],"",0,1)</f>
        <v/>
      </c>
      <c r="Z814" t="str">
        <f>_xlfn.XLOOKUP(Table6[[#This Row],[Old Table.Column]],Cobra8.6[Table.Column],Cobra8.6[TYPE],"",0,1)</f>
        <v/>
      </c>
      <c r="AA814" t="str">
        <f>_xlfn.XLOOKUP(Table6[[#This Row],[Old Table.Column]],Cobra8.6[Table.Column],Cobra8.6[LENGTH],"",0,1)</f>
        <v/>
      </c>
      <c r="AB814"/>
    </row>
    <row r="815" spans="1:28" hidden="1" x14ac:dyDescent="0.2">
      <c r="A815" t="s">
        <v>450</v>
      </c>
      <c r="B815" t="s">
        <v>1372</v>
      </c>
      <c r="C815" t="s">
        <v>607</v>
      </c>
      <c r="D815">
        <v>5</v>
      </c>
      <c r="E815" t="s">
        <v>161</v>
      </c>
      <c r="F815" t="str">
        <f>VLOOKUP($E815,'Data Type Lookup'!$A$1:$C$21,2,FALSE)</f>
        <v>NUMBER(21,6)</v>
      </c>
      <c r="I815" s="32" t="s">
        <v>32</v>
      </c>
      <c r="J815" s="32">
        <v>0</v>
      </c>
      <c r="P815" t="s">
        <v>1083</v>
      </c>
      <c r="Q815" t="s">
        <v>836</v>
      </c>
      <c r="R815" t="str">
        <f>VLOOKUP(E815,'Data Type Lookup'!$A$1:$C$21,3,FALSE)</f>
        <v>java.math.BigDecimal</v>
      </c>
      <c r="V815" t="s">
        <v>1375</v>
      </c>
      <c r="W815" t="str">
        <f t="shared" si="19"/>
        <v>PROJECT_COST_TOTAL.BAC</v>
      </c>
      <c r="X815" t="str">
        <f>VLOOKUP(W815,ColumnMapping[New Table.Column],1,)</f>
        <v>PROJECT_COST_TOTAL.BAC</v>
      </c>
      <c r="Y815" t="str">
        <f>_xlfn.XLOOKUP(Table6[[#This Row],[Table.Column]],ColumnMapping[Add Column Name],ColumnMapping[Old Table.Column],"",0,1)</f>
        <v/>
      </c>
      <c r="Z815" t="str">
        <f>_xlfn.XLOOKUP(Table6[[#This Row],[Old Table.Column]],Cobra8.6[Table.Column],Cobra8.6[TYPE],"",0,1)</f>
        <v/>
      </c>
      <c r="AA815" t="str">
        <f>_xlfn.XLOOKUP(Table6[[#This Row],[Old Table.Column]],Cobra8.6[Table.Column],Cobra8.6[LENGTH],"",0,1)</f>
        <v/>
      </c>
      <c r="AB815"/>
    </row>
    <row r="816" spans="1:28" hidden="1" x14ac:dyDescent="0.2">
      <c r="A816" t="s">
        <v>450</v>
      </c>
      <c r="B816" t="s">
        <v>1372</v>
      </c>
      <c r="C816" t="s">
        <v>690</v>
      </c>
      <c r="D816">
        <v>6</v>
      </c>
      <c r="E816" t="s">
        <v>161</v>
      </c>
      <c r="F816" t="str">
        <f>VLOOKUP($E816,'Data Type Lookup'!$A$1:$C$21,2,FALSE)</f>
        <v>NUMBER(21,6)</v>
      </c>
      <c r="I816" s="32" t="s">
        <v>32</v>
      </c>
      <c r="J816" s="32">
        <v>0</v>
      </c>
      <c r="P816" t="s">
        <v>1378</v>
      </c>
      <c r="Q816" t="s">
        <v>826</v>
      </c>
      <c r="R816" t="str">
        <f>VLOOKUP(E816,'Data Type Lookup'!$A$1:$C$21,3,FALSE)</f>
        <v>java.math.BigDecimal</v>
      </c>
      <c r="V816" t="s">
        <v>1375</v>
      </c>
      <c r="W816" t="str">
        <f t="shared" si="19"/>
        <v>PROJECT_COST_TOTAL.EAC</v>
      </c>
      <c r="X816" t="str">
        <f>VLOOKUP(W816,ColumnMapping[New Table.Column],1,)</f>
        <v>PROJECT_COST_TOTAL.EAC</v>
      </c>
      <c r="Y816" t="str">
        <f>_xlfn.XLOOKUP(Table6[[#This Row],[Table.Column]],ColumnMapping[Add Column Name],ColumnMapping[Old Table.Column],"",0,1)</f>
        <v/>
      </c>
      <c r="Z816" t="str">
        <f>_xlfn.XLOOKUP(Table6[[#This Row],[Old Table.Column]],Cobra8.6[Table.Column],Cobra8.6[TYPE],"",0,1)</f>
        <v/>
      </c>
      <c r="AA816" t="str">
        <f>_xlfn.XLOOKUP(Table6[[#This Row],[Old Table.Column]],Cobra8.6[Table.Column],Cobra8.6[LENGTH],"",0,1)</f>
        <v/>
      </c>
      <c r="AB816"/>
    </row>
    <row r="817" spans="1:28" hidden="1" x14ac:dyDescent="0.2">
      <c r="A817" t="s">
        <v>450</v>
      </c>
      <c r="B817" t="s">
        <v>1372</v>
      </c>
      <c r="C817" t="s">
        <v>602</v>
      </c>
      <c r="D817">
        <v>7</v>
      </c>
      <c r="E817" t="s">
        <v>161</v>
      </c>
      <c r="F817" t="str">
        <f>VLOOKUP($E817,'Data Type Lookup'!$A$1:$C$21,2,FALSE)</f>
        <v>NUMBER(21,6)</v>
      </c>
      <c r="I817" s="32" t="s">
        <v>32</v>
      </c>
      <c r="J817" s="32">
        <v>0</v>
      </c>
      <c r="P817" t="s">
        <v>1379</v>
      </c>
      <c r="Q817" t="s">
        <v>842</v>
      </c>
      <c r="R817" t="str">
        <f>VLOOKUP(E817,'Data Type Lookup'!$A$1:$C$21,3,FALSE)</f>
        <v>java.math.BigDecimal</v>
      </c>
      <c r="V817" t="s">
        <v>1380</v>
      </c>
      <c r="W817" t="str">
        <f t="shared" si="19"/>
        <v>PROJECT_COST_TOTAL.ACWP_HRS</v>
      </c>
      <c r="X817" t="str">
        <f>VLOOKUP(W817,ColumnMapping[New Table.Column],1,)</f>
        <v>PROJECT_COST_TOTAL.ACWP_HRS</v>
      </c>
      <c r="Y817" t="str">
        <f>_xlfn.XLOOKUP(Table6[[#This Row],[Table.Column]],ColumnMapping[Add Column Name],ColumnMapping[Old Table.Column],"",0,1)</f>
        <v/>
      </c>
      <c r="Z817" t="str">
        <f>_xlfn.XLOOKUP(Table6[[#This Row],[Old Table.Column]],Cobra8.6[Table.Column],Cobra8.6[TYPE],"",0,1)</f>
        <v/>
      </c>
      <c r="AA817" t="str">
        <f>_xlfn.XLOOKUP(Table6[[#This Row],[Old Table.Column]],Cobra8.6[Table.Column],Cobra8.6[LENGTH],"",0,1)</f>
        <v/>
      </c>
      <c r="AB817"/>
    </row>
    <row r="818" spans="1:28" hidden="1" x14ac:dyDescent="0.2">
      <c r="A818" t="s">
        <v>450</v>
      </c>
      <c r="B818" t="s">
        <v>1372</v>
      </c>
      <c r="C818" t="s">
        <v>615</v>
      </c>
      <c r="D818">
        <v>8</v>
      </c>
      <c r="E818" t="s">
        <v>161</v>
      </c>
      <c r="F818" t="str">
        <f>VLOOKUP($E818,'Data Type Lookup'!$A$1:$C$21,2,FALSE)</f>
        <v>NUMBER(21,6)</v>
      </c>
      <c r="I818" s="32" t="s">
        <v>32</v>
      </c>
      <c r="J818" s="32">
        <v>0</v>
      </c>
      <c r="P818" t="s">
        <v>1381</v>
      </c>
      <c r="Q818" t="s">
        <v>841</v>
      </c>
      <c r="R818" t="str">
        <f>VLOOKUP(E818,'Data Type Lookup'!$A$1:$C$21,3,FALSE)</f>
        <v>java.math.BigDecimal</v>
      </c>
      <c r="V818" t="s">
        <v>1380</v>
      </c>
      <c r="W818" t="str">
        <f t="shared" si="19"/>
        <v>PROJECT_COST_TOTAL.BCWP_HRS</v>
      </c>
      <c r="X818" t="str">
        <f>VLOOKUP(W818,ColumnMapping[New Table.Column],1,)</f>
        <v>PROJECT_COST_TOTAL.BCWP_HRS</v>
      </c>
      <c r="Y818" t="str">
        <f>_xlfn.XLOOKUP(Table6[[#This Row],[Table.Column]],ColumnMapping[Add Column Name],ColumnMapping[Old Table.Column],"",0,1)</f>
        <v/>
      </c>
      <c r="Z818" t="str">
        <f>_xlfn.XLOOKUP(Table6[[#This Row],[Old Table.Column]],Cobra8.6[Table.Column],Cobra8.6[TYPE],"",0,1)</f>
        <v/>
      </c>
      <c r="AA818" t="str">
        <f>_xlfn.XLOOKUP(Table6[[#This Row],[Old Table.Column]],Cobra8.6[Table.Column],Cobra8.6[LENGTH],"",0,1)</f>
        <v/>
      </c>
      <c r="AB818"/>
    </row>
    <row r="819" spans="1:28" hidden="1" x14ac:dyDescent="0.2">
      <c r="A819" t="s">
        <v>450</v>
      </c>
      <c r="B819" t="s">
        <v>1372</v>
      </c>
      <c r="C819" t="s">
        <v>619</v>
      </c>
      <c r="D819">
        <v>9</v>
      </c>
      <c r="E819" t="s">
        <v>161</v>
      </c>
      <c r="F819" t="str">
        <f>VLOOKUP($E819,'Data Type Lookup'!$A$1:$C$21,2,FALSE)</f>
        <v>NUMBER(21,6)</v>
      </c>
      <c r="I819" s="32" t="s">
        <v>32</v>
      </c>
      <c r="J819" s="32">
        <v>0</v>
      </c>
      <c r="P819" t="s">
        <v>1382</v>
      </c>
      <c r="Q819" t="s">
        <v>840</v>
      </c>
      <c r="R819" t="str">
        <f>VLOOKUP(E819,'Data Type Lookup'!$A$1:$C$21,3,FALSE)</f>
        <v>java.math.BigDecimal</v>
      </c>
      <c r="V819" t="s">
        <v>1380</v>
      </c>
      <c r="W819" t="str">
        <f t="shared" si="19"/>
        <v>PROJECT_COST_TOTAL.BCWS_HRS</v>
      </c>
      <c r="X819" t="str">
        <f>VLOOKUP(W819,ColumnMapping[New Table.Column],1,)</f>
        <v>PROJECT_COST_TOTAL.BCWS_HRS</v>
      </c>
      <c r="Y819" t="str">
        <f>_xlfn.XLOOKUP(Table6[[#This Row],[Table.Column]],ColumnMapping[Add Column Name],ColumnMapping[Old Table.Column],"",0,1)</f>
        <v/>
      </c>
      <c r="Z819" t="str">
        <f>_xlfn.XLOOKUP(Table6[[#This Row],[Old Table.Column]],Cobra8.6[Table.Column],Cobra8.6[TYPE],"",0,1)</f>
        <v/>
      </c>
      <c r="AA819" t="str">
        <f>_xlfn.XLOOKUP(Table6[[#This Row],[Old Table.Column]],Cobra8.6[Table.Column],Cobra8.6[LENGTH],"",0,1)</f>
        <v/>
      </c>
      <c r="AB819"/>
    </row>
    <row r="820" spans="1:28" hidden="1" x14ac:dyDescent="0.2">
      <c r="A820" t="s">
        <v>450</v>
      </c>
      <c r="B820" t="s">
        <v>1372</v>
      </c>
      <c r="C820" t="s">
        <v>609</v>
      </c>
      <c r="D820">
        <v>10</v>
      </c>
      <c r="E820" t="s">
        <v>161</v>
      </c>
      <c r="F820" t="str">
        <f>VLOOKUP($E820,'Data Type Lookup'!$A$1:$C$21,2,FALSE)</f>
        <v>NUMBER(21,6)</v>
      </c>
      <c r="I820" s="32" t="s">
        <v>32</v>
      </c>
      <c r="J820" s="32">
        <v>0</v>
      </c>
      <c r="P820" t="s">
        <v>1383</v>
      </c>
      <c r="Q820" t="s">
        <v>843</v>
      </c>
      <c r="R820" t="str">
        <f>VLOOKUP(E820,'Data Type Lookup'!$A$1:$C$21,3,FALSE)</f>
        <v>java.math.BigDecimal</v>
      </c>
      <c r="V820" t="s">
        <v>1380</v>
      </c>
      <c r="W820" t="str">
        <f t="shared" si="19"/>
        <v>PROJECT_COST_TOTAL.BAC_HRS</v>
      </c>
      <c r="X820" t="str">
        <f>VLOOKUP(W820,ColumnMapping[New Table.Column],1,)</f>
        <v>PROJECT_COST_TOTAL.BAC_HRS</v>
      </c>
      <c r="Y820" t="str">
        <f>_xlfn.XLOOKUP(Table6[[#This Row],[Table.Column]],ColumnMapping[Add Column Name],ColumnMapping[Old Table.Column],"",0,1)</f>
        <v/>
      </c>
      <c r="Z820" t="str">
        <f>_xlfn.XLOOKUP(Table6[[#This Row],[Old Table.Column]],Cobra8.6[Table.Column],Cobra8.6[TYPE],"",0,1)</f>
        <v/>
      </c>
      <c r="AA820" t="str">
        <f>_xlfn.XLOOKUP(Table6[[#This Row],[Old Table.Column]],Cobra8.6[Table.Column],Cobra8.6[LENGTH],"",0,1)</f>
        <v/>
      </c>
      <c r="AB820"/>
    </row>
    <row r="821" spans="1:28" hidden="1" x14ac:dyDescent="0.2">
      <c r="A821" t="s">
        <v>450</v>
      </c>
      <c r="B821" t="s">
        <v>1372</v>
      </c>
      <c r="C821" t="s">
        <v>692</v>
      </c>
      <c r="D821">
        <v>11</v>
      </c>
      <c r="E821" t="s">
        <v>161</v>
      </c>
      <c r="F821" t="str">
        <f>VLOOKUP($E821,'Data Type Lookup'!$A$1:$C$21,2,FALSE)</f>
        <v>NUMBER(21,6)</v>
      </c>
      <c r="I821" s="32" t="s">
        <v>32</v>
      </c>
      <c r="J821" s="32">
        <v>0</v>
      </c>
      <c r="P821" t="s">
        <v>1384</v>
      </c>
      <c r="Q821" t="s">
        <v>844</v>
      </c>
      <c r="R821" t="str">
        <f>VLOOKUP(E821,'Data Type Lookup'!$A$1:$C$21,3,FALSE)</f>
        <v>java.math.BigDecimal</v>
      </c>
      <c r="V821" t="s">
        <v>1380</v>
      </c>
      <c r="W821" t="str">
        <f t="shared" si="19"/>
        <v>PROJECT_COST_TOTAL.EAC_HRS</v>
      </c>
      <c r="X821" t="str">
        <f>VLOOKUP(W821,ColumnMapping[New Table.Column],1,)</f>
        <v>PROJECT_COST_TOTAL.EAC_HRS</v>
      </c>
      <c r="Y821" t="str">
        <f>_xlfn.XLOOKUP(Table6[[#This Row],[Table.Column]],ColumnMapping[Add Column Name],ColumnMapping[Old Table.Column],"",0,1)</f>
        <v/>
      </c>
      <c r="Z821" t="str">
        <f>_xlfn.XLOOKUP(Table6[[#This Row],[Old Table.Column]],Cobra8.6[Table.Column],Cobra8.6[TYPE],"",0,1)</f>
        <v/>
      </c>
      <c r="AA821" t="str">
        <f>_xlfn.XLOOKUP(Table6[[#This Row],[Old Table.Column]],Cobra8.6[Table.Column],Cobra8.6[LENGTH],"",0,1)</f>
        <v/>
      </c>
      <c r="AB821"/>
    </row>
    <row r="822" spans="1:28" hidden="1" x14ac:dyDescent="0.2">
      <c r="A822" t="s">
        <v>450</v>
      </c>
      <c r="B822" t="s">
        <v>1385</v>
      </c>
      <c r="C822" t="s">
        <v>770</v>
      </c>
      <c r="D822">
        <v>1</v>
      </c>
      <c r="E822" t="s">
        <v>31</v>
      </c>
      <c r="F822" t="str">
        <f>VLOOKUP($E822,'Data Type Lookup'!$A$1:$C$21,2,FALSE)</f>
        <v>RAW(16)</v>
      </c>
      <c r="M822" t="s">
        <v>451</v>
      </c>
      <c r="N822" t="s">
        <v>30</v>
      </c>
      <c r="O822" t="s">
        <v>41</v>
      </c>
      <c r="P822" t="s">
        <v>1386</v>
      </c>
      <c r="Q822" t="s">
        <v>771</v>
      </c>
      <c r="R822" t="str">
        <f>VLOOKUP(E822,'Data Type Lookup'!$A$1:$C$21,3,FALSE)</f>
        <v>java.util.UUID</v>
      </c>
      <c r="S822">
        <v>1</v>
      </c>
      <c r="W822" t="str">
        <f t="shared" si="19"/>
        <v>PROJECT_SUBPROJECT.PROJECT_UID</v>
      </c>
      <c r="X822" t="str">
        <f>VLOOKUP(W822,ColumnMapping[New Table.Column],1,)</f>
        <v>PROJECT_SUBPROJECT.PROJECT_UID</v>
      </c>
      <c r="Y822" t="str">
        <f>_xlfn.XLOOKUP(Table6[[#This Row],[Table.Column]],ColumnMapping[Add Column Name],ColumnMapping[Old Table.Column],"",0,1)</f>
        <v/>
      </c>
      <c r="Z822" t="str">
        <f>_xlfn.XLOOKUP(Table6[[#This Row],[Old Table.Column]],Cobra8.6[Table.Column],Cobra8.6[TYPE],"",0,1)</f>
        <v/>
      </c>
      <c r="AA822" t="str">
        <f>_xlfn.XLOOKUP(Table6[[#This Row],[Old Table.Column]],Cobra8.6[Table.Column],Cobra8.6[LENGTH],"",0,1)</f>
        <v/>
      </c>
      <c r="AB822"/>
    </row>
    <row r="823" spans="1:28" hidden="1" x14ac:dyDescent="0.2">
      <c r="A823" t="s">
        <v>450</v>
      </c>
      <c r="B823" t="s">
        <v>1385</v>
      </c>
      <c r="C823" t="s">
        <v>1387</v>
      </c>
      <c r="D823">
        <v>2</v>
      </c>
      <c r="E823" t="s">
        <v>31</v>
      </c>
      <c r="F823" t="str">
        <f>VLOOKUP($E823,'Data Type Lookup'!$A$1:$C$21,2,FALSE)</f>
        <v>RAW(16)</v>
      </c>
      <c r="M823" t="s">
        <v>451</v>
      </c>
      <c r="N823" t="s">
        <v>30</v>
      </c>
      <c r="O823" t="s">
        <v>41</v>
      </c>
      <c r="P823" t="s">
        <v>1388</v>
      </c>
      <c r="Q823" t="s">
        <v>1389</v>
      </c>
      <c r="R823" t="str">
        <f>VLOOKUP(E823,'Data Type Lookup'!$A$1:$C$21,3,FALSE)</f>
        <v>java.util.UUID</v>
      </c>
      <c r="S823">
        <v>1</v>
      </c>
      <c r="W823" t="str">
        <f t="shared" si="19"/>
        <v>PROJECT_SUBPROJECT.SUBPROJECT_UID</v>
      </c>
      <c r="X823" t="str">
        <f>VLOOKUP(W823,ColumnMapping[New Table.Column],1,)</f>
        <v>PROJECT_SUBPROJECT.SUBPROJECT_UID</v>
      </c>
      <c r="Y823" t="str">
        <f>_xlfn.XLOOKUP(Table6[[#This Row],[Table.Column]],ColumnMapping[Add Column Name],ColumnMapping[Old Table.Column],"",0,1)</f>
        <v/>
      </c>
      <c r="Z823" t="str">
        <f>_xlfn.XLOOKUP(Table6[[#This Row],[Old Table.Column]],Cobra8.6[Table.Column],Cobra8.6[TYPE],"",0,1)</f>
        <v/>
      </c>
      <c r="AA823" t="str">
        <f>_xlfn.XLOOKUP(Table6[[#This Row],[Old Table.Column]],Cobra8.6[Table.Column],Cobra8.6[LENGTH],"",0,1)</f>
        <v/>
      </c>
      <c r="AB823"/>
    </row>
    <row r="824" spans="1:28" hidden="1" x14ac:dyDescent="0.2">
      <c r="A824" t="s">
        <v>450</v>
      </c>
      <c r="B824" t="s">
        <v>1385</v>
      </c>
      <c r="C824" s="39" t="s">
        <v>1390</v>
      </c>
      <c r="D824" s="39">
        <v>3</v>
      </c>
      <c r="E824" s="39" t="s">
        <v>86</v>
      </c>
      <c r="F824" s="39" t="s">
        <v>773</v>
      </c>
      <c r="G824" s="39">
        <v>22</v>
      </c>
      <c r="H824" s="39"/>
      <c r="I824" s="47"/>
      <c r="J824" s="47"/>
      <c r="K824" s="47"/>
      <c r="L824" s="47"/>
      <c r="M824" s="39"/>
      <c r="N824" s="39"/>
      <c r="O824" s="39"/>
      <c r="P824" s="39"/>
      <c r="Q824" s="39"/>
      <c r="R824" s="39"/>
      <c r="S824" s="39"/>
      <c r="W824" t="str">
        <f t="shared" si="19"/>
        <v>PROJECT_SUBPROJECT.MASTER</v>
      </c>
      <c r="X824" t="str">
        <f>VLOOKUP(W824,ColumnMapping[New Table.Column],1,)</f>
        <v>PROJECT_SUBPROJECT.MASTER</v>
      </c>
      <c r="Y824" t="str">
        <f>_xlfn.XLOOKUP(Table6[[#This Row],[Table.Column]],ColumnMapping[Add Column Name],ColumnMapping[Old Table.Column],"",0,1)</f>
        <v/>
      </c>
      <c r="Z824" t="str">
        <f>_xlfn.XLOOKUP(Table6[[#This Row],[Old Table.Column]],Cobra8.6[Table.Column],Cobra8.6[TYPE],"",0,1)</f>
        <v/>
      </c>
      <c r="AA824" t="str">
        <f>_xlfn.XLOOKUP(Table6[[#This Row],[Old Table.Column]],Cobra8.6[Table.Column],Cobra8.6[LENGTH],"",0,1)</f>
        <v/>
      </c>
      <c r="AB824"/>
    </row>
    <row r="825" spans="1:28" hidden="1" x14ac:dyDescent="0.2">
      <c r="A825" t="s">
        <v>450</v>
      </c>
      <c r="B825" t="s">
        <v>1385</v>
      </c>
      <c r="C825" s="39" t="s">
        <v>1391</v>
      </c>
      <c r="D825" s="39">
        <v>4</v>
      </c>
      <c r="E825" s="39" t="s">
        <v>86</v>
      </c>
      <c r="F825" s="39" t="s">
        <v>773</v>
      </c>
      <c r="G825" s="39">
        <v>22</v>
      </c>
      <c r="H825" s="39"/>
      <c r="I825" s="47"/>
      <c r="J825" s="47"/>
      <c r="K825" s="47"/>
      <c r="L825" s="47"/>
      <c r="M825" s="39"/>
      <c r="N825" s="39"/>
      <c r="O825" s="39"/>
      <c r="P825" s="39"/>
      <c r="Q825" s="39"/>
      <c r="R825" s="39"/>
      <c r="S825" s="39"/>
      <c r="W825" t="str">
        <f t="shared" si="19"/>
        <v>PROJECT_SUBPROJECT.SUBPROGRAM</v>
      </c>
      <c r="X825" t="str">
        <f>VLOOKUP(W825,ColumnMapping[New Table.Column],1,)</f>
        <v>PROJECT_SUBPROJECT.SUBPROGRAM</v>
      </c>
      <c r="Y825" t="str">
        <f>_xlfn.XLOOKUP(Table6[[#This Row],[Table.Column]],ColumnMapping[Add Column Name],ColumnMapping[Old Table.Column],"",0,1)</f>
        <v/>
      </c>
      <c r="Z825" t="str">
        <f>_xlfn.XLOOKUP(Table6[[#This Row],[Old Table.Column]],Cobra8.6[Table.Column],Cobra8.6[TYPE],"",0,1)</f>
        <v/>
      </c>
      <c r="AA825" t="str">
        <f>_xlfn.XLOOKUP(Table6[[#This Row],[Old Table.Column]],Cobra8.6[Table.Column],Cobra8.6[LENGTH],"",0,1)</f>
        <v/>
      </c>
      <c r="AB825"/>
    </row>
    <row r="826" spans="1:28" hidden="1" x14ac:dyDescent="0.2">
      <c r="A826" t="s">
        <v>450</v>
      </c>
      <c r="B826" t="s">
        <v>1218</v>
      </c>
      <c r="C826" t="s">
        <v>30</v>
      </c>
      <c r="D826">
        <v>1</v>
      </c>
      <c r="E826" t="s">
        <v>31</v>
      </c>
      <c r="F826" t="str">
        <f>VLOOKUP($E826,'Data Type Lookup'!$A$1:$C$21,2,FALSE)</f>
        <v>RAW(16)</v>
      </c>
      <c r="I826" s="32" t="s">
        <v>32</v>
      </c>
      <c r="K826" s="32" t="s">
        <v>32</v>
      </c>
      <c r="P826" t="s">
        <v>1392</v>
      </c>
      <c r="Q826" t="s">
        <v>34</v>
      </c>
      <c r="R826" t="str">
        <f>VLOOKUP(E826,'Data Type Lookup'!$A$1:$C$21,3,FALSE)</f>
        <v>java.util.UUID</v>
      </c>
      <c r="S826">
        <v>3</v>
      </c>
      <c r="W826" t="str">
        <f t="shared" si="19"/>
        <v>PROJECT_CONTROL_ACCOUNT.ROW_UID</v>
      </c>
      <c r="X826" t="str">
        <f>VLOOKUP(W826,ColumnMapping[New Table.Column],1,)</f>
        <v>PROJECT_CONTROL_ACCOUNT.ROW_UID</v>
      </c>
      <c r="Y826" t="str">
        <f>_xlfn.XLOOKUP(Table6[[#This Row],[Table.Column]],ColumnMapping[Add Column Name],ColumnMapping[Old Table.Column],"",0,1)</f>
        <v/>
      </c>
      <c r="Z826" t="str">
        <f>_xlfn.XLOOKUP(Table6[[#This Row],[Old Table.Column]],Cobra8.6[Table.Column],Cobra8.6[TYPE],"",0,1)</f>
        <v/>
      </c>
      <c r="AA826" t="str">
        <f>_xlfn.XLOOKUP(Table6[[#This Row],[Old Table.Column]],Cobra8.6[Table.Column],Cobra8.6[LENGTH],"",0,1)</f>
        <v/>
      </c>
      <c r="AB826"/>
    </row>
    <row r="827" spans="1:28" hidden="1" x14ac:dyDescent="0.2">
      <c r="A827" t="s">
        <v>450</v>
      </c>
      <c r="B827" t="s">
        <v>1219</v>
      </c>
      <c r="C827" t="s">
        <v>30</v>
      </c>
      <c r="D827">
        <v>1</v>
      </c>
      <c r="E827" t="s">
        <v>31</v>
      </c>
      <c r="F827" t="str">
        <f>VLOOKUP($E827,'Data Type Lookup'!$A$1:$C$21,2,FALSE)</f>
        <v>RAW(16)</v>
      </c>
      <c r="I827" s="32" t="s">
        <v>32</v>
      </c>
      <c r="K827" s="32" t="s">
        <v>32</v>
      </c>
      <c r="P827" t="s">
        <v>1393</v>
      </c>
      <c r="Q827" t="s">
        <v>34</v>
      </c>
      <c r="R827" t="str">
        <f>VLOOKUP(E827,'Data Type Lookup'!$A$1:$C$21,3,FALSE)</f>
        <v>java.util.UUID</v>
      </c>
      <c r="S827">
        <v>3</v>
      </c>
      <c r="W827" t="str">
        <f t="shared" si="19"/>
        <v>PROJECT_WORK_PACKAGE.ROW_UID</v>
      </c>
      <c r="X827" t="str">
        <f>VLOOKUP(W827,ColumnMapping[New Table.Column],1,)</f>
        <v>PROJECT_WORK_PACKAGE.ROW_UID</v>
      </c>
      <c r="Y827" t="str">
        <f>_xlfn.XLOOKUP(Table6[[#This Row],[Table.Column]],ColumnMapping[Add Column Name],ColumnMapping[Old Table.Column],"",0,1)</f>
        <v/>
      </c>
      <c r="Z827" t="str">
        <f>_xlfn.XLOOKUP(Table6[[#This Row],[Old Table.Column]],Cobra8.6[Table.Column],Cobra8.6[TYPE],"",0,1)</f>
        <v/>
      </c>
      <c r="AA827" t="str">
        <f>_xlfn.XLOOKUP(Table6[[#This Row],[Old Table.Column]],Cobra8.6[Table.Column],Cobra8.6[LENGTH],"",0,1)</f>
        <v/>
      </c>
      <c r="AB827"/>
    </row>
    <row r="828" spans="1:28" hidden="1" x14ac:dyDescent="0.2">
      <c r="A828" t="s">
        <v>450</v>
      </c>
      <c r="B828" t="s">
        <v>1218</v>
      </c>
      <c r="C828" t="s">
        <v>35</v>
      </c>
      <c r="D828">
        <v>2</v>
      </c>
      <c r="E828" t="s">
        <v>36</v>
      </c>
      <c r="F828" t="str">
        <f>VLOOKUP($E828,'Data Type Lookup'!$A$1:$C$21,2,FALSE)</f>
        <v>NUMBER(19,0)</v>
      </c>
      <c r="I828" s="32" t="s">
        <v>32</v>
      </c>
      <c r="J828" s="32">
        <v>0</v>
      </c>
      <c r="P828" t="s">
        <v>37</v>
      </c>
      <c r="Q828" t="s">
        <v>38</v>
      </c>
      <c r="R828" t="str">
        <f>VLOOKUP(E828,'Data Type Lookup'!$A$1:$C$21,3,FALSE)</f>
        <v>Long</v>
      </c>
      <c r="S828">
        <v>3</v>
      </c>
      <c r="W828" t="str">
        <f t="shared" si="19"/>
        <v>PROJECT_CONTROL_ACCOUNT.SEQUENCE</v>
      </c>
      <c r="X828" t="str">
        <f>VLOOKUP(W828,ColumnMapping[New Table.Column],1,)</f>
        <v>PROJECT_CONTROL_ACCOUNT.SEQUENCE</v>
      </c>
      <c r="Y828" t="str">
        <f>_xlfn.XLOOKUP(Table6[[#This Row],[Table.Column]],ColumnMapping[Add Column Name],ColumnMapping[Old Table.Column],"",0,1)</f>
        <v/>
      </c>
      <c r="Z828" t="str">
        <f>_xlfn.XLOOKUP(Table6[[#This Row],[Old Table.Column]],Cobra8.6[Table.Column],Cobra8.6[TYPE],"",0,1)</f>
        <v/>
      </c>
      <c r="AA828" t="str">
        <f>_xlfn.XLOOKUP(Table6[[#This Row],[Old Table.Column]],Cobra8.6[Table.Column],Cobra8.6[LENGTH],"",0,1)</f>
        <v/>
      </c>
      <c r="AB828"/>
    </row>
    <row r="829" spans="1:28" hidden="1" x14ac:dyDescent="0.2">
      <c r="A829" t="s">
        <v>450</v>
      </c>
      <c r="B829" t="s">
        <v>1219</v>
      </c>
      <c r="C829" t="s">
        <v>35</v>
      </c>
      <c r="D829">
        <v>2</v>
      </c>
      <c r="E829" t="s">
        <v>36</v>
      </c>
      <c r="F829" t="str">
        <f>VLOOKUP($E829,'Data Type Lookup'!$A$1:$C$21,2,FALSE)</f>
        <v>NUMBER(19,0)</v>
      </c>
      <c r="I829" s="32" t="s">
        <v>32</v>
      </c>
      <c r="J829" s="32">
        <v>0</v>
      </c>
      <c r="P829" t="s">
        <v>37</v>
      </c>
      <c r="Q829" t="s">
        <v>38</v>
      </c>
      <c r="R829" t="str">
        <f>VLOOKUP(E829,'Data Type Lookup'!$A$1:$C$21,3,FALSE)</f>
        <v>Long</v>
      </c>
      <c r="S829">
        <v>3</v>
      </c>
      <c r="W829" t="str">
        <f t="shared" si="19"/>
        <v>PROJECT_WORK_PACKAGE.SEQUENCE</v>
      </c>
      <c r="X829" t="str">
        <f>VLOOKUP(W829,ColumnMapping[New Table.Column],1,)</f>
        <v>PROJECT_WORK_PACKAGE.SEQUENCE</v>
      </c>
      <c r="Y829" t="str">
        <f>_xlfn.XLOOKUP(Table6[[#This Row],[Table.Column]],ColumnMapping[Add Column Name],ColumnMapping[Old Table.Column],"",0,1)</f>
        <v/>
      </c>
      <c r="Z829" t="str">
        <f>_xlfn.XLOOKUP(Table6[[#This Row],[Old Table.Column]],Cobra8.6[Table.Column],Cobra8.6[TYPE],"",0,1)</f>
        <v/>
      </c>
      <c r="AA829" t="str">
        <f>_xlfn.XLOOKUP(Table6[[#This Row],[Old Table.Column]],Cobra8.6[Table.Column],Cobra8.6[LENGTH],"",0,1)</f>
        <v/>
      </c>
      <c r="AB829"/>
    </row>
    <row r="830" spans="1:28" hidden="1" x14ac:dyDescent="0.2">
      <c r="A830" t="s">
        <v>450</v>
      </c>
      <c r="B830" t="s">
        <v>1219</v>
      </c>
      <c r="C830" t="s">
        <v>936</v>
      </c>
      <c r="D830">
        <v>22</v>
      </c>
      <c r="E830" t="s">
        <v>168</v>
      </c>
      <c r="F830" t="str">
        <f>VLOOKUP($E830,'Data Type Lookup'!$A$1:$C$21,2,FALSE)</f>
        <v>NUMBER(5,2)</v>
      </c>
      <c r="J830" s="32">
        <v>0</v>
      </c>
      <c r="P830" t="s">
        <v>937</v>
      </c>
      <c r="Q830" t="s">
        <v>938</v>
      </c>
      <c r="R830" t="str">
        <f>VLOOKUP(E830,'Data Type Lookup'!$A$1:$C$21,3,FALSE)</f>
        <v>java.math.BigDecimal</v>
      </c>
      <c r="W830" t="str">
        <f t="shared" si="19"/>
        <v>PROJECT_WORK_PACKAGE.START_PERCENT</v>
      </c>
      <c r="X830" t="str">
        <f>VLOOKUP(W830,ColumnMapping[New Table.Column],1,)</f>
        <v>PROJECT_WORK_PACKAGE.START_PERCENT</v>
      </c>
      <c r="Y830" t="str">
        <f>_xlfn.XLOOKUP(Table6[[#This Row],[Table.Column]],ColumnMapping[Add Column Name],ColumnMapping[Old Table.Column],"",0,1)</f>
        <v/>
      </c>
      <c r="Z830" t="str">
        <f>_xlfn.XLOOKUP(Table6[[#This Row],[Old Table.Column]],Cobra8.6[Table.Column],Cobra8.6[TYPE],"",0,1)</f>
        <v/>
      </c>
      <c r="AA830" t="str">
        <f>_xlfn.XLOOKUP(Table6[[#This Row],[Old Table.Column]],Cobra8.6[Table.Column],Cobra8.6[LENGTH],"",0,1)</f>
        <v/>
      </c>
      <c r="AB830"/>
    </row>
    <row r="831" spans="1:28" hidden="1" x14ac:dyDescent="0.2">
      <c r="A831" t="s">
        <v>450</v>
      </c>
      <c r="B831" s="17" t="s">
        <v>1218</v>
      </c>
      <c r="C831" s="17" t="s">
        <v>1394</v>
      </c>
      <c r="D831" s="17">
        <v>41</v>
      </c>
      <c r="E831" s="17" t="s">
        <v>52</v>
      </c>
      <c r="F831" t="str">
        <f>VLOOKUP($E831,'Data Type Lookup'!$A$1:$C$21,2,FALSE)</f>
        <v>NUMBER(5,0)</v>
      </c>
      <c r="G831" s="17"/>
      <c r="H831" s="17"/>
      <c r="I831" s="29"/>
      <c r="J831" s="29">
        <v>0</v>
      </c>
      <c r="K831" s="29"/>
      <c r="L831" s="29"/>
      <c r="M831" s="17"/>
      <c r="N831" s="17"/>
      <c r="O831" s="17"/>
      <c r="P831" s="17"/>
      <c r="Q831" s="17"/>
      <c r="R831" s="17"/>
      <c r="S831" s="17"/>
      <c r="W831" t="str">
        <f t="shared" si="19"/>
        <v>PROJECT_CONTROL_ACCOUNT.STARTPC</v>
      </c>
      <c r="X831" t="e">
        <f>VLOOKUP(W831,ColumnMapping[New Table.Column],1,)</f>
        <v>#N/A</v>
      </c>
      <c r="Y831" t="str">
        <f>_xlfn.XLOOKUP(Table6[[#This Row],[Table.Column]],ColumnMapping[Add Column Name],ColumnMapping[Old Table.Column],"",0,1)</f>
        <v>CAWP.STARTPC</v>
      </c>
      <c r="Z831" t="str">
        <f>_xlfn.XLOOKUP(Table6[[#This Row],[Old Table.Column]],Cobra8.6[Table.Column],Cobra8.6[TYPE],"",0,1)</f>
        <v>INTE</v>
      </c>
      <c r="AA831">
        <f>_xlfn.XLOOKUP(Table6[[#This Row],[Old Table.Column]],Cobra8.6[Table.Column],Cobra8.6[LENGTH],"",0,1)</f>
        <v>-1</v>
      </c>
      <c r="AB831"/>
    </row>
    <row r="832" spans="1:28" hidden="1" x14ac:dyDescent="0.2">
      <c r="A832" t="s">
        <v>450</v>
      </c>
      <c r="B832" s="17" t="s">
        <v>1218</v>
      </c>
      <c r="C832" s="17" t="s">
        <v>1395</v>
      </c>
      <c r="D832" s="17">
        <v>42</v>
      </c>
      <c r="E832" s="17" t="s">
        <v>161</v>
      </c>
      <c r="F832" t="str">
        <f>VLOOKUP($E832,'Data Type Lookup'!$A$1:$C$21,2,FALSE)</f>
        <v>NUMBER(21,6)</v>
      </c>
      <c r="G832" s="17"/>
      <c r="H832" s="17"/>
      <c r="I832" s="29"/>
      <c r="J832" s="29">
        <v>0</v>
      </c>
      <c r="K832" s="29"/>
      <c r="L832" s="29"/>
      <c r="M832" s="17"/>
      <c r="N832" s="17"/>
      <c r="O832" s="17"/>
      <c r="P832" s="17"/>
      <c r="Q832" s="17"/>
      <c r="R832" s="17"/>
      <c r="S832" s="17"/>
      <c r="W832" t="str">
        <f t="shared" si="19"/>
        <v>PROJECT_CONTROL_ACCOUNT.UNITS_COMP</v>
      </c>
      <c r="X832" t="e">
        <f>VLOOKUP(W832,ColumnMapping[New Table.Column],1,)</f>
        <v>#N/A</v>
      </c>
      <c r="Y832" t="str">
        <f>_xlfn.XLOOKUP(Table6[[#This Row],[Table.Column]],ColumnMapping[Add Column Name],ColumnMapping[Old Table.Column],"",0,1)</f>
        <v>CAWP.UNITS_COMP</v>
      </c>
      <c r="Z832" t="str">
        <f>_xlfn.XLOOKUP(Table6[[#This Row],[Old Table.Column]],Cobra8.6[Table.Column],Cobra8.6[TYPE],"",0,1)</f>
        <v>DEC</v>
      </c>
      <c r="AA832">
        <f>_xlfn.XLOOKUP(Table6[[#This Row],[Old Table.Column]],Cobra8.6[Table.Column],Cobra8.6[LENGTH],"",0,1)</f>
        <v>21</v>
      </c>
      <c r="AB832"/>
    </row>
    <row r="833" spans="1:28" hidden="1" x14ac:dyDescent="0.2">
      <c r="A833" t="s">
        <v>450</v>
      </c>
      <c r="B833" t="s">
        <v>1219</v>
      </c>
      <c r="C833" t="s">
        <v>945</v>
      </c>
      <c r="D833">
        <v>25</v>
      </c>
      <c r="E833" t="s">
        <v>161</v>
      </c>
      <c r="F833" t="str">
        <f>VLOOKUP($E833,'Data Type Lookup'!$A$1:$C$21,2,FALSE)</f>
        <v>NUMBER(21,6)</v>
      </c>
      <c r="J833" s="32">
        <v>0</v>
      </c>
      <c r="P833" t="s">
        <v>946</v>
      </c>
      <c r="Q833" t="s">
        <v>947</v>
      </c>
      <c r="R833" t="str">
        <f>VLOOKUP(E833,'Data Type Lookup'!$A$1:$C$21,3,FALSE)</f>
        <v>java.math.BigDecimal</v>
      </c>
      <c r="W833" t="str">
        <f t="shared" si="19"/>
        <v>PROJECT_WORK_PACKAGE.UNITS_COMPLETE</v>
      </c>
      <c r="X833" t="str">
        <f>VLOOKUP(W833,ColumnMapping[New Table.Column],1,)</f>
        <v>PROJECT_WORK_PACKAGE.UNITS_COMPLETE</v>
      </c>
      <c r="Y833" t="str">
        <f>_xlfn.XLOOKUP(Table6[[#This Row],[Table.Column]],ColumnMapping[Add Column Name],ColumnMapping[Old Table.Column],"",0,1)</f>
        <v/>
      </c>
      <c r="Z833" t="str">
        <f>_xlfn.XLOOKUP(Table6[[#This Row],[Old Table.Column]],Cobra8.6[Table.Column],Cobra8.6[TYPE],"",0,1)</f>
        <v/>
      </c>
      <c r="AA833" t="str">
        <f>_xlfn.XLOOKUP(Table6[[#This Row],[Old Table.Column]],Cobra8.6[Table.Column],Cobra8.6[LENGTH],"",0,1)</f>
        <v/>
      </c>
      <c r="AB833"/>
    </row>
    <row r="834" spans="1:28" hidden="1" x14ac:dyDescent="0.2">
      <c r="A834" t="s">
        <v>450</v>
      </c>
      <c r="B834" t="s">
        <v>1219</v>
      </c>
      <c r="C834" t="s">
        <v>942</v>
      </c>
      <c r="D834">
        <v>24</v>
      </c>
      <c r="E834" t="s">
        <v>161</v>
      </c>
      <c r="F834" t="str">
        <f>VLOOKUP($E834,'Data Type Lookup'!$A$1:$C$21,2,FALSE)</f>
        <v>NUMBER(21,6)</v>
      </c>
      <c r="J834" s="32">
        <v>0</v>
      </c>
      <c r="P834" t="s">
        <v>943</v>
      </c>
      <c r="Q834" t="s">
        <v>944</v>
      </c>
      <c r="R834" t="str">
        <f>VLOOKUP(E834,'Data Type Lookup'!$A$1:$C$21,3,FALSE)</f>
        <v>java.math.BigDecimal</v>
      </c>
      <c r="W834" t="str">
        <f t="shared" si="19"/>
        <v>PROJECT_WORK_PACKAGE.UNITS_TO_DO</v>
      </c>
      <c r="X834" t="str">
        <f>VLOOKUP(W834,ColumnMapping[New Table.Column],1,)</f>
        <v>PROJECT_WORK_PACKAGE.UNITS_TO_DO</v>
      </c>
      <c r="Y834" t="str">
        <f>_xlfn.XLOOKUP(Table6[[#This Row],[Table.Column]],ColumnMapping[Add Column Name],ColumnMapping[Old Table.Column],"",0,1)</f>
        <v/>
      </c>
      <c r="Z834" t="str">
        <f>_xlfn.XLOOKUP(Table6[[#This Row],[Old Table.Column]],Cobra8.6[Table.Column],Cobra8.6[TYPE],"",0,1)</f>
        <v/>
      </c>
      <c r="AA834" t="str">
        <f>_xlfn.XLOOKUP(Table6[[#This Row],[Old Table.Column]],Cobra8.6[Table.Column],Cobra8.6[LENGTH],"",0,1)</f>
        <v/>
      </c>
      <c r="AB834"/>
    </row>
    <row r="835" spans="1:28" hidden="1" x14ac:dyDescent="0.2">
      <c r="A835" t="s">
        <v>450</v>
      </c>
      <c r="B835" s="17" t="s">
        <v>1218</v>
      </c>
      <c r="C835" s="17" t="s">
        <v>1396</v>
      </c>
      <c r="D835" s="17">
        <v>43</v>
      </c>
      <c r="E835" s="17" t="s">
        <v>161</v>
      </c>
      <c r="F835" t="str">
        <f>VLOOKUP($E835,'Data Type Lookup'!$A$1:$C$21,2,FALSE)</f>
        <v>NUMBER(21,6)</v>
      </c>
      <c r="G835" s="17"/>
      <c r="H835" s="17"/>
      <c r="I835" s="29"/>
      <c r="J835" s="29">
        <v>0</v>
      </c>
      <c r="K835" s="29"/>
      <c r="L835" s="29"/>
      <c r="M835" s="17"/>
      <c r="N835" s="17"/>
      <c r="O835" s="17"/>
      <c r="P835" s="17"/>
      <c r="Q835" s="17"/>
      <c r="R835" s="17"/>
      <c r="S835" s="17"/>
      <c r="W835" t="str">
        <f t="shared" si="19"/>
        <v>PROJECT_CONTROL_ACCOUNT.UNITSTODO</v>
      </c>
      <c r="X835" t="e">
        <f>VLOOKUP(W835,ColumnMapping[New Table.Column],1,)</f>
        <v>#N/A</v>
      </c>
      <c r="Y835" t="str">
        <f>_xlfn.XLOOKUP(Table6[[#This Row],[Table.Column]],ColumnMapping[Add Column Name],ColumnMapping[Old Table.Column],"",0,1)</f>
        <v>CAWP.UNITSTODO</v>
      </c>
      <c r="Z835" t="str">
        <f>_xlfn.XLOOKUP(Table6[[#This Row],[Old Table.Column]],Cobra8.6[Table.Column],Cobra8.6[TYPE],"",0,1)</f>
        <v>DEC</v>
      </c>
      <c r="AA835">
        <f>_xlfn.XLOOKUP(Table6[[#This Row],[Old Table.Column]],Cobra8.6[Table.Column],Cobra8.6[LENGTH],"",0,1)</f>
        <v>21</v>
      </c>
      <c r="AB835"/>
    </row>
    <row r="836" spans="1:28" hidden="1" x14ac:dyDescent="0.2">
      <c r="A836" t="s">
        <v>450</v>
      </c>
      <c r="B836" s="17" t="s">
        <v>1218</v>
      </c>
      <c r="C836" s="17" t="s">
        <v>1020</v>
      </c>
      <c r="D836" s="17">
        <v>44</v>
      </c>
      <c r="E836" s="17" t="s">
        <v>86</v>
      </c>
      <c r="F836" t="str">
        <f>VLOOKUP($E836,'Data Type Lookup'!$A$1:$C$21,2,FALSE)</f>
        <v>VARCHAR2</v>
      </c>
      <c r="G836" s="17">
        <v>100</v>
      </c>
      <c r="H836" s="17"/>
      <c r="I836" s="29"/>
      <c r="J836" s="29"/>
      <c r="K836" s="29"/>
      <c r="L836" s="29"/>
      <c r="M836" s="17"/>
      <c r="N836" s="17"/>
      <c r="O836" s="17"/>
      <c r="P836" s="17"/>
      <c r="Q836" s="17"/>
      <c r="R836" s="17"/>
      <c r="S836" s="17"/>
      <c r="W836" t="str">
        <f t="shared" si="19"/>
        <v>PROJECT_CONTROL_ACCOUNT.USER_CHR01</v>
      </c>
      <c r="X836" t="e">
        <f>VLOOKUP(W836,ColumnMapping[New Table.Column],1,)</f>
        <v>#N/A</v>
      </c>
      <c r="Y836" t="str">
        <f>_xlfn.XLOOKUP(Table6[[#This Row],[Table.Column]],ColumnMapping[Add Column Name],ColumnMapping[Old Table.Column],"",0,1)</f>
        <v>CAWP.USER_CHR01</v>
      </c>
      <c r="Z836" t="str">
        <f>_xlfn.XLOOKUP(Table6[[#This Row],[Old Table.Column]],Cobra8.6[Table.Column],Cobra8.6[TYPE],"",0,1)</f>
        <v>TEXT</v>
      </c>
      <c r="AA836">
        <f>_xlfn.XLOOKUP(Table6[[#This Row],[Old Table.Column]],Cobra8.6[Table.Column],Cobra8.6[LENGTH],"",0,1)</f>
        <v>100</v>
      </c>
      <c r="AB836"/>
    </row>
    <row r="837" spans="1:28" hidden="1" x14ac:dyDescent="0.2">
      <c r="A837" t="s">
        <v>450</v>
      </c>
      <c r="B837" s="17" t="s">
        <v>1218</v>
      </c>
      <c r="C837" s="17" t="s">
        <v>1022</v>
      </c>
      <c r="D837" s="17">
        <v>45</v>
      </c>
      <c r="E837" s="17" t="s">
        <v>86</v>
      </c>
      <c r="F837" t="str">
        <f>VLOOKUP($E837,'Data Type Lookup'!$A$1:$C$21,2,FALSE)</f>
        <v>VARCHAR2</v>
      </c>
      <c r="G837" s="17">
        <v>100</v>
      </c>
      <c r="H837" s="17"/>
      <c r="I837" s="29"/>
      <c r="J837" s="29"/>
      <c r="K837" s="29"/>
      <c r="L837" s="29"/>
      <c r="M837" s="17"/>
      <c r="N837" s="17"/>
      <c r="O837" s="17"/>
      <c r="P837" s="17"/>
      <c r="Q837" s="17"/>
      <c r="R837" s="17"/>
      <c r="S837" s="17"/>
      <c r="W837" t="str">
        <f t="shared" si="19"/>
        <v>PROJECT_CONTROL_ACCOUNT.USER_CHR02</v>
      </c>
      <c r="X837" t="e">
        <f>VLOOKUP(W837,ColumnMapping[New Table.Column],1,)</f>
        <v>#N/A</v>
      </c>
      <c r="Y837" t="str">
        <f>_xlfn.XLOOKUP(Table6[[#This Row],[Table.Column]],ColumnMapping[Add Column Name],ColumnMapping[Old Table.Column],"",0,1)</f>
        <v>CAWP.USER_CHR02</v>
      </c>
      <c r="Z837" t="str">
        <f>_xlfn.XLOOKUP(Table6[[#This Row],[Old Table.Column]],Cobra8.6[Table.Column],Cobra8.6[TYPE],"",0,1)</f>
        <v>TEXT</v>
      </c>
      <c r="AA837">
        <f>_xlfn.XLOOKUP(Table6[[#This Row],[Old Table.Column]],Cobra8.6[Table.Column],Cobra8.6[LENGTH],"",0,1)</f>
        <v>100</v>
      </c>
      <c r="AB837"/>
    </row>
    <row r="838" spans="1:28" hidden="1" x14ac:dyDescent="0.2">
      <c r="A838" t="s">
        <v>450</v>
      </c>
      <c r="B838" s="17" t="s">
        <v>1218</v>
      </c>
      <c r="C838" s="17" t="s">
        <v>1024</v>
      </c>
      <c r="D838" s="17">
        <v>46</v>
      </c>
      <c r="E838" s="17" t="s">
        <v>86</v>
      </c>
      <c r="F838" t="str">
        <f>VLOOKUP($E838,'Data Type Lookup'!$A$1:$C$21,2,FALSE)</f>
        <v>VARCHAR2</v>
      </c>
      <c r="G838" s="17">
        <v>100</v>
      </c>
      <c r="H838" s="17"/>
      <c r="I838" s="29"/>
      <c r="J838" s="29"/>
      <c r="K838" s="29"/>
      <c r="L838" s="29"/>
      <c r="M838" s="17"/>
      <c r="N838" s="17"/>
      <c r="O838" s="17"/>
      <c r="P838" s="17"/>
      <c r="Q838" s="17"/>
      <c r="R838" s="17"/>
      <c r="S838" s="17"/>
      <c r="W838" t="str">
        <f t="shared" si="19"/>
        <v>PROJECT_CONTROL_ACCOUNT.USER_CHR03</v>
      </c>
      <c r="X838" t="e">
        <f>VLOOKUP(W838,ColumnMapping[New Table.Column],1,)</f>
        <v>#N/A</v>
      </c>
      <c r="Y838" t="str">
        <f>_xlfn.XLOOKUP(Table6[[#This Row],[Table.Column]],ColumnMapping[Add Column Name],ColumnMapping[Old Table.Column],"",0,1)</f>
        <v>CAWP.USER_CHR03</v>
      </c>
      <c r="Z838" t="str">
        <f>_xlfn.XLOOKUP(Table6[[#This Row],[Old Table.Column]],Cobra8.6[Table.Column],Cobra8.6[TYPE],"",0,1)</f>
        <v>TEXT</v>
      </c>
      <c r="AA838">
        <f>_xlfn.XLOOKUP(Table6[[#This Row],[Old Table.Column]],Cobra8.6[Table.Column],Cobra8.6[LENGTH],"",0,1)</f>
        <v>100</v>
      </c>
      <c r="AB838"/>
    </row>
    <row r="839" spans="1:28" hidden="1" x14ac:dyDescent="0.2">
      <c r="A839" t="s">
        <v>450</v>
      </c>
      <c r="B839" s="17" t="s">
        <v>1218</v>
      </c>
      <c r="C839" s="17" t="s">
        <v>1026</v>
      </c>
      <c r="D839" s="17">
        <v>47</v>
      </c>
      <c r="E839" s="17" t="s">
        <v>86</v>
      </c>
      <c r="F839" t="str">
        <f>VLOOKUP($E839,'Data Type Lookup'!$A$1:$C$21,2,FALSE)</f>
        <v>VARCHAR2</v>
      </c>
      <c r="G839" s="17">
        <v>100</v>
      </c>
      <c r="H839" s="17"/>
      <c r="I839" s="29"/>
      <c r="J839" s="29"/>
      <c r="K839" s="29"/>
      <c r="L839" s="29"/>
      <c r="M839" s="17"/>
      <c r="N839" s="17"/>
      <c r="O839" s="17"/>
      <c r="P839" s="17"/>
      <c r="Q839" s="17"/>
      <c r="R839" s="17"/>
      <c r="S839" s="17"/>
      <c r="W839" t="str">
        <f t="shared" si="19"/>
        <v>PROJECT_CONTROL_ACCOUNT.USER_CHR04</v>
      </c>
      <c r="X839" t="e">
        <f>VLOOKUP(W839,ColumnMapping[New Table.Column],1,)</f>
        <v>#N/A</v>
      </c>
      <c r="Y839" t="str">
        <f>_xlfn.XLOOKUP(Table6[[#This Row],[Table.Column]],ColumnMapping[Add Column Name],ColumnMapping[Old Table.Column],"",0,1)</f>
        <v>CAWP.USER_CHR04</v>
      </c>
      <c r="Z839" t="str">
        <f>_xlfn.XLOOKUP(Table6[[#This Row],[Old Table.Column]],Cobra8.6[Table.Column],Cobra8.6[TYPE],"",0,1)</f>
        <v>TEXT</v>
      </c>
      <c r="AA839">
        <f>_xlfn.XLOOKUP(Table6[[#This Row],[Old Table.Column]],Cobra8.6[Table.Column],Cobra8.6[LENGTH],"",0,1)</f>
        <v>100</v>
      </c>
      <c r="AB839"/>
    </row>
    <row r="840" spans="1:28" hidden="1" x14ac:dyDescent="0.2">
      <c r="A840" t="s">
        <v>450</v>
      </c>
      <c r="B840" s="17" t="s">
        <v>1218</v>
      </c>
      <c r="C840" s="17" t="s">
        <v>1028</v>
      </c>
      <c r="D840" s="17">
        <v>48</v>
      </c>
      <c r="E840" s="17" t="s">
        <v>86</v>
      </c>
      <c r="F840" t="str">
        <f>VLOOKUP($E840,'Data Type Lookup'!$A$1:$C$21,2,FALSE)</f>
        <v>VARCHAR2</v>
      </c>
      <c r="G840" s="17">
        <v>100</v>
      </c>
      <c r="H840" s="17"/>
      <c r="I840" s="29"/>
      <c r="J840" s="29"/>
      <c r="K840" s="29"/>
      <c r="L840" s="29"/>
      <c r="M840" s="17"/>
      <c r="N840" s="17"/>
      <c r="O840" s="17"/>
      <c r="P840" s="17"/>
      <c r="Q840" s="17"/>
      <c r="R840" s="17"/>
      <c r="S840" s="17"/>
      <c r="W840" t="str">
        <f t="shared" si="19"/>
        <v>PROJECT_CONTROL_ACCOUNT.USER_CHR05</v>
      </c>
      <c r="X840" t="e">
        <f>VLOOKUP(W840,ColumnMapping[New Table.Column],1,)</f>
        <v>#N/A</v>
      </c>
      <c r="Y840" t="str">
        <f>_xlfn.XLOOKUP(Table6[[#This Row],[Table.Column]],ColumnMapping[Add Column Name],ColumnMapping[Old Table.Column],"",0,1)</f>
        <v>CAWP.USER_CHR05</v>
      </c>
      <c r="Z840" t="str">
        <f>_xlfn.XLOOKUP(Table6[[#This Row],[Old Table.Column]],Cobra8.6[Table.Column],Cobra8.6[TYPE],"",0,1)</f>
        <v>TEXT</v>
      </c>
      <c r="AA840">
        <f>_xlfn.XLOOKUP(Table6[[#This Row],[Old Table.Column]],Cobra8.6[Table.Column],Cobra8.6[LENGTH],"",0,1)</f>
        <v>100</v>
      </c>
      <c r="AB840"/>
    </row>
    <row r="841" spans="1:28" hidden="1" x14ac:dyDescent="0.2">
      <c r="A841" t="s">
        <v>450</v>
      </c>
      <c r="B841" s="17" t="s">
        <v>1218</v>
      </c>
      <c r="C841" s="17" t="s">
        <v>1030</v>
      </c>
      <c r="D841" s="17">
        <v>49</v>
      </c>
      <c r="E841" s="17" t="s">
        <v>356</v>
      </c>
      <c r="F841" t="str">
        <f>VLOOKUP($E841,'Data Type Lookup'!$A$1:$C$21,2,FALSE)</f>
        <v>DATE</v>
      </c>
      <c r="G841" s="17"/>
      <c r="H841" s="17"/>
      <c r="I841" s="29"/>
      <c r="J841" s="29"/>
      <c r="K841" s="29"/>
      <c r="L841" s="29"/>
      <c r="M841" s="17"/>
      <c r="N841" s="17"/>
      <c r="O841" s="17"/>
      <c r="P841" s="17"/>
      <c r="Q841" s="17"/>
      <c r="R841" s="17"/>
      <c r="S841" s="17"/>
      <c r="W841" t="str">
        <f t="shared" si="19"/>
        <v>PROJECT_CONTROL_ACCOUNT.USER_DTE01</v>
      </c>
      <c r="X841" t="e">
        <f>VLOOKUP(W841,ColumnMapping[New Table.Column],1,)</f>
        <v>#N/A</v>
      </c>
      <c r="Y841" t="str">
        <f>_xlfn.XLOOKUP(Table6[[#This Row],[Table.Column]],ColumnMapping[Add Column Name],ColumnMapping[Old Table.Column],"",0,1)</f>
        <v>CAWP.USER_DTE01</v>
      </c>
      <c r="Z841" t="str">
        <f>_xlfn.XLOOKUP(Table6[[#This Row],[Old Table.Column]],Cobra8.6[Table.Column],Cobra8.6[TYPE],"",0,1)</f>
        <v>DATE</v>
      </c>
      <c r="AA841">
        <f>_xlfn.XLOOKUP(Table6[[#This Row],[Old Table.Column]],Cobra8.6[Table.Column],Cobra8.6[LENGTH],"",0,1)</f>
        <v>-1</v>
      </c>
      <c r="AB841"/>
    </row>
    <row r="842" spans="1:28" hidden="1" x14ac:dyDescent="0.2">
      <c r="A842" t="s">
        <v>450</v>
      </c>
      <c r="B842" s="17" t="s">
        <v>1218</v>
      </c>
      <c r="C842" s="17" t="s">
        <v>1032</v>
      </c>
      <c r="D842" s="17">
        <v>51</v>
      </c>
      <c r="E842" s="17" t="s">
        <v>356</v>
      </c>
      <c r="F842" t="str">
        <f>VLOOKUP($E842,'Data Type Lookup'!$A$1:$C$21,2,FALSE)</f>
        <v>DATE</v>
      </c>
      <c r="G842" s="17"/>
      <c r="H842" s="17"/>
      <c r="I842" s="29"/>
      <c r="J842" s="29"/>
      <c r="K842" s="29"/>
      <c r="L842" s="29"/>
      <c r="M842" s="17"/>
      <c r="N842" s="17"/>
      <c r="O842" s="17"/>
      <c r="P842" s="17"/>
      <c r="Q842" s="17"/>
      <c r="R842" s="17"/>
      <c r="S842" s="17"/>
      <c r="W842" t="str">
        <f t="shared" ref="W842:W905" si="20">_xlfn.CONCAT(B842,".",C842)</f>
        <v>PROJECT_CONTROL_ACCOUNT.USER_DTE02</v>
      </c>
      <c r="X842" t="e">
        <f>VLOOKUP(W842,ColumnMapping[New Table.Column],1,)</f>
        <v>#N/A</v>
      </c>
      <c r="Y842" t="str">
        <f>_xlfn.XLOOKUP(Table6[[#This Row],[Table.Column]],ColumnMapping[Add Column Name],ColumnMapping[Old Table.Column],"",0,1)</f>
        <v>CAWP.USER_DTE02</v>
      </c>
      <c r="Z842" t="str">
        <f>_xlfn.XLOOKUP(Table6[[#This Row],[Old Table.Column]],Cobra8.6[Table.Column],Cobra8.6[TYPE],"",0,1)</f>
        <v>DATE</v>
      </c>
      <c r="AA842">
        <f>_xlfn.XLOOKUP(Table6[[#This Row],[Old Table.Column]],Cobra8.6[Table.Column],Cobra8.6[LENGTH],"",0,1)</f>
        <v>-1</v>
      </c>
      <c r="AB842"/>
    </row>
    <row r="843" spans="1:28" hidden="1" x14ac:dyDescent="0.2">
      <c r="A843" t="s">
        <v>450</v>
      </c>
      <c r="B843" s="17" t="s">
        <v>1218</v>
      </c>
      <c r="C843" s="17" t="s">
        <v>1034</v>
      </c>
      <c r="D843" s="17">
        <v>52</v>
      </c>
      <c r="E843" s="17" t="s">
        <v>356</v>
      </c>
      <c r="F843" t="str">
        <f>VLOOKUP($E843,'Data Type Lookup'!$A$1:$C$21,2,FALSE)</f>
        <v>DATE</v>
      </c>
      <c r="G843" s="17"/>
      <c r="H843" s="17"/>
      <c r="I843" s="29"/>
      <c r="J843" s="29"/>
      <c r="K843" s="29"/>
      <c r="L843" s="29"/>
      <c r="M843" s="17"/>
      <c r="N843" s="17"/>
      <c r="O843" s="17"/>
      <c r="P843" s="17"/>
      <c r="Q843" s="17"/>
      <c r="R843" s="17"/>
      <c r="S843" s="17"/>
      <c r="W843" t="str">
        <f t="shared" si="20"/>
        <v>PROJECT_CONTROL_ACCOUNT.USER_DTE03</v>
      </c>
      <c r="X843" t="e">
        <f>VLOOKUP(W843,ColumnMapping[New Table.Column],1,)</f>
        <v>#N/A</v>
      </c>
      <c r="Y843" t="str">
        <f>_xlfn.XLOOKUP(Table6[[#This Row],[Table.Column]],ColumnMapping[Add Column Name],ColumnMapping[Old Table.Column],"",0,1)</f>
        <v>CAWP.USER_DTE03</v>
      </c>
      <c r="Z843" t="str">
        <f>_xlfn.XLOOKUP(Table6[[#This Row],[Old Table.Column]],Cobra8.6[Table.Column],Cobra8.6[TYPE],"",0,1)</f>
        <v>DATE</v>
      </c>
      <c r="AA843">
        <f>_xlfn.XLOOKUP(Table6[[#This Row],[Old Table.Column]],Cobra8.6[Table.Column],Cobra8.6[LENGTH],"",0,1)</f>
        <v>-1</v>
      </c>
      <c r="AB843"/>
    </row>
    <row r="844" spans="1:28" hidden="1" x14ac:dyDescent="0.2">
      <c r="A844" t="s">
        <v>450</v>
      </c>
      <c r="B844" s="17" t="s">
        <v>1218</v>
      </c>
      <c r="C844" s="17" t="s">
        <v>1036</v>
      </c>
      <c r="D844" s="17">
        <v>53</v>
      </c>
      <c r="E844" s="17" t="s">
        <v>356</v>
      </c>
      <c r="F844" t="str">
        <f>VLOOKUP($E844,'Data Type Lookup'!$A$1:$C$21,2,FALSE)</f>
        <v>DATE</v>
      </c>
      <c r="G844" s="17"/>
      <c r="H844" s="17"/>
      <c r="I844" s="29"/>
      <c r="J844" s="29"/>
      <c r="K844" s="29"/>
      <c r="L844" s="29"/>
      <c r="M844" s="17"/>
      <c r="N844" s="17"/>
      <c r="O844" s="17"/>
      <c r="P844" s="17"/>
      <c r="Q844" s="17"/>
      <c r="R844" s="17"/>
      <c r="S844" s="17"/>
      <c r="W844" t="str">
        <f t="shared" si="20"/>
        <v>PROJECT_CONTROL_ACCOUNT.USER_DTE04</v>
      </c>
      <c r="X844" t="e">
        <f>VLOOKUP(W844,ColumnMapping[New Table.Column],1,)</f>
        <v>#N/A</v>
      </c>
      <c r="Y844" t="str">
        <f>_xlfn.XLOOKUP(Table6[[#This Row],[Table.Column]],ColumnMapping[Add Column Name],ColumnMapping[Old Table.Column],"",0,1)</f>
        <v>CAWP.USER_DTE04</v>
      </c>
      <c r="Z844" t="str">
        <f>_xlfn.XLOOKUP(Table6[[#This Row],[Old Table.Column]],Cobra8.6[Table.Column],Cobra8.6[TYPE],"",0,1)</f>
        <v>DATE</v>
      </c>
      <c r="AA844">
        <f>_xlfn.XLOOKUP(Table6[[#This Row],[Old Table.Column]],Cobra8.6[Table.Column],Cobra8.6[LENGTH],"",0,1)</f>
        <v>-1</v>
      </c>
      <c r="AB844"/>
    </row>
    <row r="845" spans="1:28" hidden="1" x14ac:dyDescent="0.2">
      <c r="A845" t="s">
        <v>450</v>
      </c>
      <c r="B845" s="17" t="s">
        <v>1218</v>
      </c>
      <c r="C845" s="17" t="s">
        <v>1038</v>
      </c>
      <c r="D845" s="17">
        <v>54</v>
      </c>
      <c r="E845" s="17" t="s">
        <v>356</v>
      </c>
      <c r="F845" t="str">
        <f>VLOOKUP($E845,'Data Type Lookup'!$A$1:$C$21,2,FALSE)</f>
        <v>DATE</v>
      </c>
      <c r="G845" s="17"/>
      <c r="H845" s="17"/>
      <c r="I845" s="29"/>
      <c r="J845" s="29"/>
      <c r="K845" s="29"/>
      <c r="L845" s="29"/>
      <c r="M845" s="17"/>
      <c r="N845" s="17"/>
      <c r="O845" s="17"/>
      <c r="P845" s="17"/>
      <c r="Q845" s="17"/>
      <c r="R845" s="17"/>
      <c r="S845" s="17"/>
      <c r="W845" t="str">
        <f t="shared" si="20"/>
        <v>PROJECT_CONTROL_ACCOUNT.USER_DTE05</v>
      </c>
      <c r="X845" t="e">
        <f>VLOOKUP(W845,ColumnMapping[New Table.Column],1,)</f>
        <v>#N/A</v>
      </c>
      <c r="Y845" t="str">
        <f>_xlfn.XLOOKUP(Table6[[#This Row],[Table.Column]],ColumnMapping[Add Column Name],ColumnMapping[Old Table.Column],"",0,1)</f>
        <v>CAWP.USER_DTE05</v>
      </c>
      <c r="Z845" t="str">
        <f>_xlfn.XLOOKUP(Table6[[#This Row],[Old Table.Column]],Cobra8.6[Table.Column],Cobra8.6[TYPE],"",0,1)</f>
        <v>DATE</v>
      </c>
      <c r="AA845">
        <f>_xlfn.XLOOKUP(Table6[[#This Row],[Old Table.Column]],Cobra8.6[Table.Column],Cobra8.6[LENGTH],"",0,1)</f>
        <v>-1</v>
      </c>
      <c r="AB845"/>
    </row>
    <row r="846" spans="1:28" hidden="1" x14ac:dyDescent="0.2">
      <c r="A846" t="s">
        <v>450</v>
      </c>
      <c r="B846" s="17" t="s">
        <v>1218</v>
      </c>
      <c r="C846" s="17" t="s">
        <v>1397</v>
      </c>
      <c r="D846" s="17">
        <v>55</v>
      </c>
      <c r="E846" s="17" t="s">
        <v>161</v>
      </c>
      <c r="F846" t="str">
        <f>VLOOKUP($E846,'Data Type Lookup'!$A$1:$C$21,2,FALSE)</f>
        <v>NUMBER(21,6)</v>
      </c>
      <c r="G846" s="17"/>
      <c r="H846" s="17"/>
      <c r="I846" s="29"/>
      <c r="J846" s="29">
        <v>0</v>
      </c>
      <c r="K846" s="29"/>
      <c r="L846" s="29"/>
      <c r="M846" s="17"/>
      <c r="N846" s="17"/>
      <c r="O846" s="17"/>
      <c r="P846" s="17"/>
      <c r="Q846" s="17"/>
      <c r="R846" s="17"/>
      <c r="S846" s="17"/>
      <c r="W846" t="str">
        <f t="shared" si="20"/>
        <v>PROJECT_CONTROL_ACCOUNT.USER_NUM01</v>
      </c>
      <c r="X846" t="e">
        <f>VLOOKUP(W846,ColumnMapping[New Table.Column],1,)</f>
        <v>#N/A</v>
      </c>
      <c r="Y846" t="str">
        <f>_xlfn.XLOOKUP(Table6[[#This Row],[Table.Column]],ColumnMapping[Add Column Name],ColumnMapping[Old Table.Column],"",0,1)</f>
        <v>CAWP.USER_NUM01</v>
      </c>
      <c r="Z846" t="str">
        <f>_xlfn.XLOOKUP(Table6[[#This Row],[Old Table.Column]],Cobra8.6[Table.Column],Cobra8.6[TYPE],"",0,1)</f>
        <v>DEC</v>
      </c>
      <c r="AA846">
        <f>_xlfn.XLOOKUP(Table6[[#This Row],[Old Table.Column]],Cobra8.6[Table.Column],Cobra8.6[LENGTH],"",0,1)</f>
        <v>21</v>
      </c>
      <c r="AB846"/>
    </row>
    <row r="847" spans="1:28" hidden="1" x14ac:dyDescent="0.2">
      <c r="A847" t="s">
        <v>450</v>
      </c>
      <c r="B847" s="17" t="s">
        <v>1218</v>
      </c>
      <c r="C847" s="17" t="s">
        <v>1042</v>
      </c>
      <c r="D847" s="17">
        <v>57</v>
      </c>
      <c r="E847" s="17" t="s">
        <v>161</v>
      </c>
      <c r="F847" t="str">
        <f>VLOOKUP($E847,'Data Type Lookup'!$A$1:$C$21,2,FALSE)</f>
        <v>NUMBER(21,6)</v>
      </c>
      <c r="G847" s="17"/>
      <c r="H847" s="17"/>
      <c r="I847" s="29"/>
      <c r="J847" s="29">
        <v>0</v>
      </c>
      <c r="K847" s="29"/>
      <c r="L847" s="29"/>
      <c r="M847" s="17"/>
      <c r="N847" s="17"/>
      <c r="O847" s="17"/>
      <c r="P847" s="17"/>
      <c r="Q847" s="17"/>
      <c r="R847" s="17"/>
      <c r="S847" s="17"/>
      <c r="W847" t="str">
        <f t="shared" si="20"/>
        <v>PROJECT_CONTROL_ACCOUNT.USER_NUM02</v>
      </c>
      <c r="X847" t="e">
        <f>VLOOKUP(W847,ColumnMapping[New Table.Column],1,)</f>
        <v>#N/A</v>
      </c>
      <c r="Y847" t="str">
        <f>_xlfn.XLOOKUP(Table6[[#This Row],[Table.Column]],ColumnMapping[Add Column Name],ColumnMapping[Old Table.Column],"",0,1)</f>
        <v>CAWP.USER_NUM02</v>
      </c>
      <c r="Z847" t="str">
        <f>_xlfn.XLOOKUP(Table6[[#This Row],[Old Table.Column]],Cobra8.6[Table.Column],Cobra8.6[TYPE],"",0,1)</f>
        <v>DEC</v>
      </c>
      <c r="AA847">
        <f>_xlfn.XLOOKUP(Table6[[#This Row],[Old Table.Column]],Cobra8.6[Table.Column],Cobra8.6[LENGTH],"",0,1)</f>
        <v>21</v>
      </c>
      <c r="AB847"/>
    </row>
    <row r="848" spans="1:28" hidden="1" x14ac:dyDescent="0.2">
      <c r="A848" t="s">
        <v>450</v>
      </c>
      <c r="B848" s="17" t="s">
        <v>1218</v>
      </c>
      <c r="C848" s="17" t="s">
        <v>1044</v>
      </c>
      <c r="D848" s="17">
        <v>58</v>
      </c>
      <c r="E848" s="17" t="s">
        <v>161</v>
      </c>
      <c r="F848" t="str">
        <f>VLOOKUP($E848,'Data Type Lookup'!$A$1:$C$21,2,FALSE)</f>
        <v>NUMBER(21,6)</v>
      </c>
      <c r="G848" s="17"/>
      <c r="H848" s="17"/>
      <c r="I848" s="29"/>
      <c r="J848" s="29">
        <v>0</v>
      </c>
      <c r="K848" s="29"/>
      <c r="L848" s="29"/>
      <c r="M848" s="17"/>
      <c r="N848" s="17"/>
      <c r="O848" s="17"/>
      <c r="P848" s="17"/>
      <c r="Q848" s="17"/>
      <c r="R848" s="17"/>
      <c r="S848" s="17"/>
      <c r="W848" t="str">
        <f t="shared" si="20"/>
        <v>PROJECT_CONTROL_ACCOUNT.USER_NUM03</v>
      </c>
      <c r="X848" t="e">
        <f>VLOOKUP(W848,ColumnMapping[New Table.Column],1,)</f>
        <v>#N/A</v>
      </c>
      <c r="Y848" t="str">
        <f>_xlfn.XLOOKUP(Table6[[#This Row],[Table.Column]],ColumnMapping[Add Column Name],ColumnMapping[Old Table.Column],"",0,1)</f>
        <v>CAWP.USER_NUM03</v>
      </c>
      <c r="Z848" t="str">
        <f>_xlfn.XLOOKUP(Table6[[#This Row],[Old Table.Column]],Cobra8.6[Table.Column],Cobra8.6[TYPE],"",0,1)</f>
        <v>DEC</v>
      </c>
      <c r="AA848">
        <f>_xlfn.XLOOKUP(Table6[[#This Row],[Old Table.Column]],Cobra8.6[Table.Column],Cobra8.6[LENGTH],"",0,1)</f>
        <v>21</v>
      </c>
      <c r="AB848"/>
    </row>
    <row r="849" spans="1:28" hidden="1" x14ac:dyDescent="0.2">
      <c r="A849" t="s">
        <v>450</v>
      </c>
      <c r="B849" s="17" t="s">
        <v>1218</v>
      </c>
      <c r="C849" s="17" t="s">
        <v>1046</v>
      </c>
      <c r="D849" s="17">
        <v>59</v>
      </c>
      <c r="E849" s="17" t="s">
        <v>161</v>
      </c>
      <c r="F849" t="str">
        <f>VLOOKUP($E849,'Data Type Lookup'!$A$1:$C$21,2,FALSE)</f>
        <v>NUMBER(21,6)</v>
      </c>
      <c r="G849" s="17"/>
      <c r="H849" s="17"/>
      <c r="I849" s="29"/>
      <c r="J849" s="29">
        <v>0</v>
      </c>
      <c r="K849" s="29"/>
      <c r="L849" s="29"/>
      <c r="M849" s="17"/>
      <c r="N849" s="17"/>
      <c r="O849" s="17"/>
      <c r="P849" s="17"/>
      <c r="Q849" s="17"/>
      <c r="R849" s="17"/>
      <c r="S849" s="17"/>
      <c r="W849" t="str">
        <f t="shared" si="20"/>
        <v>PROJECT_CONTROL_ACCOUNT.USER_NUM04</v>
      </c>
      <c r="X849" t="e">
        <f>VLOOKUP(W849,ColumnMapping[New Table.Column],1,)</f>
        <v>#N/A</v>
      </c>
      <c r="Y849" t="str">
        <f>_xlfn.XLOOKUP(Table6[[#This Row],[Table.Column]],ColumnMapping[Add Column Name],ColumnMapping[Old Table.Column],"",0,1)</f>
        <v>CAWP.USER_NUM04</v>
      </c>
      <c r="Z849" t="str">
        <f>_xlfn.XLOOKUP(Table6[[#This Row],[Old Table.Column]],Cobra8.6[Table.Column],Cobra8.6[TYPE],"",0,1)</f>
        <v>DEC</v>
      </c>
      <c r="AA849">
        <f>_xlfn.XLOOKUP(Table6[[#This Row],[Old Table.Column]],Cobra8.6[Table.Column],Cobra8.6[LENGTH],"",0,1)</f>
        <v>21</v>
      </c>
      <c r="AB849"/>
    </row>
    <row r="850" spans="1:28" hidden="1" x14ac:dyDescent="0.2">
      <c r="A850" t="s">
        <v>450</v>
      </c>
      <c r="B850" s="17" t="s">
        <v>1218</v>
      </c>
      <c r="C850" s="17" t="s">
        <v>1048</v>
      </c>
      <c r="D850" s="17">
        <v>60</v>
      </c>
      <c r="E850" s="17" t="s">
        <v>161</v>
      </c>
      <c r="F850" t="str">
        <f>VLOOKUP($E850,'Data Type Lookup'!$A$1:$C$21,2,FALSE)</f>
        <v>NUMBER(21,6)</v>
      </c>
      <c r="G850" s="17"/>
      <c r="H850" s="17"/>
      <c r="I850" s="29"/>
      <c r="J850" s="29">
        <v>0</v>
      </c>
      <c r="K850" s="29"/>
      <c r="L850" s="29"/>
      <c r="M850" s="17"/>
      <c r="N850" s="17"/>
      <c r="O850" s="17"/>
      <c r="P850" s="17"/>
      <c r="Q850" s="17"/>
      <c r="R850" s="17"/>
      <c r="S850" s="17"/>
      <c r="W850" t="str">
        <f t="shared" si="20"/>
        <v>PROJECT_CONTROL_ACCOUNT.USER_NUM05</v>
      </c>
      <c r="X850" t="e">
        <f>VLOOKUP(W850,ColumnMapping[New Table.Column],1,)</f>
        <v>#N/A</v>
      </c>
      <c r="Y850" t="str">
        <f>_xlfn.XLOOKUP(Table6[[#This Row],[Table.Column]],ColumnMapping[Add Column Name],ColumnMapping[Old Table.Column],"",0,1)</f>
        <v>CAWP.USER_NUM05</v>
      </c>
      <c r="Z850" t="str">
        <f>_xlfn.XLOOKUP(Table6[[#This Row],[Old Table.Column]],Cobra8.6[Table.Column],Cobra8.6[TYPE],"",0,1)</f>
        <v>DEC</v>
      </c>
      <c r="AA850">
        <f>_xlfn.XLOOKUP(Table6[[#This Row],[Old Table.Column]],Cobra8.6[Table.Column],Cobra8.6[LENGTH],"",0,1)</f>
        <v>21</v>
      </c>
      <c r="AB850"/>
    </row>
    <row r="851" spans="1:28" hidden="1" x14ac:dyDescent="0.2">
      <c r="A851" t="s">
        <v>450</v>
      </c>
      <c r="B851" t="s">
        <v>1218</v>
      </c>
      <c r="C851" t="s">
        <v>885</v>
      </c>
      <c r="D851">
        <v>5</v>
      </c>
      <c r="E851" t="s">
        <v>31</v>
      </c>
      <c r="F851" t="str">
        <f>VLOOKUP($E851,'Data Type Lookup'!$A$1:$C$21,2,FALSE)</f>
        <v>RAW(16)</v>
      </c>
      <c r="M851" t="s">
        <v>29</v>
      </c>
      <c r="N851" t="s">
        <v>30</v>
      </c>
      <c r="O851" t="s">
        <v>41</v>
      </c>
      <c r="P851" t="s">
        <v>886</v>
      </c>
      <c r="Q851" t="s">
        <v>887</v>
      </c>
      <c r="R851" t="str">
        <f>VLOOKUP(E851,'Data Type Lookup'!$A$1:$C$21,3,FALSE)</f>
        <v>java.util.UUID</v>
      </c>
      <c r="S851">
        <v>1</v>
      </c>
      <c r="W851" t="str">
        <f t="shared" si="20"/>
        <v>PROJECT_CONTROL_ACCOUNT.WBS_CODE_UID</v>
      </c>
      <c r="X851" t="str">
        <f>VLOOKUP(W851,ColumnMapping[New Table.Column],1,)</f>
        <v>PROJECT_CONTROL_ACCOUNT.WBS_CODE_UID</v>
      </c>
      <c r="Y851" t="str">
        <f>_xlfn.XLOOKUP(Table6[[#This Row],[Table.Column]],ColumnMapping[Add Column Name],ColumnMapping[Old Table.Column],"",0,1)</f>
        <v/>
      </c>
      <c r="Z851" t="str">
        <f>_xlfn.XLOOKUP(Table6[[#This Row],[Old Table.Column]],Cobra8.6[Table.Column],Cobra8.6[TYPE],"",0,1)</f>
        <v/>
      </c>
      <c r="AA851" t="str">
        <f>_xlfn.XLOOKUP(Table6[[#This Row],[Old Table.Column]],Cobra8.6[Table.Column],Cobra8.6[LENGTH],"",0,1)</f>
        <v/>
      </c>
      <c r="AB851"/>
    </row>
    <row r="852" spans="1:28" hidden="1" x14ac:dyDescent="0.2">
      <c r="A852" t="s">
        <v>450</v>
      </c>
      <c r="B852" t="s">
        <v>1219</v>
      </c>
      <c r="C852" t="s">
        <v>885</v>
      </c>
      <c r="D852">
        <v>5</v>
      </c>
      <c r="E852" t="s">
        <v>31</v>
      </c>
      <c r="F852" t="str">
        <f>VLOOKUP($E852,'Data Type Lookup'!$A$1:$C$21,2,FALSE)</f>
        <v>RAW(16)</v>
      </c>
      <c r="M852" t="s">
        <v>29</v>
      </c>
      <c r="N852" t="s">
        <v>30</v>
      </c>
      <c r="O852" t="s">
        <v>41</v>
      </c>
      <c r="P852" t="s">
        <v>886</v>
      </c>
      <c r="Q852" t="s">
        <v>887</v>
      </c>
      <c r="R852" t="str">
        <f>VLOOKUP(E852,'Data Type Lookup'!$A$1:$C$21,3,FALSE)</f>
        <v>java.util.UUID</v>
      </c>
      <c r="S852">
        <v>1</v>
      </c>
      <c r="W852" t="str">
        <f t="shared" si="20"/>
        <v>PROJECT_WORK_PACKAGE.WBS_CODE_UID</v>
      </c>
      <c r="X852" t="str">
        <f>VLOOKUP(W852,ColumnMapping[New Table.Column],1,)</f>
        <v>PROJECT_WORK_PACKAGE.WBS_CODE_UID</v>
      </c>
      <c r="Y852" t="str">
        <f>_xlfn.XLOOKUP(Table6[[#This Row],[Table.Column]],ColumnMapping[Add Column Name],ColumnMapping[Old Table.Column],"",0,1)</f>
        <v/>
      </c>
      <c r="Z852" t="str">
        <f>_xlfn.XLOOKUP(Table6[[#This Row],[Old Table.Column]],Cobra8.6[Table.Column],Cobra8.6[TYPE],"",0,1)</f>
        <v/>
      </c>
      <c r="AA852" t="str">
        <f>_xlfn.XLOOKUP(Table6[[#This Row],[Old Table.Column]],Cobra8.6[Table.Column],Cobra8.6[LENGTH],"",0,1)</f>
        <v/>
      </c>
      <c r="AB852"/>
    </row>
    <row r="853" spans="1:28" hidden="1" x14ac:dyDescent="0.2">
      <c r="A853" t="s">
        <v>450</v>
      </c>
      <c r="B853" s="17" t="s">
        <v>1218</v>
      </c>
      <c r="C853" s="17" t="s">
        <v>1398</v>
      </c>
      <c r="D853" s="17">
        <v>30</v>
      </c>
      <c r="E853" s="17" t="s">
        <v>86</v>
      </c>
      <c r="F853" t="str">
        <f>VLOOKUP($E853,'Data Type Lookup'!$A$1:$C$21,2,FALSE)</f>
        <v>VARCHAR2</v>
      </c>
      <c r="G853" s="17">
        <v>59</v>
      </c>
      <c r="H853" s="17"/>
      <c r="I853" s="29"/>
      <c r="J853" s="29"/>
      <c r="K853" s="29"/>
      <c r="L853" s="29"/>
      <c r="M853" s="17"/>
      <c r="N853" s="17"/>
      <c r="O853" s="17"/>
      <c r="P853" s="17"/>
      <c r="Q853" s="17"/>
      <c r="R853" s="17"/>
      <c r="S853" s="17"/>
      <c r="W853" t="str">
        <f t="shared" si="20"/>
        <v>PROJECT_CONTROL_ACCOUNT.WP</v>
      </c>
      <c r="X853" t="e">
        <f>VLOOKUP(W853,ColumnMapping[New Table.Column],1,)</f>
        <v>#N/A</v>
      </c>
      <c r="Y853" t="str">
        <f>_xlfn.XLOOKUP(Table6[[#This Row],[Table.Column]],ColumnMapping[Add Column Name],ColumnMapping[Old Table.Column],"",0,1)</f>
        <v>CAWP.WP</v>
      </c>
      <c r="Z853" t="str">
        <f>_xlfn.XLOOKUP(Table6[[#This Row],[Old Table.Column]],Cobra8.6[Table.Column],Cobra8.6[TYPE],"",0,1)</f>
        <v>TEXT</v>
      </c>
      <c r="AA853">
        <f>_xlfn.XLOOKUP(Table6[[#This Row],[Old Table.Column]],Cobra8.6[Table.Column],Cobra8.6[LENGTH],"",0,1)</f>
        <v>59</v>
      </c>
      <c r="AB853"/>
    </row>
    <row r="854" spans="1:28" hidden="1" x14ac:dyDescent="0.2">
      <c r="A854" t="s">
        <v>450</v>
      </c>
      <c r="B854" t="s">
        <v>1399</v>
      </c>
      <c r="C854" t="s">
        <v>30</v>
      </c>
      <c r="D854">
        <v>1</v>
      </c>
      <c r="E854" t="s">
        <v>31</v>
      </c>
      <c r="F854" t="str">
        <f>VLOOKUP($E854,'Data Type Lookup'!$A$1:$C$21,2,FALSE)</f>
        <v>RAW(16)</v>
      </c>
      <c r="I854" s="32" t="s">
        <v>32</v>
      </c>
      <c r="K854" s="32" t="s">
        <v>32</v>
      </c>
      <c r="P854" t="s">
        <v>1400</v>
      </c>
      <c r="Q854" t="s">
        <v>34</v>
      </c>
      <c r="R854" t="str">
        <f>VLOOKUP(E854,'Data Type Lookup'!$A$1:$C$21,3,FALSE)</f>
        <v>java.util.UUID</v>
      </c>
      <c r="S854">
        <v>3</v>
      </c>
      <c r="W854" t="str">
        <f t="shared" si="20"/>
        <v>PROJECT_WP_MILESTONE.ROW_UID</v>
      </c>
      <c r="X854" t="str">
        <f>VLOOKUP(W854,ColumnMapping[New Table.Column],1,)</f>
        <v>PROJECT_WP_MILESTONE.ROW_UID</v>
      </c>
      <c r="Y854" t="str">
        <f>_xlfn.XLOOKUP(Table6[[#This Row],[Table.Column]],ColumnMapping[Add Column Name],ColumnMapping[Old Table.Column],"",0,1)</f>
        <v/>
      </c>
      <c r="Z854" t="str">
        <f>_xlfn.XLOOKUP(Table6[[#This Row],[Old Table.Column]],Cobra8.6[Table.Column],Cobra8.6[TYPE],"",0,1)</f>
        <v/>
      </c>
      <c r="AA854" t="str">
        <f>_xlfn.XLOOKUP(Table6[[#This Row],[Old Table.Column]],Cobra8.6[Table.Column],Cobra8.6[LENGTH],"",0,1)</f>
        <v/>
      </c>
      <c r="AB854"/>
    </row>
    <row r="855" spans="1:28" hidden="1" x14ac:dyDescent="0.2">
      <c r="A855" t="s">
        <v>450</v>
      </c>
      <c r="B855" t="s">
        <v>1399</v>
      </c>
      <c r="C855" t="s">
        <v>35</v>
      </c>
      <c r="D855">
        <v>2</v>
      </c>
      <c r="E855" t="s">
        <v>36</v>
      </c>
      <c r="F855" t="str">
        <f>VLOOKUP($E855,'Data Type Lookup'!$A$1:$C$21,2,FALSE)</f>
        <v>NUMBER(19,0)</v>
      </c>
      <c r="I855" s="32" t="s">
        <v>32</v>
      </c>
      <c r="J855" s="32">
        <v>0</v>
      </c>
      <c r="P855" t="s">
        <v>37</v>
      </c>
      <c r="Q855" t="s">
        <v>38</v>
      </c>
      <c r="R855" t="str">
        <f>VLOOKUP(E855,'Data Type Lookup'!$A$1:$C$21,3,FALSE)</f>
        <v>Long</v>
      </c>
      <c r="S855">
        <v>3</v>
      </c>
      <c r="W855" t="str">
        <f t="shared" si="20"/>
        <v>PROJECT_WP_MILESTONE.SEQUENCE</v>
      </c>
      <c r="X855" t="str">
        <f>VLOOKUP(W855,ColumnMapping[New Table.Column],1,)</f>
        <v>PROJECT_WP_MILESTONE.SEQUENCE</v>
      </c>
      <c r="Y855" t="str">
        <f>_xlfn.XLOOKUP(Table6[[#This Row],[Table.Column]],ColumnMapping[Add Column Name],ColumnMapping[Old Table.Column],"",0,1)</f>
        <v/>
      </c>
      <c r="Z855" t="str">
        <f>_xlfn.XLOOKUP(Table6[[#This Row],[Old Table.Column]],Cobra8.6[Table.Column],Cobra8.6[TYPE],"",0,1)</f>
        <v/>
      </c>
      <c r="AA855" t="str">
        <f>_xlfn.XLOOKUP(Table6[[#This Row],[Old Table.Column]],Cobra8.6[Table.Column],Cobra8.6[LENGTH],"",0,1)</f>
        <v/>
      </c>
      <c r="AB855"/>
    </row>
    <row r="856" spans="1:28" hidden="1" x14ac:dyDescent="0.2">
      <c r="A856" t="s">
        <v>450</v>
      </c>
      <c r="B856" t="s">
        <v>1399</v>
      </c>
      <c r="C856" t="s">
        <v>1401</v>
      </c>
      <c r="D856">
        <v>4</v>
      </c>
      <c r="E856" t="s">
        <v>31</v>
      </c>
      <c r="F856" t="str">
        <f>VLOOKUP($E856,'Data Type Lookup'!$A$1:$C$21,2,FALSE)</f>
        <v>RAW(16)</v>
      </c>
      <c r="I856" s="32" t="s">
        <v>32</v>
      </c>
      <c r="L856" s="32" t="s">
        <v>32</v>
      </c>
      <c r="M856" t="s">
        <v>1219</v>
      </c>
      <c r="N856" t="s">
        <v>30</v>
      </c>
      <c r="O856" t="s">
        <v>41</v>
      </c>
      <c r="P856" t="s">
        <v>1393</v>
      </c>
      <c r="Q856" t="s">
        <v>1062</v>
      </c>
      <c r="R856" t="str">
        <f>VLOOKUP(E856,'Data Type Lookup'!$A$1:$C$21,3,FALSE)</f>
        <v>java.util.UUID</v>
      </c>
      <c r="S856">
        <v>1</v>
      </c>
      <c r="W856" t="str">
        <f t="shared" si="20"/>
        <v>PROJECT_WP_MILESTONE.PROJECT_WORK_PACKAGE_UID</v>
      </c>
      <c r="X856" t="str">
        <f>VLOOKUP(W856,ColumnMapping[New Table.Column],1,)</f>
        <v>PROJECT_WP_MILESTONE.PROJECT_WORK_PACKAGE_UID</v>
      </c>
      <c r="Y856" t="str">
        <f>_xlfn.XLOOKUP(Table6[[#This Row],[Table.Column]],ColumnMapping[Add Column Name],ColumnMapping[Old Table.Column],"",0,1)</f>
        <v/>
      </c>
      <c r="Z856" t="str">
        <f>_xlfn.XLOOKUP(Table6[[#This Row],[Old Table.Column]],Cobra8.6[Table.Column],Cobra8.6[TYPE],"",0,1)</f>
        <v/>
      </c>
      <c r="AA856" t="str">
        <f>_xlfn.XLOOKUP(Table6[[#This Row],[Old Table.Column]],Cobra8.6[Table.Column],Cobra8.6[LENGTH],"",0,1)</f>
        <v/>
      </c>
      <c r="AB856"/>
    </row>
    <row r="857" spans="1:28" hidden="1" x14ac:dyDescent="0.2">
      <c r="A857" t="s">
        <v>450</v>
      </c>
      <c r="B857" t="s">
        <v>1399</v>
      </c>
      <c r="C857" t="s">
        <v>47</v>
      </c>
      <c r="D857">
        <v>5</v>
      </c>
      <c r="E857" t="s">
        <v>48</v>
      </c>
      <c r="F857" t="str">
        <f>VLOOKUP($E857,'Data Type Lookup'!$A$1:$C$21,2,FALSE)</f>
        <v>NVARCHAR2</v>
      </c>
      <c r="G857">
        <v>100</v>
      </c>
      <c r="I857" s="32" t="s">
        <v>32</v>
      </c>
      <c r="L857" s="32" t="s">
        <v>32</v>
      </c>
      <c r="P857" t="s">
        <v>1402</v>
      </c>
      <c r="Q857" t="s">
        <v>50</v>
      </c>
      <c r="R857" t="str">
        <f>VLOOKUP(E857,'Data Type Lookup'!$A$1:$C$21,3,FALSE)</f>
        <v>String</v>
      </c>
      <c r="W857" t="str">
        <f t="shared" si="20"/>
        <v>PROJECT_WP_MILESTONE.NAME</v>
      </c>
      <c r="X857" t="str">
        <f>VLOOKUP(W857,ColumnMapping[New Table.Column],1,)</f>
        <v>PROJECT_WP_MILESTONE.NAME</v>
      </c>
      <c r="Y857" t="str">
        <f>_xlfn.XLOOKUP(Table6[[#This Row],[Table.Column]],ColumnMapping[Add Column Name],ColumnMapping[Old Table.Column],"",0,1)</f>
        <v/>
      </c>
      <c r="Z857" t="str">
        <f>_xlfn.XLOOKUP(Table6[[#This Row],[Old Table.Column]],Cobra8.6[Table.Column],Cobra8.6[TYPE],"",0,1)</f>
        <v/>
      </c>
      <c r="AA857" t="str">
        <f>_xlfn.XLOOKUP(Table6[[#This Row],[Old Table.Column]],Cobra8.6[Table.Column],Cobra8.6[LENGTH],"",0,1)</f>
        <v/>
      </c>
      <c r="AB857"/>
    </row>
    <row r="858" spans="1:28" hidden="1" x14ac:dyDescent="0.2">
      <c r="A858" t="s">
        <v>450</v>
      </c>
      <c r="B858" t="s">
        <v>1399</v>
      </c>
      <c r="C858" t="s">
        <v>501</v>
      </c>
      <c r="D858">
        <v>6</v>
      </c>
      <c r="E858" t="s">
        <v>356</v>
      </c>
      <c r="F858" t="str">
        <f>VLOOKUP($E858,'Data Type Lookup'!$A$1:$C$21,2,FALSE)</f>
        <v>DATE</v>
      </c>
      <c r="P858" t="s">
        <v>1403</v>
      </c>
      <c r="Q858" t="s">
        <v>503</v>
      </c>
      <c r="R858" t="str">
        <f>VLOOKUP(E858,'Data Type Lookup'!$A$1:$C$21,3,FALSE)</f>
        <v>java.time.Instant</v>
      </c>
      <c r="W858" t="str">
        <f t="shared" si="20"/>
        <v>PROJECT_WP_MILESTONE.BASELINE_FINISH</v>
      </c>
      <c r="X858" t="str">
        <f>VLOOKUP(W858,ColumnMapping[New Table.Column],1,)</f>
        <v>PROJECT_WP_MILESTONE.BASELINE_FINISH</v>
      </c>
      <c r="Y858" t="str">
        <f>_xlfn.XLOOKUP(Table6[[#This Row],[Table.Column]],ColumnMapping[Add Column Name],ColumnMapping[Old Table.Column],"",0,1)</f>
        <v/>
      </c>
      <c r="Z858" t="str">
        <f>_xlfn.XLOOKUP(Table6[[#This Row],[Old Table.Column]],Cobra8.6[Table.Column],Cobra8.6[TYPE],"",0,1)</f>
        <v/>
      </c>
      <c r="AA858" t="str">
        <f>_xlfn.XLOOKUP(Table6[[#This Row],[Old Table.Column]],Cobra8.6[Table.Column],Cobra8.6[LENGTH],"",0,1)</f>
        <v/>
      </c>
      <c r="AB858"/>
    </row>
    <row r="859" spans="1:28" hidden="1" x14ac:dyDescent="0.2">
      <c r="A859" t="s">
        <v>450</v>
      </c>
      <c r="B859" t="s">
        <v>1399</v>
      </c>
      <c r="C859" t="s">
        <v>905</v>
      </c>
      <c r="D859">
        <v>7</v>
      </c>
      <c r="E859" t="s">
        <v>356</v>
      </c>
      <c r="F859" t="str">
        <f>VLOOKUP($E859,'Data Type Lookup'!$A$1:$C$21,2,FALSE)</f>
        <v>DATE</v>
      </c>
      <c r="P859" t="s">
        <v>1404</v>
      </c>
      <c r="Q859" t="s">
        <v>907</v>
      </c>
      <c r="R859" t="str">
        <f>VLOOKUP(E859,'Data Type Lookup'!$A$1:$C$21,3,FALSE)</f>
        <v>java.time.Instant</v>
      </c>
      <c r="W859" t="str">
        <f t="shared" si="20"/>
        <v>PROJECT_WP_MILESTONE.ACTUAL_FINISH</v>
      </c>
      <c r="X859" t="str">
        <f>VLOOKUP(W859,ColumnMapping[New Table.Column],1,)</f>
        <v>PROJECT_WP_MILESTONE.ACTUAL_FINISH</v>
      </c>
      <c r="Y859" t="str">
        <f>_xlfn.XLOOKUP(Table6[[#This Row],[Table.Column]],ColumnMapping[Add Column Name],ColumnMapping[Old Table.Column],"",0,1)</f>
        <v/>
      </c>
      <c r="Z859" t="str">
        <f>_xlfn.XLOOKUP(Table6[[#This Row],[Old Table.Column]],Cobra8.6[Table.Column],Cobra8.6[TYPE],"",0,1)</f>
        <v/>
      </c>
      <c r="AA859" t="str">
        <f>_xlfn.XLOOKUP(Table6[[#This Row],[Old Table.Column]],Cobra8.6[Table.Column],Cobra8.6[LENGTH],"",0,1)</f>
        <v/>
      </c>
      <c r="AB859"/>
    </row>
    <row r="860" spans="1:28" hidden="1" x14ac:dyDescent="0.2">
      <c r="A860" t="s">
        <v>450</v>
      </c>
      <c r="B860" t="s">
        <v>1399</v>
      </c>
      <c r="C860" t="s">
        <v>930</v>
      </c>
      <c r="D860">
        <v>8</v>
      </c>
      <c r="E860" t="s">
        <v>86</v>
      </c>
      <c r="F860" t="str">
        <f>VLOOKUP($E860,'Data Type Lookup'!$A$1:$C$21,2,FALSE)</f>
        <v>VARCHAR2</v>
      </c>
      <c r="G860">
        <v>1</v>
      </c>
      <c r="I860" s="32" t="s">
        <v>32</v>
      </c>
      <c r="P860" t="s">
        <v>1405</v>
      </c>
      <c r="Q860" t="s">
        <v>932</v>
      </c>
      <c r="R860" t="str">
        <f>VLOOKUP(E860,'Data Type Lookup'!$A$1:$C$21,3,FALSE)</f>
        <v>String</v>
      </c>
      <c r="W860" t="str">
        <f t="shared" si="20"/>
        <v>PROJECT_WP_MILESTONE.STATUS</v>
      </c>
      <c r="X860" t="str">
        <f>VLOOKUP(W860,ColumnMapping[New Table.Column],1,)</f>
        <v>PROJECT_WP_MILESTONE.STATUS</v>
      </c>
      <c r="Y860" t="str">
        <f>_xlfn.XLOOKUP(Table6[[#This Row],[Table.Column]],ColumnMapping[Add Column Name],ColumnMapping[Old Table.Column],"",0,1)</f>
        <v/>
      </c>
      <c r="Z860" t="str">
        <f>_xlfn.XLOOKUP(Table6[[#This Row],[Old Table.Column]],Cobra8.6[Table.Column],Cobra8.6[TYPE],"",0,1)</f>
        <v/>
      </c>
      <c r="AA860" t="str">
        <f>_xlfn.XLOOKUP(Table6[[#This Row],[Old Table.Column]],Cobra8.6[Table.Column],Cobra8.6[LENGTH],"",0,1)</f>
        <v/>
      </c>
      <c r="AB860"/>
    </row>
    <row r="861" spans="1:28" hidden="1" x14ac:dyDescent="0.2">
      <c r="A861" t="s">
        <v>450</v>
      </c>
      <c r="B861" t="s">
        <v>1399</v>
      </c>
      <c r="C861" t="s">
        <v>1406</v>
      </c>
      <c r="D861">
        <v>9</v>
      </c>
      <c r="E861" t="s">
        <v>161</v>
      </c>
      <c r="F861" t="str">
        <f>VLOOKUP($E861,'Data Type Lookup'!$A$1:$C$21,2,FALSE)</f>
        <v>NUMBER(21,6)</v>
      </c>
      <c r="I861" s="32" t="s">
        <v>32</v>
      </c>
      <c r="J861" s="32">
        <v>0</v>
      </c>
      <c r="P861" t="s">
        <v>1407</v>
      </c>
      <c r="Q861" t="s">
        <v>1408</v>
      </c>
      <c r="R861" t="str">
        <f>VLOOKUP(E861,'Data Type Lookup'!$A$1:$C$21,3,FALSE)</f>
        <v>java.math.BigDecimal</v>
      </c>
      <c r="W861" t="str">
        <f t="shared" si="20"/>
        <v>PROJECT_WP_MILESTONE.WEIGHT</v>
      </c>
      <c r="X861" t="str">
        <f>VLOOKUP(W861,ColumnMapping[New Table.Column],1,)</f>
        <v>PROJECT_WP_MILESTONE.WEIGHT</v>
      </c>
      <c r="Y861" t="str">
        <f>_xlfn.XLOOKUP(Table6[[#This Row],[Table.Column]],ColumnMapping[Add Column Name],ColumnMapping[Old Table.Column],"",0,1)</f>
        <v/>
      </c>
      <c r="Z861" t="str">
        <f>_xlfn.XLOOKUP(Table6[[#This Row],[Old Table.Column]],Cobra8.6[Table.Column],Cobra8.6[TYPE],"",0,1)</f>
        <v/>
      </c>
      <c r="AA861" t="str">
        <f>_xlfn.XLOOKUP(Table6[[#This Row],[Old Table.Column]],Cobra8.6[Table.Column],Cobra8.6[LENGTH],"",0,1)</f>
        <v/>
      </c>
      <c r="AB861"/>
    </row>
    <row r="862" spans="1:28" hidden="1" x14ac:dyDescent="0.2">
      <c r="A862" t="s">
        <v>450</v>
      </c>
      <c r="B862" t="s">
        <v>1399</v>
      </c>
      <c r="C862" t="s">
        <v>939</v>
      </c>
      <c r="D862">
        <v>10</v>
      </c>
      <c r="E862" t="s">
        <v>168</v>
      </c>
      <c r="F862" t="str">
        <f>VLOOKUP($E862,'Data Type Lookup'!$A$1:$C$21,2,FALSE)</f>
        <v>NUMBER(5,2)</v>
      </c>
      <c r="I862" s="32" t="s">
        <v>32</v>
      </c>
      <c r="J862" s="32">
        <v>0</v>
      </c>
      <c r="P862" t="s">
        <v>1087</v>
      </c>
      <c r="Q862" t="s">
        <v>941</v>
      </c>
      <c r="R862" t="str">
        <f>VLOOKUP(E862,'Data Type Lookup'!$A$1:$C$21,3,FALSE)</f>
        <v>java.math.BigDecimal</v>
      </c>
      <c r="W862" t="str">
        <f t="shared" si="20"/>
        <v>PROJECT_WP_MILESTONE.PERCENT_COMPLETE</v>
      </c>
      <c r="X862" t="str">
        <f>VLOOKUP(W862,ColumnMapping[New Table.Column],1,)</f>
        <v>PROJECT_WP_MILESTONE.PERCENT_COMPLETE</v>
      </c>
      <c r="Y862" t="str">
        <f>_xlfn.XLOOKUP(Table6[[#This Row],[Table.Column]],ColumnMapping[Add Column Name],ColumnMapping[Old Table.Column],"",0,1)</f>
        <v/>
      </c>
      <c r="Z862" t="str">
        <f>_xlfn.XLOOKUP(Table6[[#This Row],[Old Table.Column]],Cobra8.6[Table.Column],Cobra8.6[TYPE],"",0,1)</f>
        <v/>
      </c>
      <c r="AA862" t="str">
        <f>_xlfn.XLOOKUP(Table6[[#This Row],[Old Table.Column]],Cobra8.6[Table.Column],Cobra8.6[LENGTH],"",0,1)</f>
        <v/>
      </c>
      <c r="AB862"/>
    </row>
    <row r="863" spans="1:28" hidden="1" x14ac:dyDescent="0.2">
      <c r="A863" t="s">
        <v>450</v>
      </c>
      <c r="B863" t="s">
        <v>1399</v>
      </c>
      <c r="C863" t="s">
        <v>61</v>
      </c>
      <c r="D863">
        <v>11</v>
      </c>
      <c r="E863" t="s">
        <v>31</v>
      </c>
      <c r="F863" t="str">
        <f>VLOOKUP($E863,'Data Type Lookup'!$A$1:$C$21,2,FALSE)</f>
        <v>RAW(16)</v>
      </c>
      <c r="I863" s="32" t="s">
        <v>32</v>
      </c>
      <c r="P863" t="s">
        <v>1409</v>
      </c>
      <c r="Q863" t="s">
        <v>63</v>
      </c>
      <c r="R863" t="str">
        <f>VLOOKUP(E863,'Data Type Lookup'!$A$1:$C$21,3,FALSE)</f>
        <v>java.util.UUID</v>
      </c>
      <c r="S863">
        <v>2</v>
      </c>
      <c r="W863" t="str">
        <f t="shared" si="20"/>
        <v>PROJECT_WP_MILESTONE.CREATED_BY_USER_UID</v>
      </c>
      <c r="X863" t="str">
        <f>VLOOKUP(W863,ColumnMapping[New Table.Column],1,)</f>
        <v>PROJECT_WP_MILESTONE.CREATED_BY_USER_UID</v>
      </c>
      <c r="Y863" t="str">
        <f>_xlfn.XLOOKUP(Table6[[#This Row],[Table.Column]],ColumnMapping[Add Column Name],ColumnMapping[Old Table.Column],"",0,1)</f>
        <v/>
      </c>
      <c r="Z863" t="str">
        <f>_xlfn.XLOOKUP(Table6[[#This Row],[Old Table.Column]],Cobra8.6[Table.Column],Cobra8.6[TYPE],"",0,1)</f>
        <v/>
      </c>
      <c r="AA863" t="str">
        <f>_xlfn.XLOOKUP(Table6[[#This Row],[Old Table.Column]],Cobra8.6[Table.Column],Cobra8.6[LENGTH],"",0,1)</f>
        <v/>
      </c>
      <c r="AB863"/>
    </row>
    <row r="864" spans="1:28" hidden="1" x14ac:dyDescent="0.2">
      <c r="A864" t="s">
        <v>450</v>
      </c>
      <c r="B864" t="s">
        <v>1399</v>
      </c>
      <c r="C864" t="s">
        <v>64</v>
      </c>
      <c r="D864">
        <v>12</v>
      </c>
      <c r="E864" t="s">
        <v>65</v>
      </c>
      <c r="F864" t="str">
        <f>VLOOKUP($E864,'Data Type Lookup'!$A$1:$C$21,2,FALSE)</f>
        <v>TIMESTAMP</v>
      </c>
      <c r="I864" s="32" t="s">
        <v>32</v>
      </c>
      <c r="P864" t="s">
        <v>1410</v>
      </c>
      <c r="Q864" t="s">
        <v>67</v>
      </c>
      <c r="R864" t="str">
        <f>VLOOKUP(E864,'Data Type Lookup'!$A$1:$C$21,3,FALSE)</f>
        <v>java.time.Instant</v>
      </c>
      <c r="S864">
        <v>2</v>
      </c>
      <c r="W864" t="str">
        <f t="shared" si="20"/>
        <v>PROJECT_WP_MILESTONE.CREATED_DATE</v>
      </c>
      <c r="X864" t="str">
        <f>VLOOKUP(W864,ColumnMapping[New Table.Column],1,)</f>
        <v>PROJECT_WP_MILESTONE.CREATED_DATE</v>
      </c>
      <c r="Y864" t="str">
        <f>_xlfn.XLOOKUP(Table6[[#This Row],[Table.Column]],ColumnMapping[Add Column Name],ColumnMapping[Old Table.Column],"",0,1)</f>
        <v/>
      </c>
      <c r="Z864" t="str">
        <f>_xlfn.XLOOKUP(Table6[[#This Row],[Old Table.Column]],Cobra8.6[Table.Column],Cobra8.6[TYPE],"",0,1)</f>
        <v/>
      </c>
      <c r="AA864" t="str">
        <f>_xlfn.XLOOKUP(Table6[[#This Row],[Old Table.Column]],Cobra8.6[Table.Column],Cobra8.6[LENGTH],"",0,1)</f>
        <v/>
      </c>
      <c r="AB864"/>
    </row>
    <row r="865" spans="1:28" hidden="1" x14ac:dyDescent="0.2">
      <c r="A865" t="s">
        <v>450</v>
      </c>
      <c r="B865" t="s">
        <v>1399</v>
      </c>
      <c r="C865" t="s">
        <v>68</v>
      </c>
      <c r="D865">
        <v>13</v>
      </c>
      <c r="E865" t="s">
        <v>31</v>
      </c>
      <c r="F865" t="str">
        <f>VLOOKUP($E865,'Data Type Lookup'!$A$1:$C$21,2,FALSE)</f>
        <v>RAW(16)</v>
      </c>
      <c r="I865" s="32" t="s">
        <v>32</v>
      </c>
      <c r="P865" t="s">
        <v>1411</v>
      </c>
      <c r="Q865" t="s">
        <v>70</v>
      </c>
      <c r="R865" t="str">
        <f>VLOOKUP(E865,'Data Type Lookup'!$A$1:$C$21,3,FALSE)</f>
        <v>java.util.UUID</v>
      </c>
      <c r="S865">
        <v>2</v>
      </c>
      <c r="W865" t="str">
        <f t="shared" si="20"/>
        <v>PROJECT_WP_MILESTONE.LAST_MODIFIED_BY_USER_UID</v>
      </c>
      <c r="X865" t="str">
        <f>VLOOKUP(W865,ColumnMapping[New Table.Column],1,)</f>
        <v>PROJECT_WP_MILESTONE.LAST_MODIFIED_BY_USER_UID</v>
      </c>
      <c r="Y865" t="str">
        <f>_xlfn.XLOOKUP(Table6[[#This Row],[Table.Column]],ColumnMapping[Add Column Name],ColumnMapping[Old Table.Column],"",0,1)</f>
        <v/>
      </c>
      <c r="Z865" t="str">
        <f>_xlfn.XLOOKUP(Table6[[#This Row],[Old Table.Column]],Cobra8.6[Table.Column],Cobra8.6[TYPE],"",0,1)</f>
        <v/>
      </c>
      <c r="AA865" t="str">
        <f>_xlfn.XLOOKUP(Table6[[#This Row],[Old Table.Column]],Cobra8.6[Table.Column],Cobra8.6[LENGTH],"",0,1)</f>
        <v/>
      </c>
      <c r="AB865"/>
    </row>
    <row r="866" spans="1:28" hidden="1" x14ac:dyDescent="0.2">
      <c r="A866" t="s">
        <v>450</v>
      </c>
      <c r="B866" t="s">
        <v>1399</v>
      </c>
      <c r="C866" t="s">
        <v>71</v>
      </c>
      <c r="D866">
        <v>14</v>
      </c>
      <c r="E866" t="s">
        <v>65</v>
      </c>
      <c r="F866" t="str">
        <f>VLOOKUP($E866,'Data Type Lookup'!$A$1:$C$21,2,FALSE)</f>
        <v>TIMESTAMP</v>
      </c>
      <c r="I866" s="32" t="s">
        <v>32</v>
      </c>
      <c r="P866" t="s">
        <v>1412</v>
      </c>
      <c r="Q866" t="s">
        <v>73</v>
      </c>
      <c r="R866" t="str">
        <f>VLOOKUP(E866,'Data Type Lookup'!$A$1:$C$21,3,FALSE)</f>
        <v>java.time.Instant</v>
      </c>
      <c r="S866">
        <v>2</v>
      </c>
      <c r="W866" t="str">
        <f t="shared" si="20"/>
        <v>PROJECT_WP_MILESTONE.LAST_MODIFIED_DATE</v>
      </c>
      <c r="X866" t="str">
        <f>VLOOKUP(W866,ColumnMapping[New Table.Column],1,)</f>
        <v>PROJECT_WP_MILESTONE.LAST_MODIFIED_DATE</v>
      </c>
      <c r="Y866" t="str">
        <f>_xlfn.XLOOKUP(Table6[[#This Row],[Table.Column]],ColumnMapping[Add Column Name],ColumnMapping[Old Table.Column],"",0,1)</f>
        <v/>
      </c>
      <c r="Z866" t="str">
        <f>_xlfn.XLOOKUP(Table6[[#This Row],[Old Table.Column]],Cobra8.6[Table.Column],Cobra8.6[TYPE],"",0,1)</f>
        <v/>
      </c>
      <c r="AA866" t="str">
        <f>_xlfn.XLOOKUP(Table6[[#This Row],[Old Table.Column]],Cobra8.6[Table.Column],Cobra8.6[LENGTH],"",0,1)</f>
        <v/>
      </c>
      <c r="AB866"/>
    </row>
    <row r="867" spans="1:28" hidden="1" x14ac:dyDescent="0.2">
      <c r="A867" t="s">
        <v>450</v>
      </c>
      <c r="B867" t="s">
        <v>1399</v>
      </c>
      <c r="C867" t="s">
        <v>15</v>
      </c>
      <c r="D867">
        <v>15</v>
      </c>
      <c r="E867" t="s">
        <v>48</v>
      </c>
      <c r="F867" t="str">
        <f>VLOOKUP($E867,'Data Type Lookup'!$A$1:$C$21,2,FALSE)</f>
        <v>NVARCHAR2</v>
      </c>
      <c r="G867">
        <v>256</v>
      </c>
      <c r="P867" t="s">
        <v>1413</v>
      </c>
      <c r="Q867" t="s">
        <v>75</v>
      </c>
      <c r="R867" t="str">
        <f>VLOOKUP(E867,'Data Type Lookup'!$A$1:$C$21,3,FALSE)</f>
        <v>String</v>
      </c>
      <c r="W867" t="str">
        <f t="shared" si="20"/>
        <v>PROJECT_WP_MILESTONE.DESCRIPTION</v>
      </c>
      <c r="X867" t="str">
        <f>VLOOKUP(W867,ColumnMapping[New Table.Column],1,)</f>
        <v>PROJECT_WP_MILESTONE.DESCRIPTION</v>
      </c>
      <c r="Y867" t="str">
        <f>_xlfn.XLOOKUP(Table6[[#This Row],[Table.Column]],ColumnMapping[Add Column Name],ColumnMapping[Old Table.Column],"",0,1)</f>
        <v/>
      </c>
      <c r="Z867" t="str">
        <f>_xlfn.XLOOKUP(Table6[[#This Row],[Old Table.Column]],Cobra8.6[Table.Column],Cobra8.6[TYPE],"",0,1)</f>
        <v/>
      </c>
      <c r="AA867" t="str">
        <f>_xlfn.XLOOKUP(Table6[[#This Row],[Old Table.Column]],Cobra8.6[Table.Column],Cobra8.6[LENGTH],"",0,1)</f>
        <v/>
      </c>
      <c r="AB867"/>
    </row>
    <row r="868" spans="1:28" hidden="1" x14ac:dyDescent="0.2">
      <c r="A868" t="s">
        <v>450</v>
      </c>
      <c r="B868" s="17" t="s">
        <v>1399</v>
      </c>
      <c r="C868" s="17" t="s">
        <v>1011</v>
      </c>
      <c r="D868" s="17">
        <v>16</v>
      </c>
      <c r="E868" s="17" t="s">
        <v>36</v>
      </c>
      <c r="F868" t="str">
        <f>VLOOKUP($E868,'Data Type Lookup'!$A$1:$C$21,2,FALSE)</f>
        <v>NUMBER(19,0)</v>
      </c>
      <c r="G868" s="17"/>
      <c r="H868" s="17"/>
      <c r="I868" s="29"/>
      <c r="J868" s="29">
        <v>0</v>
      </c>
      <c r="K868" s="29"/>
      <c r="L868" s="29"/>
      <c r="M868" s="17"/>
      <c r="N868" s="17"/>
      <c r="O868" s="17"/>
      <c r="P868" s="17" t="s">
        <v>1012</v>
      </c>
      <c r="Q868" s="17" t="s">
        <v>1414</v>
      </c>
      <c r="R868" t="str">
        <f>VLOOKUP(E868,'Data Type Lookup'!$A$1:$C$21,3,FALSE)</f>
        <v>Long</v>
      </c>
      <c r="S868" s="17"/>
      <c r="W868" t="str">
        <f t="shared" si="20"/>
        <v>PROJECT_WP_MILESTONE.CL_BATCH</v>
      </c>
      <c r="X868" t="e">
        <f>VLOOKUP(W868,ColumnMapping[New Table.Column],1,)</f>
        <v>#N/A</v>
      </c>
      <c r="Y868" t="str">
        <f>_xlfn.XLOOKUP(Table6[[#This Row],[Table.Column]],ColumnMapping[Add Column Name],ColumnMapping[Old Table.Column],"",0,1)</f>
        <v>MILESTN.CL_BATCH</v>
      </c>
      <c r="Z868" t="str">
        <f>_xlfn.XLOOKUP(Table6[[#This Row],[Old Table.Column]],Cobra8.6[Table.Column],Cobra8.6[TYPE],"",0,1)</f>
        <v>INTE</v>
      </c>
      <c r="AA868">
        <f>_xlfn.XLOOKUP(Table6[[#This Row],[Old Table.Column]],Cobra8.6[Table.Column],Cobra8.6[LENGTH],"",0,1)</f>
        <v>-1</v>
      </c>
      <c r="AB868" t="s">
        <v>32</v>
      </c>
    </row>
    <row r="869" spans="1:28" hidden="1" x14ac:dyDescent="0.2">
      <c r="A869" t="s">
        <v>450</v>
      </c>
      <c r="B869" s="17" t="s">
        <v>1399</v>
      </c>
      <c r="C869" s="39" t="s">
        <v>744</v>
      </c>
      <c r="D869" s="39">
        <v>17</v>
      </c>
      <c r="E869" s="39" t="s">
        <v>86</v>
      </c>
      <c r="F869" s="39" t="s">
        <v>349</v>
      </c>
      <c r="G869" s="39">
        <v>22</v>
      </c>
      <c r="H869" s="39"/>
      <c r="I869" s="47"/>
      <c r="J869" s="37" t="s">
        <v>605</v>
      </c>
      <c r="K869" s="47"/>
      <c r="L869" s="47"/>
      <c r="M869" s="39"/>
      <c r="N869" s="39"/>
      <c r="O869" s="39"/>
      <c r="P869" s="39" t="s">
        <v>745</v>
      </c>
      <c r="Q869" s="39" t="s">
        <v>814</v>
      </c>
      <c r="R869" t="str">
        <f>VLOOKUP(E869,'Data Type Lookup'!$A$1:$C$21,3,FALSE)</f>
        <v>String</v>
      </c>
      <c r="S869" s="39"/>
      <c r="W869" t="str">
        <f t="shared" si="20"/>
        <v>PROJECT_WP_MILESTONE.PROGRAM</v>
      </c>
      <c r="X869" t="e">
        <f>VLOOKUP(W869,ColumnMapping[New Table.Column],1,)</f>
        <v>#N/A</v>
      </c>
      <c r="Y869" t="str">
        <f>_xlfn.XLOOKUP(Table6[[#This Row],[Table.Column]],ColumnMapping[Add Column Name],ColumnMapping[Old Table.Column],"",0,1)</f>
        <v/>
      </c>
      <c r="Z869" t="str">
        <f>_xlfn.XLOOKUP(Table6[[#This Row],[Old Table.Column]],Cobra8.6[Table.Column],Cobra8.6[TYPE],"",0,1)</f>
        <v/>
      </c>
      <c r="AA869" t="str">
        <f>_xlfn.XLOOKUP(Table6[[#This Row],[Old Table.Column]],Cobra8.6[Table.Column],Cobra8.6[LENGTH],"",0,1)</f>
        <v/>
      </c>
      <c r="AB869" t="s">
        <v>32</v>
      </c>
    </row>
    <row r="870" spans="1:28" hidden="1" x14ac:dyDescent="0.2">
      <c r="A870" t="s">
        <v>450</v>
      </c>
      <c r="B870" s="17" t="s">
        <v>1399</v>
      </c>
      <c r="C870" s="39" t="s">
        <v>1009</v>
      </c>
      <c r="D870" s="39">
        <v>18</v>
      </c>
      <c r="E870" s="39" t="s">
        <v>36</v>
      </c>
      <c r="F870" t="str">
        <f>VLOOKUP($E870,'Data Type Lookup'!$A$1:$C$21,2,FALSE)</f>
        <v>NUMBER(19,0)</v>
      </c>
      <c r="G870" s="39"/>
      <c r="H870" s="39"/>
      <c r="I870" s="47"/>
      <c r="J870" s="47">
        <v>0</v>
      </c>
      <c r="K870" s="47"/>
      <c r="L870" s="47"/>
      <c r="M870" s="39"/>
      <c r="N870" s="39"/>
      <c r="O870" s="39"/>
      <c r="P870" s="39" t="s">
        <v>1010</v>
      </c>
      <c r="Q870" s="39" t="s">
        <v>1415</v>
      </c>
      <c r="R870" t="str">
        <f>VLOOKUP(E870,'Data Type Lookup'!$A$1:$C$21,3,FALSE)</f>
        <v>Long</v>
      </c>
      <c r="S870" s="39"/>
      <c r="W870" t="str">
        <f t="shared" si="20"/>
        <v>PROJECT_WP_MILESTONE.CAWPID</v>
      </c>
      <c r="X870" t="e">
        <f>VLOOKUP(W870,ColumnMapping[New Table.Column],1,)</f>
        <v>#N/A</v>
      </c>
      <c r="Y870" t="str">
        <f>_xlfn.XLOOKUP(Table6[[#This Row],[Table.Column]],ColumnMapping[Add Column Name],ColumnMapping[Old Table.Column],"",0,1)</f>
        <v/>
      </c>
      <c r="Z870" t="str">
        <f>_xlfn.XLOOKUP(Table6[[#This Row],[Old Table.Column]],Cobra8.6[Table.Column],Cobra8.6[TYPE],"",0,1)</f>
        <v/>
      </c>
      <c r="AA870" t="str">
        <f>_xlfn.XLOOKUP(Table6[[#This Row],[Old Table.Column]],Cobra8.6[Table.Column],Cobra8.6[LENGTH],"",0,1)</f>
        <v/>
      </c>
      <c r="AB870" t="s">
        <v>32</v>
      </c>
    </row>
    <row r="871" spans="1:28" hidden="1" x14ac:dyDescent="0.2">
      <c r="A871" t="s">
        <v>450</v>
      </c>
      <c r="B871" s="17" t="s">
        <v>1399</v>
      </c>
      <c r="C871" s="39" t="s">
        <v>504</v>
      </c>
      <c r="D871" s="39">
        <v>19</v>
      </c>
      <c r="E871" s="17" t="s">
        <v>356</v>
      </c>
      <c r="F871" s="17" t="s">
        <v>356</v>
      </c>
      <c r="G871" s="39"/>
      <c r="H871" s="39"/>
      <c r="I871" s="47"/>
      <c r="J871" s="47"/>
      <c r="K871" s="47"/>
      <c r="L871" s="47"/>
      <c r="M871" s="39"/>
      <c r="N871" s="39"/>
      <c r="O871" s="39"/>
      <c r="P871" s="17" t="s">
        <v>2615</v>
      </c>
      <c r="Q871" s="17" t="s">
        <v>506</v>
      </c>
      <c r="R871" t="str">
        <f>VLOOKUP(E871,'Data Type Lookup'!$A$1:$C$21,3,FALSE)</f>
        <v>java.time.Instant</v>
      </c>
      <c r="S871" s="39"/>
      <c r="W871" t="str">
        <f>_xlfn.CONCAT(B871,".",C871)</f>
        <v>PROJECT_WP_MILESTONE.FORECAST_FINISH</v>
      </c>
      <c r="X871" t="e">
        <f>VLOOKUP(W871,ColumnMapping[New Table.Column],1,)</f>
        <v>#N/A</v>
      </c>
      <c r="Y871" t="str">
        <f>_xlfn.XLOOKUP(Table6[[#This Row],[Table.Column]],ColumnMapping[Add Column Name],ColumnMapping[Old Table.Column],"",0,1)</f>
        <v/>
      </c>
      <c r="Z871" t="str">
        <f>_xlfn.XLOOKUP(Table6[[#This Row],[Old Table.Column]],Cobra8.6[Table.Column],Cobra8.6[TYPE],"",0,1)</f>
        <v/>
      </c>
      <c r="AA871" t="str">
        <f>_xlfn.XLOOKUP(Table6[[#This Row],[Old Table.Column]],Cobra8.6[Table.Column],Cobra8.6[LENGTH],"",0,1)</f>
        <v/>
      </c>
      <c r="AB871"/>
    </row>
    <row r="872" spans="1:28" hidden="1" x14ac:dyDescent="0.2">
      <c r="A872" t="s">
        <v>1416</v>
      </c>
      <c r="B872" t="s">
        <v>1417</v>
      </c>
      <c r="C872" t="s">
        <v>30</v>
      </c>
      <c r="D872">
        <v>1</v>
      </c>
      <c r="E872" t="s">
        <v>31</v>
      </c>
      <c r="F872" t="str">
        <f>VLOOKUP($E872,'Data Type Lookup'!$A$1:$C$21,2,FALSE)</f>
        <v>RAW(16)</v>
      </c>
      <c r="I872" s="32" t="s">
        <v>32</v>
      </c>
      <c r="K872" s="32" t="s">
        <v>32</v>
      </c>
      <c r="P872" t="s">
        <v>1418</v>
      </c>
      <c r="Q872" t="s">
        <v>34</v>
      </c>
      <c r="R872" t="str">
        <f>VLOOKUP(E872,'Data Type Lookup'!$A$1:$C$21,3,FALSE)</f>
        <v>java.util.UUID</v>
      </c>
      <c r="S872">
        <v>3</v>
      </c>
      <c r="W872" t="str">
        <f t="shared" si="20"/>
        <v>RATE.ROW_UID</v>
      </c>
      <c r="X872" t="str">
        <f>VLOOKUP(W872,ColumnMapping[New Table.Column],1,)</f>
        <v>RATE.ROW_UID</v>
      </c>
      <c r="Y872" t="str">
        <f>_xlfn.XLOOKUP(Table6[[#This Row],[Table.Column]],ColumnMapping[Add Column Name],ColumnMapping[Old Table.Column],"",0,1)</f>
        <v/>
      </c>
      <c r="Z872" t="str">
        <f>_xlfn.XLOOKUP(Table6[[#This Row],[Old Table.Column]],Cobra8.6[Table.Column],Cobra8.6[TYPE],"",0,1)</f>
        <v/>
      </c>
      <c r="AA872" t="str">
        <f>_xlfn.XLOOKUP(Table6[[#This Row],[Old Table.Column]],Cobra8.6[Table.Column],Cobra8.6[LENGTH],"",0,1)</f>
        <v/>
      </c>
      <c r="AB872"/>
    </row>
    <row r="873" spans="1:28" hidden="1" x14ac:dyDescent="0.2">
      <c r="A873" t="s">
        <v>1416</v>
      </c>
      <c r="B873" t="s">
        <v>1417</v>
      </c>
      <c r="C873" t="s">
        <v>35</v>
      </c>
      <c r="D873">
        <v>2</v>
      </c>
      <c r="E873" t="s">
        <v>36</v>
      </c>
      <c r="F873" t="str">
        <f>VLOOKUP($E873,'Data Type Lookup'!$A$1:$C$21,2,FALSE)</f>
        <v>NUMBER(19,0)</v>
      </c>
      <c r="I873" s="32" t="s">
        <v>32</v>
      </c>
      <c r="J873" s="32">
        <v>0</v>
      </c>
      <c r="P873" t="s">
        <v>37</v>
      </c>
      <c r="Q873" t="s">
        <v>38</v>
      </c>
      <c r="R873" t="str">
        <f>VLOOKUP(E873,'Data Type Lookup'!$A$1:$C$21,3,FALSE)</f>
        <v>Long</v>
      </c>
      <c r="S873">
        <v>3</v>
      </c>
      <c r="W873" t="str">
        <f t="shared" si="20"/>
        <v>RATE.SEQUENCE</v>
      </c>
      <c r="X873" t="str">
        <f>VLOOKUP(W873,ColumnMapping[New Table.Column],1,)</f>
        <v>RATE.SEQUENCE</v>
      </c>
      <c r="Y873" t="str">
        <f>_xlfn.XLOOKUP(Table6[[#This Row],[Table.Column]],ColumnMapping[Add Column Name],ColumnMapping[Old Table.Column],"",0,1)</f>
        <v/>
      </c>
      <c r="Z873" t="str">
        <f>_xlfn.XLOOKUP(Table6[[#This Row],[Old Table.Column]],Cobra8.6[Table.Column],Cobra8.6[TYPE],"",0,1)</f>
        <v/>
      </c>
      <c r="AA873" t="str">
        <f>_xlfn.XLOOKUP(Table6[[#This Row],[Old Table.Column]],Cobra8.6[Table.Column],Cobra8.6[LENGTH],"",0,1)</f>
        <v/>
      </c>
      <c r="AB873"/>
    </row>
    <row r="874" spans="1:28" hidden="1" x14ac:dyDescent="0.2">
      <c r="A874" t="s">
        <v>1416</v>
      </c>
      <c r="B874" t="s">
        <v>1417</v>
      </c>
      <c r="C874" t="s">
        <v>1419</v>
      </c>
      <c r="D874">
        <v>4</v>
      </c>
      <c r="E874" t="s">
        <v>31</v>
      </c>
      <c r="F874" t="str">
        <f>VLOOKUP($E874,'Data Type Lookup'!$A$1:$C$21,2,FALSE)</f>
        <v>RAW(16)</v>
      </c>
      <c r="I874" s="32" t="s">
        <v>32</v>
      </c>
      <c r="L874" s="32" t="s">
        <v>32</v>
      </c>
      <c r="M874" t="s">
        <v>1420</v>
      </c>
      <c r="N874" t="s">
        <v>30</v>
      </c>
      <c r="O874" t="s">
        <v>41</v>
      </c>
      <c r="P874" t="s">
        <v>1421</v>
      </c>
      <c r="Q874" t="s">
        <v>1422</v>
      </c>
      <c r="R874" t="str">
        <f>VLOOKUP(E874,'Data Type Lookup'!$A$1:$C$21,3,FALSE)</f>
        <v>java.util.UUID</v>
      </c>
      <c r="S874">
        <v>1</v>
      </c>
      <c r="W874" t="str">
        <f t="shared" si="20"/>
        <v>RATE.RATE_SET_UID</v>
      </c>
      <c r="X874" t="str">
        <f>VLOOKUP(W874,ColumnMapping[New Table.Column],1,)</f>
        <v>RATE.RATE_SET_UID</v>
      </c>
      <c r="Y874" t="str">
        <f>_xlfn.XLOOKUP(Table6[[#This Row],[Table.Column]],ColumnMapping[Add Column Name],ColumnMapping[Old Table.Column],"",0,1)</f>
        <v/>
      </c>
      <c r="Z874" t="str">
        <f>_xlfn.XLOOKUP(Table6[[#This Row],[Old Table.Column]],Cobra8.6[Table.Column],Cobra8.6[TYPE],"",0,1)</f>
        <v/>
      </c>
      <c r="AA874" t="str">
        <f>_xlfn.XLOOKUP(Table6[[#This Row],[Old Table.Column]],Cobra8.6[Table.Column],Cobra8.6[LENGTH],"",0,1)</f>
        <v/>
      </c>
      <c r="AB874"/>
    </row>
    <row r="875" spans="1:28" hidden="1" x14ac:dyDescent="0.2">
      <c r="A875" t="s">
        <v>1416</v>
      </c>
      <c r="B875" t="s">
        <v>1417</v>
      </c>
      <c r="C875" t="s">
        <v>1423</v>
      </c>
      <c r="D875">
        <v>5</v>
      </c>
      <c r="E875" t="s">
        <v>356</v>
      </c>
      <c r="F875" t="str">
        <f>VLOOKUP($E875,'Data Type Lookup'!$A$1:$C$21,2,FALSE)</f>
        <v>DATE</v>
      </c>
      <c r="I875" s="32" t="s">
        <v>32</v>
      </c>
      <c r="L875" s="32" t="s">
        <v>32</v>
      </c>
      <c r="P875" t="s">
        <v>1424</v>
      </c>
      <c r="Q875" t="s">
        <v>1425</v>
      </c>
      <c r="R875" t="str">
        <f>VLOOKUP(E875,'Data Type Lookup'!$A$1:$C$21,3,FALSE)</f>
        <v>java.time.Instant</v>
      </c>
      <c r="W875" t="str">
        <f t="shared" si="20"/>
        <v>RATE.RATE_DATE</v>
      </c>
      <c r="X875" t="str">
        <f>VLOOKUP(W875,ColumnMapping[New Table.Column],1,)</f>
        <v>RATE.RATE_DATE</v>
      </c>
      <c r="Y875" t="str">
        <f>_xlfn.XLOOKUP(Table6[[#This Row],[Table.Column]],ColumnMapping[Add Column Name],ColumnMapping[Old Table.Column],"",0,1)</f>
        <v/>
      </c>
      <c r="Z875" t="str">
        <f>_xlfn.XLOOKUP(Table6[[#This Row],[Old Table.Column]],Cobra8.6[Table.Column],Cobra8.6[TYPE],"",0,1)</f>
        <v/>
      </c>
      <c r="AA875" t="str">
        <f>_xlfn.XLOOKUP(Table6[[#This Row],[Old Table.Column]],Cobra8.6[Table.Column],Cobra8.6[LENGTH],"",0,1)</f>
        <v/>
      </c>
      <c r="AB875"/>
    </row>
    <row r="876" spans="1:28" hidden="1" x14ac:dyDescent="0.2">
      <c r="A876" t="s">
        <v>1416</v>
      </c>
      <c r="B876" t="s">
        <v>1417</v>
      </c>
      <c r="C876" t="s">
        <v>1426</v>
      </c>
      <c r="D876">
        <v>6</v>
      </c>
      <c r="E876" t="s">
        <v>161</v>
      </c>
      <c r="F876" t="str">
        <f>VLOOKUP($E876,'Data Type Lookup'!$A$1:$C$21,2,FALSE)</f>
        <v>NUMBER(21,6)</v>
      </c>
      <c r="I876" s="32" t="s">
        <v>32</v>
      </c>
      <c r="J876" s="32">
        <v>0</v>
      </c>
      <c r="P876" t="s">
        <v>1427</v>
      </c>
      <c r="Q876" t="s">
        <v>1428</v>
      </c>
      <c r="R876" t="str">
        <f>VLOOKUP(E876,'Data Type Lookup'!$A$1:$C$21,3,FALSE)</f>
        <v>java.math.BigDecimal</v>
      </c>
      <c r="W876" t="str">
        <f t="shared" si="20"/>
        <v>RATE.RATE_VALUE</v>
      </c>
      <c r="X876" t="str">
        <f>VLOOKUP(W876,ColumnMapping[New Table.Column],1,)</f>
        <v>RATE.RATE_VALUE</v>
      </c>
      <c r="Y876" t="str">
        <f>_xlfn.XLOOKUP(Table6[[#This Row],[Table.Column]],ColumnMapping[Add Column Name],ColumnMapping[Old Table.Column],"",0,1)</f>
        <v/>
      </c>
      <c r="Z876" t="str">
        <f>_xlfn.XLOOKUP(Table6[[#This Row],[Old Table.Column]],Cobra8.6[Table.Column],Cobra8.6[TYPE],"",0,1)</f>
        <v/>
      </c>
      <c r="AA876" t="str">
        <f>_xlfn.XLOOKUP(Table6[[#This Row],[Old Table.Column]],Cobra8.6[Table.Column],Cobra8.6[LENGTH],"",0,1)</f>
        <v/>
      </c>
      <c r="AB876"/>
    </row>
    <row r="877" spans="1:28" hidden="1" x14ac:dyDescent="0.2">
      <c r="A877" t="s">
        <v>1416</v>
      </c>
      <c r="B877" t="s">
        <v>1417</v>
      </c>
      <c r="C877" t="s">
        <v>61</v>
      </c>
      <c r="D877">
        <v>7</v>
      </c>
      <c r="E877" t="s">
        <v>31</v>
      </c>
      <c r="F877" t="str">
        <f>VLOOKUP($E877,'Data Type Lookup'!$A$1:$C$21,2,FALSE)</f>
        <v>RAW(16)</v>
      </c>
      <c r="I877" s="32" t="s">
        <v>32</v>
      </c>
      <c r="P877" t="s">
        <v>1429</v>
      </c>
      <c r="Q877" t="s">
        <v>63</v>
      </c>
      <c r="R877" t="str">
        <f>VLOOKUP(E877,'Data Type Lookup'!$A$1:$C$21,3,FALSE)</f>
        <v>java.util.UUID</v>
      </c>
      <c r="S877">
        <v>2</v>
      </c>
      <c r="W877" t="str">
        <f t="shared" si="20"/>
        <v>RATE.CREATED_BY_USER_UID</v>
      </c>
      <c r="X877" t="str">
        <f>VLOOKUP(W877,ColumnMapping[New Table.Column],1,)</f>
        <v>RATE.CREATED_BY_USER_UID</v>
      </c>
      <c r="Y877" t="str">
        <f>_xlfn.XLOOKUP(Table6[[#This Row],[Table.Column]],ColumnMapping[Add Column Name],ColumnMapping[Old Table.Column],"",0,1)</f>
        <v/>
      </c>
      <c r="Z877" t="str">
        <f>_xlfn.XLOOKUP(Table6[[#This Row],[Old Table.Column]],Cobra8.6[Table.Column],Cobra8.6[TYPE],"",0,1)</f>
        <v/>
      </c>
      <c r="AA877" t="str">
        <f>_xlfn.XLOOKUP(Table6[[#This Row],[Old Table.Column]],Cobra8.6[Table.Column],Cobra8.6[LENGTH],"",0,1)</f>
        <v/>
      </c>
      <c r="AB877"/>
    </row>
    <row r="878" spans="1:28" hidden="1" x14ac:dyDescent="0.2">
      <c r="A878" t="s">
        <v>1416</v>
      </c>
      <c r="B878" t="s">
        <v>1417</v>
      </c>
      <c r="C878" t="s">
        <v>64</v>
      </c>
      <c r="D878">
        <v>8</v>
      </c>
      <c r="E878" t="s">
        <v>65</v>
      </c>
      <c r="F878" t="str">
        <f>VLOOKUP($E878,'Data Type Lookup'!$A$1:$C$21,2,FALSE)</f>
        <v>TIMESTAMP</v>
      </c>
      <c r="I878" s="32" t="s">
        <v>32</v>
      </c>
      <c r="P878" t="s">
        <v>1430</v>
      </c>
      <c r="Q878" t="s">
        <v>67</v>
      </c>
      <c r="R878" t="str">
        <f>VLOOKUP(E878,'Data Type Lookup'!$A$1:$C$21,3,FALSE)</f>
        <v>java.time.Instant</v>
      </c>
      <c r="S878">
        <v>2</v>
      </c>
      <c r="W878" t="str">
        <f t="shared" si="20"/>
        <v>RATE.CREATED_DATE</v>
      </c>
      <c r="X878" t="str">
        <f>VLOOKUP(W878,ColumnMapping[New Table.Column],1,)</f>
        <v>RATE.CREATED_DATE</v>
      </c>
      <c r="Y878" t="str">
        <f>_xlfn.XLOOKUP(Table6[[#This Row],[Table.Column]],ColumnMapping[Add Column Name],ColumnMapping[Old Table.Column],"",0,1)</f>
        <v/>
      </c>
      <c r="Z878" t="str">
        <f>_xlfn.XLOOKUP(Table6[[#This Row],[Old Table.Column]],Cobra8.6[Table.Column],Cobra8.6[TYPE],"",0,1)</f>
        <v/>
      </c>
      <c r="AA878" t="str">
        <f>_xlfn.XLOOKUP(Table6[[#This Row],[Old Table.Column]],Cobra8.6[Table.Column],Cobra8.6[LENGTH],"",0,1)</f>
        <v/>
      </c>
      <c r="AB878"/>
    </row>
    <row r="879" spans="1:28" hidden="1" x14ac:dyDescent="0.2">
      <c r="A879" t="s">
        <v>1416</v>
      </c>
      <c r="B879" t="s">
        <v>1417</v>
      </c>
      <c r="C879" t="s">
        <v>68</v>
      </c>
      <c r="D879">
        <v>9</v>
      </c>
      <c r="E879" t="s">
        <v>31</v>
      </c>
      <c r="F879" t="str">
        <f>VLOOKUP($E879,'Data Type Lookup'!$A$1:$C$21,2,FALSE)</f>
        <v>RAW(16)</v>
      </c>
      <c r="I879" s="32" t="s">
        <v>32</v>
      </c>
      <c r="P879" t="s">
        <v>1431</v>
      </c>
      <c r="Q879" t="s">
        <v>70</v>
      </c>
      <c r="R879" t="str">
        <f>VLOOKUP(E879,'Data Type Lookup'!$A$1:$C$21,3,FALSE)</f>
        <v>java.util.UUID</v>
      </c>
      <c r="S879">
        <v>2</v>
      </c>
      <c r="W879" t="str">
        <f t="shared" si="20"/>
        <v>RATE.LAST_MODIFIED_BY_USER_UID</v>
      </c>
      <c r="X879" t="str">
        <f>VLOOKUP(W879,ColumnMapping[New Table.Column],1,)</f>
        <v>RATE.LAST_MODIFIED_BY_USER_UID</v>
      </c>
      <c r="Y879" t="str">
        <f>_xlfn.XLOOKUP(Table6[[#This Row],[Table.Column]],ColumnMapping[Add Column Name],ColumnMapping[Old Table.Column],"",0,1)</f>
        <v/>
      </c>
      <c r="Z879" t="str">
        <f>_xlfn.XLOOKUP(Table6[[#This Row],[Old Table.Column]],Cobra8.6[Table.Column],Cobra8.6[TYPE],"",0,1)</f>
        <v/>
      </c>
      <c r="AA879" t="str">
        <f>_xlfn.XLOOKUP(Table6[[#This Row],[Old Table.Column]],Cobra8.6[Table.Column],Cobra8.6[LENGTH],"",0,1)</f>
        <v/>
      </c>
      <c r="AB879"/>
    </row>
    <row r="880" spans="1:28" hidden="1" x14ac:dyDescent="0.2">
      <c r="A880" t="s">
        <v>1416</v>
      </c>
      <c r="B880" t="s">
        <v>1417</v>
      </c>
      <c r="C880" t="s">
        <v>71</v>
      </c>
      <c r="D880">
        <v>10</v>
      </c>
      <c r="E880" t="s">
        <v>65</v>
      </c>
      <c r="F880" t="str">
        <f>VLOOKUP($E880,'Data Type Lookup'!$A$1:$C$21,2,FALSE)</f>
        <v>TIMESTAMP</v>
      </c>
      <c r="I880" s="32" t="s">
        <v>32</v>
      </c>
      <c r="P880" t="s">
        <v>1432</v>
      </c>
      <c r="Q880" t="s">
        <v>73</v>
      </c>
      <c r="R880" t="str">
        <f>VLOOKUP(E880,'Data Type Lookup'!$A$1:$C$21,3,FALSE)</f>
        <v>java.time.Instant</v>
      </c>
      <c r="S880">
        <v>2</v>
      </c>
      <c r="W880" t="str">
        <f t="shared" si="20"/>
        <v>RATE.LAST_MODIFIED_DATE</v>
      </c>
      <c r="X880" t="str">
        <f>VLOOKUP(W880,ColumnMapping[New Table.Column],1,)</f>
        <v>RATE.LAST_MODIFIED_DATE</v>
      </c>
      <c r="Y880" t="str">
        <f>_xlfn.XLOOKUP(Table6[[#This Row],[Table.Column]],ColumnMapping[Add Column Name],ColumnMapping[Old Table.Column],"",0,1)</f>
        <v/>
      </c>
      <c r="Z880" t="str">
        <f>_xlfn.XLOOKUP(Table6[[#This Row],[Old Table.Column]],Cobra8.6[Table.Column],Cobra8.6[TYPE],"",0,1)</f>
        <v/>
      </c>
      <c r="AA880" t="str">
        <f>_xlfn.XLOOKUP(Table6[[#This Row],[Old Table.Column]],Cobra8.6[Table.Column],Cobra8.6[LENGTH],"",0,1)</f>
        <v/>
      </c>
      <c r="AB880"/>
    </row>
    <row r="881" spans="1:28" hidden="1" x14ac:dyDescent="0.2">
      <c r="A881" t="s">
        <v>1416</v>
      </c>
      <c r="B881" s="17" t="s">
        <v>1417</v>
      </c>
      <c r="C881" s="17" t="s">
        <v>1433</v>
      </c>
      <c r="D881" s="17">
        <v>11</v>
      </c>
      <c r="E881" s="17" t="s">
        <v>86</v>
      </c>
      <c r="F881" t="str">
        <f>VLOOKUP($E881,'Data Type Lookup'!$A$1:$C$21,2,FALSE)</f>
        <v>VARCHAR2</v>
      </c>
      <c r="G881" s="17">
        <v>22</v>
      </c>
      <c r="H881" s="17"/>
      <c r="I881" s="29"/>
      <c r="J881" s="37" t="s">
        <v>605</v>
      </c>
      <c r="K881" s="29"/>
      <c r="L881" s="29"/>
      <c r="M881" s="17"/>
      <c r="N881" s="17"/>
      <c r="O881" s="17"/>
      <c r="P881" s="17" t="s">
        <v>748</v>
      </c>
      <c r="Q881" s="17" t="s">
        <v>478</v>
      </c>
      <c r="R881" t="str">
        <f>VLOOKUP(E881,'Data Type Lookup'!$A$1:$C$21,3,FALSE)</f>
        <v>String</v>
      </c>
      <c r="S881" s="17"/>
      <c r="W881" t="str">
        <f t="shared" si="20"/>
        <v>RATE.RATEFILE</v>
      </c>
      <c r="X881" t="e">
        <f>VLOOKUP(W881,ColumnMapping[New Table.Column],1,)</f>
        <v>#N/A</v>
      </c>
      <c r="Y881" t="str">
        <f>_xlfn.XLOOKUP(Table6[[#This Row],[Table.Column]],ColumnMapping[Add Column Name],ColumnMapping[Old Table.Column],"",0,1)</f>
        <v>RATEDETL.RATEFILE</v>
      </c>
      <c r="Z881" t="str">
        <f>_xlfn.XLOOKUP(Table6[[#This Row],[Old Table.Column]],Cobra8.6[Table.Column],Cobra8.6[TYPE],"",0,1)</f>
        <v>TEXT</v>
      </c>
      <c r="AA881">
        <f>_xlfn.XLOOKUP(Table6[[#This Row],[Old Table.Column]],Cobra8.6[Table.Column],Cobra8.6[LENGTH],"",0,1)</f>
        <v>22</v>
      </c>
      <c r="AB881" t="s">
        <v>32</v>
      </c>
    </row>
    <row r="882" spans="1:28" hidden="1" x14ac:dyDescent="0.2">
      <c r="A882" t="s">
        <v>1416</v>
      </c>
      <c r="B882" s="17" t="s">
        <v>1417</v>
      </c>
      <c r="C882" t="s">
        <v>1434</v>
      </c>
      <c r="D882" s="39">
        <v>12</v>
      </c>
      <c r="E882" s="39" t="s">
        <v>86</v>
      </c>
      <c r="F882" s="39" t="s">
        <v>349</v>
      </c>
      <c r="G882" s="39">
        <v>59</v>
      </c>
      <c r="H882" s="39"/>
      <c r="I882" s="47"/>
      <c r="J882" s="37" t="s">
        <v>605</v>
      </c>
      <c r="K882" s="47"/>
      <c r="L882" s="47"/>
      <c r="M882" s="39"/>
      <c r="N882" s="39"/>
      <c r="O882" s="39"/>
      <c r="P882" s="39" t="s">
        <v>1435</v>
      </c>
      <c r="Q882" s="39" t="s">
        <v>1436</v>
      </c>
      <c r="R882" t="str">
        <f>VLOOKUP(E882,'Data Type Lookup'!$A$1:$C$21,3,FALSE)</f>
        <v>String</v>
      </c>
      <c r="S882" s="39"/>
      <c r="W882" t="str">
        <f t="shared" si="20"/>
        <v>RATE.RATE_TABLE</v>
      </c>
      <c r="X882" t="e">
        <f>VLOOKUP(W882,ColumnMapping[New Table.Column],1,)</f>
        <v>#N/A</v>
      </c>
      <c r="Y882" t="str">
        <f>_xlfn.XLOOKUP(Table6[[#This Row],[Table.Column]],ColumnMapping[Add Column Name],ColumnMapping[Old Table.Column],"",0,1)</f>
        <v/>
      </c>
      <c r="Z882" t="str">
        <f>_xlfn.XLOOKUP(Table6[[#This Row],[Old Table.Column]],Cobra8.6[Table.Column],Cobra8.6[TYPE],"",0,1)</f>
        <v/>
      </c>
      <c r="AA882" t="str">
        <f>_xlfn.XLOOKUP(Table6[[#This Row],[Old Table.Column]],Cobra8.6[Table.Column],Cobra8.6[LENGTH],"",0,1)</f>
        <v/>
      </c>
      <c r="AB882" t="s">
        <v>32</v>
      </c>
    </row>
    <row r="883" spans="1:28" hidden="1" x14ac:dyDescent="0.2">
      <c r="A883" t="s">
        <v>1416</v>
      </c>
      <c r="B883" t="s">
        <v>476</v>
      </c>
      <c r="C883" t="s">
        <v>30</v>
      </c>
      <c r="D883">
        <v>1</v>
      </c>
      <c r="E883" t="s">
        <v>31</v>
      </c>
      <c r="F883" t="str">
        <f>VLOOKUP($E883,'Data Type Lookup'!$A$1:$C$21,2,FALSE)</f>
        <v>RAW(16)</v>
      </c>
      <c r="I883" s="32" t="s">
        <v>32</v>
      </c>
      <c r="K883" s="32" t="s">
        <v>32</v>
      </c>
      <c r="P883" t="s">
        <v>477</v>
      </c>
      <c r="Q883" t="s">
        <v>34</v>
      </c>
      <c r="R883" t="str">
        <f>VLOOKUP(E883,'Data Type Lookup'!$A$1:$C$21,3,FALSE)</f>
        <v>java.util.UUID</v>
      </c>
      <c r="S883">
        <v>3</v>
      </c>
      <c r="U883">
        <v>8</v>
      </c>
      <c r="W883" t="str">
        <f t="shared" si="20"/>
        <v>RATE_FILE.ROW_UID</v>
      </c>
      <c r="X883" t="str">
        <f>VLOOKUP(W883,ColumnMapping[New Table.Column],1,)</f>
        <v>RATE_FILE.ROW_UID</v>
      </c>
      <c r="Y883" t="str">
        <f>_xlfn.XLOOKUP(Table6[[#This Row],[Table.Column]],ColumnMapping[Add Column Name],ColumnMapping[Old Table.Column],"",0,1)</f>
        <v/>
      </c>
      <c r="Z883" t="str">
        <f>_xlfn.XLOOKUP(Table6[[#This Row],[Old Table.Column]],Cobra8.6[Table.Column],Cobra8.6[TYPE],"",0,1)</f>
        <v/>
      </c>
      <c r="AA883" t="str">
        <f>_xlfn.XLOOKUP(Table6[[#This Row],[Old Table.Column]],Cobra8.6[Table.Column],Cobra8.6[LENGTH],"",0,1)</f>
        <v/>
      </c>
      <c r="AB883"/>
    </row>
    <row r="884" spans="1:28" hidden="1" x14ac:dyDescent="0.2">
      <c r="A884" t="s">
        <v>1416</v>
      </c>
      <c r="B884" t="s">
        <v>476</v>
      </c>
      <c r="C884" t="s">
        <v>35</v>
      </c>
      <c r="D884">
        <v>2</v>
      </c>
      <c r="E884" t="s">
        <v>36</v>
      </c>
      <c r="F884" t="str">
        <f>VLOOKUP($E884,'Data Type Lookup'!$A$1:$C$21,2,FALSE)</f>
        <v>NUMBER(19,0)</v>
      </c>
      <c r="I884" s="32" t="s">
        <v>32</v>
      </c>
      <c r="J884" s="32">
        <v>0</v>
      </c>
      <c r="P884" t="s">
        <v>37</v>
      </c>
      <c r="Q884" t="s">
        <v>38</v>
      </c>
      <c r="R884" t="str">
        <f>VLOOKUP(E884,'Data Type Lookup'!$A$1:$C$21,3,FALSE)</f>
        <v>Long</v>
      </c>
      <c r="S884">
        <v>3</v>
      </c>
      <c r="W884" t="str">
        <f t="shared" si="20"/>
        <v>RATE_FILE.SEQUENCE</v>
      </c>
      <c r="X884" t="str">
        <f>VLOOKUP(W884,ColumnMapping[New Table.Column],1,)</f>
        <v>RATE_FILE.SEQUENCE</v>
      </c>
      <c r="Y884" t="str">
        <f>_xlfn.XLOOKUP(Table6[[#This Row],[Table.Column]],ColumnMapping[Add Column Name],ColumnMapping[Old Table.Column],"",0,1)</f>
        <v/>
      </c>
      <c r="Z884" t="str">
        <f>_xlfn.XLOOKUP(Table6[[#This Row],[Old Table.Column]],Cobra8.6[Table.Column],Cobra8.6[TYPE],"",0,1)</f>
        <v/>
      </c>
      <c r="AA884" t="str">
        <f>_xlfn.XLOOKUP(Table6[[#This Row],[Old Table.Column]],Cobra8.6[Table.Column],Cobra8.6[LENGTH],"",0,1)</f>
        <v/>
      </c>
      <c r="AB884"/>
    </row>
    <row r="885" spans="1:28" hidden="1" x14ac:dyDescent="0.2">
      <c r="A885" t="s">
        <v>1416</v>
      </c>
      <c r="B885" t="s">
        <v>476</v>
      </c>
      <c r="C885" t="s">
        <v>47</v>
      </c>
      <c r="D885">
        <v>3</v>
      </c>
      <c r="E885" t="s">
        <v>48</v>
      </c>
      <c r="F885" t="str">
        <f>VLOOKUP($E885,'Data Type Lookup'!$A$1:$C$21,2,FALSE)</f>
        <v>NVARCHAR2</v>
      </c>
      <c r="G885">
        <v>100</v>
      </c>
      <c r="I885" s="32" t="s">
        <v>32</v>
      </c>
      <c r="L885" s="32" t="s">
        <v>32</v>
      </c>
      <c r="P885" t="s">
        <v>1437</v>
      </c>
      <c r="Q885" t="s">
        <v>50</v>
      </c>
      <c r="R885" t="str">
        <f>VLOOKUP(E885,'Data Type Lookup'!$A$1:$C$21,3,FALSE)</f>
        <v>String</v>
      </c>
      <c r="W885" t="str">
        <f t="shared" si="20"/>
        <v>RATE_FILE.NAME</v>
      </c>
      <c r="X885" t="str">
        <f>VLOOKUP(W885,ColumnMapping[New Table.Column],1,)</f>
        <v>RATE_FILE.NAME</v>
      </c>
      <c r="Y885" t="str">
        <f>_xlfn.XLOOKUP(Table6[[#This Row],[Table.Column]],ColumnMapping[Add Column Name],ColumnMapping[Old Table.Column],"",0,1)</f>
        <v/>
      </c>
      <c r="Z885" t="str">
        <f>_xlfn.XLOOKUP(Table6[[#This Row],[Old Table.Column]],Cobra8.6[Table.Column],Cobra8.6[TYPE],"",0,1)</f>
        <v/>
      </c>
      <c r="AA885" t="str">
        <f>_xlfn.XLOOKUP(Table6[[#This Row],[Old Table.Column]],Cobra8.6[Table.Column],Cobra8.6[LENGTH],"",0,1)</f>
        <v/>
      </c>
      <c r="AB885"/>
    </row>
    <row r="886" spans="1:28" hidden="1" x14ac:dyDescent="0.2">
      <c r="A886" t="s">
        <v>1416</v>
      </c>
      <c r="B886" t="s">
        <v>476</v>
      </c>
      <c r="C886" t="s">
        <v>15</v>
      </c>
      <c r="D886">
        <v>4</v>
      </c>
      <c r="E886" t="s">
        <v>48</v>
      </c>
      <c r="F886" t="str">
        <f>VLOOKUP($E886,'Data Type Lookup'!$A$1:$C$21,2,FALSE)</f>
        <v>NVARCHAR2</v>
      </c>
      <c r="G886">
        <v>256</v>
      </c>
      <c r="P886" t="s">
        <v>1438</v>
      </c>
      <c r="Q886" t="s">
        <v>75</v>
      </c>
      <c r="R886" t="str">
        <f>VLOOKUP(E886,'Data Type Lookup'!$A$1:$C$21,3,FALSE)</f>
        <v>String</v>
      </c>
      <c r="W886" t="str">
        <f t="shared" si="20"/>
        <v>RATE_FILE.DESCRIPTION</v>
      </c>
      <c r="X886" t="str">
        <f>VLOOKUP(W886,ColumnMapping[New Table.Column],1,)</f>
        <v>RATE_FILE.DESCRIPTION</v>
      </c>
      <c r="Y886" t="str">
        <f>_xlfn.XLOOKUP(Table6[[#This Row],[Table.Column]],ColumnMapping[Add Column Name],ColumnMapping[Old Table.Column],"",0,1)</f>
        <v/>
      </c>
      <c r="Z886" t="str">
        <f>_xlfn.XLOOKUP(Table6[[#This Row],[Old Table.Column]],Cobra8.6[Table.Column],Cobra8.6[TYPE],"",0,1)</f>
        <v/>
      </c>
      <c r="AA886" t="str">
        <f>_xlfn.XLOOKUP(Table6[[#This Row],[Old Table.Column]],Cobra8.6[Table.Column],Cobra8.6[LENGTH],"",0,1)</f>
        <v/>
      </c>
      <c r="AB886"/>
    </row>
    <row r="887" spans="1:28" hidden="1" x14ac:dyDescent="0.2">
      <c r="A887" t="s">
        <v>1416</v>
      </c>
      <c r="B887" t="s">
        <v>476</v>
      </c>
      <c r="C887" t="s">
        <v>104</v>
      </c>
      <c r="D887">
        <v>5</v>
      </c>
      <c r="E887" t="s">
        <v>31</v>
      </c>
      <c r="F887" t="str">
        <f>VLOOKUP($E887,'Data Type Lookup'!$A$1:$C$21,2,FALSE)</f>
        <v>RAW(16)</v>
      </c>
      <c r="I887" s="32" t="s">
        <v>32</v>
      </c>
      <c r="P887" t="s">
        <v>1439</v>
      </c>
      <c r="Q887" t="s">
        <v>106</v>
      </c>
      <c r="R887" t="str">
        <f>VLOOKUP(E887,'Data Type Lookup'!$A$1:$C$21,3,FALSE)</f>
        <v>java.util.UUID</v>
      </c>
      <c r="W887" t="str">
        <f t="shared" si="20"/>
        <v>RATE_FILE.OWNER_USER_UID</v>
      </c>
      <c r="X887" t="str">
        <f>VLOOKUP(W887,ColumnMapping[New Table.Column],1,)</f>
        <v>RATE_FILE.OWNER_USER_UID</v>
      </c>
      <c r="Y887" t="str">
        <f>_xlfn.XLOOKUP(Table6[[#This Row],[Table.Column]],ColumnMapping[Add Column Name],ColumnMapping[Old Table.Column],"",0,1)</f>
        <v/>
      </c>
      <c r="Z887" t="str">
        <f>_xlfn.XLOOKUP(Table6[[#This Row],[Old Table.Column]],Cobra8.6[Table.Column],Cobra8.6[TYPE],"",0,1)</f>
        <v/>
      </c>
      <c r="AA887" t="str">
        <f>_xlfn.XLOOKUP(Table6[[#This Row],[Old Table.Column]],Cobra8.6[Table.Column],Cobra8.6[LENGTH],"",0,1)</f>
        <v/>
      </c>
      <c r="AB887"/>
    </row>
    <row r="888" spans="1:28" hidden="1" x14ac:dyDescent="0.2">
      <c r="A888" t="s">
        <v>1416</v>
      </c>
      <c r="B888" t="s">
        <v>476</v>
      </c>
      <c r="C888" t="s">
        <v>61</v>
      </c>
      <c r="D888">
        <v>6</v>
      </c>
      <c r="E888" t="s">
        <v>31</v>
      </c>
      <c r="F888" t="str">
        <f>VLOOKUP($E888,'Data Type Lookup'!$A$1:$C$21,2,FALSE)</f>
        <v>RAW(16)</v>
      </c>
      <c r="I888" s="32" t="s">
        <v>32</v>
      </c>
      <c r="P888" t="s">
        <v>1440</v>
      </c>
      <c r="Q888" t="s">
        <v>63</v>
      </c>
      <c r="R888" t="str">
        <f>VLOOKUP(E888,'Data Type Lookup'!$A$1:$C$21,3,FALSE)</f>
        <v>java.util.UUID</v>
      </c>
      <c r="S888">
        <v>2</v>
      </c>
      <c r="W888" t="str">
        <f t="shared" si="20"/>
        <v>RATE_FILE.CREATED_BY_USER_UID</v>
      </c>
      <c r="X888" t="str">
        <f>VLOOKUP(W888,ColumnMapping[New Table.Column],1,)</f>
        <v>RATE_FILE.CREATED_BY_USER_UID</v>
      </c>
      <c r="Y888" t="str">
        <f>_xlfn.XLOOKUP(Table6[[#This Row],[Table.Column]],ColumnMapping[Add Column Name],ColumnMapping[Old Table.Column],"",0,1)</f>
        <v/>
      </c>
      <c r="Z888" t="str">
        <f>_xlfn.XLOOKUP(Table6[[#This Row],[Old Table.Column]],Cobra8.6[Table.Column],Cobra8.6[TYPE],"",0,1)</f>
        <v/>
      </c>
      <c r="AA888" t="str">
        <f>_xlfn.XLOOKUP(Table6[[#This Row],[Old Table.Column]],Cobra8.6[Table.Column],Cobra8.6[LENGTH],"",0,1)</f>
        <v/>
      </c>
      <c r="AB888"/>
    </row>
    <row r="889" spans="1:28" hidden="1" x14ac:dyDescent="0.2">
      <c r="A889" t="s">
        <v>1416</v>
      </c>
      <c r="B889" t="s">
        <v>476</v>
      </c>
      <c r="C889" t="s">
        <v>64</v>
      </c>
      <c r="D889">
        <v>7</v>
      </c>
      <c r="E889" t="s">
        <v>65</v>
      </c>
      <c r="F889" t="str">
        <f>VLOOKUP($E889,'Data Type Lookup'!$A$1:$C$21,2,FALSE)</f>
        <v>TIMESTAMP</v>
      </c>
      <c r="I889" s="32" t="s">
        <v>32</v>
      </c>
      <c r="P889" t="s">
        <v>1441</v>
      </c>
      <c r="Q889" t="s">
        <v>67</v>
      </c>
      <c r="R889" t="str">
        <f>VLOOKUP(E889,'Data Type Lookup'!$A$1:$C$21,3,FALSE)</f>
        <v>java.time.Instant</v>
      </c>
      <c r="S889">
        <v>2</v>
      </c>
      <c r="W889" t="str">
        <f t="shared" si="20"/>
        <v>RATE_FILE.CREATED_DATE</v>
      </c>
      <c r="X889" t="str">
        <f>VLOOKUP(W889,ColumnMapping[New Table.Column],1,)</f>
        <v>RATE_FILE.CREATED_DATE</v>
      </c>
      <c r="Y889" t="str">
        <f>_xlfn.XLOOKUP(Table6[[#This Row],[Table.Column]],ColumnMapping[Add Column Name],ColumnMapping[Old Table.Column],"",0,1)</f>
        <v/>
      </c>
      <c r="Z889" t="str">
        <f>_xlfn.XLOOKUP(Table6[[#This Row],[Old Table.Column]],Cobra8.6[Table.Column],Cobra8.6[TYPE],"",0,1)</f>
        <v/>
      </c>
      <c r="AA889" t="str">
        <f>_xlfn.XLOOKUP(Table6[[#This Row],[Old Table.Column]],Cobra8.6[Table.Column],Cobra8.6[LENGTH],"",0,1)</f>
        <v/>
      </c>
      <c r="AB889"/>
    </row>
    <row r="890" spans="1:28" hidden="1" x14ac:dyDescent="0.2">
      <c r="A890" t="s">
        <v>1416</v>
      </c>
      <c r="B890" t="s">
        <v>476</v>
      </c>
      <c r="C890" t="s">
        <v>68</v>
      </c>
      <c r="D890">
        <v>8</v>
      </c>
      <c r="E890" t="s">
        <v>31</v>
      </c>
      <c r="F890" t="str">
        <f>VLOOKUP($E890,'Data Type Lookup'!$A$1:$C$21,2,FALSE)</f>
        <v>RAW(16)</v>
      </c>
      <c r="I890" s="32" t="s">
        <v>32</v>
      </c>
      <c r="P890" t="s">
        <v>1442</v>
      </c>
      <c r="Q890" t="s">
        <v>70</v>
      </c>
      <c r="R890" t="str">
        <f>VLOOKUP(E890,'Data Type Lookup'!$A$1:$C$21,3,FALSE)</f>
        <v>java.util.UUID</v>
      </c>
      <c r="S890">
        <v>2</v>
      </c>
      <c r="W890" t="str">
        <f t="shared" si="20"/>
        <v>RATE_FILE.LAST_MODIFIED_BY_USER_UID</v>
      </c>
      <c r="X890" t="str">
        <f>VLOOKUP(W890,ColumnMapping[New Table.Column],1,)</f>
        <v>RATE_FILE.LAST_MODIFIED_BY_USER_UID</v>
      </c>
      <c r="Y890" t="str">
        <f>_xlfn.XLOOKUP(Table6[[#This Row],[Table.Column]],ColumnMapping[Add Column Name],ColumnMapping[Old Table.Column],"",0,1)</f>
        <v/>
      </c>
      <c r="Z890" t="str">
        <f>_xlfn.XLOOKUP(Table6[[#This Row],[Old Table.Column]],Cobra8.6[Table.Column],Cobra8.6[TYPE],"",0,1)</f>
        <v/>
      </c>
      <c r="AA890" t="str">
        <f>_xlfn.XLOOKUP(Table6[[#This Row],[Old Table.Column]],Cobra8.6[Table.Column],Cobra8.6[LENGTH],"",0,1)</f>
        <v/>
      </c>
      <c r="AB890"/>
    </row>
    <row r="891" spans="1:28" hidden="1" x14ac:dyDescent="0.2">
      <c r="A891" t="s">
        <v>1416</v>
      </c>
      <c r="B891" t="s">
        <v>476</v>
      </c>
      <c r="C891" t="s">
        <v>71</v>
      </c>
      <c r="D891">
        <v>9</v>
      </c>
      <c r="E891" t="s">
        <v>65</v>
      </c>
      <c r="F891" t="str">
        <f>VLOOKUP($E891,'Data Type Lookup'!$A$1:$C$21,2,FALSE)</f>
        <v>TIMESTAMP</v>
      </c>
      <c r="I891" s="32" t="s">
        <v>32</v>
      </c>
      <c r="P891" t="s">
        <v>1443</v>
      </c>
      <c r="Q891" t="s">
        <v>73</v>
      </c>
      <c r="R891" t="str">
        <f>VLOOKUP(E891,'Data Type Lookup'!$A$1:$C$21,3,FALSE)</f>
        <v>java.time.Instant</v>
      </c>
      <c r="S891">
        <v>2</v>
      </c>
      <c r="W891" t="str">
        <f t="shared" si="20"/>
        <v>RATE_FILE.LAST_MODIFIED_DATE</v>
      </c>
      <c r="X891" t="str">
        <f>VLOOKUP(W891,ColumnMapping[New Table.Column],1,)</f>
        <v>RATE_FILE.LAST_MODIFIED_DATE</v>
      </c>
      <c r="Y891" t="str">
        <f>_xlfn.XLOOKUP(Table6[[#This Row],[Table.Column]],ColumnMapping[Add Column Name],ColumnMapping[Old Table.Column],"",0,1)</f>
        <v/>
      </c>
      <c r="Z891" t="str">
        <f>_xlfn.XLOOKUP(Table6[[#This Row],[Old Table.Column]],Cobra8.6[Table.Column],Cobra8.6[TYPE],"",0,1)</f>
        <v/>
      </c>
      <c r="AA891" t="str">
        <f>_xlfn.XLOOKUP(Table6[[#This Row],[Old Table.Column]],Cobra8.6[Table.Column],Cobra8.6[LENGTH],"",0,1)</f>
        <v/>
      </c>
      <c r="AB891"/>
    </row>
    <row r="892" spans="1:28" hidden="1" x14ac:dyDescent="0.2">
      <c r="A892" t="s">
        <v>1416</v>
      </c>
      <c r="B892" t="s">
        <v>1420</v>
      </c>
      <c r="C892" t="s">
        <v>30</v>
      </c>
      <c r="D892">
        <v>1</v>
      </c>
      <c r="E892" t="s">
        <v>31</v>
      </c>
      <c r="F892" t="str">
        <f>VLOOKUP($E892,'Data Type Lookup'!$A$1:$C$21,2,FALSE)</f>
        <v>RAW(16)</v>
      </c>
      <c r="I892" s="32" t="s">
        <v>32</v>
      </c>
      <c r="K892" s="32" t="s">
        <v>32</v>
      </c>
      <c r="P892" t="s">
        <v>1421</v>
      </c>
      <c r="Q892" t="s">
        <v>34</v>
      </c>
      <c r="R892" t="str">
        <f>VLOOKUP(E892,'Data Type Lookup'!$A$1:$C$21,3,FALSE)</f>
        <v>java.util.UUID</v>
      </c>
      <c r="S892">
        <v>3</v>
      </c>
      <c r="W892" t="str">
        <f t="shared" si="20"/>
        <v>RATE_SET.ROW_UID</v>
      </c>
      <c r="X892" t="str">
        <f>VLOOKUP(W892,ColumnMapping[New Table.Column],1,)</f>
        <v>RATE_SET.ROW_UID</v>
      </c>
      <c r="Y892" t="str">
        <f>_xlfn.XLOOKUP(Table6[[#This Row],[Table.Column]],ColumnMapping[Add Column Name],ColumnMapping[Old Table.Column],"",0,1)</f>
        <v/>
      </c>
      <c r="Z892" t="str">
        <f>_xlfn.XLOOKUP(Table6[[#This Row],[Old Table.Column]],Cobra8.6[Table.Column],Cobra8.6[TYPE],"",0,1)</f>
        <v/>
      </c>
      <c r="AA892" t="str">
        <f>_xlfn.XLOOKUP(Table6[[#This Row],[Old Table.Column]],Cobra8.6[Table.Column],Cobra8.6[LENGTH],"",0,1)</f>
        <v/>
      </c>
      <c r="AB892"/>
    </row>
    <row r="893" spans="1:28" hidden="1" x14ac:dyDescent="0.2">
      <c r="A893" t="s">
        <v>1416</v>
      </c>
      <c r="B893" t="s">
        <v>1420</v>
      </c>
      <c r="C893" t="s">
        <v>35</v>
      </c>
      <c r="D893">
        <v>2</v>
      </c>
      <c r="E893" t="s">
        <v>36</v>
      </c>
      <c r="F893" t="str">
        <f>VLOOKUP($E893,'Data Type Lookup'!$A$1:$C$21,2,FALSE)</f>
        <v>NUMBER(19,0)</v>
      </c>
      <c r="I893" s="32" t="s">
        <v>32</v>
      </c>
      <c r="J893" s="32">
        <v>0</v>
      </c>
      <c r="P893" t="s">
        <v>37</v>
      </c>
      <c r="Q893" t="s">
        <v>38</v>
      </c>
      <c r="R893" t="str">
        <f>VLOOKUP(E893,'Data Type Lookup'!$A$1:$C$21,3,FALSE)</f>
        <v>Long</v>
      </c>
      <c r="S893">
        <v>3</v>
      </c>
      <c r="W893" t="str">
        <f t="shared" si="20"/>
        <v>RATE_SET.SEQUENCE</v>
      </c>
      <c r="X893" t="str">
        <f>VLOOKUP(W893,ColumnMapping[New Table.Column],1,)</f>
        <v>RATE_SET.SEQUENCE</v>
      </c>
      <c r="Y893" t="str">
        <f>_xlfn.XLOOKUP(Table6[[#This Row],[Table.Column]],ColumnMapping[Add Column Name],ColumnMapping[Old Table.Column],"",0,1)</f>
        <v/>
      </c>
      <c r="Z893" t="str">
        <f>_xlfn.XLOOKUP(Table6[[#This Row],[Old Table.Column]],Cobra8.6[Table.Column],Cobra8.6[TYPE],"",0,1)</f>
        <v/>
      </c>
      <c r="AA893" t="str">
        <f>_xlfn.XLOOKUP(Table6[[#This Row],[Old Table.Column]],Cobra8.6[Table.Column],Cobra8.6[LENGTH],"",0,1)</f>
        <v/>
      </c>
      <c r="AB893"/>
    </row>
    <row r="894" spans="1:28" hidden="1" x14ac:dyDescent="0.2">
      <c r="A894" t="s">
        <v>1416</v>
      </c>
      <c r="B894" t="s">
        <v>1420</v>
      </c>
      <c r="C894" t="s">
        <v>475</v>
      </c>
      <c r="D894">
        <v>3</v>
      </c>
      <c r="E894" t="s">
        <v>31</v>
      </c>
      <c r="F894" t="str">
        <f>VLOOKUP($E894,'Data Type Lookup'!$A$1:$C$21,2,FALSE)</f>
        <v>RAW(16)</v>
      </c>
      <c r="I894" s="32" t="s">
        <v>32</v>
      </c>
      <c r="L894" s="32" t="s">
        <v>32</v>
      </c>
      <c r="M894" t="s">
        <v>476</v>
      </c>
      <c r="N894" t="s">
        <v>30</v>
      </c>
      <c r="O894" t="s">
        <v>41</v>
      </c>
      <c r="P894" t="s">
        <v>477</v>
      </c>
      <c r="Q894" t="s">
        <v>478</v>
      </c>
      <c r="R894" t="str">
        <f>VLOOKUP(E894,'Data Type Lookup'!$A$1:$C$21,3,FALSE)</f>
        <v>java.util.UUID</v>
      </c>
      <c r="S894">
        <v>1</v>
      </c>
      <c r="W894" t="str">
        <f t="shared" si="20"/>
        <v>RATE_SET.RATE_FILE_UID</v>
      </c>
      <c r="X894" t="str">
        <f>VLOOKUP(W894,ColumnMapping[New Table.Column],1,)</f>
        <v>RATE_SET.RATE_FILE_UID</v>
      </c>
      <c r="Y894" t="str">
        <f>_xlfn.XLOOKUP(Table6[[#This Row],[Table.Column]],ColumnMapping[Add Column Name],ColumnMapping[Old Table.Column],"",0,1)</f>
        <v/>
      </c>
      <c r="Z894" t="str">
        <f>_xlfn.XLOOKUP(Table6[[#This Row],[Old Table.Column]],Cobra8.6[Table.Column],Cobra8.6[TYPE],"",0,1)</f>
        <v/>
      </c>
      <c r="AA894" t="str">
        <f>_xlfn.XLOOKUP(Table6[[#This Row],[Old Table.Column]],Cobra8.6[Table.Column],Cobra8.6[LENGTH],"",0,1)</f>
        <v/>
      </c>
      <c r="AB894"/>
    </row>
    <row r="895" spans="1:28" hidden="1" x14ac:dyDescent="0.2">
      <c r="A895" t="s">
        <v>1416</v>
      </c>
      <c r="B895" t="s">
        <v>1420</v>
      </c>
      <c r="C895" t="s">
        <v>47</v>
      </c>
      <c r="D895">
        <v>4</v>
      </c>
      <c r="E895" t="s">
        <v>48</v>
      </c>
      <c r="F895" t="str">
        <f>VLOOKUP($E895,'Data Type Lookup'!$A$1:$C$21,2,FALSE)</f>
        <v>NVARCHAR2</v>
      </c>
      <c r="G895">
        <v>100</v>
      </c>
      <c r="I895" s="32" t="s">
        <v>32</v>
      </c>
      <c r="L895" s="32" t="s">
        <v>32</v>
      </c>
      <c r="P895" t="s">
        <v>1444</v>
      </c>
      <c r="Q895" t="s">
        <v>50</v>
      </c>
      <c r="R895" t="str">
        <f>VLOOKUP(E895,'Data Type Lookup'!$A$1:$C$21,3,FALSE)</f>
        <v>String</v>
      </c>
      <c r="W895" t="str">
        <f t="shared" si="20"/>
        <v>RATE_SET.NAME</v>
      </c>
      <c r="X895" t="str">
        <f>VLOOKUP(W895,ColumnMapping[New Table.Column],1,)</f>
        <v>RATE_SET.NAME</v>
      </c>
      <c r="Y895" t="str">
        <f>_xlfn.XLOOKUP(Table6[[#This Row],[Table.Column]],ColumnMapping[Add Column Name],ColumnMapping[Old Table.Column],"",0,1)</f>
        <v/>
      </c>
      <c r="Z895" t="str">
        <f>_xlfn.XLOOKUP(Table6[[#This Row],[Old Table.Column]],Cobra8.6[Table.Column],Cobra8.6[TYPE],"",0,1)</f>
        <v/>
      </c>
      <c r="AA895" t="str">
        <f>_xlfn.XLOOKUP(Table6[[#This Row],[Old Table.Column]],Cobra8.6[Table.Column],Cobra8.6[LENGTH],"",0,1)</f>
        <v/>
      </c>
      <c r="AB895"/>
    </row>
    <row r="896" spans="1:28" hidden="1" x14ac:dyDescent="0.2">
      <c r="A896" t="s">
        <v>1416</v>
      </c>
      <c r="B896" t="s">
        <v>1420</v>
      </c>
      <c r="C896" t="s">
        <v>61</v>
      </c>
      <c r="D896">
        <v>5</v>
      </c>
      <c r="E896" t="s">
        <v>31</v>
      </c>
      <c r="F896" t="str">
        <f>VLOOKUP($E896,'Data Type Lookup'!$A$1:$C$21,2,FALSE)</f>
        <v>RAW(16)</v>
      </c>
      <c r="I896" s="32" t="s">
        <v>32</v>
      </c>
      <c r="P896" t="s">
        <v>1445</v>
      </c>
      <c r="Q896" t="s">
        <v>63</v>
      </c>
      <c r="R896" t="str">
        <f>VLOOKUP(E896,'Data Type Lookup'!$A$1:$C$21,3,FALSE)</f>
        <v>java.util.UUID</v>
      </c>
      <c r="S896">
        <v>2</v>
      </c>
      <c r="W896" t="str">
        <f t="shared" si="20"/>
        <v>RATE_SET.CREATED_BY_USER_UID</v>
      </c>
      <c r="X896" t="str">
        <f>VLOOKUP(W896,ColumnMapping[New Table.Column],1,)</f>
        <v>RATE_SET.CREATED_BY_USER_UID</v>
      </c>
      <c r="Y896" t="str">
        <f>_xlfn.XLOOKUP(Table6[[#This Row],[Table.Column]],ColumnMapping[Add Column Name],ColumnMapping[Old Table.Column],"",0,1)</f>
        <v/>
      </c>
      <c r="Z896" t="str">
        <f>_xlfn.XLOOKUP(Table6[[#This Row],[Old Table.Column]],Cobra8.6[Table.Column],Cobra8.6[TYPE],"",0,1)</f>
        <v/>
      </c>
      <c r="AA896" t="str">
        <f>_xlfn.XLOOKUP(Table6[[#This Row],[Old Table.Column]],Cobra8.6[Table.Column],Cobra8.6[LENGTH],"",0,1)</f>
        <v/>
      </c>
      <c r="AB896"/>
    </row>
    <row r="897" spans="1:28" hidden="1" x14ac:dyDescent="0.2">
      <c r="A897" t="s">
        <v>1416</v>
      </c>
      <c r="B897" t="s">
        <v>1420</v>
      </c>
      <c r="C897" t="s">
        <v>64</v>
      </c>
      <c r="D897">
        <v>6</v>
      </c>
      <c r="E897" t="s">
        <v>65</v>
      </c>
      <c r="F897" t="str">
        <f>VLOOKUP($E897,'Data Type Lookup'!$A$1:$C$21,2,FALSE)</f>
        <v>TIMESTAMP</v>
      </c>
      <c r="I897" s="32" t="s">
        <v>32</v>
      </c>
      <c r="P897" t="s">
        <v>1446</v>
      </c>
      <c r="Q897" t="s">
        <v>67</v>
      </c>
      <c r="R897" t="str">
        <f>VLOOKUP(E897,'Data Type Lookup'!$A$1:$C$21,3,FALSE)</f>
        <v>java.time.Instant</v>
      </c>
      <c r="S897">
        <v>2</v>
      </c>
      <c r="W897" t="str">
        <f t="shared" si="20"/>
        <v>RATE_SET.CREATED_DATE</v>
      </c>
      <c r="X897" t="str">
        <f>VLOOKUP(W897,ColumnMapping[New Table.Column],1,)</f>
        <v>RATE_SET.CREATED_DATE</v>
      </c>
      <c r="Y897" t="str">
        <f>_xlfn.XLOOKUP(Table6[[#This Row],[Table.Column]],ColumnMapping[Add Column Name],ColumnMapping[Old Table.Column],"",0,1)</f>
        <v/>
      </c>
      <c r="Z897" t="str">
        <f>_xlfn.XLOOKUP(Table6[[#This Row],[Old Table.Column]],Cobra8.6[Table.Column],Cobra8.6[TYPE],"",0,1)</f>
        <v/>
      </c>
      <c r="AA897" t="str">
        <f>_xlfn.XLOOKUP(Table6[[#This Row],[Old Table.Column]],Cobra8.6[Table.Column],Cobra8.6[LENGTH],"",0,1)</f>
        <v/>
      </c>
      <c r="AB897"/>
    </row>
    <row r="898" spans="1:28" hidden="1" x14ac:dyDescent="0.2">
      <c r="A898" t="s">
        <v>1416</v>
      </c>
      <c r="B898" t="s">
        <v>1420</v>
      </c>
      <c r="C898" t="s">
        <v>68</v>
      </c>
      <c r="D898">
        <v>7</v>
      </c>
      <c r="E898" t="s">
        <v>31</v>
      </c>
      <c r="F898" t="str">
        <f>VLOOKUP($E898,'Data Type Lookup'!$A$1:$C$21,2,FALSE)</f>
        <v>RAW(16)</v>
      </c>
      <c r="I898" s="32" t="s">
        <v>32</v>
      </c>
      <c r="P898" t="s">
        <v>1447</v>
      </c>
      <c r="Q898" t="s">
        <v>70</v>
      </c>
      <c r="R898" t="str">
        <f>VLOOKUP(E898,'Data Type Lookup'!$A$1:$C$21,3,FALSE)</f>
        <v>java.util.UUID</v>
      </c>
      <c r="S898">
        <v>2</v>
      </c>
      <c r="W898" t="str">
        <f t="shared" si="20"/>
        <v>RATE_SET.LAST_MODIFIED_BY_USER_UID</v>
      </c>
      <c r="X898" t="str">
        <f>VLOOKUP(W898,ColumnMapping[New Table.Column],1,)</f>
        <v>RATE_SET.LAST_MODIFIED_BY_USER_UID</v>
      </c>
      <c r="Y898" t="str">
        <f>_xlfn.XLOOKUP(Table6[[#This Row],[Table.Column]],ColumnMapping[Add Column Name],ColumnMapping[Old Table.Column],"",0,1)</f>
        <v/>
      </c>
      <c r="Z898" t="str">
        <f>_xlfn.XLOOKUP(Table6[[#This Row],[Old Table.Column]],Cobra8.6[Table.Column],Cobra8.6[TYPE],"",0,1)</f>
        <v/>
      </c>
      <c r="AA898" t="str">
        <f>_xlfn.XLOOKUP(Table6[[#This Row],[Old Table.Column]],Cobra8.6[Table.Column],Cobra8.6[LENGTH],"",0,1)</f>
        <v/>
      </c>
      <c r="AB898"/>
    </row>
    <row r="899" spans="1:28" hidden="1" x14ac:dyDescent="0.2">
      <c r="A899" t="s">
        <v>1416</v>
      </c>
      <c r="B899" t="s">
        <v>1420</v>
      </c>
      <c r="C899" t="s">
        <v>71</v>
      </c>
      <c r="D899">
        <v>8</v>
      </c>
      <c r="E899" t="s">
        <v>65</v>
      </c>
      <c r="F899" t="str">
        <f>VLOOKUP($E899,'Data Type Lookup'!$A$1:$C$21,2,FALSE)</f>
        <v>TIMESTAMP</v>
      </c>
      <c r="I899" s="32" t="s">
        <v>32</v>
      </c>
      <c r="P899" t="s">
        <v>1448</v>
      </c>
      <c r="Q899" t="s">
        <v>73</v>
      </c>
      <c r="R899" t="str">
        <f>VLOOKUP(E899,'Data Type Lookup'!$A$1:$C$21,3,FALSE)</f>
        <v>java.time.Instant</v>
      </c>
      <c r="S899">
        <v>2</v>
      </c>
      <c r="W899" t="str">
        <f t="shared" si="20"/>
        <v>RATE_SET.LAST_MODIFIED_DATE</v>
      </c>
      <c r="X899" t="str">
        <f>VLOOKUP(W899,ColumnMapping[New Table.Column],1,)</f>
        <v>RATE_SET.LAST_MODIFIED_DATE</v>
      </c>
      <c r="Y899" t="str">
        <f>_xlfn.XLOOKUP(Table6[[#This Row],[Table.Column]],ColumnMapping[Add Column Name],ColumnMapping[Old Table.Column],"",0,1)</f>
        <v/>
      </c>
      <c r="Z899" t="str">
        <f>_xlfn.XLOOKUP(Table6[[#This Row],[Old Table.Column]],Cobra8.6[Table.Column],Cobra8.6[TYPE],"",0,1)</f>
        <v/>
      </c>
      <c r="AA899" t="str">
        <f>_xlfn.XLOOKUP(Table6[[#This Row],[Old Table.Column]],Cobra8.6[Table.Column],Cobra8.6[LENGTH],"",0,1)</f>
        <v/>
      </c>
      <c r="AB899"/>
    </row>
    <row r="900" spans="1:28" hidden="1" x14ac:dyDescent="0.2">
      <c r="A900" t="s">
        <v>1416</v>
      </c>
      <c r="B900" t="s">
        <v>1420</v>
      </c>
      <c r="C900" t="s">
        <v>15</v>
      </c>
      <c r="D900">
        <v>9</v>
      </c>
      <c r="E900" t="s">
        <v>48</v>
      </c>
      <c r="F900" t="str">
        <f>VLOOKUP($E900,'Data Type Lookup'!$A$1:$C$21,2,FALSE)</f>
        <v>NVARCHAR2</v>
      </c>
      <c r="G900">
        <v>256</v>
      </c>
      <c r="P900" t="s">
        <v>1449</v>
      </c>
      <c r="Q900" t="s">
        <v>75</v>
      </c>
      <c r="R900" t="str">
        <f>VLOOKUP(E900,'Data Type Lookup'!$A$1:$C$21,3,FALSE)</f>
        <v>String</v>
      </c>
      <c r="W900" t="str">
        <f t="shared" si="20"/>
        <v>RATE_SET.DESCRIPTION</v>
      </c>
      <c r="X900" t="str">
        <f>VLOOKUP(W900,ColumnMapping[New Table.Column],1,)</f>
        <v>RATE_SET.DESCRIPTION</v>
      </c>
      <c r="Y900" t="str">
        <f>_xlfn.XLOOKUP(Table6[[#This Row],[Table.Column]],ColumnMapping[Add Column Name],ColumnMapping[Old Table.Column],"",0,1)</f>
        <v/>
      </c>
      <c r="Z900" t="str">
        <f>_xlfn.XLOOKUP(Table6[[#This Row],[Old Table.Column]],Cobra8.6[Table.Column],Cobra8.6[TYPE],"",0,1)</f>
        <v/>
      </c>
      <c r="AA900" t="str">
        <f>_xlfn.XLOOKUP(Table6[[#This Row],[Old Table.Column]],Cobra8.6[Table.Column],Cobra8.6[LENGTH],"",0,1)</f>
        <v/>
      </c>
      <c r="AB900"/>
    </row>
    <row r="901" spans="1:28" hidden="1" x14ac:dyDescent="0.2">
      <c r="A901" t="s">
        <v>1416</v>
      </c>
      <c r="B901" s="17" t="s">
        <v>1420</v>
      </c>
      <c r="C901" s="17" t="s">
        <v>963</v>
      </c>
      <c r="D901" s="17">
        <v>10</v>
      </c>
      <c r="E901" s="17" t="s">
        <v>86</v>
      </c>
      <c r="F901" t="str">
        <f>VLOOKUP($E901,'Data Type Lookup'!$A$1:$C$21,2,FALSE)</f>
        <v>VARCHAR2</v>
      </c>
      <c r="G901" s="17">
        <v>59</v>
      </c>
      <c r="H901" s="17"/>
      <c r="I901" s="29"/>
      <c r="J901" s="29"/>
      <c r="K901" s="29"/>
      <c r="L901" s="29"/>
      <c r="M901" s="17"/>
      <c r="N901" s="17"/>
      <c r="O901" s="17"/>
      <c r="P901" s="17"/>
      <c r="Q901" s="17"/>
      <c r="R901" t="str">
        <f>VLOOKUP(E901,'Data Type Lookup'!$A$1:$C$21,3,FALSE)</f>
        <v>String</v>
      </c>
      <c r="S901" s="17"/>
      <c r="W901" t="str">
        <f t="shared" si="20"/>
        <v>RATE_SET.C1</v>
      </c>
      <c r="X901" t="e">
        <f>VLOOKUP(W901,ColumnMapping[New Table.Column],1,)</f>
        <v>#N/A</v>
      </c>
      <c r="Y901" t="str">
        <f>_xlfn.XLOOKUP(Table6[[#This Row],[Table.Column]],ColumnMapping[Add Column Name],ColumnMapping[Old Table.Column],"",0,1)</f>
        <v/>
      </c>
      <c r="Z901" t="str">
        <f>_xlfn.XLOOKUP(Table6[[#This Row],[Old Table.Column]],Cobra8.6[Table.Column],Cobra8.6[TYPE],"",0,1)</f>
        <v/>
      </c>
      <c r="AA901" t="str">
        <f>_xlfn.XLOOKUP(Table6[[#This Row],[Old Table.Column]],Cobra8.6[Table.Column],Cobra8.6[LENGTH],"",0,1)</f>
        <v/>
      </c>
      <c r="AB901" t="s">
        <v>32</v>
      </c>
    </row>
    <row r="902" spans="1:28" hidden="1" x14ac:dyDescent="0.2">
      <c r="A902" t="s">
        <v>1416</v>
      </c>
      <c r="B902" s="17" t="s">
        <v>1420</v>
      </c>
      <c r="C902" s="17" t="s">
        <v>985</v>
      </c>
      <c r="D902" s="17">
        <v>11</v>
      </c>
      <c r="E902" s="17" t="s">
        <v>86</v>
      </c>
      <c r="F902" t="str">
        <f>VLOOKUP($E902,'Data Type Lookup'!$A$1:$C$21,2,FALSE)</f>
        <v>VARCHAR2</v>
      </c>
      <c r="G902" s="17">
        <v>59</v>
      </c>
      <c r="H902" s="17"/>
      <c r="I902" s="29"/>
      <c r="J902" s="29"/>
      <c r="K902" s="29"/>
      <c r="L902" s="29"/>
      <c r="M902" s="17"/>
      <c r="N902" s="17"/>
      <c r="O902" s="17"/>
      <c r="P902" s="17"/>
      <c r="Q902" s="17"/>
      <c r="R902" t="str">
        <f>VLOOKUP(E902,'Data Type Lookup'!$A$1:$C$21,3,FALSE)</f>
        <v>String</v>
      </c>
      <c r="S902" s="17"/>
      <c r="W902" t="str">
        <f t="shared" si="20"/>
        <v>RATE_SET.C2</v>
      </c>
      <c r="X902" t="e">
        <f>VLOOKUP(W902,ColumnMapping[New Table.Column],1,)</f>
        <v>#N/A</v>
      </c>
      <c r="Y902" t="str">
        <f>_xlfn.XLOOKUP(Table6[[#This Row],[Table.Column]],ColumnMapping[Add Column Name],ColumnMapping[Old Table.Column],"",0,1)</f>
        <v>RATEDESC.C2</v>
      </c>
      <c r="Z902" t="str">
        <f>_xlfn.XLOOKUP(Table6[[#This Row],[Old Table.Column]],Cobra8.6[Table.Column],Cobra8.6[TYPE],"",0,1)</f>
        <v>TEXT</v>
      </c>
      <c r="AA902">
        <f>_xlfn.XLOOKUP(Table6[[#This Row],[Old Table.Column]],Cobra8.6[Table.Column],Cobra8.6[LENGTH],"",0,1)</f>
        <v>59</v>
      </c>
      <c r="AB902" t="s">
        <v>32</v>
      </c>
    </row>
    <row r="903" spans="1:28" hidden="1" x14ac:dyDescent="0.2">
      <c r="A903" t="s">
        <v>1416</v>
      </c>
      <c r="B903" s="17" t="s">
        <v>1420</v>
      </c>
      <c r="C903" s="17" t="s">
        <v>1433</v>
      </c>
      <c r="D903" s="17">
        <v>12</v>
      </c>
      <c r="E903" s="17" t="s">
        <v>86</v>
      </c>
      <c r="F903" s="17" t="s">
        <v>349</v>
      </c>
      <c r="G903" s="17">
        <v>22</v>
      </c>
      <c r="H903" s="17"/>
      <c r="I903" s="29" t="s">
        <v>1450</v>
      </c>
      <c r="J903" s="29"/>
      <c r="K903" s="29"/>
      <c r="L903" s="29"/>
      <c r="M903" s="17"/>
      <c r="N903" s="17"/>
      <c r="O903" s="17"/>
      <c r="P903" s="17" t="s">
        <v>748</v>
      </c>
      <c r="Q903" s="17" t="s">
        <v>478</v>
      </c>
      <c r="R903" t="str">
        <f>VLOOKUP(E903,'Data Type Lookup'!$A$1:$C$21,3,FALSE)</f>
        <v>String</v>
      </c>
      <c r="S903" s="17"/>
      <c r="W903" t="str">
        <f t="shared" si="20"/>
        <v>RATE_SET.RATEFILE</v>
      </c>
      <c r="X903" t="e">
        <f>VLOOKUP(W903,ColumnMapping[New Table.Column],1,)</f>
        <v>#N/A</v>
      </c>
      <c r="Y903" t="str">
        <f>_xlfn.XLOOKUP(Table6[[#This Row],[Table.Column]],ColumnMapping[Add Column Name],ColumnMapping[Old Table.Column],"",0,1)</f>
        <v/>
      </c>
      <c r="Z903" t="str">
        <f>_xlfn.XLOOKUP(Table6[[#This Row],[Old Table.Column]],Cobra8.6[Table.Column],Cobra8.6[TYPE],"",0,1)</f>
        <v/>
      </c>
      <c r="AA903" t="str">
        <f>_xlfn.XLOOKUP(Table6[[#This Row],[Old Table.Column]],Cobra8.6[Table.Column],Cobra8.6[LENGTH],"",0,1)</f>
        <v/>
      </c>
      <c r="AB903" t="s">
        <v>32</v>
      </c>
    </row>
    <row r="904" spans="1:28" hidden="1" x14ac:dyDescent="0.2">
      <c r="A904" t="s">
        <v>1451</v>
      </c>
      <c r="B904" t="s">
        <v>1452</v>
      </c>
      <c r="C904" t="s">
        <v>30</v>
      </c>
      <c r="D904">
        <v>1</v>
      </c>
      <c r="E904" t="s">
        <v>31</v>
      </c>
      <c r="F904" t="str">
        <f>VLOOKUP($E904,'Data Type Lookup'!$A$1:$C$21,2,FALSE)</f>
        <v>RAW(16)</v>
      </c>
      <c r="I904" s="32" t="s">
        <v>32</v>
      </c>
      <c r="K904" s="32" t="s">
        <v>32</v>
      </c>
      <c r="P904" t="s">
        <v>1453</v>
      </c>
      <c r="Q904" t="s">
        <v>34</v>
      </c>
      <c r="R904" t="str">
        <f>VLOOKUP(E904,'Data Type Lookup'!$A$1:$C$21,3,FALSE)</f>
        <v>java.util.UUID</v>
      </c>
      <c r="S904">
        <v>3</v>
      </c>
      <c r="W904" t="str">
        <f t="shared" si="20"/>
        <v>RESOURCE_COST_CALCULATION.ROW_UID</v>
      </c>
      <c r="X904" t="str">
        <f>VLOOKUP(W904,ColumnMapping[New Table.Column],1,)</f>
        <v>RESOURCE_COST_CALCULATION.ROW_UID</v>
      </c>
      <c r="Y904" t="str">
        <f>_xlfn.XLOOKUP(Table6[[#This Row],[Table.Column]],ColumnMapping[Add Column Name],ColumnMapping[Old Table.Column],"",0,1)</f>
        <v/>
      </c>
      <c r="Z904" t="str">
        <f>_xlfn.XLOOKUP(Table6[[#This Row],[Old Table.Column]],Cobra8.6[Table.Column],Cobra8.6[TYPE],"",0,1)</f>
        <v/>
      </c>
      <c r="AA904" t="str">
        <f>_xlfn.XLOOKUP(Table6[[#This Row],[Old Table.Column]],Cobra8.6[Table.Column],Cobra8.6[LENGTH],"",0,1)</f>
        <v/>
      </c>
    </row>
    <row r="905" spans="1:28" hidden="1" x14ac:dyDescent="0.2">
      <c r="A905" t="s">
        <v>1451</v>
      </c>
      <c r="B905" t="s">
        <v>1452</v>
      </c>
      <c r="C905" t="s">
        <v>35</v>
      </c>
      <c r="D905">
        <v>2</v>
      </c>
      <c r="E905" t="s">
        <v>36</v>
      </c>
      <c r="F905" t="str">
        <f>VLOOKUP($E905,'Data Type Lookup'!$A$1:$C$21,2,FALSE)</f>
        <v>NUMBER(19,0)</v>
      </c>
      <c r="I905" s="32" t="s">
        <v>32</v>
      </c>
      <c r="J905" s="32">
        <v>0</v>
      </c>
      <c r="P905" t="s">
        <v>37</v>
      </c>
      <c r="Q905" t="s">
        <v>38</v>
      </c>
      <c r="R905" t="str">
        <f>VLOOKUP(E905,'Data Type Lookup'!$A$1:$C$21,3,FALSE)</f>
        <v>Long</v>
      </c>
      <c r="S905">
        <v>3</v>
      </c>
      <c r="W905" t="str">
        <f t="shared" si="20"/>
        <v>RESOURCE_COST_CALCULATION.SEQUENCE</v>
      </c>
      <c r="X905" t="str">
        <f>VLOOKUP(W905,ColumnMapping[New Table.Column],1,)</f>
        <v>RESOURCE_COST_CALCULATION.SEQUENCE</v>
      </c>
      <c r="Y905" t="str">
        <f>_xlfn.XLOOKUP(Table6[[#This Row],[Table.Column]],ColumnMapping[Add Column Name],ColumnMapping[Old Table.Column],"",0,1)</f>
        <v/>
      </c>
      <c r="Z905" t="str">
        <f>_xlfn.XLOOKUP(Table6[[#This Row],[Old Table.Column]],Cobra8.6[Table.Column],Cobra8.6[TYPE],"",0,1)</f>
        <v/>
      </c>
      <c r="AA905" t="str">
        <f>_xlfn.XLOOKUP(Table6[[#This Row],[Old Table.Column]],Cobra8.6[Table.Column],Cobra8.6[LENGTH],"",0,1)</f>
        <v/>
      </c>
    </row>
    <row r="906" spans="1:28" hidden="1" x14ac:dyDescent="0.2">
      <c r="A906" t="s">
        <v>1451</v>
      </c>
      <c r="B906" t="s">
        <v>1452</v>
      </c>
      <c r="C906" t="s">
        <v>1063</v>
      </c>
      <c r="D906">
        <v>4</v>
      </c>
      <c r="E906" t="s">
        <v>31</v>
      </c>
      <c r="F906" t="str">
        <f>VLOOKUP($E906,'Data Type Lookup'!$A$1:$C$21,2,FALSE)</f>
        <v>RAW(16)</v>
      </c>
      <c r="I906" s="32" t="s">
        <v>32</v>
      </c>
      <c r="M906" t="s">
        <v>1064</v>
      </c>
      <c r="N906" t="s">
        <v>30</v>
      </c>
      <c r="O906" t="s">
        <v>41</v>
      </c>
      <c r="P906" t="s">
        <v>1065</v>
      </c>
      <c r="Q906" t="s">
        <v>1066</v>
      </c>
      <c r="R906" t="str">
        <f>VLOOKUP(E906,'Data Type Lookup'!$A$1:$C$21,3,FALSE)</f>
        <v>java.util.UUID</v>
      </c>
      <c r="S906">
        <v>1</v>
      </c>
      <c r="W906" t="str">
        <f t="shared" ref="W906:W969" si="21">_xlfn.CONCAT(B906,".",C906)</f>
        <v>RESOURCE_COST_CALCULATION.RESOURCES_UID</v>
      </c>
      <c r="X906" t="str">
        <f>VLOOKUP(W906,ColumnMapping[New Table.Column],1,)</f>
        <v>RESOURCE_COST_CALCULATION.RESOURCES_UID</v>
      </c>
      <c r="Y906" t="str">
        <f>_xlfn.XLOOKUP(Table6[[#This Row],[Table.Column]],ColumnMapping[Add Column Name],ColumnMapping[Old Table.Column],"",0,1)</f>
        <v/>
      </c>
      <c r="Z906" t="str">
        <f>_xlfn.XLOOKUP(Table6[[#This Row],[Old Table.Column]],Cobra8.6[Table.Column],Cobra8.6[TYPE],"",0,1)</f>
        <v/>
      </c>
      <c r="AA906" t="str">
        <f>_xlfn.XLOOKUP(Table6[[#This Row],[Old Table.Column]],Cobra8.6[Table.Column],Cobra8.6[LENGTH],"",0,1)</f>
        <v/>
      </c>
    </row>
    <row r="907" spans="1:28" hidden="1" x14ac:dyDescent="0.2">
      <c r="A907" t="s">
        <v>1451</v>
      </c>
      <c r="B907" t="s">
        <v>1452</v>
      </c>
      <c r="C907" t="s">
        <v>1419</v>
      </c>
      <c r="D907">
        <v>5</v>
      </c>
      <c r="E907" t="s">
        <v>31</v>
      </c>
      <c r="F907" t="str">
        <f>VLOOKUP($E907,'Data Type Lookup'!$A$1:$C$21,2,FALSE)</f>
        <v>RAW(16)</v>
      </c>
      <c r="M907" t="s">
        <v>1420</v>
      </c>
      <c r="N907" t="s">
        <v>30</v>
      </c>
      <c r="O907" t="s">
        <v>41</v>
      </c>
      <c r="P907" t="s">
        <v>1421</v>
      </c>
      <c r="Q907" t="s">
        <v>1422</v>
      </c>
      <c r="R907" t="str">
        <f>VLOOKUP(E907,'Data Type Lookup'!$A$1:$C$21,3,FALSE)</f>
        <v>java.util.UUID</v>
      </c>
      <c r="S907">
        <v>1</v>
      </c>
      <c r="W907" t="str">
        <f t="shared" si="21"/>
        <v>RESOURCE_COST_CALCULATION.RATE_SET_UID</v>
      </c>
      <c r="X907" t="str">
        <f>VLOOKUP(W907,ColumnMapping[New Table.Column],1,)</f>
        <v>RESOURCE_COST_CALCULATION.RATE_SET_UID</v>
      </c>
      <c r="Y907" t="str">
        <f>_xlfn.XLOOKUP(Table6[[#This Row],[Table.Column]],ColumnMapping[Add Column Name],ColumnMapping[Old Table.Column],"",0,1)</f>
        <v/>
      </c>
      <c r="Z907" t="str">
        <f>_xlfn.XLOOKUP(Table6[[#This Row],[Old Table.Column]],Cobra8.6[Table.Column],Cobra8.6[TYPE],"",0,1)</f>
        <v/>
      </c>
      <c r="AA907" t="str">
        <f>_xlfn.XLOOKUP(Table6[[#This Row],[Old Table.Column]],Cobra8.6[Table.Column],Cobra8.6[LENGTH],"",0,1)</f>
        <v/>
      </c>
    </row>
    <row r="908" spans="1:28" hidden="1" x14ac:dyDescent="0.2">
      <c r="A908" t="s">
        <v>1451</v>
      </c>
      <c r="B908" t="s">
        <v>1452</v>
      </c>
      <c r="C908" t="s">
        <v>1454</v>
      </c>
      <c r="D908">
        <v>6</v>
      </c>
      <c r="E908" t="s">
        <v>36</v>
      </c>
      <c r="F908" t="str">
        <f>VLOOKUP($E908,'Data Type Lookup'!$A$1:$C$21,2,FALSE)</f>
        <v>NUMBER(19,0)</v>
      </c>
      <c r="I908" s="32" t="s">
        <v>32</v>
      </c>
      <c r="J908" s="32">
        <v>0</v>
      </c>
      <c r="P908" t="s">
        <v>1455</v>
      </c>
      <c r="Q908" t="s">
        <v>1456</v>
      </c>
      <c r="R908" t="str">
        <f>VLOOKUP(E908,'Data Type Lookup'!$A$1:$C$21,3,FALSE)</f>
        <v>Long</v>
      </c>
      <c r="W908" t="str">
        <f t="shared" si="21"/>
        <v>RESOURCE_COST_CALCULATION.LINE</v>
      </c>
      <c r="X908" t="str">
        <f>VLOOKUP(W908,ColumnMapping[New Table.Column],1,)</f>
        <v>RESOURCE_COST_CALCULATION.LINE</v>
      </c>
      <c r="Y908" t="str">
        <f>_xlfn.XLOOKUP(Table6[[#This Row],[Table.Column]],ColumnMapping[Add Column Name],ColumnMapping[Old Table.Column],"",0,1)</f>
        <v/>
      </c>
      <c r="Z908" t="str">
        <f>_xlfn.XLOOKUP(Table6[[#This Row],[Old Table.Column]],Cobra8.6[Table.Column],Cobra8.6[TYPE],"",0,1)</f>
        <v/>
      </c>
      <c r="AA908" t="str">
        <f>_xlfn.XLOOKUP(Table6[[#This Row],[Old Table.Column]],Cobra8.6[Table.Column],Cobra8.6[LENGTH],"",0,1)</f>
        <v/>
      </c>
    </row>
    <row r="909" spans="1:28" hidden="1" x14ac:dyDescent="0.2">
      <c r="A909" t="s">
        <v>1451</v>
      </c>
      <c r="B909" t="s">
        <v>1452</v>
      </c>
      <c r="C909" t="s">
        <v>1457</v>
      </c>
      <c r="D909">
        <v>7</v>
      </c>
      <c r="E909" t="s">
        <v>86</v>
      </c>
      <c r="F909" t="str">
        <f>VLOOKUP($E909,'Data Type Lookup'!$A$1:$C$21,2,FALSE)</f>
        <v>VARCHAR2</v>
      </c>
      <c r="G909">
        <v>10</v>
      </c>
      <c r="I909" s="32" t="s">
        <v>32</v>
      </c>
      <c r="P909" t="s">
        <v>866</v>
      </c>
      <c r="Q909" t="s">
        <v>1458</v>
      </c>
      <c r="R909" t="str">
        <f>VLOOKUP(E909,'Data Type Lookup'!$A$1:$C$21,3,FALSE)</f>
        <v>String</v>
      </c>
      <c r="W909" t="str">
        <f t="shared" si="21"/>
        <v>RESOURCE_COST_CALCULATION.RESULT_FIELD</v>
      </c>
      <c r="X909" t="str">
        <f>VLOOKUP(W909,ColumnMapping[New Table.Column],1,)</f>
        <v>RESOURCE_COST_CALCULATION.RESULT_FIELD</v>
      </c>
      <c r="Y909" t="str">
        <f>_xlfn.XLOOKUP(Table6[[#This Row],[Table.Column]],ColumnMapping[Add Column Name],ColumnMapping[Old Table.Column],"",0,1)</f>
        <v/>
      </c>
      <c r="Z909" t="str">
        <f>_xlfn.XLOOKUP(Table6[[#This Row],[Old Table.Column]],Cobra8.6[Table.Column],Cobra8.6[TYPE],"",0,1)</f>
        <v/>
      </c>
      <c r="AA909" t="str">
        <f>_xlfn.XLOOKUP(Table6[[#This Row],[Old Table.Column]],Cobra8.6[Table.Column],Cobra8.6[LENGTH],"",0,1)</f>
        <v/>
      </c>
    </row>
    <row r="910" spans="1:28" hidden="1" x14ac:dyDescent="0.2">
      <c r="A910" t="s">
        <v>1451</v>
      </c>
      <c r="B910" t="s">
        <v>1452</v>
      </c>
      <c r="C910" t="s">
        <v>1459</v>
      </c>
      <c r="D910">
        <v>8</v>
      </c>
      <c r="E910" t="s">
        <v>86</v>
      </c>
      <c r="F910" t="str">
        <f>VLOOKUP($E910,'Data Type Lookup'!$A$1:$C$21,2,FALSE)</f>
        <v>VARCHAR2</v>
      </c>
      <c r="G910">
        <v>20</v>
      </c>
      <c r="I910" s="32" t="s">
        <v>32</v>
      </c>
      <c r="P910" t="s">
        <v>1460</v>
      </c>
      <c r="Q910" t="s">
        <v>1461</v>
      </c>
      <c r="R910" t="str">
        <f>VLOOKUP(E910,'Data Type Lookup'!$A$1:$C$21,3,FALSE)</f>
        <v>String</v>
      </c>
      <c r="W910" t="str">
        <f t="shared" si="21"/>
        <v>RESOURCE_COST_CALCULATION.RESULT_LABEL</v>
      </c>
      <c r="X910" t="str">
        <f>VLOOKUP(W910,ColumnMapping[New Table.Column],1,)</f>
        <v>RESOURCE_COST_CALCULATION.RESULT_LABEL</v>
      </c>
      <c r="Y910" t="str">
        <f>_xlfn.XLOOKUP(Table6[[#This Row],[Table.Column]],ColumnMapping[Add Column Name],ColumnMapping[Old Table.Column],"",0,1)</f>
        <v/>
      </c>
      <c r="Z910" t="str">
        <f>_xlfn.XLOOKUP(Table6[[#This Row],[Old Table.Column]],Cobra8.6[Table.Column],Cobra8.6[TYPE],"",0,1)</f>
        <v/>
      </c>
      <c r="AA910" t="str">
        <f>_xlfn.XLOOKUP(Table6[[#This Row],[Old Table.Column]],Cobra8.6[Table.Column],Cobra8.6[LENGTH],"",0,1)</f>
        <v/>
      </c>
    </row>
    <row r="911" spans="1:28" hidden="1" x14ac:dyDescent="0.2">
      <c r="A911" t="s">
        <v>1451</v>
      </c>
      <c r="B911" t="s">
        <v>1452</v>
      </c>
      <c r="C911" t="s">
        <v>862</v>
      </c>
      <c r="D911">
        <v>9</v>
      </c>
      <c r="E911" t="s">
        <v>86</v>
      </c>
      <c r="F911" t="str">
        <f>VLOOKUP($E911,'Data Type Lookup'!$A$1:$C$21,2,FALSE)</f>
        <v>VARCHAR2</v>
      </c>
      <c r="G911">
        <v>1</v>
      </c>
      <c r="P911" t="s">
        <v>1462</v>
      </c>
      <c r="Q911" t="s">
        <v>864</v>
      </c>
      <c r="R911" t="str">
        <f>VLOOKUP(E911,'Data Type Lookup'!$A$1:$C$21,3,FALSE)</f>
        <v>String</v>
      </c>
      <c r="W911" t="str">
        <f t="shared" si="21"/>
        <v>RESOURCE_COST_CALCULATION.RESULT_CODE</v>
      </c>
      <c r="X911" t="str">
        <f>VLOOKUP(W911,ColumnMapping[New Table.Column],1,)</f>
        <v>RESOURCE_COST_CALCULATION.RESULT_CODE</v>
      </c>
      <c r="Y911" t="str">
        <f>_xlfn.XLOOKUP(Table6[[#This Row],[Table.Column]],ColumnMapping[Add Column Name],ColumnMapping[Old Table.Column],"",0,1)</f>
        <v/>
      </c>
      <c r="Z911" t="str">
        <f>_xlfn.XLOOKUP(Table6[[#This Row],[Old Table.Column]],Cobra8.6[Table.Column],Cobra8.6[TYPE],"",0,1)</f>
        <v/>
      </c>
      <c r="AA911" t="str">
        <f>_xlfn.XLOOKUP(Table6[[#This Row],[Old Table.Column]],Cobra8.6[Table.Column],Cobra8.6[LENGTH],"",0,1)</f>
        <v/>
      </c>
    </row>
    <row r="912" spans="1:28" hidden="1" x14ac:dyDescent="0.2">
      <c r="A912" t="s">
        <v>1451</v>
      </c>
      <c r="B912" t="s">
        <v>1452</v>
      </c>
      <c r="C912" t="s">
        <v>1463</v>
      </c>
      <c r="D912">
        <v>10</v>
      </c>
      <c r="E912" t="s">
        <v>86</v>
      </c>
      <c r="F912" t="str">
        <f>VLOOKUP($E912,'Data Type Lookup'!$A$1:$C$21,2,FALSE)</f>
        <v>VARCHAR2</v>
      </c>
      <c r="G912">
        <v>10</v>
      </c>
      <c r="I912" s="32" t="s">
        <v>32</v>
      </c>
      <c r="P912" t="s">
        <v>1464</v>
      </c>
      <c r="Q912" t="s">
        <v>1465</v>
      </c>
      <c r="R912" t="str">
        <f>VLOOKUP(E912,'Data Type Lookup'!$A$1:$C$21,3,FALSE)</f>
        <v>String</v>
      </c>
      <c r="W912" t="str">
        <f t="shared" si="21"/>
        <v>RESOURCE_COST_CALCULATION.UNITS</v>
      </c>
      <c r="X912" t="str">
        <f>VLOOKUP(W912,ColumnMapping[New Table.Column],1,)</f>
        <v>RESOURCE_COST_CALCULATION.UNITS</v>
      </c>
      <c r="Y912" t="str">
        <f>_xlfn.XLOOKUP(Table6[[#This Row],[Table.Column]],ColumnMapping[Add Column Name],ColumnMapping[Old Table.Column],"",0,1)</f>
        <v/>
      </c>
      <c r="Z912" t="str">
        <f>_xlfn.XLOOKUP(Table6[[#This Row],[Old Table.Column]],Cobra8.6[Table.Column],Cobra8.6[TYPE],"",0,1)</f>
        <v/>
      </c>
      <c r="AA912" t="str">
        <f>_xlfn.XLOOKUP(Table6[[#This Row],[Old Table.Column]],Cobra8.6[Table.Column],Cobra8.6[LENGTH],"",0,1)</f>
        <v/>
      </c>
    </row>
    <row r="913" spans="1:28" hidden="1" x14ac:dyDescent="0.2">
      <c r="A913" t="s">
        <v>1451</v>
      </c>
      <c r="B913" t="s">
        <v>1452</v>
      </c>
      <c r="C913" t="s">
        <v>868</v>
      </c>
      <c r="D913">
        <v>11</v>
      </c>
      <c r="E913" t="s">
        <v>288</v>
      </c>
      <c r="F913" t="str">
        <f>VLOOKUP($E913,'Data Type Lookup'!$A$1:$C$21,2,FALSE)</f>
        <v>NUMBER(1,0)</v>
      </c>
      <c r="I913" s="32" t="s">
        <v>32</v>
      </c>
      <c r="J913" s="37">
        <v>0</v>
      </c>
      <c r="P913" t="s">
        <v>1466</v>
      </c>
      <c r="Q913" t="s">
        <v>870</v>
      </c>
      <c r="R913" t="str">
        <f>VLOOKUP(E913,'Data Type Lookup'!$A$1:$C$21,3,FALSE)</f>
        <v>Boolean</v>
      </c>
      <c r="W913" t="str">
        <f t="shared" si="21"/>
        <v>RESOURCE_COST_CALCULATION.CURRENCY</v>
      </c>
      <c r="X913" t="str">
        <f>VLOOKUP(W913,ColumnMapping[New Table.Column],1,)</f>
        <v>RESOURCE_COST_CALCULATION.CURRENCY</v>
      </c>
      <c r="Y913" t="str">
        <f>_xlfn.XLOOKUP(Table6[[#This Row],[Table.Column]],ColumnMapping[Add Column Name],ColumnMapping[Old Table.Column],"",0,1)</f>
        <v/>
      </c>
      <c r="Z913" t="str">
        <f>_xlfn.XLOOKUP(Table6[[#This Row],[Old Table.Column]],Cobra8.6[Table.Column],Cobra8.6[TYPE],"",0,1)</f>
        <v/>
      </c>
      <c r="AA913" t="str">
        <f>_xlfn.XLOOKUP(Table6[[#This Row],[Old Table.Column]],Cobra8.6[Table.Column],Cobra8.6[LENGTH],"",0,1)</f>
        <v/>
      </c>
    </row>
    <row r="914" spans="1:28" hidden="1" x14ac:dyDescent="0.2">
      <c r="A914" t="s">
        <v>1451</v>
      </c>
      <c r="B914" t="s">
        <v>1452</v>
      </c>
      <c r="C914" t="s">
        <v>1467</v>
      </c>
      <c r="D914">
        <v>12</v>
      </c>
      <c r="E914" t="s">
        <v>86</v>
      </c>
      <c r="F914" t="str">
        <f>VLOOKUP($E914,'Data Type Lookup'!$A$1:$C$21,2,FALSE)</f>
        <v>VARCHAR2</v>
      </c>
      <c r="G914">
        <v>10</v>
      </c>
      <c r="P914" t="s">
        <v>1468</v>
      </c>
      <c r="Q914" t="s">
        <v>1469</v>
      </c>
      <c r="R914" t="str">
        <f>VLOOKUP(E914,'Data Type Lookup'!$A$1:$C$21,3,FALSE)</f>
        <v>String</v>
      </c>
      <c r="W914" t="str">
        <f t="shared" si="21"/>
        <v>RESOURCE_COST_CALCULATION.SOURCE1</v>
      </c>
      <c r="X914" t="e">
        <f>VLOOKUP(W914,ColumnMapping[New Table.Column],1,)</f>
        <v>#N/A</v>
      </c>
      <c r="Y914" t="str">
        <f>_xlfn.XLOOKUP(Table6[[#This Row],[Table.Column]],ColumnMapping[Add Column Name],ColumnMapping[Old Table.Column],"",0,1)</f>
        <v/>
      </c>
      <c r="Z914" t="str">
        <f>_xlfn.XLOOKUP(Table6[[#This Row],[Old Table.Column]],Cobra8.6[Table.Column],Cobra8.6[TYPE],"",0,1)</f>
        <v/>
      </c>
      <c r="AA914" t="str">
        <f>_xlfn.XLOOKUP(Table6[[#This Row],[Old Table.Column]],Cobra8.6[Table.Column],Cobra8.6[LENGTH],"",0,1)</f>
        <v/>
      </c>
    </row>
    <row r="915" spans="1:28" hidden="1" x14ac:dyDescent="0.2">
      <c r="A915" t="s">
        <v>1451</v>
      </c>
      <c r="B915" t="s">
        <v>1452</v>
      </c>
      <c r="C915" t="s">
        <v>1470</v>
      </c>
      <c r="D915">
        <v>13</v>
      </c>
      <c r="E915" t="s">
        <v>86</v>
      </c>
      <c r="F915" t="str">
        <f>VLOOKUP($E915,'Data Type Lookup'!$A$1:$C$21,2,FALSE)</f>
        <v>VARCHAR2</v>
      </c>
      <c r="G915">
        <v>10</v>
      </c>
      <c r="P915" t="s">
        <v>1471</v>
      </c>
      <c r="Q915" t="s">
        <v>1472</v>
      </c>
      <c r="R915" t="str">
        <f>VLOOKUP(E915,'Data Type Lookup'!$A$1:$C$21,3,FALSE)</f>
        <v>String</v>
      </c>
      <c r="W915" t="str">
        <f t="shared" si="21"/>
        <v>RESOURCE_COST_CALCULATION.SOURCE2</v>
      </c>
      <c r="X915" t="e">
        <f>VLOOKUP(W915,ColumnMapping[New Table.Column],1,)</f>
        <v>#N/A</v>
      </c>
      <c r="Y915" t="str">
        <f>_xlfn.XLOOKUP(Table6[[#This Row],[Table.Column]],ColumnMapping[Add Column Name],ColumnMapping[Old Table.Column],"",0,1)</f>
        <v/>
      </c>
      <c r="Z915" t="str">
        <f>_xlfn.XLOOKUP(Table6[[#This Row],[Old Table.Column]],Cobra8.6[Table.Column],Cobra8.6[TYPE],"",0,1)</f>
        <v/>
      </c>
      <c r="AA915" t="str">
        <f>_xlfn.XLOOKUP(Table6[[#This Row],[Old Table.Column]],Cobra8.6[Table.Column],Cobra8.6[LENGTH],"",0,1)</f>
        <v/>
      </c>
    </row>
    <row r="916" spans="1:28" hidden="1" x14ac:dyDescent="0.2">
      <c r="A916" t="s">
        <v>1451</v>
      </c>
      <c r="B916" t="s">
        <v>1452</v>
      </c>
      <c r="C916" t="s">
        <v>1473</v>
      </c>
      <c r="D916">
        <v>14</v>
      </c>
      <c r="E916" t="s">
        <v>86</v>
      </c>
      <c r="F916" t="str">
        <f>VLOOKUP($E916,'Data Type Lookup'!$A$1:$C$21,2,FALSE)</f>
        <v>VARCHAR2</v>
      </c>
      <c r="G916">
        <v>10</v>
      </c>
      <c r="P916" t="s">
        <v>1474</v>
      </c>
      <c r="Q916" t="s">
        <v>1475</v>
      </c>
      <c r="R916" t="str">
        <f>VLOOKUP(E916,'Data Type Lookup'!$A$1:$C$21,3,FALSE)</f>
        <v>String</v>
      </c>
      <c r="W916" t="str">
        <f t="shared" si="21"/>
        <v>RESOURCE_COST_CALCULATION.SOURCE3</v>
      </c>
      <c r="X916" t="e">
        <f>VLOOKUP(W916,ColumnMapping[New Table.Column],1,)</f>
        <v>#N/A</v>
      </c>
      <c r="Y916" t="str">
        <f>_xlfn.XLOOKUP(Table6[[#This Row],[Table.Column]],ColumnMapping[Add Column Name],ColumnMapping[Old Table.Column],"",0,1)</f>
        <v/>
      </c>
      <c r="Z916" t="str">
        <f>_xlfn.XLOOKUP(Table6[[#This Row],[Old Table.Column]],Cobra8.6[Table.Column],Cobra8.6[TYPE],"",0,1)</f>
        <v/>
      </c>
      <c r="AA916" t="str">
        <f>_xlfn.XLOOKUP(Table6[[#This Row],[Old Table.Column]],Cobra8.6[Table.Column],Cobra8.6[LENGTH],"",0,1)</f>
        <v/>
      </c>
    </row>
    <row r="917" spans="1:28" hidden="1" x14ac:dyDescent="0.2">
      <c r="A917" t="s">
        <v>1451</v>
      </c>
      <c r="B917" t="s">
        <v>1452</v>
      </c>
      <c r="C917" t="s">
        <v>1476</v>
      </c>
      <c r="D917">
        <v>15</v>
      </c>
      <c r="E917" t="s">
        <v>86</v>
      </c>
      <c r="F917" t="str">
        <f>VLOOKUP($E917,'Data Type Lookup'!$A$1:$C$21,2,FALSE)</f>
        <v>VARCHAR2</v>
      </c>
      <c r="G917">
        <v>10</v>
      </c>
      <c r="P917" t="s">
        <v>1477</v>
      </c>
      <c r="Q917" t="s">
        <v>1478</v>
      </c>
      <c r="R917" t="str">
        <f>VLOOKUP(E917,'Data Type Lookup'!$A$1:$C$21,3,FALSE)</f>
        <v>String</v>
      </c>
      <c r="W917" t="str">
        <f t="shared" si="21"/>
        <v>RESOURCE_COST_CALCULATION.SOURCE4</v>
      </c>
      <c r="X917" t="e">
        <f>VLOOKUP(W917,ColumnMapping[New Table.Column],1,)</f>
        <v>#N/A</v>
      </c>
      <c r="Y917" t="str">
        <f>_xlfn.XLOOKUP(Table6[[#This Row],[Table.Column]],ColumnMapping[Add Column Name],ColumnMapping[Old Table.Column],"",0,1)</f>
        <v/>
      </c>
      <c r="Z917" t="str">
        <f>_xlfn.XLOOKUP(Table6[[#This Row],[Old Table.Column]],Cobra8.6[Table.Column],Cobra8.6[TYPE],"",0,1)</f>
        <v/>
      </c>
      <c r="AA917" t="str">
        <f>_xlfn.XLOOKUP(Table6[[#This Row],[Old Table.Column]],Cobra8.6[Table.Column],Cobra8.6[LENGTH],"",0,1)</f>
        <v/>
      </c>
    </row>
    <row r="918" spans="1:28" hidden="1" x14ac:dyDescent="0.2">
      <c r="A918" t="s">
        <v>1451</v>
      </c>
      <c r="B918" t="s">
        <v>1452</v>
      </c>
      <c r="C918" t="s">
        <v>1479</v>
      </c>
      <c r="D918">
        <v>16</v>
      </c>
      <c r="E918" t="s">
        <v>86</v>
      </c>
      <c r="F918" t="str">
        <f>VLOOKUP($E918,'Data Type Lookup'!$A$1:$C$21,2,FALSE)</f>
        <v>VARCHAR2</v>
      </c>
      <c r="G918">
        <v>10</v>
      </c>
      <c r="P918" t="s">
        <v>1480</v>
      </c>
      <c r="Q918" t="s">
        <v>1481</v>
      </c>
      <c r="R918" t="str">
        <f>VLOOKUP(E918,'Data Type Lookup'!$A$1:$C$21,3,FALSE)</f>
        <v>String</v>
      </c>
      <c r="W918" t="str">
        <f t="shared" si="21"/>
        <v>RESOURCE_COST_CALCULATION.SOURCE5</v>
      </c>
      <c r="X918" t="e">
        <f>VLOOKUP(W918,ColumnMapping[New Table.Column],1,)</f>
        <v>#N/A</v>
      </c>
      <c r="Y918" t="str">
        <f>_xlfn.XLOOKUP(Table6[[#This Row],[Table.Column]],ColumnMapping[Add Column Name],ColumnMapping[Old Table.Column],"",0,1)</f>
        <v/>
      </c>
      <c r="Z918" t="str">
        <f>_xlfn.XLOOKUP(Table6[[#This Row],[Old Table.Column]],Cobra8.6[Table.Column],Cobra8.6[TYPE],"",0,1)</f>
        <v/>
      </c>
      <c r="AA918" t="str">
        <f>_xlfn.XLOOKUP(Table6[[#This Row],[Old Table.Column]],Cobra8.6[Table.Column],Cobra8.6[LENGTH],"",0,1)</f>
        <v/>
      </c>
    </row>
    <row r="919" spans="1:28" hidden="1" x14ac:dyDescent="0.2">
      <c r="A919" t="s">
        <v>1451</v>
      </c>
      <c r="B919" t="s">
        <v>1452</v>
      </c>
      <c r="C919" t="s">
        <v>1482</v>
      </c>
      <c r="D919">
        <v>17</v>
      </c>
      <c r="E919" t="s">
        <v>86</v>
      </c>
      <c r="F919" t="str">
        <f>VLOOKUP($E919,'Data Type Lookup'!$A$1:$C$21,2,FALSE)</f>
        <v>VARCHAR2</v>
      </c>
      <c r="G919">
        <v>10</v>
      </c>
      <c r="P919" t="s">
        <v>1483</v>
      </c>
      <c r="Q919" t="s">
        <v>1484</v>
      </c>
      <c r="R919" t="str">
        <f>VLOOKUP(E919,'Data Type Lookup'!$A$1:$C$21,3,FALSE)</f>
        <v>String</v>
      </c>
      <c r="W919" t="str">
        <f t="shared" si="21"/>
        <v>RESOURCE_COST_CALCULATION.SOURCE6</v>
      </c>
      <c r="X919" t="e">
        <f>VLOOKUP(W919,ColumnMapping[New Table.Column],1,)</f>
        <v>#N/A</v>
      </c>
      <c r="Y919" t="str">
        <f>_xlfn.XLOOKUP(Table6[[#This Row],[Table.Column]],ColumnMapping[Add Column Name],ColumnMapping[Old Table.Column],"",0,1)</f>
        <v/>
      </c>
      <c r="Z919" t="str">
        <f>_xlfn.XLOOKUP(Table6[[#This Row],[Old Table.Column]],Cobra8.6[Table.Column],Cobra8.6[TYPE],"",0,1)</f>
        <v/>
      </c>
      <c r="AA919" t="str">
        <f>_xlfn.XLOOKUP(Table6[[#This Row],[Old Table.Column]],Cobra8.6[Table.Column],Cobra8.6[LENGTH],"",0,1)</f>
        <v/>
      </c>
    </row>
    <row r="920" spans="1:28" hidden="1" x14ac:dyDescent="0.2">
      <c r="A920" t="s">
        <v>1451</v>
      </c>
      <c r="B920" t="s">
        <v>1452</v>
      </c>
      <c r="C920" t="s">
        <v>1485</v>
      </c>
      <c r="D920">
        <v>18</v>
      </c>
      <c r="E920" t="s">
        <v>86</v>
      </c>
      <c r="F920" t="str">
        <f>VLOOKUP($E920,'Data Type Lookup'!$A$1:$C$21,2,FALSE)</f>
        <v>VARCHAR2</v>
      </c>
      <c r="G920">
        <v>10</v>
      </c>
      <c r="P920" t="s">
        <v>1486</v>
      </c>
      <c r="Q920" t="s">
        <v>1487</v>
      </c>
      <c r="R920" t="str">
        <f>VLOOKUP(E920,'Data Type Lookup'!$A$1:$C$21,3,FALSE)</f>
        <v>String</v>
      </c>
      <c r="W920" t="str">
        <f t="shared" si="21"/>
        <v>RESOURCE_COST_CALCULATION.SOURCE7</v>
      </c>
      <c r="X920" t="e">
        <f>VLOOKUP(W920,ColumnMapping[New Table.Column],1,)</f>
        <v>#N/A</v>
      </c>
      <c r="Y920" t="str">
        <f>_xlfn.XLOOKUP(Table6[[#This Row],[Table.Column]],ColumnMapping[Add Column Name],ColumnMapping[Old Table.Column],"",0,1)</f>
        <v/>
      </c>
      <c r="Z920" t="str">
        <f>_xlfn.XLOOKUP(Table6[[#This Row],[Old Table.Column]],Cobra8.6[Table.Column],Cobra8.6[TYPE],"",0,1)</f>
        <v/>
      </c>
      <c r="AA920" t="str">
        <f>_xlfn.XLOOKUP(Table6[[#This Row],[Old Table.Column]],Cobra8.6[Table.Column],Cobra8.6[LENGTH],"",0,1)</f>
        <v/>
      </c>
    </row>
    <row r="921" spans="1:28" hidden="1" x14ac:dyDescent="0.2">
      <c r="A921" t="s">
        <v>1451</v>
      </c>
      <c r="B921" t="s">
        <v>1452</v>
      </c>
      <c r="C921" t="s">
        <v>1488</v>
      </c>
      <c r="D921">
        <v>19</v>
      </c>
      <c r="E921" t="s">
        <v>86</v>
      </c>
      <c r="F921" t="str">
        <f>VLOOKUP($E921,'Data Type Lookup'!$A$1:$C$21,2,FALSE)</f>
        <v>VARCHAR2</v>
      </c>
      <c r="G921">
        <v>10</v>
      </c>
      <c r="P921" t="s">
        <v>1489</v>
      </c>
      <c r="Q921" t="s">
        <v>1490</v>
      </c>
      <c r="R921" t="str">
        <f>VLOOKUP(E921,'Data Type Lookup'!$A$1:$C$21,3,FALSE)</f>
        <v>String</v>
      </c>
      <c r="W921" t="str">
        <f t="shared" si="21"/>
        <v>RESOURCE_COST_CALCULATION.SOURCE8</v>
      </c>
      <c r="X921" t="e">
        <f>VLOOKUP(W921,ColumnMapping[New Table.Column],1,)</f>
        <v>#N/A</v>
      </c>
      <c r="Y921" t="str">
        <f>_xlfn.XLOOKUP(Table6[[#This Row],[Table.Column]],ColumnMapping[Add Column Name],ColumnMapping[Old Table.Column],"",0,1)</f>
        <v/>
      </c>
      <c r="Z921" t="str">
        <f>_xlfn.XLOOKUP(Table6[[#This Row],[Old Table.Column]],Cobra8.6[Table.Column],Cobra8.6[TYPE],"",0,1)</f>
        <v/>
      </c>
      <c r="AA921" t="str">
        <f>_xlfn.XLOOKUP(Table6[[#This Row],[Old Table.Column]],Cobra8.6[Table.Column],Cobra8.6[LENGTH],"",0,1)</f>
        <v/>
      </c>
    </row>
    <row r="922" spans="1:28" hidden="1" x14ac:dyDescent="0.2">
      <c r="A922" t="s">
        <v>1451</v>
      </c>
      <c r="B922" t="s">
        <v>1452</v>
      </c>
      <c r="C922" t="s">
        <v>1491</v>
      </c>
      <c r="D922">
        <v>20</v>
      </c>
      <c r="E922" t="s">
        <v>86</v>
      </c>
      <c r="F922" t="str">
        <f>VLOOKUP($E922,'Data Type Lookup'!$A$1:$C$21,2,FALSE)</f>
        <v>VARCHAR2</v>
      </c>
      <c r="G922">
        <v>10</v>
      </c>
      <c r="P922" t="s">
        <v>1492</v>
      </c>
      <c r="Q922" t="s">
        <v>1493</v>
      </c>
      <c r="R922" t="str">
        <f>VLOOKUP(E922,'Data Type Lookup'!$A$1:$C$21,3,FALSE)</f>
        <v>String</v>
      </c>
      <c r="W922" t="str">
        <f t="shared" si="21"/>
        <v>RESOURCE_COST_CALCULATION.SOURCE9</v>
      </c>
      <c r="X922" t="e">
        <f>VLOOKUP(W922,ColumnMapping[New Table.Column],1,)</f>
        <v>#N/A</v>
      </c>
      <c r="Y922" t="str">
        <f>_xlfn.XLOOKUP(Table6[[#This Row],[Table.Column]],ColumnMapping[Add Column Name],ColumnMapping[Old Table.Column],"",0,1)</f>
        <v/>
      </c>
      <c r="Z922" t="str">
        <f>_xlfn.XLOOKUP(Table6[[#This Row],[Old Table.Column]],Cobra8.6[Table.Column],Cobra8.6[TYPE],"",0,1)</f>
        <v/>
      </c>
      <c r="AA922" t="str">
        <f>_xlfn.XLOOKUP(Table6[[#This Row],[Old Table.Column]],Cobra8.6[Table.Column],Cobra8.6[LENGTH],"",0,1)</f>
        <v/>
      </c>
    </row>
    <row r="923" spans="1:28" hidden="1" x14ac:dyDescent="0.2">
      <c r="A923" t="s">
        <v>1451</v>
      </c>
      <c r="B923" t="s">
        <v>1452</v>
      </c>
      <c r="C923" t="s">
        <v>1494</v>
      </c>
      <c r="D923">
        <v>21</v>
      </c>
      <c r="E923" t="s">
        <v>86</v>
      </c>
      <c r="F923" t="str">
        <f>VLOOKUP($E923,'Data Type Lookup'!$A$1:$C$21,2,FALSE)</f>
        <v>VARCHAR2</v>
      </c>
      <c r="G923">
        <v>10</v>
      </c>
      <c r="P923" t="s">
        <v>1495</v>
      </c>
      <c r="Q923" t="s">
        <v>1496</v>
      </c>
      <c r="R923" t="str">
        <f>VLOOKUP(E923,'Data Type Lookup'!$A$1:$C$21,3,FALSE)</f>
        <v>String</v>
      </c>
      <c r="W923" t="str">
        <f t="shared" si="21"/>
        <v>RESOURCE_COST_CALCULATION.SOURCE10</v>
      </c>
      <c r="X923" t="e">
        <f>VLOOKUP(W923,ColumnMapping[New Table.Column],1,)</f>
        <v>#N/A</v>
      </c>
      <c r="Y923" t="str">
        <f>_xlfn.XLOOKUP(Table6[[#This Row],[Table.Column]],ColumnMapping[Add Column Name],ColumnMapping[Old Table.Column],"",0,1)</f>
        <v/>
      </c>
      <c r="Z923" t="str">
        <f>_xlfn.XLOOKUP(Table6[[#This Row],[Old Table.Column]],Cobra8.6[Table.Column],Cobra8.6[TYPE],"",0,1)</f>
        <v/>
      </c>
      <c r="AA923" t="str">
        <f>_xlfn.XLOOKUP(Table6[[#This Row],[Old Table.Column]],Cobra8.6[Table.Column],Cobra8.6[LENGTH],"",0,1)</f>
        <v/>
      </c>
    </row>
    <row r="924" spans="1:28" hidden="1" x14ac:dyDescent="0.2">
      <c r="A924" t="s">
        <v>1451</v>
      </c>
      <c r="B924" t="s">
        <v>1452</v>
      </c>
      <c r="C924" t="s">
        <v>61</v>
      </c>
      <c r="D924">
        <v>22</v>
      </c>
      <c r="E924" t="s">
        <v>31</v>
      </c>
      <c r="F924" t="str">
        <f>VLOOKUP($E924,'Data Type Lookup'!$A$1:$C$21,2,FALSE)</f>
        <v>RAW(16)</v>
      </c>
      <c r="I924" s="32" t="s">
        <v>32</v>
      </c>
      <c r="P924" t="s">
        <v>1497</v>
      </c>
      <c r="Q924" t="s">
        <v>63</v>
      </c>
      <c r="R924" t="str">
        <f>VLOOKUP(E924,'Data Type Lookup'!$A$1:$C$21,3,FALSE)</f>
        <v>java.util.UUID</v>
      </c>
      <c r="S924">
        <v>2</v>
      </c>
      <c r="W924" t="str">
        <f t="shared" si="21"/>
        <v>RESOURCE_COST_CALCULATION.CREATED_BY_USER_UID</v>
      </c>
      <c r="X924" t="str">
        <f>VLOOKUP(W924,ColumnMapping[New Table.Column],1,)</f>
        <v>RESOURCE_COST_CALCULATION.CREATED_BY_USER_UID</v>
      </c>
      <c r="Y924" t="str">
        <f>_xlfn.XLOOKUP(Table6[[#This Row],[Table.Column]],ColumnMapping[Add Column Name],ColumnMapping[Old Table.Column],"",0,1)</f>
        <v/>
      </c>
      <c r="Z924" t="str">
        <f>_xlfn.XLOOKUP(Table6[[#This Row],[Old Table.Column]],Cobra8.6[Table.Column],Cobra8.6[TYPE],"",0,1)</f>
        <v/>
      </c>
      <c r="AA924" t="str">
        <f>_xlfn.XLOOKUP(Table6[[#This Row],[Old Table.Column]],Cobra8.6[Table.Column],Cobra8.6[LENGTH],"",0,1)</f>
        <v/>
      </c>
    </row>
    <row r="925" spans="1:28" hidden="1" x14ac:dyDescent="0.2">
      <c r="A925" t="s">
        <v>1451</v>
      </c>
      <c r="B925" t="s">
        <v>1452</v>
      </c>
      <c r="C925" t="s">
        <v>64</v>
      </c>
      <c r="D925">
        <v>23</v>
      </c>
      <c r="E925" t="s">
        <v>65</v>
      </c>
      <c r="F925" t="str">
        <f>VLOOKUP($E925,'Data Type Lookup'!$A$1:$C$21,2,FALSE)</f>
        <v>TIMESTAMP</v>
      </c>
      <c r="I925" s="32" t="s">
        <v>32</v>
      </c>
      <c r="P925" t="s">
        <v>1498</v>
      </c>
      <c r="Q925" t="s">
        <v>67</v>
      </c>
      <c r="R925" t="str">
        <f>VLOOKUP(E925,'Data Type Lookup'!$A$1:$C$21,3,FALSE)</f>
        <v>java.time.Instant</v>
      </c>
      <c r="S925">
        <v>2</v>
      </c>
      <c r="W925" t="str">
        <f t="shared" si="21"/>
        <v>RESOURCE_COST_CALCULATION.CREATED_DATE</v>
      </c>
      <c r="X925" t="str">
        <f>VLOOKUP(W925,ColumnMapping[New Table.Column],1,)</f>
        <v>RESOURCE_COST_CALCULATION.CREATED_DATE</v>
      </c>
      <c r="Y925" t="str">
        <f>_xlfn.XLOOKUP(Table6[[#This Row],[Table.Column]],ColumnMapping[Add Column Name],ColumnMapping[Old Table.Column],"",0,1)</f>
        <v/>
      </c>
      <c r="Z925" t="str">
        <f>_xlfn.XLOOKUP(Table6[[#This Row],[Old Table.Column]],Cobra8.6[Table.Column],Cobra8.6[TYPE],"",0,1)</f>
        <v/>
      </c>
      <c r="AA925" t="str">
        <f>_xlfn.XLOOKUP(Table6[[#This Row],[Old Table.Column]],Cobra8.6[Table.Column],Cobra8.6[LENGTH],"",0,1)</f>
        <v/>
      </c>
    </row>
    <row r="926" spans="1:28" hidden="1" x14ac:dyDescent="0.2">
      <c r="A926" t="s">
        <v>1451</v>
      </c>
      <c r="B926" t="s">
        <v>1452</v>
      </c>
      <c r="C926" t="s">
        <v>68</v>
      </c>
      <c r="D926">
        <v>24</v>
      </c>
      <c r="E926" t="s">
        <v>31</v>
      </c>
      <c r="F926" t="str">
        <f>VLOOKUP($E926,'Data Type Lookup'!$A$1:$C$21,2,FALSE)</f>
        <v>RAW(16)</v>
      </c>
      <c r="I926" s="32" t="s">
        <v>32</v>
      </c>
      <c r="P926" t="s">
        <v>1499</v>
      </c>
      <c r="Q926" t="s">
        <v>70</v>
      </c>
      <c r="R926" t="str">
        <f>VLOOKUP(E926,'Data Type Lookup'!$A$1:$C$21,3,FALSE)</f>
        <v>java.util.UUID</v>
      </c>
      <c r="S926">
        <v>2</v>
      </c>
      <c r="W926" t="str">
        <f t="shared" si="21"/>
        <v>RESOURCE_COST_CALCULATION.LAST_MODIFIED_BY_USER_UID</v>
      </c>
      <c r="X926" t="str">
        <f>VLOOKUP(W926,ColumnMapping[New Table.Column],1,)</f>
        <v>RESOURCE_COST_CALCULATION.LAST_MODIFIED_BY_USER_UID</v>
      </c>
      <c r="Y926" t="str">
        <f>_xlfn.XLOOKUP(Table6[[#This Row],[Table.Column]],ColumnMapping[Add Column Name],ColumnMapping[Old Table.Column],"",0,1)</f>
        <v/>
      </c>
      <c r="Z926" t="str">
        <f>_xlfn.XLOOKUP(Table6[[#This Row],[Old Table.Column]],Cobra8.6[Table.Column],Cobra8.6[TYPE],"",0,1)</f>
        <v/>
      </c>
      <c r="AA926" t="str">
        <f>_xlfn.XLOOKUP(Table6[[#This Row],[Old Table.Column]],Cobra8.6[Table.Column],Cobra8.6[LENGTH],"",0,1)</f>
        <v/>
      </c>
    </row>
    <row r="927" spans="1:28" hidden="1" x14ac:dyDescent="0.2">
      <c r="A927" t="s">
        <v>1451</v>
      </c>
      <c r="B927" t="s">
        <v>1452</v>
      </c>
      <c r="C927" t="s">
        <v>71</v>
      </c>
      <c r="D927">
        <v>25</v>
      </c>
      <c r="E927" t="s">
        <v>65</v>
      </c>
      <c r="F927" t="str">
        <f>VLOOKUP($E927,'Data Type Lookup'!$A$1:$C$21,2,FALSE)</f>
        <v>TIMESTAMP</v>
      </c>
      <c r="I927" s="32" t="s">
        <v>32</v>
      </c>
      <c r="P927" t="s">
        <v>1500</v>
      </c>
      <c r="Q927" t="s">
        <v>73</v>
      </c>
      <c r="R927" t="str">
        <f>VLOOKUP(E927,'Data Type Lookup'!$A$1:$C$21,3,FALSE)</f>
        <v>java.time.Instant</v>
      </c>
      <c r="S927">
        <v>2</v>
      </c>
      <c r="W927" t="str">
        <f t="shared" si="21"/>
        <v>RESOURCE_COST_CALCULATION.LAST_MODIFIED_DATE</v>
      </c>
      <c r="X927" t="str">
        <f>VLOOKUP(W927,ColumnMapping[New Table.Column],1,)</f>
        <v>RESOURCE_COST_CALCULATION.LAST_MODIFIED_DATE</v>
      </c>
      <c r="Y927" t="str">
        <f>_xlfn.XLOOKUP(Table6[[#This Row],[Table.Column]],ColumnMapping[Add Column Name],ColumnMapping[Old Table.Column],"",0,1)</f>
        <v/>
      </c>
      <c r="Z927" t="str">
        <f>_xlfn.XLOOKUP(Table6[[#This Row],[Old Table.Column]],Cobra8.6[Table.Column],Cobra8.6[TYPE],"",0,1)</f>
        <v/>
      </c>
      <c r="AA927" t="str">
        <f>_xlfn.XLOOKUP(Table6[[#This Row],[Old Table.Column]],Cobra8.6[Table.Column],Cobra8.6[LENGTH],"",0,1)</f>
        <v/>
      </c>
    </row>
    <row r="928" spans="1:28" hidden="1" x14ac:dyDescent="0.2">
      <c r="A928" t="s">
        <v>1451</v>
      </c>
      <c r="B928" s="17" t="s">
        <v>1452</v>
      </c>
      <c r="C928" s="17" t="s">
        <v>1501</v>
      </c>
      <c r="D928" s="17">
        <v>26</v>
      </c>
      <c r="E928" s="17" t="s">
        <v>86</v>
      </c>
      <c r="F928" t="str">
        <f>VLOOKUP($E928,'Data Type Lookup'!$A$1:$C$21,2,FALSE)</f>
        <v>VARCHAR2</v>
      </c>
      <c r="G928" s="17">
        <v>22</v>
      </c>
      <c r="H928" s="17"/>
      <c r="I928" s="29"/>
      <c r="J928" s="29"/>
      <c r="K928" s="29"/>
      <c r="L928" s="29"/>
      <c r="M928" s="17"/>
      <c r="N928" s="17"/>
      <c r="O928" s="17"/>
      <c r="P928" s="17" t="s">
        <v>636</v>
      </c>
      <c r="Q928" s="17" t="s">
        <v>1502</v>
      </c>
      <c r="R928" t="str">
        <f>VLOOKUP(E928,'Data Type Lookup'!$A$1:$C$21,3,FALSE)</f>
        <v>String</v>
      </c>
      <c r="S928" s="17"/>
      <c r="W928" t="str">
        <f t="shared" si="21"/>
        <v>RESOURCE_COST_CALCULATION.CALCFILE</v>
      </c>
      <c r="X928" t="e">
        <f>VLOOKUP(W928,ColumnMapping[New Table.Column],1,)</f>
        <v>#N/A</v>
      </c>
      <c r="Y928" t="str">
        <f>_xlfn.XLOOKUP(Table6[[#This Row],[Table.Column]],ColumnMapping[Add Column Name],ColumnMapping[Old Table.Column],"",0,1)</f>
        <v>CALCDETL.CALCFILE</v>
      </c>
      <c r="Z928" t="str">
        <f>_xlfn.XLOOKUP(Table6[[#This Row],[Old Table.Column]],Cobra8.6[Table.Column],Cobra8.6[TYPE],"",0,1)</f>
        <v>TEXT</v>
      </c>
      <c r="AA928">
        <f>_xlfn.XLOOKUP(Table6[[#This Row],[Old Table.Column]],Cobra8.6[Table.Column],Cobra8.6[LENGTH],"",0,1)</f>
        <v>22</v>
      </c>
      <c r="AB928" s="49" t="s">
        <v>32</v>
      </c>
    </row>
    <row r="929" spans="1:28" hidden="1" x14ac:dyDescent="0.2">
      <c r="A929" t="s">
        <v>1451</v>
      </c>
      <c r="B929" s="39" t="s">
        <v>1452</v>
      </c>
      <c r="C929" s="39" t="s">
        <v>1098</v>
      </c>
      <c r="D929" s="39">
        <v>27</v>
      </c>
      <c r="E929" s="39" t="s">
        <v>86</v>
      </c>
      <c r="F929" s="39" t="s">
        <v>349</v>
      </c>
      <c r="G929" s="39">
        <v>59</v>
      </c>
      <c r="H929" s="39"/>
      <c r="I929" s="47"/>
      <c r="J929" s="37" t="s">
        <v>605</v>
      </c>
      <c r="K929" s="47"/>
      <c r="L929" s="47"/>
      <c r="M929" s="39"/>
      <c r="N929" s="39"/>
      <c r="O929" s="39"/>
      <c r="P929" s="39" t="s">
        <v>1179</v>
      </c>
      <c r="Q929" s="39" t="s">
        <v>1099</v>
      </c>
      <c r="R929" t="str">
        <f>VLOOKUP(E929,'Data Type Lookup'!$A$1:$C$21,3,FALSE)</f>
        <v>String</v>
      </c>
      <c r="S929" s="39"/>
      <c r="W929" t="str">
        <f t="shared" si="21"/>
        <v>RESOURCE_COST_CALCULATION.CECODE</v>
      </c>
      <c r="X929" t="e">
        <f>VLOOKUP(W929,ColumnMapping[New Table.Column],1,)</f>
        <v>#N/A</v>
      </c>
      <c r="Y929" t="str">
        <f>_xlfn.XLOOKUP(Table6[[#This Row],[Table.Column]],ColumnMapping[Add Column Name],ColumnMapping[Old Table.Column],"",0,1)</f>
        <v/>
      </c>
      <c r="Z929" t="str">
        <f>_xlfn.XLOOKUP(Table6[[#This Row],[Old Table.Column]],Cobra8.6[Table.Column],Cobra8.6[TYPE],"",0,1)</f>
        <v/>
      </c>
      <c r="AA929" t="str">
        <f>_xlfn.XLOOKUP(Table6[[#This Row],[Old Table.Column]],Cobra8.6[Table.Column],Cobra8.6[LENGTH],"",0,1)</f>
        <v/>
      </c>
      <c r="AB929" s="49" t="s">
        <v>32</v>
      </c>
    </row>
    <row r="930" spans="1:28" hidden="1" x14ac:dyDescent="0.2">
      <c r="A930" t="s">
        <v>1451</v>
      </c>
      <c r="B930" t="s">
        <v>1452</v>
      </c>
      <c r="C930" t="s">
        <v>1434</v>
      </c>
      <c r="D930" s="39">
        <v>28</v>
      </c>
      <c r="E930" s="39" t="s">
        <v>86</v>
      </c>
      <c r="F930" s="39" t="s">
        <v>349</v>
      </c>
      <c r="G930" s="39">
        <v>59</v>
      </c>
      <c r="H930" s="39"/>
      <c r="I930" s="47"/>
      <c r="J930" s="47"/>
      <c r="K930" s="47"/>
      <c r="L930" s="47"/>
      <c r="M930" s="39"/>
      <c r="N930" s="39"/>
      <c r="O930" s="39"/>
      <c r="P930" s="39" t="s">
        <v>1435</v>
      </c>
      <c r="Q930" s="39" t="s">
        <v>1436</v>
      </c>
      <c r="R930" t="str">
        <f>VLOOKUP(E930,'Data Type Lookup'!$A$1:$C$21,3,FALSE)</f>
        <v>String</v>
      </c>
      <c r="S930" s="39"/>
      <c r="W930" t="str">
        <f t="shared" si="21"/>
        <v>RESOURCE_COST_CALCULATION.RATE_TABLE</v>
      </c>
      <c r="X930" t="e">
        <f>VLOOKUP(W930,ColumnMapping[New Table.Column],1,)</f>
        <v>#N/A</v>
      </c>
      <c r="Y930" t="str">
        <f>_xlfn.XLOOKUP(Table6[[#This Row],[Table.Column]],ColumnMapping[Add Column Name],ColumnMapping[Old Table.Column],"",0,1)</f>
        <v/>
      </c>
      <c r="Z930" t="str">
        <f>_xlfn.XLOOKUP(Table6[[#This Row],[Old Table.Column]],Cobra8.6[Table.Column],Cobra8.6[TYPE],"",0,1)</f>
        <v/>
      </c>
      <c r="AA930" t="str">
        <f>_xlfn.XLOOKUP(Table6[[#This Row],[Old Table.Column]],Cobra8.6[Table.Column],Cobra8.6[LENGTH],"",0,1)</f>
        <v/>
      </c>
      <c r="AB930" s="49" t="s">
        <v>32</v>
      </c>
    </row>
    <row r="931" spans="1:28" hidden="1" x14ac:dyDescent="0.2">
      <c r="A931" t="s">
        <v>1451</v>
      </c>
      <c r="B931" t="s">
        <v>472</v>
      </c>
      <c r="C931" t="s">
        <v>30</v>
      </c>
      <c r="D931">
        <v>1</v>
      </c>
      <c r="E931" t="s">
        <v>31</v>
      </c>
      <c r="F931" t="str">
        <f>VLOOKUP($E931,'Data Type Lookup'!$A$1:$C$21,2,FALSE)</f>
        <v>RAW(16)</v>
      </c>
      <c r="I931" s="32" t="s">
        <v>32</v>
      </c>
      <c r="K931" s="32" t="s">
        <v>32</v>
      </c>
      <c r="P931" t="s">
        <v>473</v>
      </c>
      <c r="Q931" t="s">
        <v>34</v>
      </c>
      <c r="R931" t="str">
        <f>VLOOKUP(E931,'Data Type Lookup'!$A$1:$C$21,3,FALSE)</f>
        <v>java.util.UUID</v>
      </c>
      <c r="S931">
        <v>3</v>
      </c>
      <c r="U931">
        <v>8</v>
      </c>
      <c r="W931" t="str">
        <f t="shared" si="21"/>
        <v>RESOURCE_FILE.ROW_UID</v>
      </c>
      <c r="X931" t="str">
        <f>VLOOKUP(W931,ColumnMapping[New Table.Column],1,)</f>
        <v>RESOURCE_FILE.ROW_UID</v>
      </c>
      <c r="Y931" t="str">
        <f>_xlfn.XLOOKUP(Table6[[#This Row],[Table.Column]],ColumnMapping[Add Column Name],ColumnMapping[Old Table.Column],"",0,1)</f>
        <v/>
      </c>
      <c r="Z931" t="str">
        <f>_xlfn.XLOOKUP(Table6[[#This Row],[Old Table.Column]],Cobra8.6[Table.Column],Cobra8.6[TYPE],"",0,1)</f>
        <v/>
      </c>
      <c r="AA931" t="str">
        <f>_xlfn.XLOOKUP(Table6[[#This Row],[Old Table.Column]],Cobra8.6[Table.Column],Cobra8.6[LENGTH],"",0,1)</f>
        <v/>
      </c>
    </row>
    <row r="932" spans="1:28" hidden="1" x14ac:dyDescent="0.2">
      <c r="A932" t="s">
        <v>1451</v>
      </c>
      <c r="B932" t="s">
        <v>472</v>
      </c>
      <c r="C932" t="s">
        <v>35</v>
      </c>
      <c r="D932">
        <v>2</v>
      </c>
      <c r="E932" t="s">
        <v>36</v>
      </c>
      <c r="F932" t="str">
        <f>VLOOKUP($E932,'Data Type Lookup'!$A$1:$C$21,2,FALSE)</f>
        <v>NUMBER(19,0)</v>
      </c>
      <c r="I932" s="32" t="s">
        <v>32</v>
      </c>
      <c r="J932" s="32">
        <v>0</v>
      </c>
      <c r="P932" t="s">
        <v>37</v>
      </c>
      <c r="Q932" t="s">
        <v>38</v>
      </c>
      <c r="R932" t="str">
        <f>VLOOKUP(E932,'Data Type Lookup'!$A$1:$C$21,3,FALSE)</f>
        <v>Long</v>
      </c>
      <c r="S932">
        <v>3</v>
      </c>
      <c r="W932" t="str">
        <f t="shared" si="21"/>
        <v>RESOURCE_FILE.SEQUENCE</v>
      </c>
      <c r="X932" t="str">
        <f>VLOOKUP(W932,ColumnMapping[New Table.Column],1,)</f>
        <v>RESOURCE_FILE.SEQUENCE</v>
      </c>
      <c r="Y932" t="str">
        <f>_xlfn.XLOOKUP(Table6[[#This Row],[Table.Column]],ColumnMapping[Add Column Name],ColumnMapping[Old Table.Column],"",0,1)</f>
        <v/>
      </c>
      <c r="Z932" t="str">
        <f>_xlfn.XLOOKUP(Table6[[#This Row],[Old Table.Column]],Cobra8.6[Table.Column],Cobra8.6[TYPE],"",0,1)</f>
        <v/>
      </c>
      <c r="AA932" t="str">
        <f>_xlfn.XLOOKUP(Table6[[#This Row],[Old Table.Column]],Cobra8.6[Table.Column],Cobra8.6[LENGTH],"",0,1)</f>
        <v/>
      </c>
    </row>
    <row r="933" spans="1:28" hidden="1" x14ac:dyDescent="0.2">
      <c r="A933" t="s">
        <v>1451</v>
      </c>
      <c r="B933" t="s">
        <v>472</v>
      </c>
      <c r="C933" t="s">
        <v>47</v>
      </c>
      <c r="D933">
        <v>3</v>
      </c>
      <c r="E933" t="s">
        <v>48</v>
      </c>
      <c r="F933" t="str">
        <f>VLOOKUP($E933,'Data Type Lookup'!$A$1:$C$21,2,FALSE)</f>
        <v>NVARCHAR2</v>
      </c>
      <c r="G933">
        <v>100</v>
      </c>
      <c r="I933" s="32" t="s">
        <v>32</v>
      </c>
      <c r="L933" s="32" t="s">
        <v>32</v>
      </c>
      <c r="P933" t="s">
        <v>1503</v>
      </c>
      <c r="Q933" t="s">
        <v>50</v>
      </c>
      <c r="R933" t="str">
        <f>VLOOKUP(E933,'Data Type Lookup'!$A$1:$C$21,3,FALSE)</f>
        <v>String</v>
      </c>
      <c r="W933" t="str">
        <f t="shared" si="21"/>
        <v>RESOURCE_FILE.NAME</v>
      </c>
      <c r="X933" t="str">
        <f>VLOOKUP(W933,ColumnMapping[New Table.Column],1,)</f>
        <v>RESOURCE_FILE.NAME</v>
      </c>
      <c r="Y933" t="str">
        <f>_xlfn.XLOOKUP(Table6[[#This Row],[Table.Column]],ColumnMapping[Add Column Name],ColumnMapping[Old Table.Column],"",0,1)</f>
        <v/>
      </c>
      <c r="Z933" t="str">
        <f>_xlfn.XLOOKUP(Table6[[#This Row],[Old Table.Column]],Cobra8.6[Table.Column],Cobra8.6[TYPE],"",0,1)</f>
        <v/>
      </c>
      <c r="AA933" t="str">
        <f>_xlfn.XLOOKUP(Table6[[#This Row],[Old Table.Column]],Cobra8.6[Table.Column],Cobra8.6[LENGTH],"",0,1)</f>
        <v/>
      </c>
    </row>
    <row r="934" spans="1:28" hidden="1" x14ac:dyDescent="0.2">
      <c r="A934" t="s">
        <v>1451</v>
      </c>
      <c r="B934" t="s">
        <v>472</v>
      </c>
      <c r="C934" t="s">
        <v>15</v>
      </c>
      <c r="D934">
        <v>4</v>
      </c>
      <c r="E934" t="s">
        <v>48</v>
      </c>
      <c r="F934" t="str">
        <f>VLOOKUP($E934,'Data Type Lookup'!$A$1:$C$21,2,FALSE)</f>
        <v>NVARCHAR2</v>
      </c>
      <c r="G934">
        <v>256</v>
      </c>
      <c r="P934" t="s">
        <v>1504</v>
      </c>
      <c r="Q934" t="s">
        <v>75</v>
      </c>
      <c r="R934" t="str">
        <f>VLOOKUP(E934,'Data Type Lookup'!$A$1:$C$21,3,FALSE)</f>
        <v>String</v>
      </c>
      <c r="W934" t="str">
        <f t="shared" si="21"/>
        <v>RESOURCE_FILE.DESCRIPTION</v>
      </c>
      <c r="X934" t="str">
        <f>VLOOKUP(W934,ColumnMapping[New Table.Column],1,)</f>
        <v>RESOURCE_FILE.DESCRIPTION</v>
      </c>
      <c r="Y934" t="str">
        <f>_xlfn.XLOOKUP(Table6[[#This Row],[Table.Column]],ColumnMapping[Add Column Name],ColumnMapping[Old Table.Column],"",0,1)</f>
        <v/>
      </c>
      <c r="Z934" t="str">
        <f>_xlfn.XLOOKUP(Table6[[#This Row],[Old Table.Column]],Cobra8.6[Table.Column],Cobra8.6[TYPE],"",0,1)</f>
        <v/>
      </c>
      <c r="AA934" t="str">
        <f>_xlfn.XLOOKUP(Table6[[#This Row],[Old Table.Column]],Cobra8.6[Table.Column],Cobra8.6[LENGTH],"",0,1)</f>
        <v/>
      </c>
    </row>
    <row r="935" spans="1:28" hidden="1" x14ac:dyDescent="0.2">
      <c r="A935" t="s">
        <v>1451</v>
      </c>
      <c r="B935" t="s">
        <v>472</v>
      </c>
      <c r="C935" t="s">
        <v>90</v>
      </c>
      <c r="D935">
        <v>5</v>
      </c>
      <c r="E935" t="s">
        <v>86</v>
      </c>
      <c r="F935" t="str">
        <f>VLOOKUP($E935,'Data Type Lookup'!$A$1:$C$21,2,FALSE)</f>
        <v>VARCHAR2</v>
      </c>
      <c r="G935">
        <v>1</v>
      </c>
      <c r="I935" s="32" t="s">
        <v>32</v>
      </c>
      <c r="P935" t="s">
        <v>1505</v>
      </c>
      <c r="Q935" t="s">
        <v>92</v>
      </c>
      <c r="R935" t="str">
        <f>VLOOKUP(E935,'Data Type Lookup'!$A$1:$C$21,3,FALSE)</f>
        <v>String</v>
      </c>
      <c r="W935" t="str">
        <f t="shared" si="21"/>
        <v>RESOURCE_FILE.CODE_TYPE</v>
      </c>
      <c r="X935" t="str">
        <f>VLOOKUP(W935,ColumnMapping[New Table.Column],1,)</f>
        <v>RESOURCE_FILE.CODE_TYPE</v>
      </c>
      <c r="Y935" t="str">
        <f>_xlfn.XLOOKUP(Table6[[#This Row],[Table.Column]],ColumnMapping[Add Column Name],ColumnMapping[Old Table.Column],"",0,1)</f>
        <v/>
      </c>
      <c r="Z935" t="str">
        <f>_xlfn.XLOOKUP(Table6[[#This Row],[Old Table.Column]],Cobra8.6[Table.Column],Cobra8.6[TYPE],"",0,1)</f>
        <v/>
      </c>
      <c r="AA935" t="str">
        <f>_xlfn.XLOOKUP(Table6[[#This Row],[Old Table.Column]],Cobra8.6[Table.Column],Cobra8.6[LENGTH],"",0,1)</f>
        <v/>
      </c>
    </row>
    <row r="936" spans="1:28" hidden="1" x14ac:dyDescent="0.2">
      <c r="A936" t="s">
        <v>1451</v>
      </c>
      <c r="B936" t="s">
        <v>472</v>
      </c>
      <c r="C936" t="s">
        <v>475</v>
      </c>
      <c r="D936">
        <v>7</v>
      </c>
      <c r="E936" t="s">
        <v>31</v>
      </c>
      <c r="F936" t="str">
        <f>VLOOKUP($E936,'Data Type Lookup'!$A$1:$C$21,2,FALSE)</f>
        <v>RAW(16)</v>
      </c>
      <c r="M936" t="s">
        <v>476</v>
      </c>
      <c r="N936" t="s">
        <v>30</v>
      </c>
      <c r="O936" s="13" t="s">
        <v>1506</v>
      </c>
      <c r="P936" t="s">
        <v>477</v>
      </c>
      <c r="Q936" t="s">
        <v>478</v>
      </c>
      <c r="R936" t="str">
        <f>VLOOKUP(E936,'Data Type Lookup'!$A$1:$C$21,3,FALSE)</f>
        <v>java.util.UUID</v>
      </c>
      <c r="V936" t="s">
        <v>1507</v>
      </c>
      <c r="W936" t="str">
        <f t="shared" si="21"/>
        <v>RESOURCE_FILE.RATE_FILE_UID</v>
      </c>
      <c r="X936" t="str">
        <f>VLOOKUP(W936,ColumnMapping[New Table.Column],1,)</f>
        <v>RESOURCE_FILE.RATE_FILE_UID</v>
      </c>
      <c r="Y936" t="str">
        <f>_xlfn.XLOOKUP(Table6[[#This Row],[Table.Column]],ColumnMapping[Add Column Name],ColumnMapping[Old Table.Column],"",0,1)</f>
        <v/>
      </c>
      <c r="Z936" t="str">
        <f>_xlfn.XLOOKUP(Table6[[#This Row],[Old Table.Column]],Cobra8.6[Table.Column],Cobra8.6[TYPE],"",0,1)</f>
        <v/>
      </c>
      <c r="AA936" t="str">
        <f>_xlfn.XLOOKUP(Table6[[#This Row],[Old Table.Column]],Cobra8.6[Table.Column],Cobra8.6[LENGTH],"",0,1)</f>
        <v/>
      </c>
    </row>
    <row r="937" spans="1:28" hidden="1" x14ac:dyDescent="0.2">
      <c r="A937" t="s">
        <v>1451</v>
      </c>
      <c r="B937" t="s">
        <v>472</v>
      </c>
      <c r="C937" t="s">
        <v>1508</v>
      </c>
      <c r="D937">
        <v>8</v>
      </c>
      <c r="E937" t="s">
        <v>86</v>
      </c>
      <c r="F937" t="str">
        <f>VLOOKUP($E937,'Data Type Lookup'!$A$1:$C$21,2,FALSE)</f>
        <v>VARCHAR2</v>
      </c>
      <c r="G937">
        <v>256</v>
      </c>
      <c r="P937" t="s">
        <v>1509</v>
      </c>
      <c r="Q937" t="s">
        <v>1510</v>
      </c>
      <c r="R937" t="str">
        <f>VLOOKUP(E937,'Data Type Lookup'!$A$1:$C$21,3,FALSE)</f>
        <v>String</v>
      </c>
      <c r="W937" t="str">
        <f t="shared" si="21"/>
        <v>RESOURCE_FILE.RSLTALL</v>
      </c>
      <c r="X937" t="str">
        <f>VLOOKUP(W937,ColumnMapping[New Table.Column],1,)</f>
        <v>RESOURCE_FILE.RSLTALL</v>
      </c>
      <c r="Y937" t="str">
        <f>_xlfn.XLOOKUP(Table6[[#This Row],[Table.Column]],ColumnMapping[Add Column Name],ColumnMapping[Old Table.Column],"",0,1)</f>
        <v/>
      </c>
      <c r="Z937" t="str">
        <f>_xlfn.XLOOKUP(Table6[[#This Row],[Old Table.Column]],Cobra8.6[Table.Column],Cobra8.6[TYPE],"",0,1)</f>
        <v/>
      </c>
      <c r="AA937" t="str">
        <f>_xlfn.XLOOKUP(Table6[[#This Row],[Old Table.Column]],Cobra8.6[Table.Column],Cobra8.6[LENGTH],"",0,1)</f>
        <v/>
      </c>
    </row>
    <row r="938" spans="1:28" hidden="1" x14ac:dyDescent="0.2">
      <c r="A938" t="s">
        <v>1451</v>
      </c>
      <c r="B938" t="s">
        <v>472</v>
      </c>
      <c r="C938" t="s">
        <v>1511</v>
      </c>
      <c r="D938">
        <v>9</v>
      </c>
      <c r="E938" t="s">
        <v>86</v>
      </c>
      <c r="F938" t="str">
        <f>VLOOKUP($E938,'Data Type Lookup'!$A$1:$C$21,2,FALSE)</f>
        <v>VARCHAR2</v>
      </c>
      <c r="G938">
        <v>256</v>
      </c>
      <c r="P938" t="s">
        <v>1512</v>
      </c>
      <c r="Q938" t="s">
        <v>1513</v>
      </c>
      <c r="R938" t="str">
        <f>VLOOKUP(E938,'Data Type Lookup'!$A$1:$C$21,3,FALSE)</f>
        <v>String</v>
      </c>
      <c r="W938" t="str">
        <f t="shared" si="21"/>
        <v>RESOURCE_FILE.RSLTCURR</v>
      </c>
      <c r="X938" t="str">
        <f>VLOOKUP(W938,ColumnMapping[New Table.Column],1,)</f>
        <v>RESOURCE_FILE.RSLTCURR</v>
      </c>
      <c r="Y938" t="str">
        <f>_xlfn.XLOOKUP(Table6[[#This Row],[Table.Column]],ColumnMapping[Add Column Name],ColumnMapping[Old Table.Column],"",0,1)</f>
        <v/>
      </c>
      <c r="Z938" t="str">
        <f>_xlfn.XLOOKUP(Table6[[#This Row],[Old Table.Column]],Cobra8.6[Table.Column],Cobra8.6[TYPE],"",0,1)</f>
        <v/>
      </c>
      <c r="AA938" t="str">
        <f>_xlfn.XLOOKUP(Table6[[#This Row],[Old Table.Column]],Cobra8.6[Table.Column],Cobra8.6[LENGTH],"",0,1)</f>
        <v/>
      </c>
    </row>
    <row r="939" spans="1:28" hidden="1" x14ac:dyDescent="0.2">
      <c r="A939" t="s">
        <v>1451</v>
      </c>
      <c r="B939" t="s">
        <v>472</v>
      </c>
      <c r="C939" t="s">
        <v>104</v>
      </c>
      <c r="D939">
        <v>10</v>
      </c>
      <c r="E939" t="s">
        <v>31</v>
      </c>
      <c r="F939" t="str">
        <f>VLOOKUP($E939,'Data Type Lookup'!$A$1:$C$21,2,FALSE)</f>
        <v>RAW(16)</v>
      </c>
      <c r="I939" s="32" t="s">
        <v>32</v>
      </c>
      <c r="P939" t="s">
        <v>1514</v>
      </c>
      <c r="Q939" t="s">
        <v>106</v>
      </c>
      <c r="R939" t="str">
        <f>VLOOKUP(E939,'Data Type Lookup'!$A$1:$C$21,3,FALSE)</f>
        <v>java.util.UUID</v>
      </c>
      <c r="W939" t="str">
        <f t="shared" si="21"/>
        <v>RESOURCE_FILE.OWNER_USER_UID</v>
      </c>
      <c r="X939" t="str">
        <f>VLOOKUP(W939,ColumnMapping[New Table.Column],1,)</f>
        <v>RESOURCE_FILE.OWNER_USER_UID</v>
      </c>
      <c r="Y939" t="str">
        <f>_xlfn.XLOOKUP(Table6[[#This Row],[Table.Column]],ColumnMapping[Add Column Name],ColumnMapping[Old Table.Column],"",0,1)</f>
        <v/>
      </c>
      <c r="Z939" t="str">
        <f>_xlfn.XLOOKUP(Table6[[#This Row],[Old Table.Column]],Cobra8.6[Table.Column],Cobra8.6[TYPE],"",0,1)</f>
        <v/>
      </c>
      <c r="AA939" t="str">
        <f>_xlfn.XLOOKUP(Table6[[#This Row],[Old Table.Column]],Cobra8.6[Table.Column],Cobra8.6[LENGTH],"",0,1)</f>
        <v/>
      </c>
    </row>
    <row r="940" spans="1:28" hidden="1" x14ac:dyDescent="0.2">
      <c r="A940" t="s">
        <v>1451</v>
      </c>
      <c r="B940" t="s">
        <v>472</v>
      </c>
      <c r="C940" t="s">
        <v>61</v>
      </c>
      <c r="D940">
        <v>11</v>
      </c>
      <c r="E940" t="s">
        <v>31</v>
      </c>
      <c r="F940" t="str">
        <f>VLOOKUP($E940,'Data Type Lookup'!$A$1:$C$21,2,FALSE)</f>
        <v>RAW(16)</v>
      </c>
      <c r="I940" s="32" t="s">
        <v>32</v>
      </c>
      <c r="P940" t="s">
        <v>1515</v>
      </c>
      <c r="Q940" t="s">
        <v>63</v>
      </c>
      <c r="R940" t="str">
        <f>VLOOKUP(E940,'Data Type Lookup'!$A$1:$C$21,3,FALSE)</f>
        <v>java.util.UUID</v>
      </c>
      <c r="S940">
        <v>2</v>
      </c>
      <c r="W940" t="str">
        <f t="shared" si="21"/>
        <v>RESOURCE_FILE.CREATED_BY_USER_UID</v>
      </c>
      <c r="X940" t="str">
        <f>VLOOKUP(W940,ColumnMapping[New Table.Column],1,)</f>
        <v>RESOURCE_FILE.CREATED_BY_USER_UID</v>
      </c>
      <c r="Y940" t="str">
        <f>_xlfn.XLOOKUP(Table6[[#This Row],[Table.Column]],ColumnMapping[Add Column Name],ColumnMapping[Old Table.Column],"",0,1)</f>
        <v/>
      </c>
      <c r="Z940" t="str">
        <f>_xlfn.XLOOKUP(Table6[[#This Row],[Old Table.Column]],Cobra8.6[Table.Column],Cobra8.6[TYPE],"",0,1)</f>
        <v/>
      </c>
      <c r="AA940" t="str">
        <f>_xlfn.XLOOKUP(Table6[[#This Row],[Old Table.Column]],Cobra8.6[Table.Column],Cobra8.6[LENGTH],"",0,1)</f>
        <v/>
      </c>
    </row>
    <row r="941" spans="1:28" hidden="1" x14ac:dyDescent="0.2">
      <c r="A941" t="s">
        <v>1451</v>
      </c>
      <c r="B941" t="s">
        <v>472</v>
      </c>
      <c r="C941" t="s">
        <v>64</v>
      </c>
      <c r="D941">
        <v>12</v>
      </c>
      <c r="E941" t="s">
        <v>65</v>
      </c>
      <c r="F941" t="str">
        <f>VLOOKUP($E941,'Data Type Lookup'!$A$1:$C$21,2,FALSE)</f>
        <v>TIMESTAMP</v>
      </c>
      <c r="I941" s="32" t="s">
        <v>32</v>
      </c>
      <c r="P941" t="s">
        <v>1516</v>
      </c>
      <c r="Q941" t="s">
        <v>67</v>
      </c>
      <c r="R941" t="str">
        <f>VLOOKUP(E941,'Data Type Lookup'!$A$1:$C$21,3,FALSE)</f>
        <v>java.time.Instant</v>
      </c>
      <c r="S941">
        <v>2</v>
      </c>
      <c r="W941" t="str">
        <f t="shared" si="21"/>
        <v>RESOURCE_FILE.CREATED_DATE</v>
      </c>
      <c r="X941" t="str">
        <f>VLOOKUP(W941,ColumnMapping[New Table.Column],1,)</f>
        <v>RESOURCE_FILE.CREATED_DATE</v>
      </c>
      <c r="Y941" t="str">
        <f>_xlfn.XLOOKUP(Table6[[#This Row],[Table.Column]],ColumnMapping[Add Column Name],ColumnMapping[Old Table.Column],"",0,1)</f>
        <v/>
      </c>
      <c r="Z941" t="str">
        <f>_xlfn.XLOOKUP(Table6[[#This Row],[Old Table.Column]],Cobra8.6[Table.Column],Cobra8.6[TYPE],"",0,1)</f>
        <v/>
      </c>
      <c r="AA941" t="str">
        <f>_xlfn.XLOOKUP(Table6[[#This Row],[Old Table.Column]],Cobra8.6[Table.Column],Cobra8.6[LENGTH],"",0,1)</f>
        <v/>
      </c>
    </row>
    <row r="942" spans="1:28" hidden="1" x14ac:dyDescent="0.2">
      <c r="A942" t="s">
        <v>1451</v>
      </c>
      <c r="B942" t="s">
        <v>472</v>
      </c>
      <c r="C942" t="s">
        <v>68</v>
      </c>
      <c r="D942">
        <v>13</v>
      </c>
      <c r="E942" t="s">
        <v>31</v>
      </c>
      <c r="F942" t="str">
        <f>VLOOKUP($E942,'Data Type Lookup'!$A$1:$C$21,2,FALSE)</f>
        <v>RAW(16)</v>
      </c>
      <c r="I942" s="32" t="s">
        <v>32</v>
      </c>
      <c r="P942" t="s">
        <v>1517</v>
      </c>
      <c r="Q942" t="s">
        <v>70</v>
      </c>
      <c r="R942" t="str">
        <f>VLOOKUP(E942,'Data Type Lookup'!$A$1:$C$21,3,FALSE)</f>
        <v>java.util.UUID</v>
      </c>
      <c r="S942">
        <v>2</v>
      </c>
      <c r="W942" t="str">
        <f t="shared" si="21"/>
        <v>RESOURCE_FILE.LAST_MODIFIED_BY_USER_UID</v>
      </c>
      <c r="X942" t="str">
        <f>VLOOKUP(W942,ColumnMapping[New Table.Column],1,)</f>
        <v>RESOURCE_FILE.LAST_MODIFIED_BY_USER_UID</v>
      </c>
      <c r="Y942" t="str">
        <f>_xlfn.XLOOKUP(Table6[[#This Row],[Table.Column]],ColumnMapping[Add Column Name],ColumnMapping[Old Table.Column],"",0,1)</f>
        <v/>
      </c>
      <c r="Z942" t="str">
        <f>_xlfn.XLOOKUP(Table6[[#This Row],[Old Table.Column]],Cobra8.6[Table.Column],Cobra8.6[TYPE],"",0,1)</f>
        <v/>
      </c>
      <c r="AA942" t="str">
        <f>_xlfn.XLOOKUP(Table6[[#This Row],[Old Table.Column]],Cobra8.6[Table.Column],Cobra8.6[LENGTH],"",0,1)</f>
        <v/>
      </c>
    </row>
    <row r="943" spans="1:28" hidden="1" x14ac:dyDescent="0.2">
      <c r="A943" t="s">
        <v>1451</v>
      </c>
      <c r="B943" t="s">
        <v>472</v>
      </c>
      <c r="C943" t="s">
        <v>71</v>
      </c>
      <c r="D943">
        <v>14</v>
      </c>
      <c r="E943" t="s">
        <v>65</v>
      </c>
      <c r="F943" t="str">
        <f>VLOOKUP($E943,'Data Type Lookup'!$A$1:$C$21,2,FALSE)</f>
        <v>TIMESTAMP</v>
      </c>
      <c r="I943" s="32" t="s">
        <v>32</v>
      </c>
      <c r="P943" t="s">
        <v>1518</v>
      </c>
      <c r="Q943" t="s">
        <v>73</v>
      </c>
      <c r="R943" t="str">
        <f>VLOOKUP(E943,'Data Type Lookup'!$A$1:$C$21,3,FALSE)</f>
        <v>java.time.Instant</v>
      </c>
      <c r="S943">
        <v>2</v>
      </c>
      <c r="W943" t="str">
        <f t="shared" si="21"/>
        <v>RESOURCE_FILE.LAST_MODIFIED_DATE</v>
      </c>
      <c r="X943" t="str">
        <f>VLOOKUP(W943,ColumnMapping[New Table.Column],1,)</f>
        <v>RESOURCE_FILE.LAST_MODIFIED_DATE</v>
      </c>
      <c r="Y943" t="str">
        <f>_xlfn.XLOOKUP(Table6[[#This Row],[Table.Column]],ColumnMapping[Add Column Name],ColumnMapping[Old Table.Column],"",0,1)</f>
        <v/>
      </c>
      <c r="Z943" t="str">
        <f>_xlfn.XLOOKUP(Table6[[#This Row],[Old Table.Column]],Cobra8.6[Table.Column],Cobra8.6[TYPE],"",0,1)</f>
        <v/>
      </c>
      <c r="AA943" t="str">
        <f>_xlfn.XLOOKUP(Table6[[#This Row],[Old Table.Column]],Cobra8.6[Table.Column],Cobra8.6[LENGTH],"",0,1)</f>
        <v/>
      </c>
    </row>
    <row r="944" spans="1:28" hidden="1" x14ac:dyDescent="0.2">
      <c r="A944" t="s">
        <v>1451</v>
      </c>
      <c r="B944" s="17" t="s">
        <v>472</v>
      </c>
      <c r="C944" s="17" t="s">
        <v>155</v>
      </c>
      <c r="D944" s="17">
        <v>15</v>
      </c>
      <c r="E944" s="17" t="s">
        <v>36</v>
      </c>
      <c r="F944" t="str">
        <f>VLOOKUP($E944,'Data Type Lookup'!$A$1:$C$21,2,FALSE)</f>
        <v>NUMBER(19,0)</v>
      </c>
      <c r="G944" s="17"/>
      <c r="H944" s="17"/>
      <c r="I944" s="29"/>
      <c r="J944" s="29">
        <v>0</v>
      </c>
      <c r="K944" s="29"/>
      <c r="L944" s="29"/>
      <c r="M944" s="17"/>
      <c r="N944" s="17"/>
      <c r="O944" s="17"/>
      <c r="P944" s="17" t="s">
        <v>156</v>
      </c>
      <c r="Q944" s="17" t="str">
        <f t="shared" ref="Q944:Q968" si="22">IF(C944="","",LOWER(LEFT(TRIM(C944),FIND("_",TRIM(C944)&amp;"_")-1))&amp;SUBSTITUTE(PROPER(SUBSTITUTE(MID(TRIM(C944),FIND("_",TRIM(C944)&amp;"_"),LEN(TRIM(C944))),"_"," "))," ",""))</f>
        <v>codelength</v>
      </c>
      <c r="R944" t="str">
        <f>VLOOKUP(E944,'Data Type Lookup'!$A$1:$C$21,3,FALSE)</f>
        <v>Long</v>
      </c>
      <c r="S944" s="17"/>
      <c r="W944" t="str">
        <f t="shared" si="21"/>
        <v>RESOURCE_FILE.CODELENGTH</v>
      </c>
      <c r="X944" t="str">
        <f>VLOOKUP(W944,ColumnMapping[New Table.Column],1,)</f>
        <v>RESOURCE_FILE.CODELENGTH</v>
      </c>
      <c r="Y944" t="str">
        <f>_xlfn.XLOOKUP(Table6[[#This Row],[Table.Column]],ColumnMapping[Add Column Name],ColumnMapping[Old Table.Column],"",0,1)</f>
        <v>CALC.CODELENGTH</v>
      </c>
      <c r="Z944" t="str">
        <f>_xlfn.XLOOKUP(Table6[[#This Row],[Old Table.Column]],Cobra8.6[Table.Column],Cobra8.6[TYPE],"",0,1)</f>
        <v>INTE</v>
      </c>
      <c r="AA944">
        <f>_xlfn.XLOOKUP(Table6[[#This Row],[Old Table.Column]],Cobra8.6[Table.Column],Cobra8.6[LENGTH],"",0,1)</f>
        <v>-1</v>
      </c>
      <c r="AB944" s="49" t="s">
        <v>32</v>
      </c>
    </row>
    <row r="945" spans="1:28" hidden="1" x14ac:dyDescent="0.2">
      <c r="A945" t="s">
        <v>1451</v>
      </c>
      <c r="B945" s="17" t="s">
        <v>472</v>
      </c>
      <c r="C945" s="17" t="s">
        <v>115</v>
      </c>
      <c r="D945" s="17">
        <v>16</v>
      </c>
      <c r="E945" s="17" t="s">
        <v>36</v>
      </c>
      <c r="F945" t="str">
        <f>VLOOKUP($E945,'Data Type Lookup'!$A$1:$C$21,2,FALSE)</f>
        <v>NUMBER(19,0)</v>
      </c>
      <c r="G945" s="17"/>
      <c r="H945" s="17"/>
      <c r="I945" s="29"/>
      <c r="J945" s="29">
        <v>0</v>
      </c>
      <c r="K945" s="29"/>
      <c r="L945" s="29"/>
      <c r="M945" s="17"/>
      <c r="N945" s="17"/>
      <c r="O945" s="17"/>
      <c r="P945" s="17" t="s">
        <v>116</v>
      </c>
      <c r="Q945" s="17" t="str">
        <f t="shared" si="22"/>
        <v>level1</v>
      </c>
      <c r="R945" t="str">
        <f>VLOOKUP(E945,'Data Type Lookup'!$A$1:$C$21,3,FALSE)</f>
        <v>Long</v>
      </c>
      <c r="S945" s="17"/>
      <c r="W945" t="str">
        <f t="shared" si="21"/>
        <v>RESOURCE_FILE.LEVEL1</v>
      </c>
      <c r="X945" t="str">
        <f>VLOOKUP(W945,ColumnMapping[New Table.Column],1,)</f>
        <v>RESOURCE_FILE.LEVEL1</v>
      </c>
      <c r="Y945" t="str">
        <f>_xlfn.XLOOKUP(Table6[[#This Row],[Table.Column]],ColumnMapping[Add Column Name],ColumnMapping[Old Table.Column],"",0,1)</f>
        <v>CALC.LEVEL1</v>
      </c>
      <c r="Z945" t="str">
        <f>_xlfn.XLOOKUP(Table6[[#This Row],[Old Table.Column]],Cobra8.6[Table.Column],Cobra8.6[TYPE],"",0,1)</f>
        <v>INTE</v>
      </c>
      <c r="AA945">
        <f>_xlfn.XLOOKUP(Table6[[#This Row],[Old Table.Column]],Cobra8.6[Table.Column],Cobra8.6[LENGTH],"",0,1)</f>
        <v>-1</v>
      </c>
      <c r="AB945" s="49" t="s">
        <v>32</v>
      </c>
    </row>
    <row r="946" spans="1:28" hidden="1" x14ac:dyDescent="0.2">
      <c r="A946" t="s">
        <v>1451</v>
      </c>
      <c r="B946" s="17" t="s">
        <v>472</v>
      </c>
      <c r="C946" s="17" t="s">
        <v>133</v>
      </c>
      <c r="D946" s="17">
        <v>17</v>
      </c>
      <c r="E946" s="17" t="s">
        <v>36</v>
      </c>
      <c r="F946" t="str">
        <f>VLOOKUP($E946,'Data Type Lookup'!$A$1:$C$21,2,FALSE)</f>
        <v>NUMBER(19,0)</v>
      </c>
      <c r="G946" s="17"/>
      <c r="H946" s="17"/>
      <c r="I946" s="29"/>
      <c r="J946" s="29">
        <v>0</v>
      </c>
      <c r="K946" s="29"/>
      <c r="L946" s="29"/>
      <c r="M946" s="17"/>
      <c r="N946" s="17"/>
      <c r="O946" s="17"/>
      <c r="P946" s="17" t="s">
        <v>134</v>
      </c>
      <c r="Q946" s="17" t="str">
        <f t="shared" si="22"/>
        <v>level10</v>
      </c>
      <c r="R946" t="str">
        <f>VLOOKUP(E946,'Data Type Lookup'!$A$1:$C$21,3,FALSE)</f>
        <v>Long</v>
      </c>
      <c r="S946" s="17"/>
      <c r="W946" t="str">
        <f t="shared" si="21"/>
        <v>RESOURCE_FILE.LEVEL10</v>
      </c>
      <c r="X946" t="str">
        <f>VLOOKUP(W946,ColumnMapping[New Table.Column],1,)</f>
        <v>RESOURCE_FILE.LEVEL10</v>
      </c>
      <c r="Y946" t="str">
        <f>_xlfn.XLOOKUP(Table6[[#This Row],[Table.Column]],ColumnMapping[Add Column Name],ColumnMapping[Old Table.Column],"",0,1)</f>
        <v>CALC.LEVEL10</v>
      </c>
      <c r="Z946" t="str">
        <f>_xlfn.XLOOKUP(Table6[[#This Row],[Old Table.Column]],Cobra8.6[Table.Column],Cobra8.6[TYPE],"",0,1)</f>
        <v>INTE</v>
      </c>
      <c r="AA946">
        <f>_xlfn.XLOOKUP(Table6[[#This Row],[Old Table.Column]],Cobra8.6[Table.Column],Cobra8.6[LENGTH],"",0,1)</f>
        <v>-1</v>
      </c>
      <c r="AB946" s="49" t="s">
        <v>32</v>
      </c>
    </row>
    <row r="947" spans="1:28" hidden="1" x14ac:dyDescent="0.2">
      <c r="A947" t="s">
        <v>1451</v>
      </c>
      <c r="B947" s="17" t="s">
        <v>472</v>
      </c>
      <c r="C947" s="17" t="s">
        <v>135</v>
      </c>
      <c r="D947" s="17">
        <v>18</v>
      </c>
      <c r="E947" s="17" t="s">
        <v>36</v>
      </c>
      <c r="F947" t="str">
        <f>VLOOKUP($E947,'Data Type Lookup'!$A$1:$C$21,2,FALSE)</f>
        <v>NUMBER(19,0)</v>
      </c>
      <c r="G947" s="17"/>
      <c r="H947" s="17"/>
      <c r="I947" s="29"/>
      <c r="J947" s="29">
        <v>0</v>
      </c>
      <c r="K947" s="29"/>
      <c r="L947" s="29"/>
      <c r="M947" s="17"/>
      <c r="N947" s="17"/>
      <c r="O947" s="17"/>
      <c r="P947" s="17" t="s">
        <v>136</v>
      </c>
      <c r="Q947" s="17" t="str">
        <f t="shared" si="22"/>
        <v>level11</v>
      </c>
      <c r="R947" t="str">
        <f>VLOOKUP(E947,'Data Type Lookup'!$A$1:$C$21,3,FALSE)</f>
        <v>Long</v>
      </c>
      <c r="S947" s="17"/>
      <c r="W947" t="str">
        <f t="shared" si="21"/>
        <v>RESOURCE_FILE.LEVEL11</v>
      </c>
      <c r="X947" t="str">
        <f>VLOOKUP(W947,ColumnMapping[New Table.Column],1,)</f>
        <v>RESOURCE_FILE.LEVEL11</v>
      </c>
      <c r="Y947" t="str">
        <f>_xlfn.XLOOKUP(Table6[[#This Row],[Table.Column]],ColumnMapping[Add Column Name],ColumnMapping[Old Table.Column],"",0,1)</f>
        <v>CALC.LEVEL11</v>
      </c>
      <c r="Z947" t="str">
        <f>_xlfn.XLOOKUP(Table6[[#This Row],[Old Table.Column]],Cobra8.6[Table.Column],Cobra8.6[TYPE],"",0,1)</f>
        <v>INTE</v>
      </c>
      <c r="AA947">
        <f>_xlfn.XLOOKUP(Table6[[#This Row],[Old Table.Column]],Cobra8.6[Table.Column],Cobra8.6[LENGTH],"",0,1)</f>
        <v>-1</v>
      </c>
      <c r="AB947" s="49" t="s">
        <v>32</v>
      </c>
    </row>
    <row r="948" spans="1:28" hidden="1" x14ac:dyDescent="0.2">
      <c r="A948" t="s">
        <v>1451</v>
      </c>
      <c r="B948" s="17" t="s">
        <v>472</v>
      </c>
      <c r="C948" s="17" t="s">
        <v>137</v>
      </c>
      <c r="D948" s="17">
        <v>19</v>
      </c>
      <c r="E948" s="17" t="s">
        <v>36</v>
      </c>
      <c r="F948" t="str">
        <f>VLOOKUP($E948,'Data Type Lookup'!$A$1:$C$21,2,FALSE)</f>
        <v>NUMBER(19,0)</v>
      </c>
      <c r="G948" s="17"/>
      <c r="H948" s="17"/>
      <c r="I948" s="29"/>
      <c r="J948" s="29">
        <v>0</v>
      </c>
      <c r="K948" s="29"/>
      <c r="L948" s="29"/>
      <c r="M948" s="17"/>
      <c r="N948" s="17"/>
      <c r="O948" s="17"/>
      <c r="P948" s="17" t="s">
        <v>138</v>
      </c>
      <c r="Q948" s="17" t="str">
        <f t="shared" si="22"/>
        <v>level12</v>
      </c>
      <c r="R948" t="str">
        <f>VLOOKUP(E948,'Data Type Lookup'!$A$1:$C$21,3,FALSE)</f>
        <v>Long</v>
      </c>
      <c r="S948" s="17"/>
      <c r="W948" t="str">
        <f t="shared" si="21"/>
        <v>RESOURCE_FILE.LEVEL12</v>
      </c>
      <c r="X948" t="str">
        <f>VLOOKUP(W948,ColumnMapping[New Table.Column],1,)</f>
        <v>RESOURCE_FILE.LEVEL12</v>
      </c>
      <c r="Y948" t="str">
        <f>_xlfn.XLOOKUP(Table6[[#This Row],[Table.Column]],ColumnMapping[Add Column Name],ColumnMapping[Old Table.Column],"",0,1)</f>
        <v>CALC.LEVEL12</v>
      </c>
      <c r="Z948" t="str">
        <f>_xlfn.XLOOKUP(Table6[[#This Row],[Old Table.Column]],Cobra8.6[Table.Column],Cobra8.6[TYPE],"",0,1)</f>
        <v>INTE</v>
      </c>
      <c r="AA948">
        <f>_xlfn.XLOOKUP(Table6[[#This Row],[Old Table.Column]],Cobra8.6[Table.Column],Cobra8.6[LENGTH],"",0,1)</f>
        <v>-1</v>
      </c>
      <c r="AB948" s="49" t="s">
        <v>32</v>
      </c>
    </row>
    <row r="949" spans="1:28" hidden="1" x14ac:dyDescent="0.2">
      <c r="A949" t="s">
        <v>1451</v>
      </c>
      <c r="B949" s="17" t="s">
        <v>472</v>
      </c>
      <c r="C949" s="17" t="s">
        <v>139</v>
      </c>
      <c r="D949" s="17">
        <v>20</v>
      </c>
      <c r="E949" s="17" t="s">
        <v>36</v>
      </c>
      <c r="F949" t="str">
        <f>VLOOKUP($E949,'Data Type Lookup'!$A$1:$C$21,2,FALSE)</f>
        <v>NUMBER(19,0)</v>
      </c>
      <c r="G949" s="17"/>
      <c r="H949" s="17"/>
      <c r="I949" s="29"/>
      <c r="J949" s="29">
        <v>0</v>
      </c>
      <c r="K949" s="29"/>
      <c r="L949" s="29"/>
      <c r="M949" s="17"/>
      <c r="N949" s="17"/>
      <c r="O949" s="17"/>
      <c r="P949" s="17" t="s">
        <v>140</v>
      </c>
      <c r="Q949" s="17" t="str">
        <f t="shared" si="22"/>
        <v>level13</v>
      </c>
      <c r="R949" t="str">
        <f>VLOOKUP(E949,'Data Type Lookup'!$A$1:$C$21,3,FALSE)</f>
        <v>Long</v>
      </c>
      <c r="S949" s="17"/>
      <c r="W949" t="str">
        <f t="shared" si="21"/>
        <v>RESOURCE_FILE.LEVEL13</v>
      </c>
      <c r="X949" t="str">
        <f>VLOOKUP(W949,ColumnMapping[New Table.Column],1,)</f>
        <v>RESOURCE_FILE.LEVEL13</v>
      </c>
      <c r="Y949" t="str">
        <f>_xlfn.XLOOKUP(Table6[[#This Row],[Table.Column]],ColumnMapping[Add Column Name],ColumnMapping[Old Table.Column],"",0,1)</f>
        <v>CALC.LEVEL13</v>
      </c>
      <c r="Z949" t="str">
        <f>_xlfn.XLOOKUP(Table6[[#This Row],[Old Table.Column]],Cobra8.6[Table.Column],Cobra8.6[TYPE],"",0,1)</f>
        <v>INTE</v>
      </c>
      <c r="AA949">
        <f>_xlfn.XLOOKUP(Table6[[#This Row],[Old Table.Column]],Cobra8.6[Table.Column],Cobra8.6[LENGTH],"",0,1)</f>
        <v>-1</v>
      </c>
      <c r="AB949" s="49" t="s">
        <v>32</v>
      </c>
    </row>
    <row r="950" spans="1:28" hidden="1" x14ac:dyDescent="0.2">
      <c r="A950" t="s">
        <v>1451</v>
      </c>
      <c r="B950" s="17" t="s">
        <v>472</v>
      </c>
      <c r="C950" s="17" t="s">
        <v>141</v>
      </c>
      <c r="D950" s="17">
        <v>21</v>
      </c>
      <c r="E950" s="17" t="s">
        <v>36</v>
      </c>
      <c r="F950" t="str">
        <f>VLOOKUP($E950,'Data Type Lookup'!$A$1:$C$21,2,FALSE)</f>
        <v>NUMBER(19,0)</v>
      </c>
      <c r="G950" s="17"/>
      <c r="H950" s="17"/>
      <c r="I950" s="29"/>
      <c r="J950" s="29">
        <v>0</v>
      </c>
      <c r="K950" s="29"/>
      <c r="L950" s="29"/>
      <c r="M950" s="17"/>
      <c r="N950" s="17"/>
      <c r="O950" s="17"/>
      <c r="P950" s="17" t="s">
        <v>142</v>
      </c>
      <c r="Q950" s="17" t="str">
        <f t="shared" si="22"/>
        <v>level14</v>
      </c>
      <c r="R950" t="str">
        <f>VLOOKUP(E950,'Data Type Lookup'!$A$1:$C$21,3,FALSE)</f>
        <v>Long</v>
      </c>
      <c r="S950" s="17"/>
      <c r="W950" t="str">
        <f t="shared" si="21"/>
        <v>RESOURCE_FILE.LEVEL14</v>
      </c>
      <c r="X950" t="str">
        <f>VLOOKUP(W950,ColumnMapping[New Table.Column],1,)</f>
        <v>RESOURCE_FILE.LEVEL14</v>
      </c>
      <c r="Y950" t="str">
        <f>_xlfn.XLOOKUP(Table6[[#This Row],[Table.Column]],ColumnMapping[Add Column Name],ColumnMapping[Old Table.Column],"",0,1)</f>
        <v>CALC.LEVEL14</v>
      </c>
      <c r="Z950" t="str">
        <f>_xlfn.XLOOKUP(Table6[[#This Row],[Old Table.Column]],Cobra8.6[Table.Column],Cobra8.6[TYPE],"",0,1)</f>
        <v>INTE</v>
      </c>
      <c r="AA950">
        <f>_xlfn.XLOOKUP(Table6[[#This Row],[Old Table.Column]],Cobra8.6[Table.Column],Cobra8.6[LENGTH],"",0,1)</f>
        <v>-1</v>
      </c>
      <c r="AB950" s="49" t="s">
        <v>32</v>
      </c>
    </row>
    <row r="951" spans="1:28" hidden="1" x14ac:dyDescent="0.2">
      <c r="A951" t="s">
        <v>1451</v>
      </c>
      <c r="B951" s="17" t="s">
        <v>472</v>
      </c>
      <c r="C951" s="17" t="s">
        <v>143</v>
      </c>
      <c r="D951" s="17">
        <v>22</v>
      </c>
      <c r="E951" s="17" t="s">
        <v>36</v>
      </c>
      <c r="F951" t="str">
        <f>VLOOKUP($E951,'Data Type Lookup'!$A$1:$C$21,2,FALSE)</f>
        <v>NUMBER(19,0)</v>
      </c>
      <c r="G951" s="17"/>
      <c r="H951" s="17"/>
      <c r="I951" s="29"/>
      <c r="J951" s="29">
        <v>0</v>
      </c>
      <c r="K951" s="29"/>
      <c r="L951" s="29"/>
      <c r="M951" s="17"/>
      <c r="N951" s="17"/>
      <c r="O951" s="17"/>
      <c r="P951" s="17" t="s">
        <v>144</v>
      </c>
      <c r="Q951" s="17" t="str">
        <f t="shared" si="22"/>
        <v>level15</v>
      </c>
      <c r="R951" t="str">
        <f>VLOOKUP(E951,'Data Type Lookup'!$A$1:$C$21,3,FALSE)</f>
        <v>Long</v>
      </c>
      <c r="S951" s="17"/>
      <c r="W951" t="str">
        <f t="shared" si="21"/>
        <v>RESOURCE_FILE.LEVEL15</v>
      </c>
      <c r="X951" t="str">
        <f>VLOOKUP(W951,ColumnMapping[New Table.Column],1,)</f>
        <v>RESOURCE_FILE.LEVEL15</v>
      </c>
      <c r="Y951" t="str">
        <f>_xlfn.XLOOKUP(Table6[[#This Row],[Table.Column]],ColumnMapping[Add Column Name],ColumnMapping[Old Table.Column],"",0,1)</f>
        <v>CALC.LEVEL15</v>
      </c>
      <c r="Z951" t="str">
        <f>_xlfn.XLOOKUP(Table6[[#This Row],[Old Table.Column]],Cobra8.6[Table.Column],Cobra8.6[TYPE],"",0,1)</f>
        <v>INTE</v>
      </c>
      <c r="AA951">
        <f>_xlfn.XLOOKUP(Table6[[#This Row],[Old Table.Column]],Cobra8.6[Table.Column],Cobra8.6[LENGTH],"",0,1)</f>
        <v>-1</v>
      </c>
      <c r="AB951" s="49" t="s">
        <v>32</v>
      </c>
    </row>
    <row r="952" spans="1:28" hidden="1" x14ac:dyDescent="0.2">
      <c r="A952" t="s">
        <v>1451</v>
      </c>
      <c r="B952" s="17" t="s">
        <v>472</v>
      </c>
      <c r="C952" s="17" t="s">
        <v>145</v>
      </c>
      <c r="D952" s="17">
        <v>23</v>
      </c>
      <c r="E952" s="17" t="s">
        <v>36</v>
      </c>
      <c r="F952" t="str">
        <f>VLOOKUP($E952,'Data Type Lookup'!$A$1:$C$21,2,FALSE)</f>
        <v>NUMBER(19,0)</v>
      </c>
      <c r="G952" s="17"/>
      <c r="H952" s="17"/>
      <c r="I952" s="29"/>
      <c r="J952" s="29">
        <v>0</v>
      </c>
      <c r="K952" s="29"/>
      <c r="L952" s="29"/>
      <c r="M952" s="17"/>
      <c r="N952" s="17"/>
      <c r="O952" s="17"/>
      <c r="P952" s="17" t="s">
        <v>146</v>
      </c>
      <c r="Q952" s="17" t="str">
        <f t="shared" si="22"/>
        <v>level16</v>
      </c>
      <c r="R952" t="str">
        <f>VLOOKUP(E952,'Data Type Lookup'!$A$1:$C$21,3,FALSE)</f>
        <v>Long</v>
      </c>
      <c r="S952" s="17"/>
      <c r="W952" t="str">
        <f t="shared" si="21"/>
        <v>RESOURCE_FILE.LEVEL16</v>
      </c>
      <c r="X952" t="str">
        <f>VLOOKUP(W952,ColumnMapping[New Table.Column],1,)</f>
        <v>RESOURCE_FILE.LEVEL16</v>
      </c>
      <c r="Y952" t="str">
        <f>_xlfn.XLOOKUP(Table6[[#This Row],[Table.Column]],ColumnMapping[Add Column Name],ColumnMapping[Old Table.Column],"",0,1)</f>
        <v>CALC.LEVEL16</v>
      </c>
      <c r="Z952" t="str">
        <f>_xlfn.XLOOKUP(Table6[[#This Row],[Old Table.Column]],Cobra8.6[Table.Column],Cobra8.6[TYPE],"",0,1)</f>
        <v>INTE</v>
      </c>
      <c r="AA952">
        <f>_xlfn.XLOOKUP(Table6[[#This Row],[Old Table.Column]],Cobra8.6[Table.Column],Cobra8.6[LENGTH],"",0,1)</f>
        <v>-1</v>
      </c>
      <c r="AB952" s="49" t="s">
        <v>32</v>
      </c>
    </row>
    <row r="953" spans="1:28" hidden="1" x14ac:dyDescent="0.2">
      <c r="A953" t="s">
        <v>1451</v>
      </c>
      <c r="B953" s="17" t="s">
        <v>472</v>
      </c>
      <c r="C953" s="17" t="s">
        <v>147</v>
      </c>
      <c r="D953" s="17">
        <v>24</v>
      </c>
      <c r="E953" s="17" t="s">
        <v>36</v>
      </c>
      <c r="F953" t="str">
        <f>VLOOKUP($E953,'Data Type Lookup'!$A$1:$C$21,2,FALSE)</f>
        <v>NUMBER(19,0)</v>
      </c>
      <c r="G953" s="17"/>
      <c r="H953" s="17"/>
      <c r="I953" s="29"/>
      <c r="J953" s="29">
        <v>0</v>
      </c>
      <c r="K953" s="29"/>
      <c r="L953" s="29"/>
      <c r="M953" s="17"/>
      <c r="N953" s="17"/>
      <c r="O953" s="17"/>
      <c r="P953" s="17" t="s">
        <v>148</v>
      </c>
      <c r="Q953" s="17" t="str">
        <f t="shared" si="22"/>
        <v>level17</v>
      </c>
      <c r="R953" t="str">
        <f>VLOOKUP(E953,'Data Type Lookup'!$A$1:$C$21,3,FALSE)</f>
        <v>Long</v>
      </c>
      <c r="S953" s="17"/>
      <c r="W953" t="str">
        <f t="shared" si="21"/>
        <v>RESOURCE_FILE.LEVEL17</v>
      </c>
      <c r="X953" t="str">
        <f>VLOOKUP(W953,ColumnMapping[New Table.Column],1,)</f>
        <v>RESOURCE_FILE.LEVEL17</v>
      </c>
      <c r="Y953" t="str">
        <f>_xlfn.XLOOKUP(Table6[[#This Row],[Table.Column]],ColumnMapping[Add Column Name],ColumnMapping[Old Table.Column],"",0,1)</f>
        <v>CALC.LEVEL17</v>
      </c>
      <c r="Z953" t="str">
        <f>_xlfn.XLOOKUP(Table6[[#This Row],[Old Table.Column]],Cobra8.6[Table.Column],Cobra8.6[TYPE],"",0,1)</f>
        <v>INTE</v>
      </c>
      <c r="AA953">
        <f>_xlfn.XLOOKUP(Table6[[#This Row],[Old Table.Column]],Cobra8.6[Table.Column],Cobra8.6[LENGTH],"",0,1)</f>
        <v>-1</v>
      </c>
      <c r="AB953" s="49" t="s">
        <v>32</v>
      </c>
    </row>
    <row r="954" spans="1:28" hidden="1" x14ac:dyDescent="0.2">
      <c r="A954" t="s">
        <v>1451</v>
      </c>
      <c r="B954" s="17" t="s">
        <v>472</v>
      </c>
      <c r="C954" s="17" t="s">
        <v>149</v>
      </c>
      <c r="D954" s="17">
        <v>25</v>
      </c>
      <c r="E954" s="17" t="s">
        <v>36</v>
      </c>
      <c r="F954" t="str">
        <f>VLOOKUP($E954,'Data Type Lookup'!$A$1:$C$21,2,FALSE)</f>
        <v>NUMBER(19,0)</v>
      </c>
      <c r="G954" s="17"/>
      <c r="H954" s="17"/>
      <c r="I954" s="29"/>
      <c r="J954" s="29">
        <v>0</v>
      </c>
      <c r="K954" s="29"/>
      <c r="L954" s="29"/>
      <c r="M954" s="17"/>
      <c r="N954" s="17"/>
      <c r="O954" s="17"/>
      <c r="P954" s="17" t="s">
        <v>150</v>
      </c>
      <c r="Q954" s="17" t="str">
        <f t="shared" si="22"/>
        <v>level18</v>
      </c>
      <c r="R954" t="str">
        <f>VLOOKUP(E954,'Data Type Lookup'!$A$1:$C$21,3,FALSE)</f>
        <v>Long</v>
      </c>
      <c r="S954" s="17"/>
      <c r="W954" t="str">
        <f t="shared" si="21"/>
        <v>RESOURCE_FILE.LEVEL18</v>
      </c>
      <c r="X954" t="str">
        <f>VLOOKUP(W954,ColumnMapping[New Table.Column],1,)</f>
        <v>RESOURCE_FILE.LEVEL18</v>
      </c>
      <c r="Y954" t="str">
        <f>_xlfn.XLOOKUP(Table6[[#This Row],[Table.Column]],ColumnMapping[Add Column Name],ColumnMapping[Old Table.Column],"",0,1)</f>
        <v>CALC.LEVEL18</v>
      </c>
      <c r="Z954" t="str">
        <f>_xlfn.XLOOKUP(Table6[[#This Row],[Old Table.Column]],Cobra8.6[Table.Column],Cobra8.6[TYPE],"",0,1)</f>
        <v>INTE</v>
      </c>
      <c r="AA954">
        <f>_xlfn.XLOOKUP(Table6[[#This Row],[Old Table.Column]],Cobra8.6[Table.Column],Cobra8.6[LENGTH],"",0,1)</f>
        <v>-1</v>
      </c>
      <c r="AB954" s="49" t="s">
        <v>32</v>
      </c>
    </row>
    <row r="955" spans="1:28" hidden="1" x14ac:dyDescent="0.2">
      <c r="A955" t="s">
        <v>1451</v>
      </c>
      <c r="B955" s="17" t="s">
        <v>472</v>
      </c>
      <c r="C955" s="17" t="s">
        <v>151</v>
      </c>
      <c r="D955" s="17">
        <v>26</v>
      </c>
      <c r="E955" s="17" t="s">
        <v>36</v>
      </c>
      <c r="F955" t="str">
        <f>VLOOKUP($E955,'Data Type Lookup'!$A$1:$C$21,2,FALSE)</f>
        <v>NUMBER(19,0)</v>
      </c>
      <c r="G955" s="17"/>
      <c r="H955" s="17"/>
      <c r="I955" s="29"/>
      <c r="J955" s="29">
        <v>0</v>
      </c>
      <c r="K955" s="29"/>
      <c r="L955" s="29"/>
      <c r="M955" s="17"/>
      <c r="N955" s="17"/>
      <c r="O955" s="17"/>
      <c r="P955" s="17" t="s">
        <v>152</v>
      </c>
      <c r="Q955" s="17" t="str">
        <f t="shared" si="22"/>
        <v>level19</v>
      </c>
      <c r="R955" t="str">
        <f>VLOOKUP(E955,'Data Type Lookup'!$A$1:$C$21,3,FALSE)</f>
        <v>Long</v>
      </c>
      <c r="S955" s="17"/>
      <c r="W955" t="str">
        <f t="shared" si="21"/>
        <v>RESOURCE_FILE.LEVEL19</v>
      </c>
      <c r="X955" t="str">
        <f>VLOOKUP(W955,ColumnMapping[New Table.Column],1,)</f>
        <v>RESOURCE_FILE.LEVEL19</v>
      </c>
      <c r="Y955" t="str">
        <f>_xlfn.XLOOKUP(Table6[[#This Row],[Table.Column]],ColumnMapping[Add Column Name],ColumnMapping[Old Table.Column],"",0,1)</f>
        <v>CALC.LEVEL19</v>
      </c>
      <c r="Z955" t="str">
        <f>_xlfn.XLOOKUP(Table6[[#This Row],[Old Table.Column]],Cobra8.6[Table.Column],Cobra8.6[TYPE],"",0,1)</f>
        <v>INTE</v>
      </c>
      <c r="AA955">
        <f>_xlfn.XLOOKUP(Table6[[#This Row],[Old Table.Column]],Cobra8.6[Table.Column],Cobra8.6[LENGTH],"",0,1)</f>
        <v>-1</v>
      </c>
      <c r="AB955" s="49" t="s">
        <v>32</v>
      </c>
    </row>
    <row r="956" spans="1:28" hidden="1" x14ac:dyDescent="0.2">
      <c r="A956" t="s">
        <v>1451</v>
      </c>
      <c r="B956" s="17" t="s">
        <v>472</v>
      </c>
      <c r="C956" s="17" t="s">
        <v>117</v>
      </c>
      <c r="D956" s="17">
        <v>27</v>
      </c>
      <c r="E956" s="17" t="s">
        <v>36</v>
      </c>
      <c r="F956" t="str">
        <f>VLOOKUP($E956,'Data Type Lookup'!$A$1:$C$21,2,FALSE)</f>
        <v>NUMBER(19,0)</v>
      </c>
      <c r="G956" s="17"/>
      <c r="H956" s="17"/>
      <c r="I956" s="29"/>
      <c r="J956" s="29">
        <v>0</v>
      </c>
      <c r="K956" s="29"/>
      <c r="L956" s="29"/>
      <c r="M956" s="17"/>
      <c r="N956" s="17"/>
      <c r="O956" s="17"/>
      <c r="P956" s="17" t="s">
        <v>118</v>
      </c>
      <c r="Q956" s="17" t="str">
        <f t="shared" si="22"/>
        <v>level2</v>
      </c>
      <c r="R956" t="str">
        <f>VLOOKUP(E956,'Data Type Lookup'!$A$1:$C$21,3,FALSE)</f>
        <v>Long</v>
      </c>
      <c r="S956" s="17"/>
      <c r="W956" t="str">
        <f t="shared" si="21"/>
        <v>RESOURCE_FILE.LEVEL2</v>
      </c>
      <c r="X956" t="str">
        <f>VLOOKUP(W956,ColumnMapping[New Table.Column],1,)</f>
        <v>RESOURCE_FILE.LEVEL2</v>
      </c>
      <c r="Y956" t="str">
        <f>_xlfn.XLOOKUP(Table6[[#This Row],[Table.Column]],ColumnMapping[Add Column Name],ColumnMapping[Old Table.Column],"",0,1)</f>
        <v>CALC.LEVEL2</v>
      </c>
      <c r="Z956" t="str">
        <f>_xlfn.XLOOKUP(Table6[[#This Row],[Old Table.Column]],Cobra8.6[Table.Column],Cobra8.6[TYPE],"",0,1)</f>
        <v>INTE</v>
      </c>
      <c r="AA956">
        <f>_xlfn.XLOOKUP(Table6[[#This Row],[Old Table.Column]],Cobra8.6[Table.Column],Cobra8.6[LENGTH],"",0,1)</f>
        <v>-1</v>
      </c>
      <c r="AB956" s="49" t="s">
        <v>32</v>
      </c>
    </row>
    <row r="957" spans="1:28" hidden="1" x14ac:dyDescent="0.2">
      <c r="A957" t="s">
        <v>1451</v>
      </c>
      <c r="B957" s="17" t="s">
        <v>472</v>
      </c>
      <c r="C957" s="17" t="s">
        <v>153</v>
      </c>
      <c r="D957" s="17">
        <v>28</v>
      </c>
      <c r="E957" s="17" t="s">
        <v>36</v>
      </c>
      <c r="F957" t="str">
        <f>VLOOKUP($E957,'Data Type Lookup'!$A$1:$C$21,2,FALSE)</f>
        <v>NUMBER(19,0)</v>
      </c>
      <c r="G957" s="17"/>
      <c r="H957" s="17"/>
      <c r="I957" s="29"/>
      <c r="J957" s="29">
        <v>0</v>
      </c>
      <c r="K957" s="29"/>
      <c r="L957" s="29"/>
      <c r="M957" s="17"/>
      <c r="N957" s="17"/>
      <c r="O957" s="17"/>
      <c r="P957" s="17" t="s">
        <v>154</v>
      </c>
      <c r="Q957" s="17" t="str">
        <f t="shared" si="22"/>
        <v>level20</v>
      </c>
      <c r="R957" t="str">
        <f>VLOOKUP(E957,'Data Type Lookup'!$A$1:$C$21,3,FALSE)</f>
        <v>Long</v>
      </c>
      <c r="S957" s="17"/>
      <c r="W957" t="str">
        <f t="shared" si="21"/>
        <v>RESOURCE_FILE.LEVEL20</v>
      </c>
      <c r="X957" t="str">
        <f>VLOOKUP(W957,ColumnMapping[New Table.Column],1,)</f>
        <v>RESOURCE_FILE.LEVEL20</v>
      </c>
      <c r="Y957" t="str">
        <f>_xlfn.XLOOKUP(Table6[[#This Row],[Table.Column]],ColumnMapping[Add Column Name],ColumnMapping[Old Table.Column],"",0,1)</f>
        <v>CALC.LEVEL20</v>
      </c>
      <c r="Z957" t="str">
        <f>_xlfn.XLOOKUP(Table6[[#This Row],[Old Table.Column]],Cobra8.6[Table.Column],Cobra8.6[TYPE],"",0,1)</f>
        <v>INTE</v>
      </c>
      <c r="AA957">
        <f>_xlfn.XLOOKUP(Table6[[#This Row],[Old Table.Column]],Cobra8.6[Table.Column],Cobra8.6[LENGTH],"",0,1)</f>
        <v>-1</v>
      </c>
      <c r="AB957" s="49" t="s">
        <v>32</v>
      </c>
    </row>
    <row r="958" spans="1:28" hidden="1" x14ac:dyDescent="0.2">
      <c r="A958" t="s">
        <v>1451</v>
      </c>
      <c r="B958" s="17" t="s">
        <v>472</v>
      </c>
      <c r="C958" s="17" t="s">
        <v>119</v>
      </c>
      <c r="D958" s="17">
        <v>29</v>
      </c>
      <c r="E958" s="17" t="s">
        <v>36</v>
      </c>
      <c r="F958" t="str">
        <f>VLOOKUP($E958,'Data Type Lookup'!$A$1:$C$21,2,FALSE)</f>
        <v>NUMBER(19,0)</v>
      </c>
      <c r="G958" s="17"/>
      <c r="H958" s="17"/>
      <c r="I958" s="29"/>
      <c r="J958" s="29">
        <v>0</v>
      </c>
      <c r="K958" s="29"/>
      <c r="L958" s="29"/>
      <c r="M958" s="17"/>
      <c r="N958" s="17"/>
      <c r="O958" s="17"/>
      <c r="P958" s="17" t="s">
        <v>120</v>
      </c>
      <c r="Q958" s="17" t="str">
        <f t="shared" si="22"/>
        <v>level3</v>
      </c>
      <c r="R958" t="str">
        <f>VLOOKUP(E958,'Data Type Lookup'!$A$1:$C$21,3,FALSE)</f>
        <v>Long</v>
      </c>
      <c r="S958" s="17"/>
      <c r="W958" t="str">
        <f t="shared" si="21"/>
        <v>RESOURCE_FILE.LEVEL3</v>
      </c>
      <c r="X958" t="str">
        <f>VLOOKUP(W958,ColumnMapping[New Table.Column],1,)</f>
        <v>RESOURCE_FILE.LEVEL3</v>
      </c>
      <c r="Y958" t="str">
        <f>_xlfn.XLOOKUP(Table6[[#This Row],[Table.Column]],ColumnMapping[Add Column Name],ColumnMapping[Old Table.Column],"",0,1)</f>
        <v>CALC.LEVEL3</v>
      </c>
      <c r="Z958" t="str">
        <f>_xlfn.XLOOKUP(Table6[[#This Row],[Old Table.Column]],Cobra8.6[Table.Column],Cobra8.6[TYPE],"",0,1)</f>
        <v>INTE</v>
      </c>
      <c r="AA958">
        <f>_xlfn.XLOOKUP(Table6[[#This Row],[Old Table.Column]],Cobra8.6[Table.Column],Cobra8.6[LENGTH],"",0,1)</f>
        <v>-1</v>
      </c>
      <c r="AB958" s="49" t="s">
        <v>32</v>
      </c>
    </row>
    <row r="959" spans="1:28" hidden="1" x14ac:dyDescent="0.2">
      <c r="A959" t="s">
        <v>1451</v>
      </c>
      <c r="B959" s="17" t="s">
        <v>472</v>
      </c>
      <c r="C959" s="17" t="s">
        <v>121</v>
      </c>
      <c r="D959" s="17">
        <v>30</v>
      </c>
      <c r="E959" s="17" t="s">
        <v>36</v>
      </c>
      <c r="F959" t="str">
        <f>VLOOKUP($E959,'Data Type Lookup'!$A$1:$C$21,2,FALSE)</f>
        <v>NUMBER(19,0)</v>
      </c>
      <c r="G959" s="17"/>
      <c r="H959" s="17"/>
      <c r="I959" s="29"/>
      <c r="J959" s="29">
        <v>0</v>
      </c>
      <c r="K959" s="29"/>
      <c r="L959" s="29"/>
      <c r="M959" s="17"/>
      <c r="N959" s="17"/>
      <c r="O959" s="17"/>
      <c r="P959" s="17" t="s">
        <v>122</v>
      </c>
      <c r="Q959" s="17" t="str">
        <f t="shared" si="22"/>
        <v>level4</v>
      </c>
      <c r="R959" t="str">
        <f>VLOOKUP(E959,'Data Type Lookup'!$A$1:$C$21,3,FALSE)</f>
        <v>Long</v>
      </c>
      <c r="S959" s="17"/>
      <c r="W959" t="str">
        <f t="shared" si="21"/>
        <v>RESOURCE_FILE.LEVEL4</v>
      </c>
      <c r="X959" t="str">
        <f>VLOOKUP(W959,ColumnMapping[New Table.Column],1,)</f>
        <v>RESOURCE_FILE.LEVEL4</v>
      </c>
      <c r="Y959" t="str">
        <f>_xlfn.XLOOKUP(Table6[[#This Row],[Table.Column]],ColumnMapping[Add Column Name],ColumnMapping[Old Table.Column],"",0,1)</f>
        <v>CALC.LEVEL4</v>
      </c>
      <c r="Z959" t="str">
        <f>_xlfn.XLOOKUP(Table6[[#This Row],[Old Table.Column]],Cobra8.6[Table.Column],Cobra8.6[TYPE],"",0,1)</f>
        <v>INTE</v>
      </c>
      <c r="AA959">
        <f>_xlfn.XLOOKUP(Table6[[#This Row],[Old Table.Column]],Cobra8.6[Table.Column],Cobra8.6[LENGTH],"",0,1)</f>
        <v>-1</v>
      </c>
      <c r="AB959" s="49" t="s">
        <v>32</v>
      </c>
    </row>
    <row r="960" spans="1:28" hidden="1" x14ac:dyDescent="0.2">
      <c r="A960" t="s">
        <v>1451</v>
      </c>
      <c r="B960" s="17" t="s">
        <v>472</v>
      </c>
      <c r="C960" s="17" t="s">
        <v>123</v>
      </c>
      <c r="D960" s="17">
        <v>31</v>
      </c>
      <c r="E960" s="17" t="s">
        <v>36</v>
      </c>
      <c r="F960" t="str">
        <f>VLOOKUP($E960,'Data Type Lookup'!$A$1:$C$21,2,FALSE)</f>
        <v>NUMBER(19,0)</v>
      </c>
      <c r="G960" s="17"/>
      <c r="H960" s="17"/>
      <c r="I960" s="29"/>
      <c r="J960" s="29">
        <v>0</v>
      </c>
      <c r="K960" s="29"/>
      <c r="L960" s="29"/>
      <c r="M960" s="17"/>
      <c r="N960" s="17"/>
      <c r="O960" s="17"/>
      <c r="P960" s="17" t="s">
        <v>124</v>
      </c>
      <c r="Q960" s="17" t="str">
        <f t="shared" si="22"/>
        <v>level5</v>
      </c>
      <c r="R960" t="str">
        <f>VLOOKUP(E960,'Data Type Lookup'!$A$1:$C$21,3,FALSE)</f>
        <v>Long</v>
      </c>
      <c r="S960" s="17"/>
      <c r="W960" t="str">
        <f t="shared" si="21"/>
        <v>RESOURCE_FILE.LEVEL5</v>
      </c>
      <c r="X960" t="str">
        <f>VLOOKUP(W960,ColumnMapping[New Table.Column],1,)</f>
        <v>RESOURCE_FILE.LEVEL5</v>
      </c>
      <c r="Y960" t="str">
        <f>_xlfn.XLOOKUP(Table6[[#This Row],[Table.Column]],ColumnMapping[Add Column Name],ColumnMapping[Old Table.Column],"",0,1)</f>
        <v>CALC.LEVEL5</v>
      </c>
      <c r="Z960" t="str">
        <f>_xlfn.XLOOKUP(Table6[[#This Row],[Old Table.Column]],Cobra8.6[Table.Column],Cobra8.6[TYPE],"",0,1)</f>
        <v>INTE</v>
      </c>
      <c r="AA960">
        <f>_xlfn.XLOOKUP(Table6[[#This Row],[Old Table.Column]],Cobra8.6[Table.Column],Cobra8.6[LENGTH],"",0,1)</f>
        <v>-1</v>
      </c>
      <c r="AB960" s="49" t="s">
        <v>32</v>
      </c>
    </row>
    <row r="961" spans="1:28" hidden="1" x14ac:dyDescent="0.2">
      <c r="A961" t="s">
        <v>1451</v>
      </c>
      <c r="B961" s="17" t="s">
        <v>472</v>
      </c>
      <c r="C961" s="17" t="s">
        <v>125</v>
      </c>
      <c r="D961" s="17">
        <v>32</v>
      </c>
      <c r="E961" s="17" t="s">
        <v>36</v>
      </c>
      <c r="F961" t="str">
        <f>VLOOKUP($E961,'Data Type Lookup'!$A$1:$C$21,2,FALSE)</f>
        <v>NUMBER(19,0)</v>
      </c>
      <c r="G961" s="17"/>
      <c r="H961" s="17"/>
      <c r="I961" s="29"/>
      <c r="J961" s="29">
        <v>0</v>
      </c>
      <c r="K961" s="29"/>
      <c r="L961" s="29"/>
      <c r="M961" s="17"/>
      <c r="N961" s="17"/>
      <c r="O961" s="17"/>
      <c r="P961" s="17" t="s">
        <v>126</v>
      </c>
      <c r="Q961" s="17" t="str">
        <f t="shared" si="22"/>
        <v>level6</v>
      </c>
      <c r="R961" t="str">
        <f>VLOOKUP(E961,'Data Type Lookup'!$A$1:$C$21,3,FALSE)</f>
        <v>Long</v>
      </c>
      <c r="S961" s="17"/>
      <c r="W961" t="str">
        <f t="shared" si="21"/>
        <v>RESOURCE_FILE.LEVEL6</v>
      </c>
      <c r="X961" t="str">
        <f>VLOOKUP(W961,ColumnMapping[New Table.Column],1,)</f>
        <v>RESOURCE_FILE.LEVEL6</v>
      </c>
      <c r="Y961" t="str">
        <f>_xlfn.XLOOKUP(Table6[[#This Row],[Table.Column]],ColumnMapping[Add Column Name],ColumnMapping[Old Table.Column],"",0,1)</f>
        <v>CALC.LEVEL6</v>
      </c>
      <c r="Z961" t="str">
        <f>_xlfn.XLOOKUP(Table6[[#This Row],[Old Table.Column]],Cobra8.6[Table.Column],Cobra8.6[TYPE],"",0,1)</f>
        <v>INTE</v>
      </c>
      <c r="AA961">
        <f>_xlfn.XLOOKUP(Table6[[#This Row],[Old Table.Column]],Cobra8.6[Table.Column],Cobra8.6[LENGTH],"",0,1)</f>
        <v>-1</v>
      </c>
      <c r="AB961" s="49" t="s">
        <v>32</v>
      </c>
    </row>
    <row r="962" spans="1:28" hidden="1" x14ac:dyDescent="0.2">
      <c r="A962" t="s">
        <v>1451</v>
      </c>
      <c r="B962" s="17" t="s">
        <v>472</v>
      </c>
      <c r="C962" s="17" t="s">
        <v>127</v>
      </c>
      <c r="D962" s="17">
        <v>33</v>
      </c>
      <c r="E962" s="17" t="s">
        <v>36</v>
      </c>
      <c r="F962" t="str">
        <f>VLOOKUP($E962,'Data Type Lookup'!$A$1:$C$21,2,FALSE)</f>
        <v>NUMBER(19,0)</v>
      </c>
      <c r="G962" s="17"/>
      <c r="H962" s="17"/>
      <c r="I962" s="29"/>
      <c r="J962" s="29">
        <v>0</v>
      </c>
      <c r="K962" s="29"/>
      <c r="L962" s="29"/>
      <c r="M962" s="17"/>
      <c r="N962" s="17"/>
      <c r="O962" s="17"/>
      <c r="P962" s="17" t="s">
        <v>128</v>
      </c>
      <c r="Q962" s="17" t="str">
        <f t="shared" si="22"/>
        <v>level7</v>
      </c>
      <c r="R962" t="str">
        <f>VLOOKUP(E962,'Data Type Lookup'!$A$1:$C$21,3,FALSE)</f>
        <v>Long</v>
      </c>
      <c r="S962" s="17"/>
      <c r="W962" t="str">
        <f t="shared" si="21"/>
        <v>RESOURCE_FILE.LEVEL7</v>
      </c>
      <c r="X962" t="str">
        <f>VLOOKUP(W962,ColumnMapping[New Table.Column],1,)</f>
        <v>RESOURCE_FILE.LEVEL7</v>
      </c>
      <c r="Y962" t="str">
        <f>_xlfn.XLOOKUP(Table6[[#This Row],[Table.Column]],ColumnMapping[Add Column Name],ColumnMapping[Old Table.Column],"",0,1)</f>
        <v>CALC.LEVEL7</v>
      </c>
      <c r="Z962" t="str">
        <f>_xlfn.XLOOKUP(Table6[[#This Row],[Old Table.Column]],Cobra8.6[Table.Column],Cobra8.6[TYPE],"",0,1)</f>
        <v>INTE</v>
      </c>
      <c r="AA962">
        <f>_xlfn.XLOOKUP(Table6[[#This Row],[Old Table.Column]],Cobra8.6[Table.Column],Cobra8.6[LENGTH],"",0,1)</f>
        <v>-1</v>
      </c>
      <c r="AB962" s="49" t="s">
        <v>32</v>
      </c>
    </row>
    <row r="963" spans="1:28" hidden="1" x14ac:dyDescent="0.2">
      <c r="A963" t="s">
        <v>1451</v>
      </c>
      <c r="B963" s="17" t="s">
        <v>472</v>
      </c>
      <c r="C963" s="17" t="s">
        <v>129</v>
      </c>
      <c r="D963" s="17">
        <v>34</v>
      </c>
      <c r="E963" s="17" t="s">
        <v>36</v>
      </c>
      <c r="F963" t="str">
        <f>VLOOKUP($E963,'Data Type Lookup'!$A$1:$C$21,2,FALSE)</f>
        <v>NUMBER(19,0)</v>
      </c>
      <c r="G963" s="17"/>
      <c r="H963" s="17"/>
      <c r="I963" s="29"/>
      <c r="J963" s="29">
        <v>0</v>
      </c>
      <c r="K963" s="29"/>
      <c r="L963" s="29"/>
      <c r="M963" s="17"/>
      <c r="N963" s="17"/>
      <c r="O963" s="17"/>
      <c r="P963" s="17" t="s">
        <v>130</v>
      </c>
      <c r="Q963" s="17" t="str">
        <f t="shared" si="22"/>
        <v>level8</v>
      </c>
      <c r="R963" t="str">
        <f>VLOOKUP(E963,'Data Type Lookup'!$A$1:$C$21,3,FALSE)</f>
        <v>Long</v>
      </c>
      <c r="S963" s="17"/>
      <c r="W963" t="str">
        <f t="shared" si="21"/>
        <v>RESOURCE_FILE.LEVEL8</v>
      </c>
      <c r="X963" t="str">
        <f>VLOOKUP(W963,ColumnMapping[New Table.Column],1,)</f>
        <v>RESOURCE_FILE.LEVEL8</v>
      </c>
      <c r="Y963" t="str">
        <f>_xlfn.XLOOKUP(Table6[[#This Row],[Table.Column]],ColumnMapping[Add Column Name],ColumnMapping[Old Table.Column],"",0,1)</f>
        <v>CALC.LEVEL8</v>
      </c>
      <c r="Z963" t="str">
        <f>_xlfn.XLOOKUP(Table6[[#This Row],[Old Table.Column]],Cobra8.6[Table.Column],Cobra8.6[TYPE],"",0,1)</f>
        <v>INTE</v>
      </c>
      <c r="AA963">
        <f>_xlfn.XLOOKUP(Table6[[#This Row],[Old Table.Column]],Cobra8.6[Table.Column],Cobra8.6[LENGTH],"",0,1)</f>
        <v>-1</v>
      </c>
      <c r="AB963" s="49" t="s">
        <v>32</v>
      </c>
    </row>
    <row r="964" spans="1:28" hidden="1" x14ac:dyDescent="0.2">
      <c r="A964" t="s">
        <v>1451</v>
      </c>
      <c r="B964" s="17" t="s">
        <v>472</v>
      </c>
      <c r="C964" s="17" t="s">
        <v>131</v>
      </c>
      <c r="D964" s="17">
        <v>35</v>
      </c>
      <c r="E964" s="17" t="s">
        <v>36</v>
      </c>
      <c r="F964" t="str">
        <f>VLOOKUP($E964,'Data Type Lookup'!$A$1:$C$21,2,FALSE)</f>
        <v>NUMBER(19,0)</v>
      </c>
      <c r="G964" s="17"/>
      <c r="H964" s="17"/>
      <c r="I964" s="29"/>
      <c r="J964" s="29">
        <v>0</v>
      </c>
      <c r="K964" s="29"/>
      <c r="L964" s="29"/>
      <c r="M964" s="17"/>
      <c r="N964" s="17"/>
      <c r="O964" s="17"/>
      <c r="P964" s="17" t="s">
        <v>132</v>
      </c>
      <c r="Q964" s="17" t="str">
        <f t="shared" si="22"/>
        <v>level9</v>
      </c>
      <c r="R964" t="str">
        <f>VLOOKUP(E964,'Data Type Lookup'!$A$1:$C$21,3,FALSE)</f>
        <v>Long</v>
      </c>
      <c r="S964" s="17"/>
      <c r="W964" t="str">
        <f t="shared" si="21"/>
        <v>RESOURCE_FILE.LEVEL9</v>
      </c>
      <c r="X964" t="str">
        <f>VLOOKUP(W964,ColumnMapping[New Table.Column],1,)</f>
        <v>RESOURCE_FILE.LEVEL9</v>
      </c>
      <c r="Y964" t="str">
        <f>_xlfn.XLOOKUP(Table6[[#This Row],[Table.Column]],ColumnMapping[Add Column Name],ColumnMapping[Old Table.Column],"",0,1)</f>
        <v>CALC.LEVEL9</v>
      </c>
      <c r="Z964" t="str">
        <f>_xlfn.XLOOKUP(Table6[[#This Row],[Old Table.Column]],Cobra8.6[Table.Column],Cobra8.6[TYPE],"",0,1)</f>
        <v>INTE</v>
      </c>
      <c r="AA964">
        <f>_xlfn.XLOOKUP(Table6[[#This Row],[Old Table.Column]],Cobra8.6[Table.Column],Cobra8.6[LENGTH],"",0,1)</f>
        <v>-1</v>
      </c>
      <c r="AB964" s="49" t="s">
        <v>32</v>
      </c>
    </row>
    <row r="965" spans="1:28" hidden="1" x14ac:dyDescent="0.2">
      <c r="A965" t="s">
        <v>1451</v>
      </c>
      <c r="B965" s="17" t="s">
        <v>472</v>
      </c>
      <c r="C965" s="17" t="s">
        <v>113</v>
      </c>
      <c r="D965" s="17">
        <v>36</v>
      </c>
      <c r="E965" s="17" t="s">
        <v>36</v>
      </c>
      <c r="F965" t="str">
        <f>VLOOKUP($E965,'Data Type Lookup'!$A$1:$C$21,2,FALSE)</f>
        <v>NUMBER(19,0)</v>
      </c>
      <c r="G965" s="17"/>
      <c r="H965" s="17"/>
      <c r="I965" s="29"/>
      <c r="J965" s="29">
        <v>0</v>
      </c>
      <c r="K965" s="29"/>
      <c r="L965" s="29"/>
      <c r="M965" s="17"/>
      <c r="N965" s="17"/>
      <c r="O965" s="17"/>
      <c r="P965" s="17" t="s">
        <v>114</v>
      </c>
      <c r="Q965" s="17" t="str">
        <f t="shared" si="22"/>
        <v>maxLevel</v>
      </c>
      <c r="R965" t="str">
        <f>VLOOKUP(E965,'Data Type Lookup'!$A$1:$C$21,3,FALSE)</f>
        <v>Long</v>
      </c>
      <c r="S965" s="17"/>
      <c r="W965" t="str">
        <f t="shared" si="21"/>
        <v>RESOURCE_FILE.MAX_LEVEL</v>
      </c>
      <c r="X965" t="str">
        <f>VLOOKUP(W965,ColumnMapping[New Table.Column],1,)</f>
        <v>RESOURCE_FILE.MAX_LEVEL</v>
      </c>
      <c r="Y965" t="str">
        <f>_xlfn.XLOOKUP(Table6[[#This Row],[Table.Column]],ColumnMapping[Add Column Name],ColumnMapping[Old Table.Column],"",0,1)</f>
        <v>CALC.MAX_LEVEL</v>
      </c>
      <c r="Z965" t="str">
        <f>_xlfn.XLOOKUP(Table6[[#This Row],[Old Table.Column]],Cobra8.6[Table.Column],Cobra8.6[TYPE],"",0,1)</f>
        <v>INTE</v>
      </c>
      <c r="AA965">
        <f>_xlfn.XLOOKUP(Table6[[#This Row],[Old Table.Column]],Cobra8.6[Table.Column],Cobra8.6[LENGTH],"",0,1)</f>
        <v>-1</v>
      </c>
      <c r="AB965" s="49" t="s">
        <v>32</v>
      </c>
    </row>
    <row r="966" spans="1:28" hidden="1" x14ac:dyDescent="0.2">
      <c r="A966" t="s">
        <v>1451</v>
      </c>
      <c r="B966" s="17" t="s">
        <v>472</v>
      </c>
      <c r="C966" s="17" t="s">
        <v>111</v>
      </c>
      <c r="D966" s="17">
        <v>37</v>
      </c>
      <c r="E966" s="17" t="s">
        <v>86</v>
      </c>
      <c r="F966" t="str">
        <f>VLOOKUP($E966,'Data Type Lookup'!$A$1:$C$21,2,FALSE)</f>
        <v>VARCHAR2</v>
      </c>
      <c r="G966" s="17">
        <v>1</v>
      </c>
      <c r="H966" s="17"/>
      <c r="I966" s="29"/>
      <c r="J966" s="29"/>
      <c r="K966" s="29"/>
      <c r="L966" s="29"/>
      <c r="M966" s="17"/>
      <c r="N966" s="17"/>
      <c r="O966" s="17"/>
      <c r="P966" s="17" t="s">
        <v>112</v>
      </c>
      <c r="Q966" s="17" t="str">
        <f t="shared" si="22"/>
        <v>padChar</v>
      </c>
      <c r="R966" t="str">
        <f>VLOOKUP(E966,'Data Type Lookup'!$A$1:$C$21,3,FALSE)</f>
        <v>String</v>
      </c>
      <c r="S966" s="17"/>
      <c r="W966" t="str">
        <f t="shared" si="21"/>
        <v>RESOURCE_FILE.PAD_CHAR</v>
      </c>
      <c r="X966" t="str">
        <f>VLOOKUP(W966,ColumnMapping[New Table.Column],1,)</f>
        <v>RESOURCE_FILE.PAD_CHAR</v>
      </c>
      <c r="Y966" t="str">
        <f>_xlfn.XLOOKUP(Table6[[#This Row],[Table.Column]],ColumnMapping[Add Column Name],ColumnMapping[Old Table.Column],"",0,1)</f>
        <v>CALC.PAD_CHAR</v>
      </c>
      <c r="Z966" t="str">
        <f>_xlfn.XLOOKUP(Table6[[#This Row],[Old Table.Column]],Cobra8.6[Table.Column],Cobra8.6[TYPE],"",0,1)</f>
        <v>TEXT</v>
      </c>
      <c r="AA966">
        <f>_xlfn.XLOOKUP(Table6[[#This Row],[Old Table.Column]],Cobra8.6[Table.Column],Cobra8.6[LENGTH],"",0,1)</f>
        <v>1</v>
      </c>
      <c r="AB966" s="49" t="s">
        <v>32</v>
      </c>
    </row>
    <row r="967" spans="1:28" hidden="1" x14ac:dyDescent="0.2">
      <c r="A967" t="s">
        <v>1451</v>
      </c>
      <c r="B967" s="17" t="s">
        <v>472</v>
      </c>
      <c r="C967" s="17" t="s">
        <v>93</v>
      </c>
      <c r="D967" s="17">
        <v>38</v>
      </c>
      <c r="E967" s="17" t="s">
        <v>86</v>
      </c>
      <c r="F967" t="str">
        <f>VLOOKUP($E967,'Data Type Lookup'!$A$1:$C$21,2,FALSE)</f>
        <v>VARCHAR2</v>
      </c>
      <c r="G967" s="17">
        <v>10</v>
      </c>
      <c r="H967" s="17"/>
      <c r="I967" s="29"/>
      <c r="J967" s="29"/>
      <c r="K967" s="29"/>
      <c r="L967" s="29"/>
      <c r="M967" s="17"/>
      <c r="N967" s="17"/>
      <c r="O967" s="17"/>
      <c r="P967" s="17" t="s">
        <v>1519</v>
      </c>
      <c r="Q967" s="17" t="str">
        <f t="shared" si="22"/>
        <v>thFlags</v>
      </c>
      <c r="R967" t="str">
        <f>VLOOKUP(E967,'Data Type Lookup'!$A$1:$C$21,3,FALSE)</f>
        <v>String</v>
      </c>
      <c r="S967" s="17"/>
      <c r="W967" t="str">
        <f t="shared" si="21"/>
        <v>RESOURCE_FILE.TH_FLAGS</v>
      </c>
      <c r="X967" t="str">
        <f>VLOOKUP(W967,ColumnMapping[New Table.Column],1,)</f>
        <v>RESOURCE_FILE.TH_FLAGS</v>
      </c>
      <c r="Y967" t="str">
        <f>_xlfn.XLOOKUP(Table6[[#This Row],[Table.Column]],ColumnMapping[Add Column Name],ColumnMapping[Old Table.Column],"",0,1)</f>
        <v>CALC.TH_FLAGS</v>
      </c>
      <c r="Z967" t="str">
        <f>_xlfn.XLOOKUP(Table6[[#This Row],[Old Table.Column]],Cobra8.6[Table.Column],Cobra8.6[TYPE],"",0,1)</f>
        <v>TEXT</v>
      </c>
      <c r="AA967">
        <f>_xlfn.XLOOKUP(Table6[[#This Row],[Old Table.Column]],Cobra8.6[Table.Column],Cobra8.6[LENGTH],"",0,1)</f>
        <v>10</v>
      </c>
      <c r="AB967" s="49" t="s">
        <v>32</v>
      </c>
    </row>
    <row r="968" spans="1:28" hidden="1" x14ac:dyDescent="0.2">
      <c r="A968" t="s">
        <v>1451</v>
      </c>
      <c r="B968" s="17" t="s">
        <v>472</v>
      </c>
      <c r="C968" s="39" t="s">
        <v>1433</v>
      </c>
      <c r="D968" s="39">
        <v>39</v>
      </c>
      <c r="E968" s="39" t="s">
        <v>86</v>
      </c>
      <c r="F968" s="39" t="s">
        <v>349</v>
      </c>
      <c r="G968" s="39">
        <v>22</v>
      </c>
      <c r="H968" s="39"/>
      <c r="I968" s="47"/>
      <c r="J968" s="37" t="s">
        <v>605</v>
      </c>
      <c r="K968" s="47"/>
      <c r="L968" s="47"/>
      <c r="M968" s="39"/>
      <c r="N968" s="39"/>
      <c r="O968" s="39"/>
      <c r="P968" s="39" t="s">
        <v>748</v>
      </c>
      <c r="Q968" s="17" t="str">
        <f t="shared" si="22"/>
        <v>ratefile</v>
      </c>
      <c r="R968" t="str">
        <f>VLOOKUP(E968,'Data Type Lookup'!$A$1:$C$21,3,FALSE)</f>
        <v>String</v>
      </c>
      <c r="S968" s="39"/>
      <c r="W968" t="str">
        <f t="shared" si="21"/>
        <v>RESOURCE_FILE.RATEFILE</v>
      </c>
      <c r="X968" t="str">
        <f>VLOOKUP(W968,ColumnMapping[New Table.Column],1,)</f>
        <v>RESOURCE_FILE.RATEFILE</v>
      </c>
      <c r="Y968" t="str">
        <f>_xlfn.XLOOKUP(Table6[[#This Row],[Table.Column]],ColumnMapping[Add Column Name],ColumnMapping[Old Table.Column],"",0,1)</f>
        <v/>
      </c>
      <c r="Z968" t="str">
        <f>_xlfn.XLOOKUP(Table6[[#This Row],[Old Table.Column]],Cobra8.6[Table.Column],Cobra8.6[TYPE],"",0,1)</f>
        <v/>
      </c>
      <c r="AA968" t="str">
        <f>_xlfn.XLOOKUP(Table6[[#This Row],[Old Table.Column]],Cobra8.6[Table.Column],Cobra8.6[LENGTH],"",0,1)</f>
        <v/>
      </c>
      <c r="AB968" s="49" t="s">
        <v>32</v>
      </c>
    </row>
    <row r="969" spans="1:28" hidden="1" x14ac:dyDescent="0.2">
      <c r="A969" t="s">
        <v>1451</v>
      </c>
      <c r="B969" t="s">
        <v>1520</v>
      </c>
      <c r="C969" t="s">
        <v>30</v>
      </c>
      <c r="D969">
        <v>1</v>
      </c>
      <c r="E969" t="s">
        <v>31</v>
      </c>
      <c r="F969" t="str">
        <f>VLOOKUP($E969,'Data Type Lookup'!$A$1:$C$21,2,FALSE)</f>
        <v>RAW(16)</v>
      </c>
      <c r="I969" s="32" t="s">
        <v>32</v>
      </c>
      <c r="K969" s="32" t="s">
        <v>32</v>
      </c>
      <c r="P969" t="s">
        <v>1521</v>
      </c>
      <c r="Q969" t="s">
        <v>34</v>
      </c>
      <c r="R969" t="str">
        <f>VLOOKUP(E969,'Data Type Lookup'!$A$1:$C$21,3,FALSE)</f>
        <v>java.util.UUID</v>
      </c>
      <c r="S969">
        <v>3</v>
      </c>
      <c r="W969" t="str">
        <f t="shared" si="21"/>
        <v>RESOURCE_FILE_COST_RESULT.ROW_UID</v>
      </c>
      <c r="X969" t="str">
        <f>VLOOKUP(W969,ColumnMapping[New Table.Column],1,)</f>
        <v>RESOURCE_FILE_COST_RESULT.ROW_UID</v>
      </c>
      <c r="Y969" t="str">
        <f>_xlfn.XLOOKUP(Table6[[#This Row],[Table.Column]],ColumnMapping[Add Column Name],ColumnMapping[Old Table.Column],"",0,1)</f>
        <v/>
      </c>
      <c r="Z969" t="str">
        <f>_xlfn.XLOOKUP(Table6[[#This Row],[Old Table.Column]],Cobra8.6[Table.Column],Cobra8.6[TYPE],"",0,1)</f>
        <v/>
      </c>
      <c r="AA969" t="str">
        <f>_xlfn.XLOOKUP(Table6[[#This Row],[Old Table.Column]],Cobra8.6[Table.Column],Cobra8.6[LENGTH],"",0,1)</f>
        <v/>
      </c>
      <c r="AB969"/>
    </row>
    <row r="970" spans="1:28" hidden="1" x14ac:dyDescent="0.2">
      <c r="A970" t="s">
        <v>1451</v>
      </c>
      <c r="B970" t="s">
        <v>1520</v>
      </c>
      <c r="C970" t="s">
        <v>35</v>
      </c>
      <c r="D970">
        <v>2</v>
      </c>
      <c r="E970" t="s">
        <v>36</v>
      </c>
      <c r="F970" t="str">
        <f>VLOOKUP($E970,'Data Type Lookup'!$A$1:$C$21,2,FALSE)</f>
        <v>NUMBER(19,0)</v>
      </c>
      <c r="I970" s="32" t="s">
        <v>32</v>
      </c>
      <c r="J970" s="32">
        <v>0</v>
      </c>
      <c r="P970" t="s">
        <v>37</v>
      </c>
      <c r="Q970" t="s">
        <v>38</v>
      </c>
      <c r="R970" t="str">
        <f>VLOOKUP(E970,'Data Type Lookup'!$A$1:$C$21,3,FALSE)</f>
        <v>Long</v>
      </c>
      <c r="S970">
        <v>3</v>
      </c>
      <c r="W970" t="str">
        <f t="shared" ref="W970:W1035" si="23">_xlfn.CONCAT(B970,".",C970)</f>
        <v>RESOURCE_FILE_COST_RESULT.SEQUENCE</v>
      </c>
      <c r="X970" t="str">
        <f>VLOOKUP(W970,ColumnMapping[New Table.Column],1,)</f>
        <v>RESOURCE_FILE_COST_RESULT.SEQUENCE</v>
      </c>
      <c r="Y970" t="str">
        <f>_xlfn.XLOOKUP(Table6[[#This Row],[Table.Column]],ColumnMapping[Add Column Name],ColumnMapping[Old Table.Column],"",0,1)</f>
        <v/>
      </c>
      <c r="Z970" t="str">
        <f>_xlfn.XLOOKUP(Table6[[#This Row],[Old Table.Column]],Cobra8.6[Table.Column],Cobra8.6[TYPE],"",0,1)</f>
        <v/>
      </c>
      <c r="AA970" t="str">
        <f>_xlfn.XLOOKUP(Table6[[#This Row],[Old Table.Column]],Cobra8.6[Table.Column],Cobra8.6[LENGTH],"",0,1)</f>
        <v/>
      </c>
      <c r="AB970"/>
    </row>
    <row r="971" spans="1:28" hidden="1" x14ac:dyDescent="0.2">
      <c r="A971" t="s">
        <v>1451</v>
      </c>
      <c r="B971" t="s">
        <v>1520</v>
      </c>
      <c r="C971" t="s">
        <v>471</v>
      </c>
      <c r="D971">
        <v>3</v>
      </c>
      <c r="E971" t="s">
        <v>31</v>
      </c>
      <c r="F971" t="str">
        <f>VLOOKUP($E971,'Data Type Lookup'!$A$1:$C$21,2,FALSE)</f>
        <v>RAW(16)</v>
      </c>
      <c r="I971" s="32" t="s">
        <v>32</v>
      </c>
      <c r="M971" t="s">
        <v>472</v>
      </c>
      <c r="N971" t="s">
        <v>30</v>
      </c>
      <c r="O971" t="s">
        <v>41</v>
      </c>
      <c r="P971" t="s">
        <v>473</v>
      </c>
      <c r="Q971" t="s">
        <v>474</v>
      </c>
      <c r="R971" t="str">
        <f>VLOOKUP(E971,'Data Type Lookup'!$A$1:$C$21,3,FALSE)</f>
        <v>java.util.UUID</v>
      </c>
      <c r="S971">
        <v>1</v>
      </c>
      <c r="W971" t="str">
        <f t="shared" si="23"/>
        <v>RESOURCE_FILE_COST_RESULT.RESOURCE_FILE_UID</v>
      </c>
      <c r="X971" t="str">
        <f>VLOOKUP(W971,ColumnMapping[New Table.Column],1,)</f>
        <v>RESOURCE_FILE_COST_RESULT.RESOURCE_FILE_UID</v>
      </c>
      <c r="Y971" t="str">
        <f>_xlfn.XLOOKUP(Table6[[#This Row],[Table.Column]],ColumnMapping[Add Column Name],ColumnMapping[Old Table.Column],"",0,1)</f>
        <v/>
      </c>
      <c r="Z971" t="str">
        <f>_xlfn.XLOOKUP(Table6[[#This Row],[Old Table.Column]],Cobra8.6[Table.Column],Cobra8.6[TYPE],"",0,1)</f>
        <v/>
      </c>
      <c r="AA971" t="str">
        <f>_xlfn.XLOOKUP(Table6[[#This Row],[Old Table.Column]],Cobra8.6[Table.Column],Cobra8.6[LENGTH],"",0,1)</f>
        <v/>
      </c>
      <c r="AB971"/>
    </row>
    <row r="972" spans="1:28" hidden="1" x14ac:dyDescent="0.2">
      <c r="A972" t="s">
        <v>1451</v>
      </c>
      <c r="B972" t="s">
        <v>1520</v>
      </c>
      <c r="C972" t="s">
        <v>1419</v>
      </c>
      <c r="D972">
        <v>4</v>
      </c>
      <c r="E972" t="s">
        <v>31</v>
      </c>
      <c r="F972" t="str">
        <f>VLOOKUP($E972,'Data Type Lookup'!$A$1:$C$21,2,FALSE)</f>
        <v>RAW(16)</v>
      </c>
      <c r="M972" t="s">
        <v>1420</v>
      </c>
      <c r="N972" t="s">
        <v>30</v>
      </c>
      <c r="O972" t="s">
        <v>41</v>
      </c>
      <c r="P972" t="s">
        <v>1421</v>
      </c>
      <c r="Q972" t="s">
        <v>1422</v>
      </c>
      <c r="R972" t="str">
        <f>VLOOKUP(E972,'Data Type Lookup'!$A$1:$C$21,3,FALSE)</f>
        <v>java.util.UUID</v>
      </c>
      <c r="S972">
        <v>1</v>
      </c>
      <c r="W972" t="str">
        <f t="shared" si="23"/>
        <v>RESOURCE_FILE_COST_RESULT.RATE_SET_UID</v>
      </c>
      <c r="X972" t="str">
        <f>VLOOKUP(W972,ColumnMapping[New Table.Column],1,)</f>
        <v>RESOURCE_FILE_COST_RESULT.RATE_SET_UID</v>
      </c>
      <c r="Y972" t="str">
        <f>_xlfn.XLOOKUP(Table6[[#This Row],[Table.Column]],ColumnMapping[Add Column Name],ColumnMapping[Old Table.Column],"",0,1)</f>
        <v/>
      </c>
      <c r="Z972" t="str">
        <f>_xlfn.XLOOKUP(Table6[[#This Row],[Old Table.Column]],Cobra8.6[Table.Column],Cobra8.6[TYPE],"",0,1)</f>
        <v/>
      </c>
      <c r="AA972" t="str">
        <f>_xlfn.XLOOKUP(Table6[[#This Row],[Old Table.Column]],Cobra8.6[Table.Column],Cobra8.6[LENGTH],"",0,1)</f>
        <v/>
      </c>
      <c r="AB972"/>
    </row>
    <row r="973" spans="1:28" hidden="1" x14ac:dyDescent="0.2">
      <c r="A973" t="s">
        <v>1451</v>
      </c>
      <c r="B973" t="s">
        <v>1520</v>
      </c>
      <c r="C973" t="s">
        <v>1454</v>
      </c>
      <c r="D973">
        <v>5</v>
      </c>
      <c r="E973" t="s">
        <v>52</v>
      </c>
      <c r="F973" t="str">
        <f>VLOOKUP($E973,'Data Type Lookup'!$A$1:$C$21,2,FALSE)</f>
        <v>NUMBER(5,0)</v>
      </c>
      <c r="I973" s="32" t="s">
        <v>32</v>
      </c>
      <c r="J973" s="32">
        <v>0</v>
      </c>
      <c r="P973" t="s">
        <v>1455</v>
      </c>
      <c r="Q973" t="s">
        <v>1456</v>
      </c>
      <c r="R973" t="str">
        <f>VLOOKUP(E973,'Data Type Lookup'!$A$1:$C$21,3,FALSE)</f>
        <v>Short</v>
      </c>
      <c r="W973" t="str">
        <f t="shared" si="23"/>
        <v>RESOURCE_FILE_COST_RESULT.LINE</v>
      </c>
      <c r="X973" t="str">
        <f>VLOOKUP(W973,ColumnMapping[New Table.Column],1,)</f>
        <v>RESOURCE_FILE_COST_RESULT.LINE</v>
      </c>
      <c r="Y973" t="str">
        <f>_xlfn.XLOOKUP(Table6[[#This Row],[Table.Column]],ColumnMapping[Add Column Name],ColumnMapping[Old Table.Column],"",0,1)</f>
        <v/>
      </c>
      <c r="Z973" t="str">
        <f>_xlfn.XLOOKUP(Table6[[#This Row],[Old Table.Column]],Cobra8.6[Table.Column],Cobra8.6[TYPE],"",0,1)</f>
        <v/>
      </c>
      <c r="AA973" t="str">
        <f>_xlfn.XLOOKUP(Table6[[#This Row],[Old Table.Column]],Cobra8.6[Table.Column],Cobra8.6[LENGTH],"",0,1)</f>
        <v/>
      </c>
      <c r="AB973"/>
    </row>
    <row r="974" spans="1:28" hidden="1" x14ac:dyDescent="0.2">
      <c r="A974" t="s">
        <v>1451</v>
      </c>
      <c r="B974" t="s">
        <v>1520</v>
      </c>
      <c r="C974" t="s">
        <v>1457</v>
      </c>
      <c r="D974">
        <v>6</v>
      </c>
      <c r="E974" t="s">
        <v>48</v>
      </c>
      <c r="F974" t="str">
        <f>VLOOKUP($E974,'Data Type Lookup'!$A$1:$C$21,2,FALSE)</f>
        <v>NVARCHAR2</v>
      </c>
      <c r="G974">
        <v>10</v>
      </c>
      <c r="I974" s="32" t="s">
        <v>32</v>
      </c>
      <c r="P974" t="s">
        <v>866</v>
      </c>
      <c r="Q974" t="s">
        <v>1458</v>
      </c>
      <c r="R974" t="str">
        <f>VLOOKUP(E974,'Data Type Lookup'!$A$1:$C$21,3,FALSE)</f>
        <v>String</v>
      </c>
      <c r="W974" t="str">
        <f t="shared" si="23"/>
        <v>RESOURCE_FILE_COST_RESULT.RESULT_FIELD</v>
      </c>
      <c r="X974" t="str">
        <f>VLOOKUP(W974,ColumnMapping[New Table.Column],1,)</f>
        <v>RESOURCE_FILE_COST_RESULT.RESULT_FIELD</v>
      </c>
      <c r="Y974" t="str">
        <f>_xlfn.XLOOKUP(Table6[[#This Row],[Table.Column]],ColumnMapping[Add Column Name],ColumnMapping[Old Table.Column],"",0,1)</f>
        <v/>
      </c>
      <c r="Z974" t="str">
        <f>_xlfn.XLOOKUP(Table6[[#This Row],[Old Table.Column]],Cobra8.6[Table.Column],Cobra8.6[TYPE],"",0,1)</f>
        <v/>
      </c>
      <c r="AA974" t="str">
        <f>_xlfn.XLOOKUP(Table6[[#This Row],[Old Table.Column]],Cobra8.6[Table.Column],Cobra8.6[LENGTH],"",0,1)</f>
        <v/>
      </c>
      <c r="AB974"/>
    </row>
    <row r="975" spans="1:28" hidden="1" x14ac:dyDescent="0.2">
      <c r="A975" t="s">
        <v>1451</v>
      </c>
      <c r="B975" t="s">
        <v>1520</v>
      </c>
      <c r="C975" t="s">
        <v>1459</v>
      </c>
      <c r="D975">
        <v>7</v>
      </c>
      <c r="E975" t="s">
        <v>48</v>
      </c>
      <c r="F975" t="str">
        <f>VLOOKUP($E975,'Data Type Lookup'!$A$1:$C$21,2,FALSE)</f>
        <v>NVARCHAR2</v>
      </c>
      <c r="G975">
        <v>20</v>
      </c>
      <c r="I975" s="32" t="s">
        <v>32</v>
      </c>
      <c r="P975" t="s">
        <v>1460</v>
      </c>
      <c r="Q975" t="s">
        <v>1461</v>
      </c>
      <c r="R975" t="str">
        <f>VLOOKUP(E975,'Data Type Lookup'!$A$1:$C$21,3,FALSE)</f>
        <v>String</v>
      </c>
      <c r="W975" t="str">
        <f t="shared" si="23"/>
        <v>RESOURCE_FILE_COST_RESULT.RESULT_LABEL</v>
      </c>
      <c r="X975" t="str">
        <f>VLOOKUP(W975,ColumnMapping[New Table.Column],1,)</f>
        <v>RESOURCE_FILE_COST_RESULT.RESULT_LABEL</v>
      </c>
      <c r="Y975" t="str">
        <f>_xlfn.XLOOKUP(Table6[[#This Row],[Table.Column]],ColumnMapping[Add Column Name],ColumnMapping[Old Table.Column],"",0,1)</f>
        <v/>
      </c>
      <c r="Z975" t="str">
        <f>_xlfn.XLOOKUP(Table6[[#This Row],[Old Table.Column]],Cobra8.6[Table.Column],Cobra8.6[TYPE],"",0,1)</f>
        <v/>
      </c>
      <c r="AA975" t="str">
        <f>_xlfn.XLOOKUP(Table6[[#This Row],[Old Table.Column]],Cobra8.6[Table.Column],Cobra8.6[LENGTH],"",0,1)</f>
        <v/>
      </c>
      <c r="AB975"/>
    </row>
    <row r="976" spans="1:28" hidden="1" x14ac:dyDescent="0.2">
      <c r="A976" t="s">
        <v>1451</v>
      </c>
      <c r="B976" t="s">
        <v>1520</v>
      </c>
      <c r="C976" t="s">
        <v>862</v>
      </c>
      <c r="D976">
        <v>8</v>
      </c>
      <c r="E976" t="s">
        <v>48</v>
      </c>
      <c r="F976" t="str">
        <f>VLOOKUP($E976,'Data Type Lookup'!$A$1:$C$21,2,FALSE)</f>
        <v>NVARCHAR2</v>
      </c>
      <c r="G976">
        <v>1</v>
      </c>
      <c r="I976" s="32" t="s">
        <v>32</v>
      </c>
      <c r="P976" t="s">
        <v>1522</v>
      </c>
      <c r="Q976" t="s">
        <v>864</v>
      </c>
      <c r="R976" t="str">
        <f>VLOOKUP(E976,'Data Type Lookup'!$A$1:$C$21,3,FALSE)</f>
        <v>String</v>
      </c>
      <c r="W976" t="str">
        <f t="shared" si="23"/>
        <v>RESOURCE_FILE_COST_RESULT.RESULT_CODE</v>
      </c>
      <c r="X976" t="str">
        <f>VLOOKUP(W976,ColumnMapping[New Table.Column],1,)</f>
        <v>RESOURCE_FILE_COST_RESULT.RESULT_CODE</v>
      </c>
      <c r="Y976" t="str">
        <f>_xlfn.XLOOKUP(Table6[[#This Row],[Table.Column]],ColumnMapping[Add Column Name],ColumnMapping[Old Table.Column],"",0,1)</f>
        <v/>
      </c>
      <c r="Z976" t="str">
        <f>_xlfn.XLOOKUP(Table6[[#This Row],[Old Table.Column]],Cobra8.6[Table.Column],Cobra8.6[TYPE],"",0,1)</f>
        <v/>
      </c>
      <c r="AA976" t="str">
        <f>_xlfn.XLOOKUP(Table6[[#This Row],[Old Table.Column]],Cobra8.6[Table.Column],Cobra8.6[LENGTH],"",0,1)</f>
        <v/>
      </c>
      <c r="AB976"/>
    </row>
    <row r="977" spans="1:28" hidden="1" x14ac:dyDescent="0.2">
      <c r="A977" t="s">
        <v>1451</v>
      </c>
      <c r="B977" t="s">
        <v>1520</v>
      </c>
      <c r="C977" t="s">
        <v>1463</v>
      </c>
      <c r="D977">
        <v>9</v>
      </c>
      <c r="E977" t="s">
        <v>48</v>
      </c>
      <c r="F977" t="str">
        <f>VLOOKUP($E977,'Data Type Lookup'!$A$1:$C$21,2,FALSE)</f>
        <v>NVARCHAR2</v>
      </c>
      <c r="G977">
        <v>10</v>
      </c>
      <c r="I977" s="32" t="s">
        <v>32</v>
      </c>
      <c r="P977" t="s">
        <v>1464</v>
      </c>
      <c r="Q977" t="s">
        <v>1465</v>
      </c>
      <c r="R977" t="str">
        <f>VLOOKUP(E977,'Data Type Lookup'!$A$1:$C$21,3,FALSE)</f>
        <v>String</v>
      </c>
      <c r="W977" t="str">
        <f t="shared" si="23"/>
        <v>RESOURCE_FILE_COST_RESULT.UNITS</v>
      </c>
      <c r="X977" t="str">
        <f>VLOOKUP(W977,ColumnMapping[New Table.Column],1,)</f>
        <v>RESOURCE_FILE_COST_RESULT.UNITS</v>
      </c>
      <c r="Y977" t="str">
        <f>_xlfn.XLOOKUP(Table6[[#This Row],[Table.Column]],ColumnMapping[Add Column Name],ColumnMapping[Old Table.Column],"",0,1)</f>
        <v/>
      </c>
      <c r="Z977" t="str">
        <f>_xlfn.XLOOKUP(Table6[[#This Row],[Old Table.Column]],Cobra8.6[Table.Column],Cobra8.6[TYPE],"",0,1)</f>
        <v/>
      </c>
      <c r="AA977" t="str">
        <f>_xlfn.XLOOKUP(Table6[[#This Row],[Old Table.Column]],Cobra8.6[Table.Column],Cobra8.6[LENGTH],"",0,1)</f>
        <v/>
      </c>
      <c r="AB977"/>
    </row>
    <row r="978" spans="1:28" hidden="1" x14ac:dyDescent="0.2">
      <c r="A978" t="s">
        <v>1451</v>
      </c>
      <c r="B978" t="s">
        <v>1520</v>
      </c>
      <c r="C978" t="s">
        <v>868</v>
      </c>
      <c r="D978">
        <v>10</v>
      </c>
      <c r="E978" t="s">
        <v>288</v>
      </c>
      <c r="F978" t="str">
        <f>VLOOKUP($E978,'Data Type Lookup'!$A$1:$C$21,2,FALSE)</f>
        <v>NUMBER(1,0)</v>
      </c>
      <c r="I978" s="32" t="s">
        <v>32</v>
      </c>
      <c r="J978" s="37">
        <v>0</v>
      </c>
      <c r="P978" t="s">
        <v>1466</v>
      </c>
      <c r="Q978" t="s">
        <v>870</v>
      </c>
      <c r="R978" t="str">
        <f>VLOOKUP(E978,'Data Type Lookup'!$A$1:$C$21,3,FALSE)</f>
        <v>Boolean</v>
      </c>
      <c r="W978" t="str">
        <f t="shared" si="23"/>
        <v>RESOURCE_FILE_COST_RESULT.CURRENCY</v>
      </c>
      <c r="X978" t="str">
        <f>VLOOKUP(W978,ColumnMapping[New Table.Column],1,)</f>
        <v>RESOURCE_FILE_COST_RESULT.CURRENCY</v>
      </c>
      <c r="Y978" t="str">
        <f>_xlfn.XLOOKUP(Table6[[#This Row],[Table.Column]],ColumnMapping[Add Column Name],ColumnMapping[Old Table.Column],"",0,1)</f>
        <v/>
      </c>
      <c r="Z978" t="str">
        <f>_xlfn.XLOOKUP(Table6[[#This Row],[Old Table.Column]],Cobra8.6[Table.Column],Cobra8.6[TYPE],"",0,1)</f>
        <v/>
      </c>
      <c r="AA978" t="str">
        <f>_xlfn.XLOOKUP(Table6[[#This Row],[Old Table.Column]],Cobra8.6[Table.Column],Cobra8.6[LENGTH],"",0,1)</f>
        <v/>
      </c>
      <c r="AB978"/>
    </row>
    <row r="979" spans="1:28" hidden="1" x14ac:dyDescent="0.2">
      <c r="A979" t="s">
        <v>1451</v>
      </c>
      <c r="B979" t="s">
        <v>1520</v>
      </c>
      <c r="C979" t="s">
        <v>61</v>
      </c>
      <c r="D979">
        <v>11</v>
      </c>
      <c r="E979" t="s">
        <v>31</v>
      </c>
      <c r="F979" t="str">
        <f>VLOOKUP($E979,'Data Type Lookup'!$A$1:$C$21,2,FALSE)</f>
        <v>RAW(16)</v>
      </c>
      <c r="I979" s="32" t="s">
        <v>32</v>
      </c>
      <c r="P979" t="s">
        <v>1523</v>
      </c>
      <c r="Q979" t="s">
        <v>63</v>
      </c>
      <c r="R979" t="str">
        <f>VLOOKUP(E979,'Data Type Lookup'!$A$1:$C$21,3,FALSE)</f>
        <v>java.util.UUID</v>
      </c>
      <c r="S979">
        <v>2</v>
      </c>
      <c r="W979" t="str">
        <f t="shared" si="23"/>
        <v>RESOURCE_FILE_COST_RESULT.CREATED_BY_USER_UID</v>
      </c>
      <c r="X979" t="str">
        <f>VLOOKUP(W979,ColumnMapping[New Table.Column],1,)</f>
        <v>RESOURCE_FILE_COST_RESULT.CREATED_BY_USER_UID</v>
      </c>
      <c r="Y979" t="str">
        <f>_xlfn.XLOOKUP(Table6[[#This Row],[Table.Column]],ColumnMapping[Add Column Name],ColumnMapping[Old Table.Column],"",0,1)</f>
        <v/>
      </c>
      <c r="Z979" t="str">
        <f>_xlfn.XLOOKUP(Table6[[#This Row],[Old Table.Column]],Cobra8.6[Table.Column],Cobra8.6[TYPE],"",0,1)</f>
        <v/>
      </c>
      <c r="AA979" t="str">
        <f>_xlfn.XLOOKUP(Table6[[#This Row],[Old Table.Column]],Cobra8.6[Table.Column],Cobra8.6[LENGTH],"",0,1)</f>
        <v/>
      </c>
      <c r="AB979"/>
    </row>
    <row r="980" spans="1:28" hidden="1" x14ac:dyDescent="0.2">
      <c r="A980" t="s">
        <v>1451</v>
      </c>
      <c r="B980" t="s">
        <v>1520</v>
      </c>
      <c r="C980" t="s">
        <v>64</v>
      </c>
      <c r="D980">
        <v>12</v>
      </c>
      <c r="E980" t="s">
        <v>65</v>
      </c>
      <c r="F980" t="str">
        <f>VLOOKUP($E980,'Data Type Lookup'!$A$1:$C$21,2,FALSE)</f>
        <v>TIMESTAMP</v>
      </c>
      <c r="I980" s="32" t="s">
        <v>32</v>
      </c>
      <c r="P980" t="s">
        <v>1524</v>
      </c>
      <c r="Q980" t="s">
        <v>67</v>
      </c>
      <c r="R980" t="str">
        <f>VLOOKUP(E980,'Data Type Lookup'!$A$1:$C$21,3,FALSE)</f>
        <v>java.time.Instant</v>
      </c>
      <c r="S980">
        <v>2</v>
      </c>
      <c r="W980" t="str">
        <f t="shared" si="23"/>
        <v>RESOURCE_FILE_COST_RESULT.CREATED_DATE</v>
      </c>
      <c r="X980" t="str">
        <f>VLOOKUP(W980,ColumnMapping[New Table.Column],1,)</f>
        <v>RESOURCE_FILE_COST_RESULT.CREATED_DATE</v>
      </c>
      <c r="Y980" t="str">
        <f>_xlfn.XLOOKUP(Table6[[#This Row],[Table.Column]],ColumnMapping[Add Column Name],ColumnMapping[Old Table.Column],"",0,1)</f>
        <v/>
      </c>
      <c r="Z980" t="str">
        <f>_xlfn.XLOOKUP(Table6[[#This Row],[Old Table.Column]],Cobra8.6[Table.Column],Cobra8.6[TYPE],"",0,1)</f>
        <v/>
      </c>
      <c r="AA980" t="str">
        <f>_xlfn.XLOOKUP(Table6[[#This Row],[Old Table.Column]],Cobra8.6[Table.Column],Cobra8.6[LENGTH],"",0,1)</f>
        <v/>
      </c>
      <c r="AB980"/>
    </row>
    <row r="981" spans="1:28" hidden="1" x14ac:dyDescent="0.2">
      <c r="A981" t="s">
        <v>1451</v>
      </c>
      <c r="B981" t="s">
        <v>1520</v>
      </c>
      <c r="C981" t="s">
        <v>68</v>
      </c>
      <c r="D981">
        <v>13</v>
      </c>
      <c r="E981" t="s">
        <v>31</v>
      </c>
      <c r="F981" t="str">
        <f>VLOOKUP($E981,'Data Type Lookup'!$A$1:$C$21,2,FALSE)</f>
        <v>RAW(16)</v>
      </c>
      <c r="I981" s="32" t="s">
        <v>32</v>
      </c>
      <c r="P981" t="s">
        <v>1525</v>
      </c>
      <c r="Q981" t="s">
        <v>70</v>
      </c>
      <c r="R981" t="str">
        <f>VLOOKUP(E981,'Data Type Lookup'!$A$1:$C$21,3,FALSE)</f>
        <v>java.util.UUID</v>
      </c>
      <c r="S981">
        <v>2</v>
      </c>
      <c r="W981" t="str">
        <f t="shared" si="23"/>
        <v>RESOURCE_FILE_COST_RESULT.LAST_MODIFIED_BY_USER_UID</v>
      </c>
      <c r="X981" t="str">
        <f>VLOOKUP(W981,ColumnMapping[New Table.Column],1,)</f>
        <v>RESOURCE_FILE_COST_RESULT.LAST_MODIFIED_BY_USER_UID</v>
      </c>
      <c r="Y981" t="str">
        <f>_xlfn.XLOOKUP(Table6[[#This Row],[Table.Column]],ColumnMapping[Add Column Name],ColumnMapping[Old Table.Column],"",0,1)</f>
        <v/>
      </c>
      <c r="Z981" t="str">
        <f>_xlfn.XLOOKUP(Table6[[#This Row],[Old Table.Column]],Cobra8.6[Table.Column],Cobra8.6[TYPE],"",0,1)</f>
        <v/>
      </c>
      <c r="AA981" t="str">
        <f>_xlfn.XLOOKUP(Table6[[#This Row],[Old Table.Column]],Cobra8.6[Table.Column],Cobra8.6[LENGTH],"",0,1)</f>
        <v/>
      </c>
      <c r="AB981"/>
    </row>
    <row r="982" spans="1:28" hidden="1" x14ac:dyDescent="0.2">
      <c r="A982" t="s">
        <v>1451</v>
      </c>
      <c r="B982" t="s">
        <v>1520</v>
      </c>
      <c r="C982" t="s">
        <v>71</v>
      </c>
      <c r="D982">
        <v>14</v>
      </c>
      <c r="E982" t="s">
        <v>65</v>
      </c>
      <c r="F982" t="str">
        <f>VLOOKUP($E982,'Data Type Lookup'!$A$1:$C$21,2,FALSE)</f>
        <v>TIMESTAMP</v>
      </c>
      <c r="I982" s="32" t="s">
        <v>32</v>
      </c>
      <c r="P982" t="s">
        <v>1526</v>
      </c>
      <c r="Q982" t="s">
        <v>73</v>
      </c>
      <c r="R982" t="str">
        <f>VLOOKUP(E982,'Data Type Lookup'!$A$1:$C$21,3,FALSE)</f>
        <v>java.time.Instant</v>
      </c>
      <c r="S982">
        <v>2</v>
      </c>
      <c r="W982" t="str">
        <f t="shared" si="23"/>
        <v>RESOURCE_FILE_COST_RESULT.LAST_MODIFIED_DATE</v>
      </c>
      <c r="X982" t="str">
        <f>VLOOKUP(W982,ColumnMapping[New Table.Column],1,)</f>
        <v>RESOURCE_FILE_COST_RESULT.LAST_MODIFIED_DATE</v>
      </c>
      <c r="Y982" t="str">
        <f>_xlfn.XLOOKUP(Table6[[#This Row],[Table.Column]],ColumnMapping[Add Column Name],ColumnMapping[Old Table.Column],"",0,1)</f>
        <v/>
      </c>
      <c r="Z982" t="str">
        <f>_xlfn.XLOOKUP(Table6[[#This Row],[Old Table.Column]],Cobra8.6[Table.Column],Cobra8.6[TYPE],"",0,1)</f>
        <v/>
      </c>
      <c r="AA982" t="str">
        <f>_xlfn.XLOOKUP(Table6[[#This Row],[Old Table.Column]],Cobra8.6[Table.Column],Cobra8.6[LENGTH],"",0,1)</f>
        <v/>
      </c>
      <c r="AB982"/>
    </row>
    <row r="983" spans="1:28" hidden="1" x14ac:dyDescent="0.2">
      <c r="A983" t="s">
        <v>1451</v>
      </c>
      <c r="B983" t="s">
        <v>1520</v>
      </c>
      <c r="C983" t="s">
        <v>1501</v>
      </c>
      <c r="D983" s="39">
        <v>15</v>
      </c>
      <c r="E983" s="39" t="s">
        <v>86</v>
      </c>
      <c r="F983" s="39" t="s">
        <v>349</v>
      </c>
      <c r="G983" s="39">
        <v>22</v>
      </c>
      <c r="H983" s="39"/>
      <c r="I983" s="47"/>
      <c r="J983" s="37" t="s">
        <v>605</v>
      </c>
      <c r="K983" s="47"/>
      <c r="L983" s="47"/>
      <c r="M983" s="39"/>
      <c r="N983" s="39"/>
      <c r="O983" s="39"/>
      <c r="P983" s="39" t="s">
        <v>636</v>
      </c>
      <c r="Q983" s="39" t="s">
        <v>1502</v>
      </c>
      <c r="R983" t="str">
        <f>VLOOKUP(E983,'Data Type Lookup'!$A$1:$C$21,3,FALSE)</f>
        <v>String</v>
      </c>
      <c r="S983" s="39"/>
      <c r="W983" t="str">
        <f t="shared" si="23"/>
        <v>RESOURCE_FILE_COST_RESULT.CALCFILE</v>
      </c>
      <c r="X983" t="e">
        <f>VLOOKUP(W983,ColumnMapping[New Table.Column],1,)</f>
        <v>#N/A</v>
      </c>
      <c r="Y983" t="str">
        <f>_xlfn.XLOOKUP(Table6[[#This Row],[Table.Column]],ColumnMapping[Add Column Name],ColumnMapping[Old Table.Column],"",0,1)</f>
        <v/>
      </c>
      <c r="Z983" t="str">
        <f>_xlfn.XLOOKUP(Table6[[#This Row],[Old Table.Column]],Cobra8.6[Table.Column],Cobra8.6[TYPE],"",0,1)</f>
        <v/>
      </c>
      <c r="AA983" t="str">
        <f>_xlfn.XLOOKUP(Table6[[#This Row],[Old Table.Column]],Cobra8.6[Table.Column],Cobra8.6[LENGTH],"",0,1)</f>
        <v/>
      </c>
      <c r="AB983" t="s">
        <v>32</v>
      </c>
    </row>
    <row r="984" spans="1:28" hidden="1" x14ac:dyDescent="0.2">
      <c r="A984" t="s">
        <v>1451</v>
      </c>
      <c r="B984" t="s">
        <v>1520</v>
      </c>
      <c r="C984" s="39" t="s">
        <v>1527</v>
      </c>
      <c r="D984" s="39">
        <v>16</v>
      </c>
      <c r="E984" s="39" t="s">
        <v>86</v>
      </c>
      <c r="F984" s="39" t="s">
        <v>349</v>
      </c>
      <c r="G984" s="39">
        <v>59</v>
      </c>
      <c r="H984" s="39"/>
      <c r="I984" s="47"/>
      <c r="J984" s="37" t="s">
        <v>605</v>
      </c>
      <c r="K984" s="47"/>
      <c r="L984" s="47"/>
      <c r="M984" s="39"/>
      <c r="N984" s="39"/>
      <c r="O984" s="39"/>
      <c r="P984" s="39" t="s">
        <v>1435</v>
      </c>
      <c r="Q984" s="39" t="s">
        <v>1436</v>
      </c>
      <c r="R984" t="str">
        <f>VLOOKUP(E984,'Data Type Lookup'!$A$1:$C$21,3,FALSE)</f>
        <v>String</v>
      </c>
      <c r="S984" s="39"/>
      <c r="W984" t="str">
        <f t="shared" si="23"/>
        <v>RESOURCE_FILE_COST_RESULT.RATETABLE</v>
      </c>
      <c r="X984" t="e">
        <f>VLOOKUP(W984,ColumnMapping[New Table.Column],1,)</f>
        <v>#N/A</v>
      </c>
      <c r="Y984" t="str">
        <f>_xlfn.XLOOKUP(Table6[[#This Row],[Table.Column]],ColumnMapping[Add Column Name],ColumnMapping[Old Table.Column],"",0,1)</f>
        <v/>
      </c>
      <c r="Z984" t="str">
        <f>_xlfn.XLOOKUP(Table6[[#This Row],[Old Table.Column]],Cobra8.6[Table.Column],Cobra8.6[TYPE],"",0,1)</f>
        <v/>
      </c>
      <c r="AA984" t="str">
        <f>_xlfn.XLOOKUP(Table6[[#This Row],[Old Table.Column]],Cobra8.6[Table.Column],Cobra8.6[LENGTH],"",0,1)</f>
        <v/>
      </c>
      <c r="AB984" t="s">
        <v>32</v>
      </c>
    </row>
    <row r="985" spans="1:28" hidden="1" x14ac:dyDescent="0.2">
      <c r="A985" t="s">
        <v>1451</v>
      </c>
      <c r="B985" t="s">
        <v>1064</v>
      </c>
      <c r="C985" t="s">
        <v>30</v>
      </c>
      <c r="D985">
        <v>1</v>
      </c>
      <c r="E985" t="s">
        <v>31</v>
      </c>
      <c r="F985" t="str">
        <f>VLOOKUP($E985,'Data Type Lookup'!$A$1:$C$21,2,FALSE)</f>
        <v>RAW(16)</v>
      </c>
      <c r="I985" s="32" t="s">
        <v>32</v>
      </c>
      <c r="K985" s="32" t="s">
        <v>32</v>
      </c>
      <c r="P985" t="s">
        <v>1065</v>
      </c>
      <c r="Q985" t="s">
        <v>34</v>
      </c>
      <c r="R985" t="str">
        <f>VLOOKUP(E985,'Data Type Lookup'!$A$1:$C$21,3,FALSE)</f>
        <v>java.util.UUID</v>
      </c>
      <c r="S985">
        <v>3</v>
      </c>
      <c r="W985" t="str">
        <f t="shared" si="23"/>
        <v>RESOURCES.ROW_UID</v>
      </c>
      <c r="X985" t="str">
        <f>VLOOKUP(W985,ColumnMapping[New Table.Column],1,)</f>
        <v>RESOURCES.ROW_UID</v>
      </c>
      <c r="Y985" t="str">
        <f>_xlfn.XLOOKUP(Table6[[#This Row],[Table.Column]],ColumnMapping[Add Column Name],ColumnMapping[Old Table.Column],"",0,1)</f>
        <v/>
      </c>
      <c r="Z985" t="str">
        <f>_xlfn.XLOOKUP(Table6[[#This Row],[Old Table.Column]],Cobra8.6[Table.Column],Cobra8.6[TYPE],"",0,1)</f>
        <v/>
      </c>
      <c r="AA985" t="str">
        <f>_xlfn.XLOOKUP(Table6[[#This Row],[Old Table.Column]],Cobra8.6[Table.Column],Cobra8.6[LENGTH],"",0,1)</f>
        <v/>
      </c>
      <c r="AB985"/>
    </row>
    <row r="986" spans="1:28" hidden="1" x14ac:dyDescent="0.2">
      <c r="A986" t="s">
        <v>1451</v>
      </c>
      <c r="B986" t="s">
        <v>1064</v>
      </c>
      <c r="C986" t="s">
        <v>35</v>
      </c>
      <c r="D986">
        <v>2</v>
      </c>
      <c r="E986" t="s">
        <v>36</v>
      </c>
      <c r="F986" t="str">
        <f>VLOOKUP($E986,'Data Type Lookup'!$A$1:$C$21,2,FALSE)</f>
        <v>NUMBER(19,0)</v>
      </c>
      <c r="I986" s="32" t="s">
        <v>32</v>
      </c>
      <c r="J986" s="32">
        <v>0</v>
      </c>
      <c r="P986" t="s">
        <v>37</v>
      </c>
      <c r="Q986" t="s">
        <v>38</v>
      </c>
      <c r="R986" t="str">
        <f>VLOOKUP(E986,'Data Type Lookup'!$A$1:$C$21,3,FALSE)</f>
        <v>Long</v>
      </c>
      <c r="S986">
        <v>3</v>
      </c>
      <c r="W986" t="str">
        <f t="shared" si="23"/>
        <v>RESOURCES.SEQUENCE</v>
      </c>
      <c r="X986" t="str">
        <f>VLOOKUP(W986,ColumnMapping[New Table.Column],1,)</f>
        <v>RESOURCES.SEQUENCE</v>
      </c>
      <c r="Y986" t="str">
        <f>_xlfn.XLOOKUP(Table6[[#This Row],[Table.Column]],ColumnMapping[Add Column Name],ColumnMapping[Old Table.Column],"",0,1)</f>
        <v/>
      </c>
      <c r="Z986" t="str">
        <f>_xlfn.XLOOKUP(Table6[[#This Row],[Old Table.Column]],Cobra8.6[Table.Column],Cobra8.6[TYPE],"",0,1)</f>
        <v/>
      </c>
      <c r="AA986" t="str">
        <f>_xlfn.XLOOKUP(Table6[[#This Row],[Old Table.Column]],Cobra8.6[Table.Column],Cobra8.6[LENGTH],"",0,1)</f>
        <v/>
      </c>
      <c r="AB986"/>
    </row>
    <row r="987" spans="1:28" hidden="1" x14ac:dyDescent="0.2">
      <c r="A987" t="s">
        <v>1451</v>
      </c>
      <c r="B987" t="s">
        <v>1064</v>
      </c>
      <c r="C987" t="s">
        <v>471</v>
      </c>
      <c r="D987">
        <v>3</v>
      </c>
      <c r="E987" t="s">
        <v>31</v>
      </c>
      <c r="F987" t="str">
        <f>VLOOKUP($E987,'Data Type Lookup'!$A$1:$C$21,2,FALSE)</f>
        <v>RAW(16)</v>
      </c>
      <c r="I987" s="32" t="s">
        <v>32</v>
      </c>
      <c r="L987" s="32" t="s">
        <v>32</v>
      </c>
      <c r="M987" t="s">
        <v>472</v>
      </c>
      <c r="N987" t="s">
        <v>30</v>
      </c>
      <c r="O987" t="s">
        <v>41</v>
      </c>
      <c r="P987" t="s">
        <v>473</v>
      </c>
      <c r="Q987" t="s">
        <v>474</v>
      </c>
      <c r="R987" t="str">
        <f>VLOOKUP(E987,'Data Type Lookup'!$A$1:$C$21,3,FALSE)</f>
        <v>java.util.UUID</v>
      </c>
      <c r="S987">
        <v>1</v>
      </c>
      <c r="W987" t="str">
        <f t="shared" si="23"/>
        <v>RESOURCES.RESOURCE_FILE_UID</v>
      </c>
      <c r="X987" t="str">
        <f>VLOOKUP(W987,ColumnMapping[New Table.Column],1,)</f>
        <v>RESOURCES.RESOURCE_FILE_UID</v>
      </c>
      <c r="Y987" t="str">
        <f>_xlfn.XLOOKUP(Table6[[#This Row],[Table.Column]],ColumnMapping[Add Column Name],ColumnMapping[Old Table.Column],"",0,1)</f>
        <v/>
      </c>
      <c r="Z987" t="str">
        <f>_xlfn.XLOOKUP(Table6[[#This Row],[Old Table.Column]],Cobra8.6[Table.Column],Cobra8.6[TYPE],"",0,1)</f>
        <v/>
      </c>
      <c r="AA987" t="str">
        <f>_xlfn.XLOOKUP(Table6[[#This Row],[Old Table.Column]],Cobra8.6[Table.Column],Cobra8.6[LENGTH],"",0,1)</f>
        <v/>
      </c>
      <c r="AB987"/>
    </row>
    <row r="988" spans="1:28" hidden="1" x14ac:dyDescent="0.2">
      <c r="A988" t="s">
        <v>1451</v>
      </c>
      <c r="B988" t="s">
        <v>1064</v>
      </c>
      <c r="C988" t="s">
        <v>1528</v>
      </c>
      <c r="D988">
        <v>4</v>
      </c>
      <c r="E988" t="s">
        <v>31</v>
      </c>
      <c r="F988" t="str">
        <f>VLOOKUP($E988,'Data Type Lookup'!$A$1:$C$21,2,FALSE)</f>
        <v>RAW(16)</v>
      </c>
      <c r="M988" t="s">
        <v>1064</v>
      </c>
      <c r="N988" t="s">
        <v>30</v>
      </c>
      <c r="O988" t="s">
        <v>41</v>
      </c>
      <c r="P988" t="s">
        <v>1529</v>
      </c>
      <c r="Q988" t="s">
        <v>1530</v>
      </c>
      <c r="R988" t="str">
        <f>VLOOKUP(E988,'Data Type Lookup'!$A$1:$C$21,3,FALSE)</f>
        <v>java.util.UUID</v>
      </c>
      <c r="S988">
        <v>1</v>
      </c>
      <c r="W988" t="str">
        <f t="shared" si="23"/>
        <v>RESOURCES.PARENT_RESOURCES_UID</v>
      </c>
      <c r="X988" t="str">
        <f>VLOOKUP(W988,ColumnMapping[New Table.Column],1,)</f>
        <v>RESOURCES.PARENT_RESOURCES_UID</v>
      </c>
      <c r="Y988" t="str">
        <f>_xlfn.XLOOKUP(Table6[[#This Row],[Table.Column]],ColumnMapping[Add Column Name],ColumnMapping[Old Table.Column],"",0,1)</f>
        <v/>
      </c>
      <c r="Z988" t="str">
        <f>_xlfn.XLOOKUP(Table6[[#This Row],[Old Table.Column]],Cobra8.6[Table.Column],Cobra8.6[TYPE],"",0,1)</f>
        <v/>
      </c>
      <c r="AA988" t="str">
        <f>_xlfn.XLOOKUP(Table6[[#This Row],[Old Table.Column]],Cobra8.6[Table.Column],Cobra8.6[LENGTH],"",0,1)</f>
        <v/>
      </c>
      <c r="AB988"/>
    </row>
    <row r="989" spans="1:28" hidden="1" x14ac:dyDescent="0.2">
      <c r="A989" t="s">
        <v>1451</v>
      </c>
      <c r="B989" t="s">
        <v>1064</v>
      </c>
      <c r="C989" t="s">
        <v>47</v>
      </c>
      <c r="D989">
        <v>5</v>
      </c>
      <c r="E989" t="s">
        <v>48</v>
      </c>
      <c r="F989" t="str">
        <f>VLOOKUP($E989,'Data Type Lookup'!$A$1:$C$21,2,FALSE)</f>
        <v>NVARCHAR2</v>
      </c>
      <c r="G989">
        <v>100</v>
      </c>
      <c r="I989" s="32" t="s">
        <v>32</v>
      </c>
      <c r="L989" s="32" t="s">
        <v>32</v>
      </c>
      <c r="P989" t="s">
        <v>1531</v>
      </c>
      <c r="Q989" t="s">
        <v>50</v>
      </c>
      <c r="R989" t="str">
        <f>VLOOKUP(E989,'Data Type Lookup'!$A$1:$C$21,3,FALSE)</f>
        <v>String</v>
      </c>
      <c r="W989" t="str">
        <f t="shared" si="23"/>
        <v>RESOURCES.NAME</v>
      </c>
      <c r="X989" t="str">
        <f>VLOOKUP(W989,ColumnMapping[New Table.Column],1,)</f>
        <v>RESOURCES.NAME</v>
      </c>
      <c r="Y989" t="str">
        <f>_xlfn.XLOOKUP(Table6[[#This Row],[Table.Column]],ColumnMapping[Add Column Name],ColumnMapping[Old Table.Column],"",0,1)</f>
        <v/>
      </c>
      <c r="Z989" t="str">
        <f>_xlfn.XLOOKUP(Table6[[#This Row],[Old Table.Column]],Cobra8.6[Table.Column],Cobra8.6[TYPE],"",0,1)</f>
        <v/>
      </c>
      <c r="AA989" t="str">
        <f>_xlfn.XLOOKUP(Table6[[#This Row],[Old Table.Column]],Cobra8.6[Table.Column],Cobra8.6[LENGTH],"",0,1)</f>
        <v/>
      </c>
      <c r="AB989"/>
    </row>
    <row r="990" spans="1:28" hidden="1" x14ac:dyDescent="0.2">
      <c r="A990" t="s">
        <v>1451</v>
      </c>
      <c r="B990" t="s">
        <v>1064</v>
      </c>
      <c r="C990" t="s">
        <v>55</v>
      </c>
      <c r="D990">
        <v>6</v>
      </c>
      <c r="E990" t="s">
        <v>36</v>
      </c>
      <c r="F990" t="str">
        <f>VLOOKUP($E990,'Data Type Lookup'!$A$1:$C$21,2,FALSE)</f>
        <v>NUMBER(19,0)</v>
      </c>
      <c r="J990" s="32">
        <v>0</v>
      </c>
      <c r="P990" t="s">
        <v>1532</v>
      </c>
      <c r="Q990" t="s">
        <v>57</v>
      </c>
      <c r="R990" t="str">
        <f>VLOOKUP(E990,'Data Type Lookup'!$A$1:$C$21,3,FALSE)</f>
        <v>Long</v>
      </c>
      <c r="W990" t="str">
        <f t="shared" si="23"/>
        <v>RESOURCES.CHILD_COUNT</v>
      </c>
      <c r="X990" t="str">
        <f>VLOOKUP(W990,ColumnMapping[New Table.Column],1,)</f>
        <v>RESOURCES.CHILD_COUNT</v>
      </c>
      <c r="Y990" t="str">
        <f>_xlfn.XLOOKUP(Table6[[#This Row],[Table.Column]],ColumnMapping[Add Column Name],ColumnMapping[Old Table.Column],"",0,1)</f>
        <v/>
      </c>
      <c r="Z990" t="str">
        <f>_xlfn.XLOOKUP(Table6[[#This Row],[Old Table.Column]],Cobra8.6[Table.Column],Cobra8.6[TYPE],"",0,1)</f>
        <v/>
      </c>
      <c r="AA990" t="str">
        <f>_xlfn.XLOOKUP(Table6[[#This Row],[Old Table.Column]],Cobra8.6[Table.Column],Cobra8.6[LENGTH],"",0,1)</f>
        <v/>
      </c>
      <c r="AB990"/>
    </row>
    <row r="991" spans="1:28" hidden="1" x14ac:dyDescent="0.2">
      <c r="A991" t="s">
        <v>1451</v>
      </c>
      <c r="B991" t="s">
        <v>1064</v>
      </c>
      <c r="C991" t="s">
        <v>1533</v>
      </c>
      <c r="D991">
        <v>7</v>
      </c>
      <c r="E991" t="s">
        <v>36</v>
      </c>
      <c r="F991" t="str">
        <f>VLOOKUP($E991,'Data Type Lookup'!$A$1:$C$21,2,FALSE)</f>
        <v>NUMBER(19,0)</v>
      </c>
      <c r="J991" s="32">
        <v>1</v>
      </c>
      <c r="P991" t="s">
        <v>1534</v>
      </c>
      <c r="Q991" t="s">
        <v>1535</v>
      </c>
      <c r="R991" t="str">
        <f>VLOOKUP(E991,'Data Type Lookup'!$A$1:$C$21,3,FALSE)</f>
        <v>Long</v>
      </c>
      <c r="W991" t="str">
        <f t="shared" si="23"/>
        <v>RESOURCES.RESOURCE_LEVEL</v>
      </c>
      <c r="X991" t="str">
        <f>VLOOKUP(W991,ColumnMapping[New Table.Column],1,)</f>
        <v>RESOURCES.RESOURCE_LEVEL</v>
      </c>
      <c r="Y991" t="str">
        <f>_xlfn.XLOOKUP(Table6[[#This Row],[Table.Column]],ColumnMapping[Add Column Name],ColumnMapping[Old Table.Column],"",0,1)</f>
        <v/>
      </c>
      <c r="Z991" t="str">
        <f>_xlfn.XLOOKUP(Table6[[#This Row],[Old Table.Column]],Cobra8.6[Table.Column],Cobra8.6[TYPE],"",0,1)</f>
        <v/>
      </c>
      <c r="AA991" t="str">
        <f>_xlfn.XLOOKUP(Table6[[#This Row],[Old Table.Column]],Cobra8.6[Table.Column],Cobra8.6[LENGTH],"",0,1)</f>
        <v/>
      </c>
      <c r="AB991"/>
    </row>
    <row r="992" spans="1:28" hidden="1" x14ac:dyDescent="0.2">
      <c r="A992" t="s">
        <v>1451</v>
      </c>
      <c r="B992" t="s">
        <v>1064</v>
      </c>
      <c r="C992" t="s">
        <v>1015</v>
      </c>
      <c r="D992">
        <v>8</v>
      </c>
      <c r="E992" t="s">
        <v>86</v>
      </c>
      <c r="F992" t="str">
        <f>VLOOKUP($E992,'Data Type Lookup'!$A$1:$C$21,2,FALSE)</f>
        <v>VARCHAR2</v>
      </c>
      <c r="G992">
        <v>59</v>
      </c>
      <c r="J992" s="37"/>
      <c r="P992" t="s">
        <v>2616</v>
      </c>
      <c r="Q992" s="16" t="s">
        <v>1536</v>
      </c>
      <c r="R992" t="str">
        <f>VLOOKUP(E992,'Data Type Lookup'!$A$1:$C$21,3,FALSE)</f>
        <v>String</v>
      </c>
      <c r="W992" t="str">
        <f t="shared" si="23"/>
        <v>RESOURCES.EOC</v>
      </c>
      <c r="X992" t="str">
        <f>VLOOKUP(W992,ColumnMapping[New Table.Column],1,)</f>
        <v>RESOURCES.EOC</v>
      </c>
      <c r="Y992" t="str">
        <f>_xlfn.XLOOKUP(Table6[[#This Row],[Table.Column]],ColumnMapping[Add Column Name],ColumnMapping[Old Table.Column],"",0,1)</f>
        <v/>
      </c>
      <c r="Z992" t="str">
        <f>_xlfn.XLOOKUP(Table6[[#This Row],[Old Table.Column]],Cobra8.6[Table.Column],Cobra8.6[TYPE],"",0,1)</f>
        <v/>
      </c>
      <c r="AA992" t="str">
        <f>_xlfn.XLOOKUP(Table6[[#This Row],[Old Table.Column]],Cobra8.6[Table.Column],Cobra8.6[LENGTH],"",0,1)</f>
        <v/>
      </c>
      <c r="AB992"/>
    </row>
    <row r="993" spans="1:28" hidden="1" x14ac:dyDescent="0.2">
      <c r="A993" t="s">
        <v>1451</v>
      </c>
      <c r="B993" t="s">
        <v>1064</v>
      </c>
      <c r="C993" t="s">
        <v>61</v>
      </c>
      <c r="D993">
        <v>9</v>
      </c>
      <c r="E993" t="s">
        <v>31</v>
      </c>
      <c r="F993" t="str">
        <f>VLOOKUP($E993,'Data Type Lookup'!$A$1:$C$21,2,FALSE)</f>
        <v>RAW(16)</v>
      </c>
      <c r="I993" s="32" t="s">
        <v>32</v>
      </c>
      <c r="P993" t="s">
        <v>1537</v>
      </c>
      <c r="Q993" t="s">
        <v>63</v>
      </c>
      <c r="R993" t="str">
        <f>VLOOKUP(E993,'Data Type Lookup'!$A$1:$C$21,3,FALSE)</f>
        <v>java.util.UUID</v>
      </c>
      <c r="S993">
        <v>2</v>
      </c>
      <c r="W993" t="str">
        <f t="shared" si="23"/>
        <v>RESOURCES.CREATED_BY_USER_UID</v>
      </c>
      <c r="X993" t="str">
        <f>VLOOKUP(W993,ColumnMapping[New Table.Column],1,)</f>
        <v>RESOURCES.CREATED_BY_USER_UID</v>
      </c>
      <c r="Y993" t="str">
        <f>_xlfn.XLOOKUP(Table6[[#This Row],[Table.Column]],ColumnMapping[Add Column Name],ColumnMapping[Old Table.Column],"",0,1)</f>
        <v/>
      </c>
      <c r="Z993" t="str">
        <f>_xlfn.XLOOKUP(Table6[[#This Row],[Old Table.Column]],Cobra8.6[Table.Column],Cobra8.6[TYPE],"",0,1)</f>
        <v/>
      </c>
      <c r="AA993" t="str">
        <f>_xlfn.XLOOKUP(Table6[[#This Row],[Old Table.Column]],Cobra8.6[Table.Column],Cobra8.6[LENGTH],"",0,1)</f>
        <v/>
      </c>
      <c r="AB993"/>
    </row>
    <row r="994" spans="1:28" hidden="1" x14ac:dyDescent="0.2">
      <c r="A994" t="s">
        <v>1451</v>
      </c>
      <c r="B994" t="s">
        <v>1064</v>
      </c>
      <c r="C994" t="s">
        <v>64</v>
      </c>
      <c r="D994">
        <v>10</v>
      </c>
      <c r="E994" t="s">
        <v>65</v>
      </c>
      <c r="F994" t="str">
        <f>VLOOKUP($E994,'Data Type Lookup'!$A$1:$C$21,2,FALSE)</f>
        <v>TIMESTAMP</v>
      </c>
      <c r="I994" s="32" t="s">
        <v>32</v>
      </c>
      <c r="P994" t="s">
        <v>1538</v>
      </c>
      <c r="Q994" t="s">
        <v>67</v>
      </c>
      <c r="R994" t="str">
        <f>VLOOKUP(E994,'Data Type Lookup'!$A$1:$C$21,3,FALSE)</f>
        <v>java.time.Instant</v>
      </c>
      <c r="S994">
        <v>2</v>
      </c>
      <c r="W994" t="str">
        <f t="shared" si="23"/>
        <v>RESOURCES.CREATED_DATE</v>
      </c>
      <c r="X994" t="str">
        <f>VLOOKUP(W994,ColumnMapping[New Table.Column],1,)</f>
        <v>RESOURCES.CREATED_DATE</v>
      </c>
      <c r="Y994" t="str">
        <f>_xlfn.XLOOKUP(Table6[[#This Row],[Table.Column]],ColumnMapping[Add Column Name],ColumnMapping[Old Table.Column],"",0,1)</f>
        <v/>
      </c>
      <c r="Z994" t="str">
        <f>_xlfn.XLOOKUP(Table6[[#This Row],[Old Table.Column]],Cobra8.6[Table.Column],Cobra8.6[TYPE],"",0,1)</f>
        <v/>
      </c>
      <c r="AA994" t="str">
        <f>_xlfn.XLOOKUP(Table6[[#This Row],[Old Table.Column]],Cobra8.6[Table.Column],Cobra8.6[LENGTH],"",0,1)</f>
        <v/>
      </c>
      <c r="AB994"/>
    </row>
    <row r="995" spans="1:28" hidden="1" x14ac:dyDescent="0.2">
      <c r="A995" t="s">
        <v>1451</v>
      </c>
      <c r="B995" t="s">
        <v>1064</v>
      </c>
      <c r="C995" t="s">
        <v>68</v>
      </c>
      <c r="D995">
        <v>11</v>
      </c>
      <c r="E995" t="s">
        <v>31</v>
      </c>
      <c r="F995" t="str">
        <f>VLOOKUP($E995,'Data Type Lookup'!$A$1:$C$21,2,FALSE)</f>
        <v>RAW(16)</v>
      </c>
      <c r="I995" s="32" t="s">
        <v>32</v>
      </c>
      <c r="P995" t="s">
        <v>1539</v>
      </c>
      <c r="Q995" t="s">
        <v>70</v>
      </c>
      <c r="R995" t="str">
        <f>VLOOKUP(E995,'Data Type Lookup'!$A$1:$C$21,3,FALSE)</f>
        <v>java.util.UUID</v>
      </c>
      <c r="S995">
        <v>2</v>
      </c>
      <c r="W995" t="str">
        <f t="shared" si="23"/>
        <v>RESOURCES.LAST_MODIFIED_BY_USER_UID</v>
      </c>
      <c r="X995" t="str">
        <f>VLOOKUP(W995,ColumnMapping[New Table.Column],1,)</f>
        <v>RESOURCES.LAST_MODIFIED_BY_USER_UID</v>
      </c>
      <c r="Y995" t="str">
        <f>_xlfn.XLOOKUP(Table6[[#This Row],[Table.Column]],ColumnMapping[Add Column Name],ColumnMapping[Old Table.Column],"",0,1)</f>
        <v/>
      </c>
      <c r="Z995" t="str">
        <f>_xlfn.XLOOKUP(Table6[[#This Row],[Old Table.Column]],Cobra8.6[Table.Column],Cobra8.6[TYPE],"",0,1)</f>
        <v/>
      </c>
      <c r="AA995" t="str">
        <f>_xlfn.XLOOKUP(Table6[[#This Row],[Old Table.Column]],Cobra8.6[Table.Column],Cobra8.6[LENGTH],"",0,1)</f>
        <v/>
      </c>
      <c r="AB995"/>
    </row>
    <row r="996" spans="1:28" hidden="1" x14ac:dyDescent="0.2">
      <c r="A996" t="s">
        <v>1451</v>
      </c>
      <c r="B996" t="s">
        <v>1064</v>
      </c>
      <c r="C996" t="s">
        <v>71</v>
      </c>
      <c r="D996">
        <v>12</v>
      </c>
      <c r="E996" t="s">
        <v>65</v>
      </c>
      <c r="F996" t="str">
        <f>VLOOKUP($E996,'Data Type Lookup'!$A$1:$C$21,2,FALSE)</f>
        <v>TIMESTAMP</v>
      </c>
      <c r="I996" s="32" t="s">
        <v>32</v>
      </c>
      <c r="P996" t="s">
        <v>1540</v>
      </c>
      <c r="Q996" t="s">
        <v>73</v>
      </c>
      <c r="R996" t="str">
        <f>VLOOKUP(E996,'Data Type Lookup'!$A$1:$C$21,3,FALSE)</f>
        <v>java.time.Instant</v>
      </c>
      <c r="S996">
        <v>2</v>
      </c>
      <c r="W996" t="str">
        <f t="shared" si="23"/>
        <v>RESOURCES.LAST_MODIFIED_DATE</v>
      </c>
      <c r="X996" t="str">
        <f>VLOOKUP(W996,ColumnMapping[New Table.Column],1,)</f>
        <v>RESOURCES.LAST_MODIFIED_DATE</v>
      </c>
      <c r="Y996" t="str">
        <f>_xlfn.XLOOKUP(Table6[[#This Row],[Table.Column]],ColumnMapping[Add Column Name],ColumnMapping[Old Table.Column],"",0,1)</f>
        <v/>
      </c>
      <c r="Z996" t="str">
        <f>_xlfn.XLOOKUP(Table6[[#This Row],[Old Table.Column]],Cobra8.6[Table.Column],Cobra8.6[TYPE],"",0,1)</f>
        <v/>
      </c>
      <c r="AA996" t="str">
        <f>_xlfn.XLOOKUP(Table6[[#This Row],[Old Table.Column]],Cobra8.6[Table.Column],Cobra8.6[LENGTH],"",0,1)</f>
        <v/>
      </c>
      <c r="AB996"/>
    </row>
    <row r="997" spans="1:28" hidden="1" x14ac:dyDescent="0.2">
      <c r="A997" t="s">
        <v>1451</v>
      </c>
      <c r="B997" t="s">
        <v>1064</v>
      </c>
      <c r="C997" t="s">
        <v>15</v>
      </c>
      <c r="D997">
        <v>13</v>
      </c>
      <c r="E997" t="s">
        <v>48</v>
      </c>
      <c r="F997" t="str">
        <f>VLOOKUP($E997,'Data Type Lookup'!$A$1:$C$21,2,FALSE)</f>
        <v>NVARCHAR2</v>
      </c>
      <c r="G997">
        <v>256</v>
      </c>
      <c r="P997" t="s">
        <v>1541</v>
      </c>
      <c r="Q997" t="s">
        <v>75</v>
      </c>
      <c r="R997" t="str">
        <f>VLOOKUP(E997,'Data Type Lookup'!$A$1:$C$21,3,FALSE)</f>
        <v>String</v>
      </c>
      <c r="W997" t="str">
        <f t="shared" si="23"/>
        <v>RESOURCES.DESCRIPTION</v>
      </c>
      <c r="X997" t="str">
        <f>VLOOKUP(W997,ColumnMapping[New Table.Column],1,)</f>
        <v>RESOURCES.DESCRIPTION</v>
      </c>
      <c r="Y997" t="str">
        <f>_xlfn.XLOOKUP(Table6[[#This Row],[Table.Column]],ColumnMapping[Add Column Name],ColumnMapping[Old Table.Column],"",0,1)</f>
        <v/>
      </c>
      <c r="Z997" t="str">
        <f>_xlfn.XLOOKUP(Table6[[#This Row],[Old Table.Column]],Cobra8.6[Table.Column],Cobra8.6[TYPE],"",0,1)</f>
        <v/>
      </c>
      <c r="AA997" t="str">
        <f>_xlfn.XLOOKUP(Table6[[#This Row],[Old Table.Column]],Cobra8.6[Table.Column],Cobra8.6[LENGTH],"",0,1)</f>
        <v/>
      </c>
      <c r="AB997"/>
    </row>
    <row r="998" spans="1:28" hidden="1" x14ac:dyDescent="0.2">
      <c r="A998" t="s">
        <v>1451</v>
      </c>
      <c r="B998" s="17" t="s">
        <v>1064</v>
      </c>
      <c r="C998" s="17" t="s">
        <v>76</v>
      </c>
      <c r="D998" s="17">
        <v>14</v>
      </c>
      <c r="E998" s="17" t="s">
        <v>48</v>
      </c>
      <c r="F998" t="str">
        <f>VLOOKUP($E998,'Data Type Lookup'!$A$1:$C$21,2,FALSE)</f>
        <v>NVARCHAR2</v>
      </c>
      <c r="G998" s="17">
        <v>59</v>
      </c>
      <c r="H998" s="17"/>
      <c r="I998" s="29"/>
      <c r="J998" s="37" t="s">
        <v>605</v>
      </c>
      <c r="K998" s="29"/>
      <c r="L998" s="29"/>
      <c r="M998" s="17"/>
      <c r="N998" s="17"/>
      <c r="O998" s="17"/>
      <c r="P998" s="17" t="s">
        <v>1542</v>
      </c>
      <c r="Q998" s="17" t="str">
        <f t="shared" ref="Q998:Q1028" si="24">IF(C998="","",LOWER(LEFT(TRIM(C998),FIND("_",TRIM(C998)&amp;"_")-1))&amp;SUBSTITUTE(PROPER(SUBSTITUTE(MID(TRIM(C998),FIND("_",TRIM(C998)&amp;"_"),LEN(TRIM(C998))),"_"," "))," ",""))</f>
        <v>d1</v>
      </c>
      <c r="R998" t="str">
        <f>VLOOKUP(E998,'Data Type Lookup'!$A$1:$C$21,3,FALSE)</f>
        <v>String</v>
      </c>
      <c r="S998" s="17"/>
      <c r="W998" t="str">
        <f t="shared" si="23"/>
        <v>RESOURCES.D1</v>
      </c>
      <c r="X998" t="e">
        <f>VLOOKUP(W998,ColumnMapping[New Table.Column],1,)</f>
        <v>#N/A</v>
      </c>
      <c r="Y998" t="str">
        <f>_xlfn.XLOOKUP(Table6[[#This Row],[Table.Column]],ColumnMapping[Add Column Name],ColumnMapping[Old Table.Column],"",0,1)</f>
        <v>CALCDESC.D1</v>
      </c>
      <c r="Z998" t="str">
        <f>_xlfn.XLOOKUP(Table6[[#This Row],[Old Table.Column]],Cobra8.6[Table.Column],Cobra8.6[TYPE],"",0,1)</f>
        <v>TEXT</v>
      </c>
      <c r="AA998">
        <f>_xlfn.XLOOKUP(Table6[[#This Row],[Old Table.Column]],Cobra8.6[Table.Column],Cobra8.6[LENGTH],"",0,1)</f>
        <v>59</v>
      </c>
      <c r="AB998"/>
    </row>
    <row r="999" spans="1:28" hidden="1" x14ac:dyDescent="0.2">
      <c r="A999" t="s">
        <v>1451</v>
      </c>
      <c r="B999" s="17" t="s">
        <v>1064</v>
      </c>
      <c r="C999" s="17" t="s">
        <v>77</v>
      </c>
      <c r="D999" s="17">
        <v>15</v>
      </c>
      <c r="E999" s="17" t="s">
        <v>48</v>
      </c>
      <c r="F999" t="str">
        <f>VLOOKUP($E999,'Data Type Lookup'!$A$1:$C$21,2,FALSE)</f>
        <v>NVARCHAR2</v>
      </c>
      <c r="G999" s="17">
        <v>59</v>
      </c>
      <c r="H999" s="17"/>
      <c r="I999" s="29"/>
      <c r="J999" s="37" t="s">
        <v>605</v>
      </c>
      <c r="K999" s="29"/>
      <c r="L999" s="29"/>
      <c r="M999" s="17"/>
      <c r="N999" s="17"/>
      <c r="O999" s="17"/>
      <c r="P999" s="17" t="s">
        <v>1543</v>
      </c>
      <c r="Q999" s="17" t="str">
        <f t="shared" si="24"/>
        <v>d2</v>
      </c>
      <c r="R999" t="str">
        <f>VLOOKUP(E999,'Data Type Lookup'!$A$1:$C$21,3,FALSE)</f>
        <v>String</v>
      </c>
      <c r="S999" s="17"/>
      <c r="W999" t="str">
        <f t="shared" si="23"/>
        <v>RESOURCES.D2</v>
      </c>
      <c r="X999" t="e">
        <f>VLOOKUP(W999,ColumnMapping[New Table.Column],1,)</f>
        <v>#N/A</v>
      </c>
      <c r="Y999" t="str">
        <f>_xlfn.XLOOKUP(Table6[[#This Row],[Table.Column]],ColumnMapping[Add Column Name],ColumnMapping[Old Table.Column],"",0,1)</f>
        <v>CALCDESC.D2</v>
      </c>
      <c r="Z999" t="str">
        <f>_xlfn.XLOOKUP(Table6[[#This Row],[Old Table.Column]],Cobra8.6[Table.Column],Cobra8.6[TYPE],"",0,1)</f>
        <v>TEXT</v>
      </c>
      <c r="AA999">
        <f>_xlfn.XLOOKUP(Table6[[#This Row],[Old Table.Column]],Cobra8.6[Table.Column],Cobra8.6[LENGTH],"",0,1)</f>
        <v>59</v>
      </c>
      <c r="AB999"/>
    </row>
    <row r="1000" spans="1:28" hidden="1" x14ac:dyDescent="0.2">
      <c r="A1000" t="s">
        <v>1451</v>
      </c>
      <c r="B1000" s="17" t="s">
        <v>1064</v>
      </c>
      <c r="C1000" s="17" t="s">
        <v>78</v>
      </c>
      <c r="D1000" s="17">
        <v>16</v>
      </c>
      <c r="E1000" s="17" t="s">
        <v>48</v>
      </c>
      <c r="F1000" t="str">
        <f>VLOOKUP($E1000,'Data Type Lookup'!$A$1:$C$21,2,FALSE)</f>
        <v>NVARCHAR2</v>
      </c>
      <c r="G1000" s="17">
        <v>59</v>
      </c>
      <c r="H1000" s="17"/>
      <c r="I1000" s="29"/>
      <c r="J1000" s="37" t="s">
        <v>605</v>
      </c>
      <c r="K1000" s="29"/>
      <c r="L1000" s="29"/>
      <c r="M1000" s="17"/>
      <c r="N1000" s="17"/>
      <c r="O1000" s="17"/>
      <c r="P1000" s="17" t="s">
        <v>1544</v>
      </c>
      <c r="Q1000" s="17" t="str">
        <f t="shared" si="24"/>
        <v>d3</v>
      </c>
      <c r="R1000" t="str">
        <f>VLOOKUP(E1000,'Data Type Lookup'!$A$1:$C$21,3,FALSE)</f>
        <v>String</v>
      </c>
      <c r="S1000" s="17"/>
      <c r="W1000" t="str">
        <f t="shared" si="23"/>
        <v>RESOURCES.D3</v>
      </c>
      <c r="X1000" t="e">
        <f>VLOOKUP(W1000,ColumnMapping[New Table.Column],1,)</f>
        <v>#N/A</v>
      </c>
      <c r="Y1000" t="str">
        <f>_xlfn.XLOOKUP(Table6[[#This Row],[Table.Column]],ColumnMapping[Add Column Name],ColumnMapping[Old Table.Column],"",0,1)</f>
        <v>CALCDESC.D3</v>
      </c>
      <c r="Z1000" t="str">
        <f>_xlfn.XLOOKUP(Table6[[#This Row],[Old Table.Column]],Cobra8.6[Table.Column],Cobra8.6[TYPE],"",0,1)</f>
        <v>TEXT</v>
      </c>
      <c r="AA1000">
        <f>_xlfn.XLOOKUP(Table6[[#This Row],[Old Table.Column]],Cobra8.6[Table.Column],Cobra8.6[LENGTH],"",0,1)</f>
        <v>59</v>
      </c>
      <c r="AB1000"/>
    </row>
    <row r="1001" spans="1:28" hidden="1" x14ac:dyDescent="0.2">
      <c r="A1001" t="s">
        <v>1451</v>
      </c>
      <c r="B1001" s="17" t="s">
        <v>1064</v>
      </c>
      <c r="C1001" s="17" t="s">
        <v>79</v>
      </c>
      <c r="D1001" s="17">
        <v>17</v>
      </c>
      <c r="E1001" s="17" t="s">
        <v>48</v>
      </c>
      <c r="F1001" t="str">
        <f>VLOOKUP($E1001,'Data Type Lookup'!$A$1:$C$21,2,FALSE)</f>
        <v>NVARCHAR2</v>
      </c>
      <c r="G1001" s="17">
        <v>59</v>
      </c>
      <c r="H1001" s="17"/>
      <c r="I1001" s="29"/>
      <c r="J1001" s="37" t="s">
        <v>605</v>
      </c>
      <c r="K1001" s="29"/>
      <c r="L1001" s="29"/>
      <c r="M1001" s="17"/>
      <c r="N1001" s="17"/>
      <c r="O1001" s="17"/>
      <c r="P1001" s="17" t="s">
        <v>1545</v>
      </c>
      <c r="Q1001" s="17" t="str">
        <f t="shared" si="24"/>
        <v>d4</v>
      </c>
      <c r="R1001" t="str">
        <f>VLOOKUP(E1001,'Data Type Lookup'!$A$1:$C$21,3,FALSE)</f>
        <v>String</v>
      </c>
      <c r="S1001" s="17"/>
      <c r="W1001" t="str">
        <f t="shared" si="23"/>
        <v>RESOURCES.D4</v>
      </c>
      <c r="X1001" t="e">
        <f>VLOOKUP(W1001,ColumnMapping[New Table.Column],1,)</f>
        <v>#N/A</v>
      </c>
      <c r="Y1001" t="str">
        <f>_xlfn.XLOOKUP(Table6[[#This Row],[Table.Column]],ColumnMapping[Add Column Name],ColumnMapping[Old Table.Column],"",0,1)</f>
        <v>CALCDESC.D4</v>
      </c>
      <c r="Z1001" t="str">
        <f>_xlfn.XLOOKUP(Table6[[#This Row],[Old Table.Column]],Cobra8.6[Table.Column],Cobra8.6[TYPE],"",0,1)</f>
        <v>TEXT</v>
      </c>
      <c r="AA1001">
        <f>_xlfn.XLOOKUP(Table6[[#This Row],[Old Table.Column]],Cobra8.6[Table.Column],Cobra8.6[LENGTH],"",0,1)</f>
        <v>59</v>
      </c>
      <c r="AB1001"/>
    </row>
    <row r="1002" spans="1:28" hidden="1" x14ac:dyDescent="0.2">
      <c r="A1002" t="s">
        <v>1451</v>
      </c>
      <c r="B1002" s="17" t="s">
        <v>1064</v>
      </c>
      <c r="C1002" s="17" t="s">
        <v>80</v>
      </c>
      <c r="D1002" s="17">
        <v>18</v>
      </c>
      <c r="E1002" s="17" t="s">
        <v>48</v>
      </c>
      <c r="F1002" t="str">
        <f>VLOOKUP($E1002,'Data Type Lookup'!$A$1:$C$21,2,FALSE)</f>
        <v>NVARCHAR2</v>
      </c>
      <c r="G1002" s="17">
        <v>59</v>
      </c>
      <c r="H1002" s="17"/>
      <c r="I1002" s="29"/>
      <c r="J1002" s="37" t="s">
        <v>605</v>
      </c>
      <c r="K1002" s="29"/>
      <c r="L1002" s="29"/>
      <c r="M1002" s="17"/>
      <c r="N1002" s="17"/>
      <c r="O1002" s="17"/>
      <c r="P1002" s="17" t="s">
        <v>1546</v>
      </c>
      <c r="Q1002" s="17" t="str">
        <f t="shared" si="24"/>
        <v>d5</v>
      </c>
      <c r="R1002" t="str">
        <f>VLOOKUP(E1002,'Data Type Lookup'!$A$1:$C$21,3,FALSE)</f>
        <v>String</v>
      </c>
      <c r="S1002" s="17"/>
      <c r="W1002" t="str">
        <f t="shared" si="23"/>
        <v>RESOURCES.D5</v>
      </c>
      <c r="X1002" t="e">
        <f>VLOOKUP(W1002,ColumnMapping[New Table.Column],1,)</f>
        <v>#N/A</v>
      </c>
      <c r="Y1002" t="str">
        <f>_xlfn.XLOOKUP(Table6[[#This Row],[Table.Column]],ColumnMapping[Add Column Name],ColumnMapping[Old Table.Column],"",0,1)</f>
        <v>CALCDESC.D5</v>
      </c>
      <c r="Z1002" t="str">
        <f>_xlfn.XLOOKUP(Table6[[#This Row],[Old Table.Column]],Cobra8.6[Table.Column],Cobra8.6[TYPE],"",0,1)</f>
        <v>TEXT</v>
      </c>
      <c r="AA1002">
        <f>_xlfn.XLOOKUP(Table6[[#This Row],[Old Table.Column]],Cobra8.6[Table.Column],Cobra8.6[LENGTH],"",0,1)</f>
        <v>59</v>
      </c>
      <c r="AB1002"/>
    </row>
    <row r="1003" spans="1:28" hidden="1" x14ac:dyDescent="0.2">
      <c r="A1003" t="s">
        <v>1451</v>
      </c>
      <c r="B1003" s="17" t="s">
        <v>1064</v>
      </c>
      <c r="C1003" s="17" t="s">
        <v>81</v>
      </c>
      <c r="D1003" s="17">
        <v>19</v>
      </c>
      <c r="E1003" s="17" t="s">
        <v>48</v>
      </c>
      <c r="F1003" t="str">
        <f>VLOOKUP($E1003,'Data Type Lookup'!$A$1:$C$21,2,FALSE)</f>
        <v>NVARCHAR2</v>
      </c>
      <c r="G1003" s="17">
        <v>59</v>
      </c>
      <c r="H1003" s="17"/>
      <c r="I1003" s="29"/>
      <c r="J1003" s="37" t="s">
        <v>605</v>
      </c>
      <c r="K1003" s="29"/>
      <c r="L1003" s="29"/>
      <c r="M1003" s="17"/>
      <c r="N1003" s="17"/>
      <c r="O1003" s="17"/>
      <c r="P1003" s="17" t="s">
        <v>1547</v>
      </c>
      <c r="Q1003" s="17" t="str">
        <f t="shared" si="24"/>
        <v>d6</v>
      </c>
      <c r="R1003" t="str">
        <f>VLOOKUP(E1003,'Data Type Lookup'!$A$1:$C$21,3,FALSE)</f>
        <v>String</v>
      </c>
      <c r="S1003" s="17"/>
      <c r="W1003" t="str">
        <f t="shared" si="23"/>
        <v>RESOURCES.D6</v>
      </c>
      <c r="X1003" t="e">
        <f>VLOOKUP(W1003,ColumnMapping[New Table.Column],1,)</f>
        <v>#N/A</v>
      </c>
      <c r="Y1003" t="str">
        <f>_xlfn.XLOOKUP(Table6[[#This Row],[Table.Column]],ColumnMapping[Add Column Name],ColumnMapping[Old Table.Column],"",0,1)</f>
        <v>CALCDESC.D6</v>
      </c>
      <c r="Z1003" t="str">
        <f>_xlfn.XLOOKUP(Table6[[#This Row],[Old Table.Column]],Cobra8.6[Table.Column],Cobra8.6[TYPE],"",0,1)</f>
        <v>TEXT</v>
      </c>
      <c r="AA1003">
        <f>_xlfn.XLOOKUP(Table6[[#This Row],[Old Table.Column]],Cobra8.6[Table.Column],Cobra8.6[LENGTH],"",0,1)</f>
        <v>59</v>
      </c>
      <c r="AB1003"/>
    </row>
    <row r="1004" spans="1:28" hidden="1" x14ac:dyDescent="0.2">
      <c r="A1004" t="s">
        <v>1451</v>
      </c>
      <c r="B1004" s="17" t="s">
        <v>1064</v>
      </c>
      <c r="C1004" s="17" t="s">
        <v>82</v>
      </c>
      <c r="D1004" s="17">
        <v>20</v>
      </c>
      <c r="E1004" s="17" t="s">
        <v>48</v>
      </c>
      <c r="F1004" t="str">
        <f>VLOOKUP($E1004,'Data Type Lookup'!$A$1:$C$21,2,FALSE)</f>
        <v>NVARCHAR2</v>
      </c>
      <c r="G1004" s="17">
        <v>59</v>
      </c>
      <c r="H1004" s="17"/>
      <c r="I1004" s="29"/>
      <c r="J1004" s="37" t="s">
        <v>605</v>
      </c>
      <c r="K1004" s="29"/>
      <c r="L1004" s="29"/>
      <c r="M1004" s="17"/>
      <c r="N1004" s="17"/>
      <c r="O1004" s="17"/>
      <c r="P1004" s="17" t="s">
        <v>1548</v>
      </c>
      <c r="Q1004" s="17" t="str">
        <f t="shared" si="24"/>
        <v>d7</v>
      </c>
      <c r="R1004" t="str">
        <f>VLOOKUP(E1004,'Data Type Lookup'!$A$1:$C$21,3,FALSE)</f>
        <v>String</v>
      </c>
      <c r="S1004" s="17"/>
      <c r="W1004" t="str">
        <f t="shared" si="23"/>
        <v>RESOURCES.D7</v>
      </c>
      <c r="X1004" t="e">
        <f>VLOOKUP(W1004,ColumnMapping[New Table.Column],1,)</f>
        <v>#N/A</v>
      </c>
      <c r="Y1004" t="str">
        <f>_xlfn.XLOOKUP(Table6[[#This Row],[Table.Column]],ColumnMapping[Add Column Name],ColumnMapping[Old Table.Column],"",0,1)</f>
        <v>CALCDESC.D7</v>
      </c>
      <c r="Z1004" t="str">
        <f>_xlfn.XLOOKUP(Table6[[#This Row],[Old Table.Column]],Cobra8.6[Table.Column],Cobra8.6[TYPE],"",0,1)</f>
        <v>TEXT</v>
      </c>
      <c r="AA1004">
        <f>_xlfn.XLOOKUP(Table6[[#This Row],[Old Table.Column]],Cobra8.6[Table.Column],Cobra8.6[LENGTH],"",0,1)</f>
        <v>59</v>
      </c>
      <c r="AB1004"/>
    </row>
    <row r="1005" spans="1:28" hidden="1" x14ac:dyDescent="0.2">
      <c r="A1005" t="s">
        <v>1451</v>
      </c>
      <c r="B1005" s="17" t="s">
        <v>1064</v>
      </c>
      <c r="C1005" s="17" t="s">
        <v>83</v>
      </c>
      <c r="D1005" s="17">
        <v>21</v>
      </c>
      <c r="E1005" s="17" t="s">
        <v>48</v>
      </c>
      <c r="F1005" t="str">
        <f>VLOOKUP($E1005,'Data Type Lookup'!$A$1:$C$21,2,FALSE)</f>
        <v>NVARCHAR2</v>
      </c>
      <c r="G1005" s="17">
        <v>59</v>
      </c>
      <c r="H1005" s="17"/>
      <c r="I1005" s="29"/>
      <c r="J1005" s="37" t="s">
        <v>605</v>
      </c>
      <c r="K1005" s="29"/>
      <c r="L1005" s="29"/>
      <c r="M1005" s="17"/>
      <c r="N1005" s="17"/>
      <c r="O1005" s="17"/>
      <c r="P1005" s="17" t="s">
        <v>1549</v>
      </c>
      <c r="Q1005" s="17" t="str">
        <f t="shared" si="24"/>
        <v>d8</v>
      </c>
      <c r="R1005" t="str">
        <f>VLOOKUP(E1005,'Data Type Lookup'!$A$1:$C$21,3,FALSE)</f>
        <v>String</v>
      </c>
      <c r="S1005" s="17"/>
      <c r="W1005" t="str">
        <f t="shared" si="23"/>
        <v>RESOURCES.D8</v>
      </c>
      <c r="X1005" t="e">
        <f>VLOOKUP(W1005,ColumnMapping[New Table.Column],1,)</f>
        <v>#N/A</v>
      </c>
      <c r="Y1005" t="str">
        <f>_xlfn.XLOOKUP(Table6[[#This Row],[Table.Column]],ColumnMapping[Add Column Name],ColumnMapping[Old Table.Column],"",0,1)</f>
        <v>CALCDESC.D8</v>
      </c>
      <c r="Z1005" t="str">
        <f>_xlfn.XLOOKUP(Table6[[#This Row],[Old Table.Column]],Cobra8.6[Table.Column],Cobra8.6[TYPE],"",0,1)</f>
        <v>TEXT</v>
      </c>
      <c r="AA1005">
        <f>_xlfn.XLOOKUP(Table6[[#This Row],[Old Table.Column]],Cobra8.6[Table.Column],Cobra8.6[LENGTH],"",0,1)</f>
        <v>59</v>
      </c>
      <c r="AB1005"/>
    </row>
    <row r="1006" spans="1:28" hidden="1" x14ac:dyDescent="0.2">
      <c r="A1006" t="s">
        <v>1451</v>
      </c>
      <c r="B1006" s="17" t="s">
        <v>1064</v>
      </c>
      <c r="C1006" s="17" t="s">
        <v>84</v>
      </c>
      <c r="D1006" s="17">
        <v>22</v>
      </c>
      <c r="E1006" s="17" t="s">
        <v>48</v>
      </c>
      <c r="F1006" t="str">
        <f>VLOOKUP($E1006,'Data Type Lookup'!$A$1:$C$21,2,FALSE)</f>
        <v>NVARCHAR2</v>
      </c>
      <c r="G1006" s="17">
        <v>59</v>
      </c>
      <c r="H1006" s="17"/>
      <c r="I1006" s="29"/>
      <c r="J1006" s="37" t="s">
        <v>605</v>
      </c>
      <c r="K1006" s="29"/>
      <c r="L1006" s="29"/>
      <c r="M1006" s="17"/>
      <c r="N1006" s="17"/>
      <c r="O1006" s="17"/>
      <c r="P1006" s="17" t="s">
        <v>1550</v>
      </c>
      <c r="Q1006" s="17" t="str">
        <f t="shared" si="24"/>
        <v>d9</v>
      </c>
      <c r="R1006" t="str">
        <f>VLOOKUP(E1006,'Data Type Lookup'!$A$1:$C$21,3,FALSE)</f>
        <v>String</v>
      </c>
      <c r="S1006" s="17"/>
      <c r="W1006" t="str">
        <f t="shared" si="23"/>
        <v>RESOURCES.D9</v>
      </c>
      <c r="X1006" t="e">
        <f>VLOOKUP(W1006,ColumnMapping[New Table.Column],1,)</f>
        <v>#N/A</v>
      </c>
      <c r="Y1006" t="str">
        <f>_xlfn.XLOOKUP(Table6[[#This Row],[Table.Column]],ColumnMapping[Add Column Name],ColumnMapping[Old Table.Column],"",0,1)</f>
        <v>CALCDESC.D9</v>
      </c>
      <c r="Z1006" t="str">
        <f>_xlfn.XLOOKUP(Table6[[#This Row],[Old Table.Column]],Cobra8.6[Table.Column],Cobra8.6[TYPE],"",0,1)</f>
        <v>TEXT</v>
      </c>
      <c r="AA1006">
        <f>_xlfn.XLOOKUP(Table6[[#This Row],[Old Table.Column]],Cobra8.6[Table.Column],Cobra8.6[LENGTH],"",0,1)</f>
        <v>59</v>
      </c>
      <c r="AB1006"/>
    </row>
    <row r="1007" spans="1:28" hidden="1" x14ac:dyDescent="0.2">
      <c r="A1007" t="s">
        <v>1451</v>
      </c>
      <c r="B1007" s="17" t="s">
        <v>1064</v>
      </c>
      <c r="C1007" s="17" t="s">
        <v>85</v>
      </c>
      <c r="D1007" s="17">
        <v>23</v>
      </c>
      <c r="E1007" s="17" t="s">
        <v>86</v>
      </c>
      <c r="F1007" t="str">
        <f>VLOOKUP($E1007,'Data Type Lookup'!$A$1:$C$21,2,FALSE)</f>
        <v>VARCHAR2</v>
      </c>
      <c r="G1007" s="17">
        <v>60</v>
      </c>
      <c r="H1007" s="17"/>
      <c r="I1007" s="29"/>
      <c r="J1007" s="37" t="s">
        <v>605</v>
      </c>
      <c r="K1007" s="29"/>
      <c r="L1007" s="29"/>
      <c r="M1007" s="17"/>
      <c r="N1007" s="17"/>
      <c r="O1007" s="17"/>
      <c r="P1007" s="17" t="s">
        <v>1551</v>
      </c>
      <c r="Q1007" s="17" t="str">
        <f t="shared" si="24"/>
        <v>tag</v>
      </c>
      <c r="R1007" t="str">
        <f>VLOOKUP(E1007,'Data Type Lookup'!$A$1:$C$21,3,FALSE)</f>
        <v>String</v>
      </c>
      <c r="S1007" s="17"/>
      <c r="W1007" t="str">
        <f t="shared" si="23"/>
        <v>RESOURCES.TAG</v>
      </c>
      <c r="X1007" t="str">
        <f>VLOOKUP(W1007,ColumnMapping[New Table.Column],1,)</f>
        <v>RESOURCES.TAG</v>
      </c>
      <c r="Y1007" t="str">
        <f>_xlfn.XLOOKUP(Table6[[#This Row],[Table.Column]],ColumnMapping[Add Column Name],ColumnMapping[Old Table.Column],"",0,1)</f>
        <v>CALCDESC.TAG</v>
      </c>
      <c r="Z1007" t="str">
        <f>_xlfn.XLOOKUP(Table6[[#This Row],[Old Table.Column]],Cobra8.6[Table.Column],Cobra8.6[TYPE],"",0,1)</f>
        <v>TEXT</v>
      </c>
      <c r="AA1007">
        <f>_xlfn.XLOOKUP(Table6[[#This Row],[Old Table.Column]],Cobra8.6[Table.Column],Cobra8.6[LENGTH],"",0,1)</f>
        <v>60</v>
      </c>
      <c r="AB1007"/>
    </row>
    <row r="1008" spans="1:28" hidden="1" x14ac:dyDescent="0.2">
      <c r="A1008" t="s">
        <v>1451</v>
      </c>
      <c r="B1008" s="17" t="s">
        <v>1064</v>
      </c>
      <c r="C1008" s="17" t="s">
        <v>1552</v>
      </c>
      <c r="D1008" s="17">
        <v>24</v>
      </c>
      <c r="E1008" s="17" t="s">
        <v>161</v>
      </c>
      <c r="F1008" t="str">
        <f>VLOOKUP($E1008,'Data Type Lookup'!$A$1:$C$21,2,FALSE)</f>
        <v>NUMBER(21,6)</v>
      </c>
      <c r="G1008" s="17"/>
      <c r="H1008" s="17"/>
      <c r="I1008" s="29"/>
      <c r="J1008" s="29">
        <v>0</v>
      </c>
      <c r="K1008" s="29"/>
      <c r="L1008" s="29"/>
      <c r="M1008" s="17"/>
      <c r="N1008" s="17"/>
      <c r="O1008" s="17"/>
      <c r="P1008" s="17" t="s">
        <v>1553</v>
      </c>
      <c r="Q1008" s="17" t="str">
        <f t="shared" si="24"/>
        <v>thCapf</v>
      </c>
      <c r="R1008" t="str">
        <f>VLOOKUP(E1008,'Data Type Lookup'!$A$1:$C$21,3,FALSE)</f>
        <v>java.math.BigDecimal</v>
      </c>
      <c r="S1008" s="17"/>
      <c r="W1008" t="str">
        <f t="shared" si="23"/>
        <v>RESOURCES.TH_CAPF</v>
      </c>
      <c r="X1008" t="str">
        <f>VLOOKUP(W1008,ColumnMapping[New Table.Column],1,)</f>
        <v>RESOURCES.TH_CAPF</v>
      </c>
      <c r="Y1008" t="str">
        <f>_xlfn.XLOOKUP(Table6[[#This Row],[Table.Column]],ColumnMapping[Add Column Name],ColumnMapping[Old Table.Column],"",0,1)</f>
        <v>CALCDESC.TH_CAPF</v>
      </c>
      <c r="Z1008" t="str">
        <f>_xlfn.XLOOKUP(Table6[[#This Row],[Old Table.Column]],Cobra8.6[Table.Column],Cobra8.6[TYPE],"",0,1)</f>
        <v>DEC</v>
      </c>
      <c r="AA1008">
        <f>_xlfn.XLOOKUP(Table6[[#This Row],[Old Table.Column]],Cobra8.6[Table.Column],Cobra8.6[LENGTH],"",0,1)</f>
        <v>5</v>
      </c>
      <c r="AB1008"/>
    </row>
    <row r="1009" spans="1:28" hidden="1" x14ac:dyDescent="0.2">
      <c r="A1009" t="s">
        <v>1451</v>
      </c>
      <c r="B1009" s="17" t="s">
        <v>1064</v>
      </c>
      <c r="C1009" s="17" t="s">
        <v>1554</v>
      </c>
      <c r="D1009" s="17">
        <v>25</v>
      </c>
      <c r="E1009" s="17" t="s">
        <v>161</v>
      </c>
      <c r="F1009" t="str">
        <f>VLOOKUP($E1009,'Data Type Lookup'!$A$1:$C$21,2,FALSE)</f>
        <v>NUMBER(21,6)</v>
      </c>
      <c r="G1009" s="17"/>
      <c r="H1009" s="17"/>
      <c r="I1009" s="29"/>
      <c r="J1009" s="29">
        <v>0</v>
      </c>
      <c r="K1009" s="29"/>
      <c r="L1009" s="29"/>
      <c r="M1009" s="17"/>
      <c r="N1009" s="17"/>
      <c r="O1009" s="17"/>
      <c r="P1009" s="17" t="s">
        <v>1555</v>
      </c>
      <c r="Q1009" s="17" t="str">
        <f t="shared" si="24"/>
        <v>thCapu</v>
      </c>
      <c r="R1009" t="str">
        <f>VLOOKUP(E1009,'Data Type Lookup'!$A$1:$C$21,3,FALSE)</f>
        <v>java.math.BigDecimal</v>
      </c>
      <c r="S1009" s="17"/>
      <c r="W1009" t="str">
        <f t="shared" si="23"/>
        <v>RESOURCES.TH_CAPU</v>
      </c>
      <c r="X1009" t="str">
        <f>VLOOKUP(W1009,ColumnMapping[New Table.Column],1,)</f>
        <v>RESOURCES.TH_CAPU</v>
      </c>
      <c r="Y1009" t="str">
        <f>_xlfn.XLOOKUP(Table6[[#This Row],[Table.Column]],ColumnMapping[Add Column Name],ColumnMapping[Old Table.Column],"",0,1)</f>
        <v>CALCDESC.TH_CAPU</v>
      </c>
      <c r="Z1009" t="str">
        <f>_xlfn.XLOOKUP(Table6[[#This Row],[Old Table.Column]],Cobra8.6[Table.Column],Cobra8.6[TYPE],"",0,1)</f>
        <v>DEC</v>
      </c>
      <c r="AA1009">
        <f>_xlfn.XLOOKUP(Table6[[#This Row],[Old Table.Column]],Cobra8.6[Table.Column],Cobra8.6[LENGTH],"",0,1)</f>
        <v>5</v>
      </c>
      <c r="AB1009"/>
    </row>
    <row r="1010" spans="1:28" hidden="1" x14ac:dyDescent="0.2">
      <c r="A1010" t="s">
        <v>1451</v>
      </c>
      <c r="B1010" s="17" t="s">
        <v>1064</v>
      </c>
      <c r="C1010" s="17" t="s">
        <v>1556</v>
      </c>
      <c r="D1010" s="17">
        <v>26</v>
      </c>
      <c r="E1010" s="17" t="s">
        <v>161</v>
      </c>
      <c r="F1010" t="str">
        <f>VLOOKUP($E1010,'Data Type Lookup'!$A$1:$C$21,2,FALSE)</f>
        <v>NUMBER(21,6)</v>
      </c>
      <c r="G1010" s="17"/>
      <c r="H1010" s="17"/>
      <c r="I1010" s="29"/>
      <c r="J1010" s="29">
        <v>0</v>
      </c>
      <c r="K1010" s="29"/>
      <c r="L1010" s="29"/>
      <c r="M1010" s="17"/>
      <c r="N1010" s="17"/>
      <c r="O1010" s="17"/>
      <c r="P1010" s="17" t="s">
        <v>1557</v>
      </c>
      <c r="Q1010" s="17" t="str">
        <f t="shared" si="24"/>
        <v>thCavf</v>
      </c>
      <c r="R1010" t="str">
        <f>VLOOKUP(E1010,'Data Type Lookup'!$A$1:$C$21,3,FALSE)</f>
        <v>java.math.BigDecimal</v>
      </c>
      <c r="S1010" s="17"/>
      <c r="W1010" t="str">
        <f t="shared" si="23"/>
        <v>RESOURCES.TH_CAVF</v>
      </c>
      <c r="X1010" t="str">
        <f>VLOOKUP(W1010,ColumnMapping[New Table.Column],1,)</f>
        <v>RESOURCES.TH_CAVF</v>
      </c>
      <c r="Y1010" t="str">
        <f>_xlfn.XLOOKUP(Table6[[#This Row],[Table.Column]],ColumnMapping[Add Column Name],ColumnMapping[Old Table.Column],"",0,1)</f>
        <v>CALCDESC.TH_CAVF</v>
      </c>
      <c r="Z1010" t="str">
        <f>_xlfn.XLOOKUP(Table6[[#This Row],[Old Table.Column]],Cobra8.6[Table.Column],Cobra8.6[TYPE],"",0,1)</f>
        <v>DEC</v>
      </c>
      <c r="AA1010">
        <f>_xlfn.XLOOKUP(Table6[[#This Row],[Old Table.Column]],Cobra8.6[Table.Column],Cobra8.6[LENGTH],"",0,1)</f>
        <v>21</v>
      </c>
      <c r="AB1010"/>
    </row>
    <row r="1011" spans="1:28" hidden="1" x14ac:dyDescent="0.2">
      <c r="A1011" t="s">
        <v>1451</v>
      </c>
      <c r="B1011" s="17" t="s">
        <v>1064</v>
      </c>
      <c r="C1011" s="17" t="s">
        <v>1558</v>
      </c>
      <c r="D1011" s="17">
        <v>27</v>
      </c>
      <c r="E1011" s="17" t="s">
        <v>161</v>
      </c>
      <c r="F1011" t="str">
        <f>VLOOKUP($E1011,'Data Type Lookup'!$A$1:$C$21,2,FALSE)</f>
        <v>NUMBER(21,6)</v>
      </c>
      <c r="G1011" s="17"/>
      <c r="H1011" s="17"/>
      <c r="I1011" s="29"/>
      <c r="J1011" s="29">
        <v>0</v>
      </c>
      <c r="K1011" s="29"/>
      <c r="L1011" s="29"/>
      <c r="M1011" s="17"/>
      <c r="N1011" s="17"/>
      <c r="O1011" s="17"/>
      <c r="P1011" s="17" t="s">
        <v>1559</v>
      </c>
      <c r="Q1011" s="17" t="str">
        <f t="shared" si="24"/>
        <v>thCavu</v>
      </c>
      <c r="R1011" t="str">
        <f>VLOOKUP(E1011,'Data Type Lookup'!$A$1:$C$21,3,FALSE)</f>
        <v>java.math.BigDecimal</v>
      </c>
      <c r="S1011" s="17"/>
      <c r="W1011" t="str">
        <f t="shared" si="23"/>
        <v>RESOURCES.TH_CAVU</v>
      </c>
      <c r="X1011" t="str">
        <f>VLOOKUP(W1011,ColumnMapping[New Table.Column],1,)</f>
        <v>RESOURCES.TH_CAVU</v>
      </c>
      <c r="Y1011" t="str">
        <f>_xlfn.XLOOKUP(Table6[[#This Row],[Table.Column]],ColumnMapping[Add Column Name],ColumnMapping[Old Table.Column],"",0,1)</f>
        <v>CALCDESC.TH_CAVU</v>
      </c>
      <c r="Z1011" t="str">
        <f>_xlfn.XLOOKUP(Table6[[#This Row],[Old Table.Column]],Cobra8.6[Table.Column],Cobra8.6[TYPE],"",0,1)</f>
        <v>DEC</v>
      </c>
      <c r="AA1011">
        <f>_xlfn.XLOOKUP(Table6[[#This Row],[Old Table.Column]],Cobra8.6[Table.Column],Cobra8.6[LENGTH],"",0,1)</f>
        <v>21</v>
      </c>
      <c r="AB1011"/>
    </row>
    <row r="1012" spans="1:28" hidden="1" x14ac:dyDescent="0.2">
      <c r="A1012" t="s">
        <v>1451</v>
      </c>
      <c r="B1012" s="17" t="s">
        <v>1064</v>
      </c>
      <c r="C1012" s="17" t="s">
        <v>1560</v>
      </c>
      <c r="D1012" s="17">
        <v>28</v>
      </c>
      <c r="E1012" s="17" t="s">
        <v>161</v>
      </c>
      <c r="F1012" t="str">
        <f>VLOOKUP($E1012,'Data Type Lookup'!$A$1:$C$21,2,FALSE)</f>
        <v>NUMBER(21,6)</v>
      </c>
      <c r="G1012" s="17"/>
      <c r="H1012" s="17"/>
      <c r="I1012" s="29"/>
      <c r="J1012" s="29">
        <v>0</v>
      </c>
      <c r="K1012" s="29"/>
      <c r="L1012" s="29"/>
      <c r="M1012" s="17"/>
      <c r="N1012" s="17"/>
      <c r="O1012" s="17"/>
      <c r="P1012" s="17" t="s">
        <v>1561</v>
      </c>
      <c r="Q1012" s="17" t="str">
        <f t="shared" si="24"/>
        <v>thCcpf</v>
      </c>
      <c r="R1012" t="str">
        <f>VLOOKUP(E1012,'Data Type Lookup'!$A$1:$C$21,3,FALSE)</f>
        <v>java.math.BigDecimal</v>
      </c>
      <c r="S1012" s="17"/>
      <c r="W1012" t="str">
        <f t="shared" si="23"/>
        <v>RESOURCES.TH_CCPF</v>
      </c>
      <c r="X1012" t="str">
        <f>VLOOKUP(W1012,ColumnMapping[New Table.Column],1,)</f>
        <v>RESOURCES.TH_CCPF</v>
      </c>
      <c r="Y1012" t="str">
        <f>_xlfn.XLOOKUP(Table6[[#This Row],[Table.Column]],ColumnMapping[Add Column Name],ColumnMapping[Old Table.Column],"",0,1)</f>
        <v>CALCDESC.TH_CCPF</v>
      </c>
      <c r="Z1012" t="str">
        <f>_xlfn.XLOOKUP(Table6[[#This Row],[Old Table.Column]],Cobra8.6[Table.Column],Cobra8.6[TYPE],"",0,1)</f>
        <v>DEC</v>
      </c>
      <c r="AA1012">
        <f>_xlfn.XLOOKUP(Table6[[#This Row],[Old Table.Column]],Cobra8.6[Table.Column],Cobra8.6[LENGTH],"",0,1)</f>
        <v>5</v>
      </c>
      <c r="AB1012"/>
    </row>
    <row r="1013" spans="1:28" hidden="1" x14ac:dyDescent="0.2">
      <c r="A1013" t="s">
        <v>1451</v>
      </c>
      <c r="B1013" s="17" t="s">
        <v>1064</v>
      </c>
      <c r="C1013" s="17" t="s">
        <v>1562</v>
      </c>
      <c r="D1013" s="17">
        <v>29</v>
      </c>
      <c r="E1013" s="17" t="s">
        <v>161</v>
      </c>
      <c r="F1013" t="str">
        <f>VLOOKUP($E1013,'Data Type Lookup'!$A$1:$C$21,2,FALSE)</f>
        <v>NUMBER(21,6)</v>
      </c>
      <c r="G1013" s="17"/>
      <c r="H1013" s="17"/>
      <c r="I1013" s="29"/>
      <c r="J1013" s="29">
        <v>0</v>
      </c>
      <c r="K1013" s="29"/>
      <c r="L1013" s="29"/>
      <c r="M1013" s="17"/>
      <c r="N1013" s="17"/>
      <c r="O1013" s="17"/>
      <c r="P1013" s="17" t="s">
        <v>1563</v>
      </c>
      <c r="Q1013" s="17" t="str">
        <f t="shared" si="24"/>
        <v>thCcpu</v>
      </c>
      <c r="R1013" t="str">
        <f>VLOOKUP(E1013,'Data Type Lookup'!$A$1:$C$21,3,FALSE)</f>
        <v>java.math.BigDecimal</v>
      </c>
      <c r="S1013" s="17"/>
      <c r="W1013" t="str">
        <f t="shared" si="23"/>
        <v>RESOURCES.TH_CCPU</v>
      </c>
      <c r="X1013" t="str">
        <f>VLOOKUP(W1013,ColumnMapping[New Table.Column],1,)</f>
        <v>RESOURCES.TH_CCPU</v>
      </c>
      <c r="Y1013" t="str">
        <f>_xlfn.XLOOKUP(Table6[[#This Row],[Table.Column]],ColumnMapping[Add Column Name],ColumnMapping[Old Table.Column],"",0,1)</f>
        <v>CALCDESC.TH_CCPU</v>
      </c>
      <c r="Z1013" t="str">
        <f>_xlfn.XLOOKUP(Table6[[#This Row],[Old Table.Column]],Cobra8.6[Table.Column],Cobra8.6[TYPE],"",0,1)</f>
        <v>DEC</v>
      </c>
      <c r="AA1013">
        <f>_xlfn.XLOOKUP(Table6[[#This Row],[Old Table.Column]],Cobra8.6[Table.Column],Cobra8.6[LENGTH],"",0,1)</f>
        <v>5</v>
      </c>
      <c r="AB1013"/>
    </row>
    <row r="1014" spans="1:28" hidden="1" x14ac:dyDescent="0.2">
      <c r="A1014" t="s">
        <v>1451</v>
      </c>
      <c r="B1014" s="17" t="s">
        <v>1064</v>
      </c>
      <c r="C1014" s="17" t="s">
        <v>1564</v>
      </c>
      <c r="D1014" s="17">
        <v>30</v>
      </c>
      <c r="E1014" s="17" t="s">
        <v>161</v>
      </c>
      <c r="F1014" t="str">
        <f>VLOOKUP($E1014,'Data Type Lookup'!$A$1:$C$21,2,FALSE)</f>
        <v>NUMBER(21,6)</v>
      </c>
      <c r="G1014" s="17"/>
      <c r="H1014" s="17"/>
      <c r="I1014" s="29"/>
      <c r="J1014" s="29">
        <v>0</v>
      </c>
      <c r="K1014" s="29"/>
      <c r="L1014" s="29"/>
      <c r="M1014" s="17"/>
      <c r="N1014" s="17"/>
      <c r="O1014" s="17"/>
      <c r="P1014" s="17" t="s">
        <v>1565</v>
      </c>
      <c r="Q1014" s="17" t="str">
        <f t="shared" si="24"/>
        <v>thCcvf</v>
      </c>
      <c r="R1014" t="str">
        <f>VLOOKUP(E1014,'Data Type Lookup'!$A$1:$C$21,3,FALSE)</f>
        <v>java.math.BigDecimal</v>
      </c>
      <c r="S1014" s="17"/>
      <c r="W1014" t="str">
        <f t="shared" si="23"/>
        <v>RESOURCES.TH_CCVF</v>
      </c>
      <c r="X1014" t="str">
        <f>VLOOKUP(W1014,ColumnMapping[New Table.Column],1,)</f>
        <v>RESOURCES.TH_CCVF</v>
      </c>
      <c r="Y1014" t="str">
        <f>_xlfn.XLOOKUP(Table6[[#This Row],[Table.Column]],ColumnMapping[Add Column Name],ColumnMapping[Old Table.Column],"",0,1)</f>
        <v>CALCDESC.TH_CCVF</v>
      </c>
      <c r="Z1014" t="str">
        <f>_xlfn.XLOOKUP(Table6[[#This Row],[Old Table.Column]],Cobra8.6[Table.Column],Cobra8.6[TYPE],"",0,1)</f>
        <v>DEC</v>
      </c>
      <c r="AA1014">
        <f>_xlfn.XLOOKUP(Table6[[#This Row],[Old Table.Column]],Cobra8.6[Table.Column],Cobra8.6[LENGTH],"",0,1)</f>
        <v>21</v>
      </c>
      <c r="AB1014"/>
    </row>
    <row r="1015" spans="1:28" hidden="1" x14ac:dyDescent="0.2">
      <c r="A1015" t="s">
        <v>1451</v>
      </c>
      <c r="B1015" s="17" t="s">
        <v>1064</v>
      </c>
      <c r="C1015" s="17" t="s">
        <v>1566</v>
      </c>
      <c r="D1015" s="17">
        <v>31</v>
      </c>
      <c r="E1015" s="17" t="s">
        <v>161</v>
      </c>
      <c r="F1015" t="str">
        <f>VLOOKUP($E1015,'Data Type Lookup'!$A$1:$C$21,2,FALSE)</f>
        <v>NUMBER(21,6)</v>
      </c>
      <c r="G1015" s="17"/>
      <c r="H1015" s="17"/>
      <c r="I1015" s="29"/>
      <c r="J1015" s="29">
        <v>0</v>
      </c>
      <c r="K1015" s="29"/>
      <c r="L1015" s="29"/>
      <c r="M1015" s="17"/>
      <c r="N1015" s="17"/>
      <c r="O1015" s="17"/>
      <c r="P1015" s="17" t="s">
        <v>1567</v>
      </c>
      <c r="Q1015" s="17" t="str">
        <f t="shared" si="24"/>
        <v>thCcvu</v>
      </c>
      <c r="R1015" t="str">
        <f>VLOOKUP(E1015,'Data Type Lookup'!$A$1:$C$21,3,FALSE)</f>
        <v>java.math.BigDecimal</v>
      </c>
      <c r="S1015" s="17"/>
      <c r="W1015" t="str">
        <f t="shared" si="23"/>
        <v>RESOURCES.TH_CCVU</v>
      </c>
      <c r="X1015" t="str">
        <f>VLOOKUP(W1015,ColumnMapping[New Table.Column],1,)</f>
        <v>RESOURCES.TH_CCVU</v>
      </c>
      <c r="Y1015" t="str">
        <f>_xlfn.XLOOKUP(Table6[[#This Row],[Table.Column]],ColumnMapping[Add Column Name],ColumnMapping[Old Table.Column],"",0,1)</f>
        <v>CALCDESC.TH_CCVU</v>
      </c>
      <c r="Z1015" t="str">
        <f>_xlfn.XLOOKUP(Table6[[#This Row],[Old Table.Column]],Cobra8.6[Table.Column],Cobra8.6[TYPE],"",0,1)</f>
        <v>DEC</v>
      </c>
      <c r="AA1015">
        <f>_xlfn.XLOOKUP(Table6[[#This Row],[Old Table.Column]],Cobra8.6[Table.Column],Cobra8.6[LENGTH],"",0,1)</f>
        <v>21</v>
      </c>
      <c r="AB1015"/>
    </row>
    <row r="1016" spans="1:28" hidden="1" x14ac:dyDescent="0.2">
      <c r="A1016" t="s">
        <v>1451</v>
      </c>
      <c r="B1016" s="17" t="s">
        <v>1064</v>
      </c>
      <c r="C1016" s="17" t="s">
        <v>1568</v>
      </c>
      <c r="D1016" s="17">
        <v>32</v>
      </c>
      <c r="E1016" s="17" t="s">
        <v>161</v>
      </c>
      <c r="F1016" t="str">
        <f>VLOOKUP($E1016,'Data Type Lookup'!$A$1:$C$21,2,FALSE)</f>
        <v>NUMBER(21,6)</v>
      </c>
      <c r="G1016" s="17"/>
      <c r="H1016" s="17"/>
      <c r="I1016" s="29"/>
      <c r="J1016" s="29">
        <v>0</v>
      </c>
      <c r="K1016" s="29"/>
      <c r="L1016" s="29"/>
      <c r="M1016" s="17"/>
      <c r="N1016" s="17"/>
      <c r="O1016" s="17"/>
      <c r="P1016" s="17" t="s">
        <v>1569</v>
      </c>
      <c r="Q1016" s="17" t="str">
        <f t="shared" si="24"/>
        <v>thCppf</v>
      </c>
      <c r="R1016" t="str">
        <f>VLOOKUP(E1016,'Data Type Lookup'!$A$1:$C$21,3,FALSE)</f>
        <v>java.math.BigDecimal</v>
      </c>
      <c r="S1016" s="17"/>
      <c r="W1016" t="str">
        <f t="shared" si="23"/>
        <v>RESOURCES.TH_CPPF</v>
      </c>
      <c r="X1016" t="str">
        <f>VLOOKUP(W1016,ColumnMapping[New Table.Column],1,)</f>
        <v>RESOURCES.TH_CPPF</v>
      </c>
      <c r="Y1016" t="str">
        <f>_xlfn.XLOOKUP(Table6[[#This Row],[Table.Column]],ColumnMapping[Add Column Name],ColumnMapping[Old Table.Column],"",0,1)</f>
        <v>CALCDESC.TH_CPPF</v>
      </c>
      <c r="Z1016" t="str">
        <f>_xlfn.XLOOKUP(Table6[[#This Row],[Old Table.Column]],Cobra8.6[Table.Column],Cobra8.6[TYPE],"",0,1)</f>
        <v>DEC</v>
      </c>
      <c r="AA1016">
        <f>_xlfn.XLOOKUP(Table6[[#This Row],[Old Table.Column]],Cobra8.6[Table.Column],Cobra8.6[LENGTH],"",0,1)</f>
        <v>5</v>
      </c>
      <c r="AB1016"/>
    </row>
    <row r="1017" spans="1:28" hidden="1" x14ac:dyDescent="0.2">
      <c r="A1017" t="s">
        <v>1451</v>
      </c>
      <c r="B1017" s="17" t="s">
        <v>1064</v>
      </c>
      <c r="C1017" s="17" t="s">
        <v>1570</v>
      </c>
      <c r="D1017" s="17">
        <v>33</v>
      </c>
      <c r="E1017" s="17" t="s">
        <v>161</v>
      </c>
      <c r="F1017" t="str">
        <f>VLOOKUP($E1017,'Data Type Lookup'!$A$1:$C$21,2,FALSE)</f>
        <v>NUMBER(21,6)</v>
      </c>
      <c r="G1017" s="17"/>
      <c r="H1017" s="17"/>
      <c r="I1017" s="29"/>
      <c r="J1017" s="29">
        <v>0</v>
      </c>
      <c r="K1017" s="29"/>
      <c r="L1017" s="29"/>
      <c r="M1017" s="17"/>
      <c r="N1017" s="17"/>
      <c r="O1017" s="17"/>
      <c r="P1017" s="17" t="s">
        <v>1571</v>
      </c>
      <c r="Q1017" s="17" t="str">
        <f t="shared" si="24"/>
        <v>thCppu</v>
      </c>
      <c r="R1017" t="str">
        <f>VLOOKUP(E1017,'Data Type Lookup'!$A$1:$C$21,3,FALSE)</f>
        <v>java.math.BigDecimal</v>
      </c>
      <c r="S1017" s="17"/>
      <c r="W1017" t="str">
        <f t="shared" si="23"/>
        <v>RESOURCES.TH_CPPU</v>
      </c>
      <c r="X1017" t="str">
        <f>VLOOKUP(W1017,ColumnMapping[New Table.Column],1,)</f>
        <v>RESOURCES.TH_CPPU</v>
      </c>
      <c r="Y1017" t="str">
        <f>_xlfn.XLOOKUP(Table6[[#This Row],[Table.Column]],ColumnMapping[Add Column Name],ColumnMapping[Old Table.Column],"",0,1)</f>
        <v>CALCDESC.TH_CPPU</v>
      </c>
      <c r="Z1017" t="str">
        <f>_xlfn.XLOOKUP(Table6[[#This Row],[Old Table.Column]],Cobra8.6[Table.Column],Cobra8.6[TYPE],"",0,1)</f>
        <v>DEC</v>
      </c>
      <c r="AA1017">
        <f>_xlfn.XLOOKUP(Table6[[#This Row],[Old Table.Column]],Cobra8.6[Table.Column],Cobra8.6[LENGTH],"",0,1)</f>
        <v>5</v>
      </c>
      <c r="AB1017"/>
    </row>
    <row r="1018" spans="1:28" hidden="1" x14ac:dyDescent="0.2">
      <c r="A1018" t="s">
        <v>1451</v>
      </c>
      <c r="B1018" s="17" t="s">
        <v>1064</v>
      </c>
      <c r="C1018" s="17" t="s">
        <v>1572</v>
      </c>
      <c r="D1018" s="17">
        <v>34</v>
      </c>
      <c r="E1018" s="17" t="s">
        <v>161</v>
      </c>
      <c r="F1018" t="str">
        <f>VLOOKUP($E1018,'Data Type Lookup'!$A$1:$C$21,2,FALSE)</f>
        <v>NUMBER(21,6)</v>
      </c>
      <c r="G1018" s="17"/>
      <c r="H1018" s="17"/>
      <c r="I1018" s="29"/>
      <c r="J1018" s="29">
        <v>0</v>
      </c>
      <c r="K1018" s="29"/>
      <c r="L1018" s="29"/>
      <c r="M1018" s="17"/>
      <c r="N1018" s="17"/>
      <c r="O1018" s="17"/>
      <c r="P1018" s="17" t="s">
        <v>1573</v>
      </c>
      <c r="Q1018" s="17" t="str">
        <f t="shared" si="24"/>
        <v>thCpvf</v>
      </c>
      <c r="R1018" t="str">
        <f>VLOOKUP(E1018,'Data Type Lookup'!$A$1:$C$21,3,FALSE)</f>
        <v>java.math.BigDecimal</v>
      </c>
      <c r="S1018" s="17"/>
      <c r="W1018" t="str">
        <f t="shared" si="23"/>
        <v>RESOURCES.TH_CPVF</v>
      </c>
      <c r="X1018" t="str">
        <f>VLOOKUP(W1018,ColumnMapping[New Table.Column],1,)</f>
        <v>RESOURCES.TH_CPVF</v>
      </c>
      <c r="Y1018" t="str">
        <f>_xlfn.XLOOKUP(Table6[[#This Row],[Table.Column]],ColumnMapping[Add Column Name],ColumnMapping[Old Table.Column],"",0,1)</f>
        <v>CALCDESC.TH_CPVF</v>
      </c>
      <c r="Z1018" t="str">
        <f>_xlfn.XLOOKUP(Table6[[#This Row],[Old Table.Column]],Cobra8.6[Table.Column],Cobra8.6[TYPE],"",0,1)</f>
        <v>DEC</v>
      </c>
      <c r="AA1018">
        <f>_xlfn.XLOOKUP(Table6[[#This Row],[Old Table.Column]],Cobra8.6[Table.Column],Cobra8.6[LENGTH],"",0,1)</f>
        <v>21</v>
      </c>
      <c r="AB1018"/>
    </row>
    <row r="1019" spans="1:28" hidden="1" x14ac:dyDescent="0.2">
      <c r="A1019" t="s">
        <v>1451</v>
      </c>
      <c r="B1019" s="17" t="s">
        <v>1064</v>
      </c>
      <c r="C1019" s="17" t="s">
        <v>1574</v>
      </c>
      <c r="D1019" s="17">
        <v>35</v>
      </c>
      <c r="E1019" s="17" t="s">
        <v>161</v>
      </c>
      <c r="F1019" t="str">
        <f>VLOOKUP($E1019,'Data Type Lookup'!$A$1:$C$21,2,FALSE)</f>
        <v>NUMBER(21,6)</v>
      </c>
      <c r="G1019" s="17"/>
      <c r="H1019" s="17"/>
      <c r="I1019" s="29"/>
      <c r="J1019" s="29">
        <v>0</v>
      </c>
      <c r="K1019" s="29"/>
      <c r="L1019" s="29"/>
      <c r="M1019" s="17"/>
      <c r="N1019" s="17"/>
      <c r="O1019" s="17"/>
      <c r="P1019" s="17" t="s">
        <v>1575</v>
      </c>
      <c r="Q1019" s="17" t="str">
        <f t="shared" si="24"/>
        <v>thCpvu</v>
      </c>
      <c r="R1019" t="str">
        <f>VLOOKUP(E1019,'Data Type Lookup'!$A$1:$C$21,3,FALSE)</f>
        <v>java.math.BigDecimal</v>
      </c>
      <c r="S1019" s="17"/>
      <c r="W1019" t="str">
        <f t="shared" si="23"/>
        <v>RESOURCES.TH_CPVU</v>
      </c>
      <c r="X1019" t="str">
        <f>VLOOKUP(W1019,ColumnMapping[New Table.Column],1,)</f>
        <v>RESOURCES.TH_CPVU</v>
      </c>
      <c r="Y1019" t="str">
        <f>_xlfn.XLOOKUP(Table6[[#This Row],[Table.Column]],ColumnMapping[Add Column Name],ColumnMapping[Old Table.Column],"",0,1)</f>
        <v>CALCDESC.TH_CPVU</v>
      </c>
      <c r="Z1019" t="str">
        <f>_xlfn.XLOOKUP(Table6[[#This Row],[Old Table.Column]],Cobra8.6[Table.Column],Cobra8.6[TYPE],"",0,1)</f>
        <v>DEC</v>
      </c>
      <c r="AA1019">
        <f>_xlfn.XLOOKUP(Table6[[#This Row],[Old Table.Column]],Cobra8.6[Table.Column],Cobra8.6[LENGTH],"",0,1)</f>
        <v>21</v>
      </c>
      <c r="AB1019"/>
    </row>
    <row r="1020" spans="1:28" hidden="1" x14ac:dyDescent="0.2">
      <c r="A1020" t="s">
        <v>1451</v>
      </c>
      <c r="B1020" s="17" t="s">
        <v>1064</v>
      </c>
      <c r="C1020" s="17" t="s">
        <v>1576</v>
      </c>
      <c r="D1020" s="17">
        <v>36</v>
      </c>
      <c r="E1020" s="17" t="s">
        <v>161</v>
      </c>
      <c r="F1020" t="str">
        <f>VLOOKUP($E1020,'Data Type Lookup'!$A$1:$C$21,2,FALSE)</f>
        <v>NUMBER(21,6)</v>
      </c>
      <c r="G1020" s="17"/>
      <c r="H1020" s="17"/>
      <c r="I1020" s="29"/>
      <c r="J1020" s="29">
        <v>0</v>
      </c>
      <c r="K1020" s="29"/>
      <c r="L1020" s="29"/>
      <c r="M1020" s="17"/>
      <c r="N1020" s="17"/>
      <c r="O1020" s="17"/>
      <c r="P1020" s="17" t="s">
        <v>1577</v>
      </c>
      <c r="Q1020" s="17" t="str">
        <f t="shared" si="24"/>
        <v>thScpf</v>
      </c>
      <c r="R1020" t="str">
        <f>VLOOKUP(E1020,'Data Type Lookup'!$A$1:$C$21,3,FALSE)</f>
        <v>java.math.BigDecimal</v>
      </c>
      <c r="S1020" s="17"/>
      <c r="W1020" t="str">
        <f t="shared" si="23"/>
        <v>RESOURCES.TH_SCPF</v>
      </c>
      <c r="X1020" t="str">
        <f>VLOOKUP(W1020,ColumnMapping[New Table.Column],1,)</f>
        <v>RESOURCES.TH_SCPF</v>
      </c>
      <c r="Y1020" t="str">
        <f>_xlfn.XLOOKUP(Table6[[#This Row],[Table.Column]],ColumnMapping[Add Column Name],ColumnMapping[Old Table.Column],"",0,1)</f>
        <v>CALCDESC.TH_SCPF</v>
      </c>
      <c r="Z1020" t="str">
        <f>_xlfn.XLOOKUP(Table6[[#This Row],[Old Table.Column]],Cobra8.6[Table.Column],Cobra8.6[TYPE],"",0,1)</f>
        <v>DEC</v>
      </c>
      <c r="AA1020">
        <f>_xlfn.XLOOKUP(Table6[[#This Row],[Old Table.Column]],Cobra8.6[Table.Column],Cobra8.6[LENGTH],"",0,1)</f>
        <v>5</v>
      </c>
      <c r="AB1020"/>
    </row>
    <row r="1021" spans="1:28" hidden="1" x14ac:dyDescent="0.2">
      <c r="A1021" t="s">
        <v>1451</v>
      </c>
      <c r="B1021" s="17" t="s">
        <v>1064</v>
      </c>
      <c r="C1021" s="17" t="s">
        <v>1578</v>
      </c>
      <c r="D1021" s="17">
        <v>37</v>
      </c>
      <c r="E1021" s="17" t="s">
        <v>161</v>
      </c>
      <c r="F1021" t="str">
        <f>VLOOKUP($E1021,'Data Type Lookup'!$A$1:$C$21,2,FALSE)</f>
        <v>NUMBER(21,6)</v>
      </c>
      <c r="G1021" s="17"/>
      <c r="H1021" s="17"/>
      <c r="I1021" s="29"/>
      <c r="J1021" s="29">
        <v>0</v>
      </c>
      <c r="K1021" s="29"/>
      <c r="L1021" s="29"/>
      <c r="M1021" s="17"/>
      <c r="N1021" s="17"/>
      <c r="O1021" s="17"/>
      <c r="P1021" s="17" t="s">
        <v>1579</v>
      </c>
      <c r="Q1021" s="17" t="str">
        <f t="shared" si="24"/>
        <v>thScpu</v>
      </c>
      <c r="R1021" t="str">
        <f>VLOOKUP(E1021,'Data Type Lookup'!$A$1:$C$21,3,FALSE)</f>
        <v>java.math.BigDecimal</v>
      </c>
      <c r="S1021" s="17"/>
      <c r="W1021" t="str">
        <f t="shared" si="23"/>
        <v>RESOURCES.TH_SCPU</v>
      </c>
      <c r="X1021" t="str">
        <f>VLOOKUP(W1021,ColumnMapping[New Table.Column],1,)</f>
        <v>RESOURCES.TH_SCPU</v>
      </c>
      <c r="Y1021" t="str">
        <f>_xlfn.XLOOKUP(Table6[[#This Row],[Table.Column]],ColumnMapping[Add Column Name],ColumnMapping[Old Table.Column],"",0,1)</f>
        <v>CALCDESC.TH_SCPU</v>
      </c>
      <c r="Z1021" t="str">
        <f>_xlfn.XLOOKUP(Table6[[#This Row],[Old Table.Column]],Cobra8.6[Table.Column],Cobra8.6[TYPE],"",0,1)</f>
        <v>DEC</v>
      </c>
      <c r="AA1021">
        <f>_xlfn.XLOOKUP(Table6[[#This Row],[Old Table.Column]],Cobra8.6[Table.Column],Cobra8.6[LENGTH],"",0,1)</f>
        <v>5</v>
      </c>
      <c r="AB1021"/>
    </row>
    <row r="1022" spans="1:28" hidden="1" x14ac:dyDescent="0.2">
      <c r="A1022" t="s">
        <v>1451</v>
      </c>
      <c r="B1022" s="17" t="s">
        <v>1064</v>
      </c>
      <c r="C1022" s="17" t="s">
        <v>1580</v>
      </c>
      <c r="D1022" s="17">
        <v>38</v>
      </c>
      <c r="E1022" s="17" t="s">
        <v>161</v>
      </c>
      <c r="F1022" t="str">
        <f>VLOOKUP($E1022,'Data Type Lookup'!$A$1:$C$21,2,FALSE)</f>
        <v>NUMBER(21,6)</v>
      </c>
      <c r="G1022" s="17"/>
      <c r="H1022" s="17"/>
      <c r="I1022" s="29"/>
      <c r="J1022" s="29">
        <v>0</v>
      </c>
      <c r="K1022" s="29"/>
      <c r="L1022" s="29"/>
      <c r="M1022" s="17"/>
      <c r="N1022" s="17"/>
      <c r="O1022" s="17"/>
      <c r="P1022" s="17" t="s">
        <v>1581</v>
      </c>
      <c r="Q1022" s="17" t="str">
        <f t="shared" si="24"/>
        <v>thScvf</v>
      </c>
      <c r="R1022" t="str">
        <f>VLOOKUP(E1022,'Data Type Lookup'!$A$1:$C$21,3,FALSE)</f>
        <v>java.math.BigDecimal</v>
      </c>
      <c r="S1022" s="17"/>
      <c r="W1022" t="str">
        <f t="shared" si="23"/>
        <v>RESOURCES.TH_SCVF</v>
      </c>
      <c r="X1022" t="str">
        <f>VLOOKUP(W1022,ColumnMapping[New Table.Column],1,)</f>
        <v>RESOURCES.TH_SCVF</v>
      </c>
      <c r="Y1022" t="str">
        <f>_xlfn.XLOOKUP(Table6[[#This Row],[Table.Column]],ColumnMapping[Add Column Name],ColumnMapping[Old Table.Column],"",0,1)</f>
        <v>CALCDESC.TH_SCVF</v>
      </c>
      <c r="Z1022" t="str">
        <f>_xlfn.XLOOKUP(Table6[[#This Row],[Old Table.Column]],Cobra8.6[Table.Column],Cobra8.6[TYPE],"",0,1)</f>
        <v>DEC</v>
      </c>
      <c r="AA1022">
        <f>_xlfn.XLOOKUP(Table6[[#This Row],[Old Table.Column]],Cobra8.6[Table.Column],Cobra8.6[LENGTH],"",0,1)</f>
        <v>21</v>
      </c>
      <c r="AB1022"/>
    </row>
    <row r="1023" spans="1:28" hidden="1" x14ac:dyDescent="0.2">
      <c r="A1023" t="s">
        <v>1451</v>
      </c>
      <c r="B1023" s="17" t="s">
        <v>1064</v>
      </c>
      <c r="C1023" s="17" t="s">
        <v>1582</v>
      </c>
      <c r="D1023" s="17">
        <v>39</v>
      </c>
      <c r="E1023" s="17" t="s">
        <v>161</v>
      </c>
      <c r="F1023" t="str">
        <f>VLOOKUP($E1023,'Data Type Lookup'!$A$1:$C$21,2,FALSE)</f>
        <v>NUMBER(21,6)</v>
      </c>
      <c r="G1023" s="17"/>
      <c r="H1023" s="17"/>
      <c r="I1023" s="29"/>
      <c r="J1023" s="29">
        <v>0</v>
      </c>
      <c r="K1023" s="29"/>
      <c r="L1023" s="29"/>
      <c r="M1023" s="17"/>
      <c r="N1023" s="17"/>
      <c r="O1023" s="17"/>
      <c r="P1023" s="17" t="s">
        <v>1583</v>
      </c>
      <c r="Q1023" s="17" t="str">
        <f t="shared" si="24"/>
        <v>thScvu</v>
      </c>
      <c r="R1023" t="str">
        <f>VLOOKUP(E1023,'Data Type Lookup'!$A$1:$C$21,3,FALSE)</f>
        <v>java.math.BigDecimal</v>
      </c>
      <c r="S1023" s="17"/>
      <c r="W1023" t="str">
        <f t="shared" si="23"/>
        <v>RESOURCES.TH_SCVU</v>
      </c>
      <c r="X1023" t="str">
        <f>VLOOKUP(W1023,ColumnMapping[New Table.Column],1,)</f>
        <v>RESOURCES.TH_SCVU</v>
      </c>
      <c r="Y1023" t="str">
        <f>_xlfn.XLOOKUP(Table6[[#This Row],[Table.Column]],ColumnMapping[Add Column Name],ColumnMapping[Old Table.Column],"",0,1)</f>
        <v>CALCDESC.TH_SCVU</v>
      </c>
      <c r="Z1023" t="str">
        <f>_xlfn.XLOOKUP(Table6[[#This Row],[Old Table.Column]],Cobra8.6[Table.Column],Cobra8.6[TYPE],"",0,1)</f>
        <v>DEC</v>
      </c>
      <c r="AA1023">
        <f>_xlfn.XLOOKUP(Table6[[#This Row],[Old Table.Column]],Cobra8.6[Table.Column],Cobra8.6[LENGTH],"",0,1)</f>
        <v>21</v>
      </c>
      <c r="AB1023"/>
    </row>
    <row r="1024" spans="1:28" hidden="1" x14ac:dyDescent="0.2">
      <c r="A1024" t="s">
        <v>1451</v>
      </c>
      <c r="B1024" s="17" t="s">
        <v>1064</v>
      </c>
      <c r="C1024" s="17" t="s">
        <v>1584</v>
      </c>
      <c r="D1024" s="17">
        <v>40</v>
      </c>
      <c r="E1024" s="17" t="s">
        <v>161</v>
      </c>
      <c r="F1024" t="str">
        <f>VLOOKUP($E1024,'Data Type Lookup'!$A$1:$C$21,2,FALSE)</f>
        <v>NUMBER(21,6)</v>
      </c>
      <c r="G1024" s="17"/>
      <c r="H1024" s="17"/>
      <c r="I1024" s="29"/>
      <c r="J1024" s="29">
        <v>0</v>
      </c>
      <c r="K1024" s="29"/>
      <c r="L1024" s="29"/>
      <c r="M1024" s="17"/>
      <c r="N1024" s="17"/>
      <c r="O1024" s="17"/>
      <c r="P1024" s="17" t="s">
        <v>1585</v>
      </c>
      <c r="Q1024" s="17" t="str">
        <f t="shared" si="24"/>
        <v>thSppf</v>
      </c>
      <c r="R1024" t="str">
        <f>VLOOKUP(E1024,'Data Type Lookup'!$A$1:$C$21,3,FALSE)</f>
        <v>java.math.BigDecimal</v>
      </c>
      <c r="S1024" s="17"/>
      <c r="W1024" t="str">
        <f t="shared" si="23"/>
        <v>RESOURCES.TH_SPPF</v>
      </c>
      <c r="X1024" t="str">
        <f>VLOOKUP(W1024,ColumnMapping[New Table.Column],1,)</f>
        <v>RESOURCES.TH_SPPF</v>
      </c>
      <c r="Y1024" t="str">
        <f>_xlfn.XLOOKUP(Table6[[#This Row],[Table.Column]],ColumnMapping[Add Column Name],ColumnMapping[Old Table.Column],"",0,1)</f>
        <v>CALCDESC.TH_SPPF</v>
      </c>
      <c r="Z1024" t="str">
        <f>_xlfn.XLOOKUP(Table6[[#This Row],[Old Table.Column]],Cobra8.6[Table.Column],Cobra8.6[TYPE],"",0,1)</f>
        <v>DEC</v>
      </c>
      <c r="AA1024">
        <f>_xlfn.XLOOKUP(Table6[[#This Row],[Old Table.Column]],Cobra8.6[Table.Column],Cobra8.6[LENGTH],"",0,1)</f>
        <v>5</v>
      </c>
      <c r="AB1024"/>
    </row>
    <row r="1025" spans="1:28" hidden="1" x14ac:dyDescent="0.2">
      <c r="A1025" t="s">
        <v>1451</v>
      </c>
      <c r="B1025" s="17" t="s">
        <v>1064</v>
      </c>
      <c r="C1025" s="17" t="s">
        <v>1586</v>
      </c>
      <c r="D1025" s="17">
        <v>41</v>
      </c>
      <c r="E1025" s="17" t="s">
        <v>161</v>
      </c>
      <c r="F1025" t="str">
        <f>VLOOKUP($E1025,'Data Type Lookup'!$A$1:$C$21,2,FALSE)</f>
        <v>NUMBER(21,6)</v>
      </c>
      <c r="G1025" s="17"/>
      <c r="H1025" s="17"/>
      <c r="I1025" s="29"/>
      <c r="J1025" s="29">
        <v>0</v>
      </c>
      <c r="K1025" s="29"/>
      <c r="L1025" s="29"/>
      <c r="M1025" s="17"/>
      <c r="N1025" s="17"/>
      <c r="O1025" s="17"/>
      <c r="P1025" s="17" t="s">
        <v>1587</v>
      </c>
      <c r="Q1025" s="17" t="str">
        <f t="shared" si="24"/>
        <v>thSppu</v>
      </c>
      <c r="R1025" t="str">
        <f>VLOOKUP(E1025,'Data Type Lookup'!$A$1:$C$21,3,FALSE)</f>
        <v>java.math.BigDecimal</v>
      </c>
      <c r="S1025" s="17"/>
      <c r="W1025" t="str">
        <f t="shared" si="23"/>
        <v>RESOURCES.TH_SPPU</v>
      </c>
      <c r="X1025" t="str">
        <f>VLOOKUP(W1025,ColumnMapping[New Table.Column],1,)</f>
        <v>RESOURCES.TH_SPPU</v>
      </c>
      <c r="Y1025" t="str">
        <f>_xlfn.XLOOKUP(Table6[[#This Row],[Table.Column]],ColumnMapping[Add Column Name],ColumnMapping[Old Table.Column],"",0,1)</f>
        <v>CALCDESC.TH_SPPU</v>
      </c>
      <c r="Z1025" t="str">
        <f>_xlfn.XLOOKUP(Table6[[#This Row],[Old Table.Column]],Cobra8.6[Table.Column],Cobra8.6[TYPE],"",0,1)</f>
        <v>DEC</v>
      </c>
      <c r="AA1025">
        <f>_xlfn.XLOOKUP(Table6[[#This Row],[Old Table.Column]],Cobra8.6[Table.Column],Cobra8.6[LENGTH],"",0,1)</f>
        <v>5</v>
      </c>
      <c r="AB1025"/>
    </row>
    <row r="1026" spans="1:28" hidden="1" x14ac:dyDescent="0.2">
      <c r="A1026" t="s">
        <v>1451</v>
      </c>
      <c r="B1026" s="17" t="s">
        <v>1064</v>
      </c>
      <c r="C1026" s="17" t="s">
        <v>1588</v>
      </c>
      <c r="D1026" s="17">
        <v>42</v>
      </c>
      <c r="E1026" s="17" t="s">
        <v>161</v>
      </c>
      <c r="F1026" t="str">
        <f>VLOOKUP($E1026,'Data Type Lookup'!$A$1:$C$21,2,FALSE)</f>
        <v>NUMBER(21,6)</v>
      </c>
      <c r="G1026" s="17"/>
      <c r="H1026" s="17"/>
      <c r="I1026" s="29"/>
      <c r="J1026" s="29">
        <v>0</v>
      </c>
      <c r="K1026" s="29"/>
      <c r="L1026" s="29"/>
      <c r="M1026" s="17"/>
      <c r="N1026" s="17"/>
      <c r="O1026" s="17"/>
      <c r="P1026" s="17" t="s">
        <v>1589</v>
      </c>
      <c r="Q1026" s="17" t="str">
        <f t="shared" si="24"/>
        <v>thSpvf</v>
      </c>
      <c r="R1026" t="str">
        <f>VLOOKUP(E1026,'Data Type Lookup'!$A$1:$C$21,3,FALSE)</f>
        <v>java.math.BigDecimal</v>
      </c>
      <c r="S1026" s="17"/>
      <c r="W1026" t="str">
        <f t="shared" si="23"/>
        <v>RESOURCES.TH_SPVF</v>
      </c>
      <c r="X1026" t="str">
        <f>VLOOKUP(W1026,ColumnMapping[New Table.Column],1,)</f>
        <v>RESOURCES.TH_SPVF</v>
      </c>
      <c r="Y1026" t="str">
        <f>_xlfn.XLOOKUP(Table6[[#This Row],[Table.Column]],ColumnMapping[Add Column Name],ColumnMapping[Old Table.Column],"",0,1)</f>
        <v>CALCDESC.TH_SPVF</v>
      </c>
      <c r="Z1026" t="str">
        <f>_xlfn.XLOOKUP(Table6[[#This Row],[Old Table.Column]],Cobra8.6[Table.Column],Cobra8.6[TYPE],"",0,1)</f>
        <v>DEC</v>
      </c>
      <c r="AA1026">
        <f>_xlfn.XLOOKUP(Table6[[#This Row],[Old Table.Column]],Cobra8.6[Table.Column],Cobra8.6[LENGTH],"",0,1)</f>
        <v>21</v>
      </c>
      <c r="AB1026"/>
    </row>
    <row r="1027" spans="1:28" hidden="1" x14ac:dyDescent="0.2">
      <c r="A1027" t="s">
        <v>1451</v>
      </c>
      <c r="B1027" s="17" t="s">
        <v>1064</v>
      </c>
      <c r="C1027" s="17" t="s">
        <v>1590</v>
      </c>
      <c r="D1027" s="17">
        <v>43</v>
      </c>
      <c r="E1027" s="17" t="s">
        <v>161</v>
      </c>
      <c r="F1027" t="str">
        <f>VLOOKUP($E1027,'Data Type Lookup'!$A$1:$C$21,2,FALSE)</f>
        <v>NUMBER(21,6)</v>
      </c>
      <c r="G1027" s="17"/>
      <c r="H1027" s="17"/>
      <c r="I1027" s="29"/>
      <c r="J1027" s="29">
        <v>0</v>
      </c>
      <c r="K1027" s="29"/>
      <c r="L1027" s="29"/>
      <c r="M1027" s="17"/>
      <c r="N1027" s="17"/>
      <c r="O1027" s="17"/>
      <c r="P1027" s="17" t="s">
        <v>1591</v>
      </c>
      <c r="Q1027" s="17" t="str">
        <f t="shared" si="24"/>
        <v>thSpvu</v>
      </c>
      <c r="R1027" t="str">
        <f>VLOOKUP(E1027,'Data Type Lookup'!$A$1:$C$21,3,FALSE)</f>
        <v>java.math.BigDecimal</v>
      </c>
      <c r="S1027" s="17"/>
      <c r="W1027" t="str">
        <f t="shared" si="23"/>
        <v>RESOURCES.TH_SPVU</v>
      </c>
      <c r="X1027" t="str">
        <f>VLOOKUP(W1027,ColumnMapping[New Table.Column],1,)</f>
        <v>RESOURCES.TH_SPVU</v>
      </c>
      <c r="Y1027" t="str">
        <f>_xlfn.XLOOKUP(Table6[[#This Row],[Table.Column]],ColumnMapping[Add Column Name],ColumnMapping[Old Table.Column],"",0,1)</f>
        <v>CALCDESC.TH_SPVU</v>
      </c>
      <c r="Z1027" t="str">
        <f>_xlfn.XLOOKUP(Table6[[#This Row],[Old Table.Column]],Cobra8.6[Table.Column],Cobra8.6[TYPE],"",0,1)</f>
        <v>DEC</v>
      </c>
      <c r="AA1027">
        <f>_xlfn.XLOOKUP(Table6[[#This Row],[Old Table.Column]],Cobra8.6[Table.Column],Cobra8.6[LENGTH],"",0,1)</f>
        <v>21</v>
      </c>
      <c r="AB1027"/>
    </row>
    <row r="1028" spans="1:28" hidden="1" x14ac:dyDescent="0.2">
      <c r="A1028" t="s">
        <v>1451</v>
      </c>
      <c r="B1028" s="39" t="s">
        <v>1064</v>
      </c>
      <c r="C1028" s="39" t="s">
        <v>1501</v>
      </c>
      <c r="D1028" s="39">
        <v>44</v>
      </c>
      <c r="E1028" s="39" t="s">
        <v>86</v>
      </c>
      <c r="F1028" s="39" t="s">
        <v>349</v>
      </c>
      <c r="G1028" s="39">
        <v>22</v>
      </c>
      <c r="H1028" s="39"/>
      <c r="I1028" s="47"/>
      <c r="J1028" s="37" t="s">
        <v>605</v>
      </c>
      <c r="K1028" s="47"/>
      <c r="L1028" s="47"/>
      <c r="M1028" s="39"/>
      <c r="N1028" s="39"/>
      <c r="O1028" s="39"/>
      <c r="P1028" s="39" t="s">
        <v>636</v>
      </c>
      <c r="Q1028" s="17" t="str">
        <f t="shared" si="24"/>
        <v>calcfile</v>
      </c>
      <c r="R1028" t="str">
        <f>VLOOKUP(E1028,'Data Type Lookup'!$A$1:$C$21,3,FALSE)</f>
        <v>String</v>
      </c>
      <c r="S1028" s="39"/>
      <c r="W1028" t="str">
        <f t="shared" si="23"/>
        <v>RESOURCES.CALCFILE</v>
      </c>
      <c r="X1028" t="str">
        <f>VLOOKUP(W1028,ColumnMapping[New Table.Column],1,)</f>
        <v>RESOURCES.CALCFILE</v>
      </c>
      <c r="Y1028" t="str">
        <f>_xlfn.XLOOKUP(Table6[[#This Row],[Table.Column]],ColumnMapping[Add Column Name],ColumnMapping[Old Table.Column],"",0,1)</f>
        <v/>
      </c>
      <c r="Z1028" t="str">
        <f>_xlfn.XLOOKUP(Table6[[#This Row],[Old Table.Column]],Cobra8.6[Table.Column],Cobra8.6[TYPE],"",0,1)</f>
        <v/>
      </c>
      <c r="AA1028" t="str">
        <f>_xlfn.XLOOKUP(Table6[[#This Row],[Old Table.Column]],Cobra8.6[Table.Column],Cobra8.6[LENGTH],"",0,1)</f>
        <v/>
      </c>
      <c r="AB1028"/>
    </row>
    <row r="1029" spans="1:28" hidden="1" x14ac:dyDescent="0.2">
      <c r="A1029" t="s">
        <v>1451</v>
      </c>
      <c r="B1029" s="17" t="s">
        <v>1064</v>
      </c>
      <c r="C1029" s="39" t="s">
        <v>58</v>
      </c>
      <c r="D1029" s="39">
        <v>45</v>
      </c>
      <c r="E1029" s="39" t="s">
        <v>52</v>
      </c>
      <c r="F1029" s="46" t="s">
        <v>1592</v>
      </c>
      <c r="G1029" s="46"/>
      <c r="H1029" s="46"/>
      <c r="I1029" s="46"/>
      <c r="J1029" s="63">
        <v>0</v>
      </c>
      <c r="K1029" s="46"/>
      <c r="L1029" s="46"/>
      <c r="M1029" s="46"/>
      <c r="N1029" s="46"/>
      <c r="O1029" s="46"/>
      <c r="P1029" s="46" t="s">
        <v>1593</v>
      </c>
      <c r="Q1029" s="46" t="s">
        <v>60</v>
      </c>
      <c r="R1029" s="46" t="s">
        <v>1594</v>
      </c>
      <c r="S1029" s="39"/>
      <c r="W1029" t="str">
        <f>_xlfn.CONCAT(B1029,".",C1029)</f>
        <v>RESOURCES.CHILD_POS</v>
      </c>
      <c r="X1029" t="str">
        <f>VLOOKUP(W1029,ColumnMapping[New Table.Column],1,)</f>
        <v>RESOURCES.CHILD_POS</v>
      </c>
      <c r="Y1029" t="str">
        <f>_xlfn.XLOOKUP(Table6[[#This Row],[Table.Column]],ColumnMapping[Add Column Name],ColumnMapping[Old Table.Column],"",0,1)</f>
        <v/>
      </c>
      <c r="Z1029" t="str">
        <f>_xlfn.XLOOKUP(Table6[[#This Row],[Old Table.Column]],Cobra8.6[Table.Column],Cobra8.6[TYPE],"",0,1)</f>
        <v/>
      </c>
      <c r="AA1029" t="str">
        <f>_xlfn.XLOOKUP(Table6[[#This Row],[Old Table.Column]],Cobra8.6[Table.Column],Cobra8.6[LENGTH],"",0,1)</f>
        <v/>
      </c>
      <c r="AB1029"/>
    </row>
    <row r="1030" spans="1:28" hidden="1" x14ac:dyDescent="0.2">
      <c r="A1030" t="s">
        <v>1451</v>
      </c>
      <c r="B1030" t="s">
        <v>1072</v>
      </c>
      <c r="C1030" t="s">
        <v>30</v>
      </c>
      <c r="D1030">
        <v>1</v>
      </c>
      <c r="E1030" t="s">
        <v>31</v>
      </c>
      <c r="F1030" t="str">
        <f>VLOOKUP($E1030,'Data Type Lookup'!$A$1:$C$21,2,FALSE)</f>
        <v>RAW(16)</v>
      </c>
      <c r="I1030" s="32" t="s">
        <v>32</v>
      </c>
      <c r="K1030" s="32" t="s">
        <v>32</v>
      </c>
      <c r="P1030" t="s">
        <v>636</v>
      </c>
      <c r="Q1030" t="s">
        <v>34</v>
      </c>
      <c r="R1030" t="str">
        <f>VLOOKUP(E1030,'Data Type Lookup'!$A$1:$C$21,3,FALSE)</f>
        <v>java.util.UUID</v>
      </c>
      <c r="S1030">
        <v>3</v>
      </c>
      <c r="W1030" t="str">
        <f t="shared" si="23"/>
        <v>SPREAD_CURVE.ROW_UID</v>
      </c>
      <c r="X1030" t="str">
        <f>VLOOKUP(W1030,ColumnMapping[New Table.Column],1,)</f>
        <v>SPREAD_CURVE.ROW_UID</v>
      </c>
      <c r="Y1030" t="str">
        <f>_xlfn.XLOOKUP(Table6[[#This Row],[Table.Column]],ColumnMapping[Add Column Name],ColumnMapping[Old Table.Column],"",0,1)</f>
        <v/>
      </c>
      <c r="Z1030" t="str">
        <f>_xlfn.XLOOKUP(Table6[[#This Row],[Old Table.Column]],Cobra8.6[Table.Column],Cobra8.6[TYPE],"",0,1)</f>
        <v/>
      </c>
      <c r="AA1030" t="str">
        <f>_xlfn.XLOOKUP(Table6[[#This Row],[Old Table.Column]],Cobra8.6[Table.Column],Cobra8.6[LENGTH],"",0,1)</f>
        <v/>
      </c>
      <c r="AB1030"/>
    </row>
    <row r="1031" spans="1:28" hidden="1" x14ac:dyDescent="0.2">
      <c r="A1031" t="s">
        <v>1451</v>
      </c>
      <c r="B1031" t="s">
        <v>1072</v>
      </c>
      <c r="C1031" t="s">
        <v>35</v>
      </c>
      <c r="D1031">
        <v>2</v>
      </c>
      <c r="E1031" t="s">
        <v>36</v>
      </c>
      <c r="F1031" t="str">
        <f>VLOOKUP($E1031,'Data Type Lookup'!$A$1:$C$21,2,FALSE)</f>
        <v>NUMBER(19,0)</v>
      </c>
      <c r="I1031" s="32" t="s">
        <v>32</v>
      </c>
      <c r="J1031" s="32">
        <v>0</v>
      </c>
      <c r="P1031" t="s">
        <v>37</v>
      </c>
      <c r="Q1031" t="s">
        <v>38</v>
      </c>
      <c r="R1031" t="str">
        <f>VLOOKUP(E1031,'Data Type Lookup'!$A$1:$C$21,3,FALSE)</f>
        <v>Long</v>
      </c>
      <c r="S1031">
        <v>3</v>
      </c>
      <c r="W1031" t="str">
        <f t="shared" si="23"/>
        <v>SPREAD_CURVE.SEQUENCE</v>
      </c>
      <c r="X1031" t="str">
        <f>VLOOKUP(W1031,ColumnMapping[New Table.Column],1,)</f>
        <v>SPREAD_CURVE.SEQUENCE</v>
      </c>
      <c r="Y1031" t="str">
        <f>_xlfn.XLOOKUP(Table6[[#This Row],[Table.Column]],ColumnMapping[Add Column Name],ColumnMapping[Old Table.Column],"",0,1)</f>
        <v/>
      </c>
      <c r="Z1031" t="str">
        <f>_xlfn.XLOOKUP(Table6[[#This Row],[Old Table.Column]],Cobra8.6[Table.Column],Cobra8.6[TYPE],"",0,1)</f>
        <v/>
      </c>
      <c r="AA1031" t="str">
        <f>_xlfn.XLOOKUP(Table6[[#This Row],[Old Table.Column]],Cobra8.6[Table.Column],Cobra8.6[LENGTH],"",0,1)</f>
        <v/>
      </c>
      <c r="AB1031"/>
    </row>
    <row r="1032" spans="1:28" hidden="1" x14ac:dyDescent="0.2">
      <c r="A1032" t="s">
        <v>1451</v>
      </c>
      <c r="B1032" t="s">
        <v>1072</v>
      </c>
      <c r="C1032" t="s">
        <v>47</v>
      </c>
      <c r="D1032">
        <v>3</v>
      </c>
      <c r="E1032" t="s">
        <v>48</v>
      </c>
      <c r="F1032" t="str">
        <f>VLOOKUP($E1032,'Data Type Lookup'!$A$1:$C$21,2,FALSE)</f>
        <v>NVARCHAR2</v>
      </c>
      <c r="G1032">
        <v>100</v>
      </c>
      <c r="I1032" s="32" t="s">
        <v>32</v>
      </c>
      <c r="L1032" s="32" t="s">
        <v>32</v>
      </c>
      <c r="P1032" t="s">
        <v>1595</v>
      </c>
      <c r="Q1032" t="s">
        <v>50</v>
      </c>
      <c r="R1032" t="str">
        <f>VLOOKUP(E1032,'Data Type Lookup'!$A$1:$C$21,3,FALSE)</f>
        <v>String</v>
      </c>
      <c r="W1032" t="str">
        <f t="shared" si="23"/>
        <v>SPREAD_CURVE.NAME</v>
      </c>
      <c r="X1032" t="str">
        <f>VLOOKUP(W1032,ColumnMapping[New Table.Column],1,)</f>
        <v>SPREAD_CURVE.NAME</v>
      </c>
      <c r="Y1032" t="str">
        <f>_xlfn.XLOOKUP(Table6[[#This Row],[Table.Column]],ColumnMapping[Add Column Name],ColumnMapping[Old Table.Column],"",0,1)</f>
        <v/>
      </c>
      <c r="Z1032" t="str">
        <f>_xlfn.XLOOKUP(Table6[[#This Row],[Old Table.Column]],Cobra8.6[Table.Column],Cobra8.6[TYPE],"",0,1)</f>
        <v/>
      </c>
      <c r="AA1032" t="str">
        <f>_xlfn.XLOOKUP(Table6[[#This Row],[Old Table.Column]],Cobra8.6[Table.Column],Cobra8.6[LENGTH],"",0,1)</f>
        <v/>
      </c>
      <c r="AB1032"/>
    </row>
    <row r="1033" spans="1:28" hidden="1" x14ac:dyDescent="0.2">
      <c r="A1033" t="s">
        <v>1451</v>
      </c>
      <c r="B1033" t="s">
        <v>1072</v>
      </c>
      <c r="C1033" t="s">
        <v>1596</v>
      </c>
      <c r="D1033">
        <v>4</v>
      </c>
      <c r="E1033" t="s">
        <v>36</v>
      </c>
      <c r="F1033" t="str">
        <f>VLOOKUP($E1033,'Data Type Lookup'!$A$1:$C$21,2,FALSE)</f>
        <v>NUMBER(19,0)</v>
      </c>
      <c r="I1033" s="32" t="s">
        <v>32</v>
      </c>
      <c r="J1033" s="32">
        <v>0</v>
      </c>
      <c r="P1033" t="s">
        <v>1597</v>
      </c>
      <c r="Q1033" t="s">
        <v>1598</v>
      </c>
      <c r="R1033" t="str">
        <f>VLOOKUP(E1033,'Data Type Lookup'!$A$1:$C$21,3,FALSE)</f>
        <v>Long</v>
      </c>
      <c r="W1033" t="str">
        <f t="shared" si="23"/>
        <v>SPREAD_CURVE.POINTS</v>
      </c>
      <c r="X1033" t="str">
        <f>VLOOKUP(W1033,ColumnMapping[New Table.Column],1,)</f>
        <v>SPREAD_CURVE.POINTS</v>
      </c>
      <c r="Y1033" t="str">
        <f>_xlfn.XLOOKUP(Table6[[#This Row],[Table.Column]],ColumnMapping[Add Column Name],ColumnMapping[Old Table.Column],"",0,1)</f>
        <v/>
      </c>
      <c r="Z1033" t="str">
        <f>_xlfn.XLOOKUP(Table6[[#This Row],[Old Table.Column]],Cobra8.6[Table.Column],Cobra8.6[TYPE],"",0,1)</f>
        <v/>
      </c>
      <c r="AA1033" t="str">
        <f>_xlfn.XLOOKUP(Table6[[#This Row],[Old Table.Column]],Cobra8.6[Table.Column],Cobra8.6[LENGTH],"",0,1)</f>
        <v/>
      </c>
      <c r="AB1033"/>
    </row>
    <row r="1034" spans="1:28" hidden="1" x14ac:dyDescent="0.2">
      <c r="A1034" t="s">
        <v>1599</v>
      </c>
      <c r="B1034" t="s">
        <v>1600</v>
      </c>
      <c r="C1034" t="s">
        <v>30</v>
      </c>
      <c r="D1034">
        <v>1</v>
      </c>
      <c r="E1034" t="s">
        <v>31</v>
      </c>
      <c r="F1034" t="str">
        <f>VLOOKUP($E1034,'Data Type Lookup'!$A$1:$C$21,2,FALSE)</f>
        <v>RAW(16)</v>
      </c>
      <c r="I1034" s="32" t="s">
        <v>32</v>
      </c>
      <c r="K1034" s="32" t="s">
        <v>32</v>
      </c>
      <c r="P1034" t="s">
        <v>1601</v>
      </c>
      <c r="Q1034" t="s">
        <v>34</v>
      </c>
      <c r="R1034" t="str">
        <f>VLOOKUP(E1034,'Data Type Lookup'!$A$1:$C$21,3,FALSE)</f>
        <v>java.util.UUID</v>
      </c>
      <c r="S1034">
        <v>3</v>
      </c>
      <c r="W1034" t="str">
        <f t="shared" si="23"/>
        <v>ACCESS_CONTROL_ENTRY.ROW_UID</v>
      </c>
      <c r="X1034" t="str">
        <f>VLOOKUP(W1034,ColumnMapping[New Table.Column],1,)</f>
        <v>ACCESS_CONTROL_ENTRY.ROW_UID</v>
      </c>
      <c r="Y1034" t="str">
        <f>_xlfn.XLOOKUP(Table6[[#This Row],[Table.Column]],ColumnMapping[Add Column Name],ColumnMapping[Old Table.Column],"",0,1)</f>
        <v/>
      </c>
      <c r="Z1034" t="str">
        <f>_xlfn.XLOOKUP(Table6[[#This Row],[Old Table.Column]],Cobra8.6[Table.Column],Cobra8.6[TYPE],"",0,1)</f>
        <v/>
      </c>
      <c r="AA1034" t="str">
        <f>_xlfn.XLOOKUP(Table6[[#This Row],[Old Table.Column]],Cobra8.6[Table.Column],Cobra8.6[LENGTH],"",0,1)</f>
        <v/>
      </c>
      <c r="AB1034"/>
    </row>
    <row r="1035" spans="1:28" hidden="1" x14ac:dyDescent="0.2">
      <c r="A1035" t="s">
        <v>1599</v>
      </c>
      <c r="B1035" t="s">
        <v>1600</v>
      </c>
      <c r="C1035" t="s">
        <v>35</v>
      </c>
      <c r="D1035">
        <v>2</v>
      </c>
      <c r="E1035" t="s">
        <v>36</v>
      </c>
      <c r="F1035" t="str">
        <f>VLOOKUP($E1035,'Data Type Lookup'!$A$1:$C$21,2,FALSE)</f>
        <v>NUMBER(19,0)</v>
      </c>
      <c r="I1035" s="32" t="s">
        <v>32</v>
      </c>
      <c r="J1035" s="32">
        <v>0</v>
      </c>
      <c r="P1035" t="s">
        <v>37</v>
      </c>
      <c r="Q1035" t="s">
        <v>38</v>
      </c>
      <c r="R1035" t="str">
        <f>VLOOKUP(E1035,'Data Type Lookup'!$A$1:$C$21,3,FALSE)</f>
        <v>Long</v>
      </c>
      <c r="S1035">
        <v>3</v>
      </c>
      <c r="W1035" t="str">
        <f t="shared" si="23"/>
        <v>ACCESS_CONTROL_ENTRY.SEQUENCE</v>
      </c>
      <c r="X1035" t="str">
        <f>VLOOKUP(W1035,ColumnMapping[New Table.Column],1,)</f>
        <v>ACCESS_CONTROL_ENTRY.SEQUENCE</v>
      </c>
      <c r="Y1035" t="str">
        <f>_xlfn.XLOOKUP(Table6[[#This Row],[Table.Column]],ColumnMapping[Add Column Name],ColumnMapping[Old Table.Column],"",0,1)</f>
        <v/>
      </c>
      <c r="Z1035" t="str">
        <f>_xlfn.XLOOKUP(Table6[[#This Row],[Old Table.Column]],Cobra8.6[Table.Column],Cobra8.6[TYPE],"",0,1)</f>
        <v/>
      </c>
      <c r="AA1035" t="str">
        <f>_xlfn.XLOOKUP(Table6[[#This Row],[Old Table.Column]],Cobra8.6[Table.Column],Cobra8.6[LENGTH],"",0,1)</f>
        <v/>
      </c>
      <c r="AB1035"/>
    </row>
    <row r="1036" spans="1:28" hidden="1" x14ac:dyDescent="0.2">
      <c r="A1036" t="s">
        <v>1599</v>
      </c>
      <c r="B1036" t="s">
        <v>1600</v>
      </c>
      <c r="C1036" t="s">
        <v>1602</v>
      </c>
      <c r="D1036">
        <v>3</v>
      </c>
      <c r="E1036" t="s">
        <v>31</v>
      </c>
      <c r="F1036" t="str">
        <f>VLOOKUP($E1036,'Data Type Lookup'!$A$1:$C$21,2,FALSE)</f>
        <v>RAW(16)</v>
      </c>
      <c r="I1036" s="32" t="s">
        <v>32</v>
      </c>
      <c r="L1036" s="32" t="s">
        <v>32</v>
      </c>
      <c r="P1036" t="s">
        <v>1603</v>
      </c>
      <c r="Q1036" t="s">
        <v>1604</v>
      </c>
      <c r="R1036" t="str">
        <f>VLOOKUP(E1036,'Data Type Lookup'!$A$1:$C$21,3,FALSE)</f>
        <v>java.util.UUID</v>
      </c>
      <c r="S1036">
        <v>3</v>
      </c>
      <c r="W1036" t="str">
        <f t="shared" ref="W1036:W1100" si="25">_xlfn.CONCAT(B1036,".",C1036)</f>
        <v>ACCESS_CONTROL_ENTRY.ENTITY_UID</v>
      </c>
      <c r="X1036" t="str">
        <f>VLOOKUP(W1036,ColumnMapping[New Table.Column],1,)</f>
        <v>ACCESS_CONTROL_ENTRY.ENTITY_UID</v>
      </c>
      <c r="Y1036" t="str">
        <f>_xlfn.XLOOKUP(Table6[[#This Row],[Table.Column]],ColumnMapping[Add Column Name],ColumnMapping[Old Table.Column],"",0,1)</f>
        <v/>
      </c>
      <c r="Z1036" t="str">
        <f>_xlfn.XLOOKUP(Table6[[#This Row],[Old Table.Column]],Cobra8.6[Table.Column],Cobra8.6[TYPE],"",0,1)</f>
        <v/>
      </c>
      <c r="AA1036" t="str">
        <f>_xlfn.XLOOKUP(Table6[[#This Row],[Old Table.Column]],Cobra8.6[Table.Column],Cobra8.6[LENGTH],"",0,1)</f>
        <v/>
      </c>
      <c r="AB1036"/>
    </row>
    <row r="1037" spans="1:28" hidden="1" x14ac:dyDescent="0.2">
      <c r="A1037" t="s">
        <v>1599</v>
      </c>
      <c r="B1037" t="s">
        <v>1600</v>
      </c>
      <c r="C1037" t="s">
        <v>1605</v>
      </c>
      <c r="D1037">
        <v>4</v>
      </c>
      <c r="E1037" t="s">
        <v>31</v>
      </c>
      <c r="F1037" t="str">
        <f>VLOOKUP($E1037,'Data Type Lookup'!$A$1:$C$21,2,FALSE)</f>
        <v>RAW(16)</v>
      </c>
      <c r="L1037" s="32" t="s">
        <v>32</v>
      </c>
      <c r="P1037" t="s">
        <v>1606</v>
      </c>
      <c r="Q1037" t="s">
        <v>283</v>
      </c>
      <c r="R1037" t="str">
        <f>VLOOKUP(E1037,'Data Type Lookup'!$A$1:$C$21,3,FALSE)</f>
        <v>java.util.UUID</v>
      </c>
      <c r="W1037" t="str">
        <f t="shared" si="25"/>
        <v>ACCESS_CONTROL_ENTRY.USER_UID</v>
      </c>
      <c r="X1037" t="str">
        <f>VLOOKUP(W1037,ColumnMapping[New Table.Column],1,)</f>
        <v>ACCESS_CONTROL_ENTRY.USER_UID</v>
      </c>
      <c r="Y1037" t="str">
        <f>_xlfn.XLOOKUP(Table6[[#This Row],[Table.Column]],ColumnMapping[Add Column Name],ColumnMapping[Old Table.Column],"",0,1)</f>
        <v/>
      </c>
      <c r="Z1037" t="str">
        <f>_xlfn.XLOOKUP(Table6[[#This Row],[Old Table.Column]],Cobra8.6[Table.Column],Cobra8.6[TYPE],"",0,1)</f>
        <v/>
      </c>
      <c r="AA1037" t="str">
        <f>_xlfn.XLOOKUP(Table6[[#This Row],[Old Table.Column]],Cobra8.6[Table.Column],Cobra8.6[LENGTH],"",0,1)</f>
        <v/>
      </c>
      <c r="AB1037"/>
    </row>
    <row r="1038" spans="1:28" hidden="1" x14ac:dyDescent="0.2">
      <c r="A1038" t="s">
        <v>1599</v>
      </c>
      <c r="B1038" t="s">
        <v>1600</v>
      </c>
      <c r="C1038" t="s">
        <v>1607</v>
      </c>
      <c r="D1038">
        <v>5</v>
      </c>
      <c r="E1038" t="s">
        <v>31</v>
      </c>
      <c r="F1038" t="str">
        <f>VLOOKUP($E1038,'Data Type Lookup'!$A$1:$C$21,2,FALSE)</f>
        <v>RAW(16)</v>
      </c>
      <c r="L1038" s="32" t="s">
        <v>32</v>
      </c>
      <c r="P1038" t="s">
        <v>1608</v>
      </c>
      <c r="Q1038" t="s">
        <v>1609</v>
      </c>
      <c r="R1038" t="str">
        <f>VLOOKUP(E1038,'Data Type Lookup'!$A$1:$C$21,3,FALSE)</f>
        <v>java.util.UUID</v>
      </c>
      <c r="W1038" t="str">
        <f t="shared" si="25"/>
        <v>ACCESS_CONTROL_ENTRY.GROUP_UID</v>
      </c>
      <c r="X1038" t="e">
        <f>VLOOKUP(W1038,ColumnMapping[New Table.Column],1,)</f>
        <v>#N/A</v>
      </c>
      <c r="Y1038" t="str">
        <f>_xlfn.XLOOKUP(Table6[[#This Row],[Table.Column]],ColumnMapping[Add Column Name],ColumnMapping[Old Table.Column],"",0,1)</f>
        <v/>
      </c>
      <c r="Z1038" t="str">
        <f>_xlfn.XLOOKUP(Table6[[#This Row],[Old Table.Column]],Cobra8.6[Table.Column],Cobra8.6[TYPE],"",0,1)</f>
        <v/>
      </c>
      <c r="AA1038" t="str">
        <f>_xlfn.XLOOKUP(Table6[[#This Row],[Old Table.Column]],Cobra8.6[Table.Column],Cobra8.6[LENGTH],"",0,1)</f>
        <v/>
      </c>
      <c r="AB1038"/>
    </row>
    <row r="1039" spans="1:28" hidden="1" x14ac:dyDescent="0.2">
      <c r="A1039" t="s">
        <v>1599</v>
      </c>
      <c r="B1039" t="s">
        <v>1600</v>
      </c>
      <c r="C1039" t="s">
        <v>1610</v>
      </c>
      <c r="D1039">
        <v>6</v>
      </c>
      <c r="E1039" t="s">
        <v>31</v>
      </c>
      <c r="F1039" t="str">
        <f>VLOOKUP($E1039,'Data Type Lookup'!$A$1:$C$21,2,FALSE)</f>
        <v>RAW(16)</v>
      </c>
      <c r="P1039" t="s">
        <v>1611</v>
      </c>
      <c r="Q1039" t="s">
        <v>1612</v>
      </c>
      <c r="R1039" t="str">
        <f>VLOOKUP(E1039,'Data Type Lookup'!$A$1:$C$21,3,FALSE)</f>
        <v>java.util.UUID</v>
      </c>
      <c r="W1039" t="str">
        <f t="shared" si="25"/>
        <v>ACCESS_CONTROL_ENTRY.ROLE_UID</v>
      </c>
      <c r="X1039" t="e">
        <f>VLOOKUP(W1039,ColumnMapping[New Table.Column],1,)</f>
        <v>#N/A</v>
      </c>
      <c r="Y1039" t="str">
        <f>_xlfn.XLOOKUP(Table6[[#This Row],[Table.Column]],ColumnMapping[Add Column Name],ColumnMapping[Old Table.Column],"",0,1)</f>
        <v/>
      </c>
      <c r="Z1039" t="str">
        <f>_xlfn.XLOOKUP(Table6[[#This Row],[Old Table.Column]],Cobra8.6[Table.Column],Cobra8.6[TYPE],"",0,1)</f>
        <v/>
      </c>
      <c r="AA1039" t="str">
        <f>_xlfn.XLOOKUP(Table6[[#This Row],[Old Table.Column]],Cobra8.6[Table.Column],Cobra8.6[LENGTH],"",0,1)</f>
        <v/>
      </c>
      <c r="AB1039"/>
    </row>
    <row r="1040" spans="1:28" hidden="1" x14ac:dyDescent="0.2">
      <c r="A1040" t="s">
        <v>1599</v>
      </c>
      <c r="B1040" t="s">
        <v>1600</v>
      </c>
      <c r="C1040" t="s">
        <v>1613</v>
      </c>
      <c r="D1040">
        <v>7</v>
      </c>
      <c r="E1040" t="s">
        <v>288</v>
      </c>
      <c r="F1040" t="str">
        <f>VLOOKUP($E1040,'Data Type Lookup'!$A$1:$C$21,2,FALSE)</f>
        <v>NUMBER(1,0)</v>
      </c>
      <c r="I1040" s="32" t="s">
        <v>32</v>
      </c>
      <c r="J1040" s="37">
        <v>0</v>
      </c>
      <c r="P1040" t="s">
        <v>1614</v>
      </c>
      <c r="Q1040" t="s">
        <v>1615</v>
      </c>
      <c r="R1040" t="str">
        <f>VLOOKUP(E1040,'Data Type Lookup'!$A$1:$C$21,3,FALSE)</f>
        <v>Boolean</v>
      </c>
      <c r="W1040" t="str">
        <f t="shared" si="25"/>
        <v>ACCESS_CONTROL_ENTRY.VIEWONLY</v>
      </c>
      <c r="X1040" t="str">
        <f>VLOOKUP(W1040,ColumnMapping[New Table.Column],1,)</f>
        <v>ACCESS_CONTROL_ENTRY.VIEWONLY</v>
      </c>
      <c r="Y1040" t="str">
        <f>_xlfn.XLOOKUP(Table6[[#This Row],[Table.Column]],ColumnMapping[Add Column Name],ColumnMapping[Old Table.Column],"",0,1)</f>
        <v/>
      </c>
      <c r="Z1040" t="str">
        <f>_xlfn.XLOOKUP(Table6[[#This Row],[Old Table.Column]],Cobra8.6[Table.Column],Cobra8.6[TYPE],"",0,1)</f>
        <v/>
      </c>
      <c r="AA1040" t="str">
        <f>_xlfn.XLOOKUP(Table6[[#This Row],[Old Table.Column]],Cobra8.6[Table.Column],Cobra8.6[LENGTH],"",0,1)</f>
        <v/>
      </c>
      <c r="AB1040"/>
    </row>
    <row r="1041" spans="1:28" hidden="1" x14ac:dyDescent="0.2">
      <c r="A1041" t="s">
        <v>1599</v>
      </c>
      <c r="B1041" t="s">
        <v>1600</v>
      </c>
      <c r="C1041" t="s">
        <v>61</v>
      </c>
      <c r="D1041">
        <v>8</v>
      </c>
      <c r="E1041" t="s">
        <v>31</v>
      </c>
      <c r="F1041" t="str">
        <f>VLOOKUP($E1041,'Data Type Lookup'!$A$1:$C$21,2,FALSE)</f>
        <v>RAW(16)</v>
      </c>
      <c r="I1041" s="32" t="s">
        <v>32</v>
      </c>
      <c r="P1041" t="s">
        <v>1616</v>
      </c>
      <c r="Q1041" t="s">
        <v>63</v>
      </c>
      <c r="R1041" t="str">
        <f>VLOOKUP(E1041,'Data Type Lookup'!$A$1:$C$21,3,FALSE)</f>
        <v>java.util.UUID</v>
      </c>
      <c r="S1041">
        <v>2</v>
      </c>
      <c r="W1041" t="str">
        <f t="shared" si="25"/>
        <v>ACCESS_CONTROL_ENTRY.CREATED_BY_USER_UID</v>
      </c>
      <c r="X1041" t="str">
        <f>VLOOKUP(W1041,ColumnMapping[New Table.Column],1,)</f>
        <v>ACCESS_CONTROL_ENTRY.CREATED_BY_USER_UID</v>
      </c>
      <c r="Y1041" t="str">
        <f>_xlfn.XLOOKUP(Table6[[#This Row],[Table.Column]],ColumnMapping[Add Column Name],ColumnMapping[Old Table.Column],"",0,1)</f>
        <v/>
      </c>
      <c r="Z1041" t="str">
        <f>_xlfn.XLOOKUP(Table6[[#This Row],[Old Table.Column]],Cobra8.6[Table.Column],Cobra8.6[TYPE],"",0,1)</f>
        <v/>
      </c>
      <c r="AA1041" t="str">
        <f>_xlfn.XLOOKUP(Table6[[#This Row],[Old Table.Column]],Cobra8.6[Table.Column],Cobra8.6[LENGTH],"",0,1)</f>
        <v/>
      </c>
      <c r="AB1041"/>
    </row>
    <row r="1042" spans="1:28" hidden="1" x14ac:dyDescent="0.2">
      <c r="A1042" t="s">
        <v>1599</v>
      </c>
      <c r="B1042" t="s">
        <v>1600</v>
      </c>
      <c r="C1042" t="s">
        <v>64</v>
      </c>
      <c r="D1042">
        <v>9</v>
      </c>
      <c r="E1042" t="s">
        <v>65</v>
      </c>
      <c r="F1042" t="str">
        <f>VLOOKUP($E1042,'Data Type Lookup'!$A$1:$C$21,2,FALSE)</f>
        <v>TIMESTAMP</v>
      </c>
      <c r="I1042" s="32" t="s">
        <v>32</v>
      </c>
      <c r="P1042" t="s">
        <v>1617</v>
      </c>
      <c r="Q1042" t="s">
        <v>67</v>
      </c>
      <c r="R1042" t="str">
        <f>VLOOKUP(E1042,'Data Type Lookup'!$A$1:$C$21,3,FALSE)</f>
        <v>java.time.Instant</v>
      </c>
      <c r="S1042">
        <v>2</v>
      </c>
      <c r="W1042" t="str">
        <f t="shared" si="25"/>
        <v>ACCESS_CONTROL_ENTRY.CREATED_DATE</v>
      </c>
      <c r="X1042" t="str">
        <f>VLOOKUP(W1042,ColumnMapping[New Table.Column],1,)</f>
        <v>ACCESS_CONTROL_ENTRY.CREATED_DATE</v>
      </c>
      <c r="Y1042" t="str">
        <f>_xlfn.XLOOKUP(Table6[[#This Row],[Table.Column]],ColumnMapping[Add Column Name],ColumnMapping[Old Table.Column],"",0,1)</f>
        <v/>
      </c>
      <c r="Z1042" t="str">
        <f>_xlfn.XLOOKUP(Table6[[#This Row],[Old Table.Column]],Cobra8.6[Table.Column],Cobra8.6[TYPE],"",0,1)</f>
        <v/>
      </c>
      <c r="AA1042" t="str">
        <f>_xlfn.XLOOKUP(Table6[[#This Row],[Old Table.Column]],Cobra8.6[Table.Column],Cobra8.6[LENGTH],"",0,1)</f>
        <v/>
      </c>
      <c r="AB1042"/>
    </row>
    <row r="1043" spans="1:28" hidden="1" x14ac:dyDescent="0.2">
      <c r="A1043" t="s">
        <v>1599</v>
      </c>
      <c r="B1043" t="s">
        <v>1600</v>
      </c>
      <c r="C1043" t="s">
        <v>68</v>
      </c>
      <c r="D1043">
        <v>10</v>
      </c>
      <c r="E1043" t="s">
        <v>31</v>
      </c>
      <c r="F1043" t="str">
        <f>VLOOKUP($E1043,'Data Type Lookup'!$A$1:$C$21,2,FALSE)</f>
        <v>RAW(16)</v>
      </c>
      <c r="I1043" s="32" t="s">
        <v>32</v>
      </c>
      <c r="P1043" t="s">
        <v>1618</v>
      </c>
      <c r="Q1043" t="s">
        <v>70</v>
      </c>
      <c r="R1043" t="str">
        <f>VLOOKUP(E1043,'Data Type Lookup'!$A$1:$C$21,3,FALSE)</f>
        <v>java.util.UUID</v>
      </c>
      <c r="S1043">
        <v>2</v>
      </c>
      <c r="W1043" t="str">
        <f t="shared" si="25"/>
        <v>ACCESS_CONTROL_ENTRY.LAST_MODIFIED_BY_USER_UID</v>
      </c>
      <c r="X1043" t="str">
        <f>VLOOKUP(W1043,ColumnMapping[New Table.Column],1,)</f>
        <v>ACCESS_CONTROL_ENTRY.LAST_MODIFIED_BY_USER_UID</v>
      </c>
      <c r="Y1043" t="str">
        <f>_xlfn.XLOOKUP(Table6[[#This Row],[Table.Column]],ColumnMapping[Add Column Name],ColumnMapping[Old Table.Column],"",0,1)</f>
        <v/>
      </c>
      <c r="Z1043" t="str">
        <f>_xlfn.XLOOKUP(Table6[[#This Row],[Old Table.Column]],Cobra8.6[Table.Column],Cobra8.6[TYPE],"",0,1)</f>
        <v/>
      </c>
      <c r="AA1043" t="str">
        <f>_xlfn.XLOOKUP(Table6[[#This Row],[Old Table.Column]],Cobra8.6[Table.Column],Cobra8.6[LENGTH],"",0,1)</f>
        <v/>
      </c>
      <c r="AB1043"/>
    </row>
    <row r="1044" spans="1:28" hidden="1" x14ac:dyDescent="0.2">
      <c r="A1044" t="s">
        <v>1599</v>
      </c>
      <c r="B1044" t="s">
        <v>1600</v>
      </c>
      <c r="C1044" t="s">
        <v>71</v>
      </c>
      <c r="D1044">
        <v>11</v>
      </c>
      <c r="E1044" t="s">
        <v>65</v>
      </c>
      <c r="F1044" t="str">
        <f>VLOOKUP($E1044,'Data Type Lookup'!$A$1:$C$21,2,FALSE)</f>
        <v>TIMESTAMP</v>
      </c>
      <c r="I1044" s="32" t="s">
        <v>32</v>
      </c>
      <c r="P1044" t="s">
        <v>1619</v>
      </c>
      <c r="Q1044" t="s">
        <v>73</v>
      </c>
      <c r="R1044" t="str">
        <f>VLOOKUP(E1044,'Data Type Lookup'!$A$1:$C$21,3,FALSE)</f>
        <v>java.time.Instant</v>
      </c>
      <c r="S1044">
        <v>2</v>
      </c>
      <c r="W1044" t="str">
        <f t="shared" si="25"/>
        <v>ACCESS_CONTROL_ENTRY.LAST_MODIFIED_DATE</v>
      </c>
      <c r="X1044" t="str">
        <f>VLOOKUP(W1044,ColumnMapping[New Table.Column],1,)</f>
        <v>ACCESS_CONTROL_ENTRY.LAST_MODIFIED_DATE</v>
      </c>
      <c r="Y1044" t="str">
        <f>_xlfn.XLOOKUP(Table6[[#This Row],[Table.Column]],ColumnMapping[Add Column Name],ColumnMapping[Old Table.Column],"",0,1)</f>
        <v/>
      </c>
      <c r="Z1044" t="str">
        <f>_xlfn.XLOOKUP(Table6[[#This Row],[Old Table.Column]],Cobra8.6[Table.Column],Cobra8.6[TYPE],"",0,1)</f>
        <v/>
      </c>
      <c r="AA1044" t="str">
        <f>_xlfn.XLOOKUP(Table6[[#This Row],[Old Table.Column]],Cobra8.6[Table.Column],Cobra8.6[LENGTH],"",0,1)</f>
        <v/>
      </c>
      <c r="AB1044"/>
    </row>
    <row r="1045" spans="1:28" hidden="1" x14ac:dyDescent="0.2">
      <c r="A1045" t="s">
        <v>1599</v>
      </c>
      <c r="B1045" t="s">
        <v>1620</v>
      </c>
      <c r="C1045" t="s">
        <v>30</v>
      </c>
      <c r="D1045">
        <v>1</v>
      </c>
      <c r="E1045" t="s">
        <v>31</v>
      </c>
      <c r="F1045" t="str">
        <f>VLOOKUP($E1045,'Data Type Lookup'!$A$1:$C$21,2,FALSE)</f>
        <v>RAW(16)</v>
      </c>
      <c r="I1045" s="32" t="s">
        <v>32</v>
      </c>
      <c r="K1045" s="32" t="s">
        <v>32</v>
      </c>
      <c r="P1045" t="s">
        <v>1621</v>
      </c>
      <c r="Q1045" t="s">
        <v>34</v>
      </c>
      <c r="R1045" t="str">
        <f>VLOOKUP(E1045,'Data Type Lookup'!$A$1:$C$21,3,FALSE)</f>
        <v>java.util.UUID</v>
      </c>
      <c r="S1045">
        <v>3</v>
      </c>
      <c r="W1045" t="str">
        <f t="shared" si="25"/>
        <v>USER_CODE_VALUE.ROW_UID</v>
      </c>
      <c r="X1045" t="str">
        <f>VLOOKUP(W1045,ColumnMapping[New Table.Column],1,)</f>
        <v>USER_CODE_VALUE.ROW_UID</v>
      </c>
      <c r="Y1045" t="str">
        <f>_xlfn.XLOOKUP(Table6[[#This Row],[Table.Column]],ColumnMapping[Add Column Name],ColumnMapping[Old Table.Column],"",0,1)</f>
        <v/>
      </c>
      <c r="Z1045" t="str">
        <f>_xlfn.XLOOKUP(Table6[[#This Row],[Old Table.Column]],Cobra8.6[Table.Column],Cobra8.6[TYPE],"",0,1)</f>
        <v/>
      </c>
      <c r="AA1045" t="str">
        <f>_xlfn.XLOOKUP(Table6[[#This Row],[Old Table.Column]],Cobra8.6[Table.Column],Cobra8.6[LENGTH],"",0,1)</f>
        <v/>
      </c>
      <c r="AB1045"/>
    </row>
    <row r="1046" spans="1:28" hidden="1" x14ac:dyDescent="0.2">
      <c r="A1046" t="s">
        <v>1599</v>
      </c>
      <c r="B1046" t="s">
        <v>1620</v>
      </c>
      <c r="C1046" t="s">
        <v>35</v>
      </c>
      <c r="D1046">
        <v>2</v>
      </c>
      <c r="E1046" t="s">
        <v>36</v>
      </c>
      <c r="F1046" t="str">
        <f>VLOOKUP($E1046,'Data Type Lookup'!$A$1:$C$21,2,FALSE)</f>
        <v>NUMBER(19,0)</v>
      </c>
      <c r="I1046" s="32" t="s">
        <v>32</v>
      </c>
      <c r="J1046" s="32">
        <v>0</v>
      </c>
      <c r="P1046" t="s">
        <v>37</v>
      </c>
      <c r="Q1046" t="s">
        <v>38</v>
      </c>
      <c r="R1046" t="str">
        <f>VLOOKUP(E1046,'Data Type Lookup'!$A$1:$C$21,3,FALSE)</f>
        <v>Long</v>
      </c>
      <c r="S1046">
        <v>3</v>
      </c>
      <c r="W1046" t="str">
        <f t="shared" si="25"/>
        <v>USER_CODE_VALUE.SEQUENCE</v>
      </c>
      <c r="X1046" t="str">
        <f>VLOOKUP(W1046,ColumnMapping[New Table.Column],1,)</f>
        <v>USER_CODE_VALUE.SEQUENCE</v>
      </c>
      <c r="Y1046" t="str">
        <f>_xlfn.XLOOKUP(Table6[[#This Row],[Table.Column]],ColumnMapping[Add Column Name],ColumnMapping[Old Table.Column],"",0,1)</f>
        <v/>
      </c>
      <c r="Z1046" t="str">
        <f>_xlfn.XLOOKUP(Table6[[#This Row],[Old Table.Column]],Cobra8.6[Table.Column],Cobra8.6[TYPE],"",0,1)</f>
        <v/>
      </c>
      <c r="AA1046" t="str">
        <f>_xlfn.XLOOKUP(Table6[[#This Row],[Old Table.Column]],Cobra8.6[Table.Column],Cobra8.6[LENGTH],"",0,1)</f>
        <v/>
      </c>
      <c r="AB1046"/>
    </row>
    <row r="1047" spans="1:28" hidden="1" x14ac:dyDescent="0.2">
      <c r="A1047" t="s">
        <v>1599</v>
      </c>
      <c r="B1047" t="s">
        <v>1620</v>
      </c>
      <c r="C1047" t="s">
        <v>278</v>
      </c>
      <c r="D1047">
        <v>3</v>
      </c>
      <c r="E1047" t="s">
        <v>31</v>
      </c>
      <c r="F1047" t="str">
        <f>VLOOKUP($E1047,'Data Type Lookup'!$A$1:$C$21,2,FALSE)</f>
        <v>RAW(16)</v>
      </c>
      <c r="I1047" s="32" t="s">
        <v>32</v>
      </c>
      <c r="L1047" s="32" t="s">
        <v>32</v>
      </c>
      <c r="P1047" t="s">
        <v>1622</v>
      </c>
      <c r="Q1047" t="s">
        <v>280</v>
      </c>
      <c r="R1047" t="str">
        <f>VLOOKUP(E1047,'Data Type Lookup'!$A$1:$C$21,3,FALSE)</f>
        <v>java.util.UUID</v>
      </c>
      <c r="S1047">
        <v>1</v>
      </c>
      <c r="W1047" t="str">
        <f t="shared" si="25"/>
        <v>USER_CODE_VALUE.PRIMARY_ENTITY_UID</v>
      </c>
      <c r="X1047" t="str">
        <f>VLOOKUP(W1047,ColumnMapping[New Table.Column],1,)</f>
        <v>USER_CODE_VALUE.PRIMARY_ENTITY_UID</v>
      </c>
      <c r="Y1047" t="str">
        <f>_xlfn.XLOOKUP(Table6[[#This Row],[Table.Column]],ColumnMapping[Add Column Name],ColumnMapping[Old Table.Column],"",0,1)</f>
        <v/>
      </c>
      <c r="Z1047" t="str">
        <f>_xlfn.XLOOKUP(Table6[[#This Row],[Old Table.Column]],Cobra8.6[Table.Column],Cobra8.6[TYPE],"",0,1)</f>
        <v/>
      </c>
      <c r="AA1047" t="str">
        <f>_xlfn.XLOOKUP(Table6[[#This Row],[Old Table.Column]],Cobra8.6[Table.Column],Cobra8.6[LENGTH],"",0,1)</f>
        <v/>
      </c>
      <c r="AB1047"/>
    </row>
    <row r="1048" spans="1:28" hidden="1" x14ac:dyDescent="0.2">
      <c r="A1048" t="s">
        <v>1599</v>
      </c>
      <c r="B1048" t="s">
        <v>1620</v>
      </c>
      <c r="C1048" t="s">
        <v>1602</v>
      </c>
      <c r="D1048">
        <v>4</v>
      </c>
      <c r="E1048" t="s">
        <v>31</v>
      </c>
      <c r="F1048" t="str">
        <f>VLOOKUP($E1048,'Data Type Lookup'!$A$1:$C$21,2,FALSE)</f>
        <v>RAW(16)</v>
      </c>
      <c r="I1048" s="32" t="s">
        <v>32</v>
      </c>
      <c r="L1048" s="32" t="s">
        <v>32</v>
      </c>
      <c r="P1048" t="s">
        <v>1623</v>
      </c>
      <c r="Q1048" t="s">
        <v>1604</v>
      </c>
      <c r="R1048" t="str">
        <f>VLOOKUP(E1048,'Data Type Lookup'!$A$1:$C$21,3,FALSE)</f>
        <v>java.util.UUID</v>
      </c>
      <c r="S1048">
        <v>1</v>
      </c>
      <c r="W1048" t="str">
        <f t="shared" si="25"/>
        <v>USER_CODE_VALUE.ENTITY_UID</v>
      </c>
      <c r="X1048" t="str">
        <f>VLOOKUP(W1048,ColumnMapping[New Table.Column],1,)</f>
        <v>USER_CODE_VALUE.ENTITY_UID</v>
      </c>
      <c r="Y1048" t="str">
        <f>_xlfn.XLOOKUP(Table6[[#This Row],[Table.Column]],ColumnMapping[Add Column Name],ColumnMapping[Old Table.Column],"",0,1)</f>
        <v/>
      </c>
      <c r="Z1048" t="str">
        <f>_xlfn.XLOOKUP(Table6[[#This Row],[Old Table.Column]],Cobra8.6[Table.Column],Cobra8.6[TYPE],"",0,1)</f>
        <v/>
      </c>
      <c r="AA1048" t="str">
        <f>_xlfn.XLOOKUP(Table6[[#This Row],[Old Table.Column]],Cobra8.6[Table.Column],Cobra8.6[LENGTH],"",0,1)</f>
        <v/>
      </c>
      <c r="AB1048"/>
    </row>
    <row r="1049" spans="1:28" hidden="1" x14ac:dyDescent="0.2">
      <c r="A1049" t="s">
        <v>1599</v>
      </c>
      <c r="B1049" t="s">
        <v>1620</v>
      </c>
      <c r="C1049" t="s">
        <v>98</v>
      </c>
      <c r="D1049">
        <v>5</v>
      </c>
      <c r="E1049" t="s">
        <v>48</v>
      </c>
      <c r="F1049" t="str">
        <f>VLOOKUP($E1049,'Data Type Lookup'!$A$1:$C$21,2,FALSE)</f>
        <v>NVARCHAR2</v>
      </c>
      <c r="G1049">
        <v>30</v>
      </c>
      <c r="I1049" s="32" t="s">
        <v>32</v>
      </c>
      <c r="L1049" s="32" t="s">
        <v>32</v>
      </c>
      <c r="P1049" t="s">
        <v>1624</v>
      </c>
      <c r="Q1049" t="s">
        <v>100</v>
      </c>
      <c r="R1049" t="str">
        <f>VLOOKUP(E1049,'Data Type Lookup'!$A$1:$C$21,3,FALSE)</f>
        <v>String</v>
      </c>
      <c r="V1049" t="s">
        <v>1625</v>
      </c>
      <c r="W1049" t="str">
        <f t="shared" si="25"/>
        <v>USER_CODE_VALUE.FIELD_NAME</v>
      </c>
      <c r="X1049" t="str">
        <f>VLOOKUP(W1049,ColumnMapping[New Table.Column],1,)</f>
        <v>USER_CODE_VALUE.FIELD_NAME</v>
      </c>
      <c r="Y1049" t="str">
        <f>_xlfn.XLOOKUP(Table6[[#This Row],[Table.Column]],ColumnMapping[Add Column Name],ColumnMapping[Old Table.Column],"",0,1)</f>
        <v/>
      </c>
      <c r="Z1049" t="str">
        <f>_xlfn.XLOOKUP(Table6[[#This Row],[Old Table.Column]],Cobra8.6[Table.Column],Cobra8.6[TYPE],"",0,1)</f>
        <v/>
      </c>
      <c r="AA1049" t="str">
        <f>_xlfn.XLOOKUP(Table6[[#This Row],[Old Table.Column]],Cobra8.6[Table.Column],Cobra8.6[LENGTH],"",0,1)</f>
        <v/>
      </c>
      <c r="AB1049"/>
    </row>
    <row r="1050" spans="1:28" hidden="1" x14ac:dyDescent="0.2">
      <c r="A1050" t="s">
        <v>1599</v>
      </c>
      <c r="B1050" t="s">
        <v>1620</v>
      </c>
      <c r="C1050" t="s">
        <v>1626</v>
      </c>
      <c r="D1050">
        <v>6</v>
      </c>
      <c r="E1050" t="s">
        <v>31</v>
      </c>
      <c r="F1050" t="str">
        <f>VLOOKUP($E1050,'Data Type Lookup'!$A$1:$C$21,2,FALSE)</f>
        <v>RAW(16)</v>
      </c>
      <c r="I1050" s="32" t="s">
        <v>32</v>
      </c>
      <c r="M1050" t="s">
        <v>29</v>
      </c>
      <c r="N1050" t="s">
        <v>30</v>
      </c>
      <c r="O1050" t="s">
        <v>41</v>
      </c>
      <c r="P1050" t="s">
        <v>1627</v>
      </c>
      <c r="Q1050" t="s">
        <v>1628</v>
      </c>
      <c r="R1050" t="str">
        <f>VLOOKUP(E1050,'Data Type Lookup'!$A$1:$C$21,3,FALSE)</f>
        <v>java.util.UUID</v>
      </c>
      <c r="S1050">
        <v>1</v>
      </c>
      <c r="W1050" t="str">
        <f t="shared" si="25"/>
        <v>USER_CODE_VALUE.CODE_UID</v>
      </c>
      <c r="X1050" t="str">
        <f>VLOOKUP(W1050,ColumnMapping[New Table.Column],1,)</f>
        <v>USER_CODE_VALUE.CODE_UID</v>
      </c>
      <c r="Y1050" t="str">
        <f>_xlfn.XLOOKUP(Table6[[#This Row],[Table.Column]],ColumnMapping[Add Column Name],ColumnMapping[Old Table.Column],"",0,1)</f>
        <v/>
      </c>
      <c r="Z1050" t="str">
        <f>_xlfn.XLOOKUP(Table6[[#This Row],[Old Table.Column]],Cobra8.6[Table.Column],Cobra8.6[TYPE],"",0,1)</f>
        <v/>
      </c>
      <c r="AA1050" t="str">
        <f>_xlfn.XLOOKUP(Table6[[#This Row],[Old Table.Column]],Cobra8.6[Table.Column],Cobra8.6[LENGTH],"",0,1)</f>
        <v/>
      </c>
      <c r="AB1050"/>
    </row>
    <row r="1051" spans="1:28" hidden="1" x14ac:dyDescent="0.2">
      <c r="A1051" t="s">
        <v>1599</v>
      </c>
      <c r="B1051" t="s">
        <v>1620</v>
      </c>
      <c r="C1051" t="s">
        <v>61</v>
      </c>
      <c r="D1051">
        <v>7</v>
      </c>
      <c r="E1051" t="s">
        <v>31</v>
      </c>
      <c r="F1051" t="str">
        <f>VLOOKUP($E1051,'Data Type Lookup'!$A$1:$C$21,2,FALSE)</f>
        <v>RAW(16)</v>
      </c>
      <c r="I1051" s="32" t="s">
        <v>32</v>
      </c>
      <c r="P1051" t="s">
        <v>1629</v>
      </c>
      <c r="Q1051" t="s">
        <v>63</v>
      </c>
      <c r="R1051" t="str">
        <f>VLOOKUP(E1051,'Data Type Lookup'!$A$1:$C$21,3,FALSE)</f>
        <v>java.util.UUID</v>
      </c>
      <c r="S1051">
        <v>2</v>
      </c>
      <c r="W1051" t="str">
        <f t="shared" si="25"/>
        <v>USER_CODE_VALUE.CREATED_BY_USER_UID</v>
      </c>
      <c r="X1051" t="str">
        <f>VLOOKUP(W1051,ColumnMapping[New Table.Column],1,)</f>
        <v>USER_CODE_VALUE.CREATED_BY_USER_UID</v>
      </c>
      <c r="Y1051" t="str">
        <f>_xlfn.XLOOKUP(Table6[[#This Row],[Table.Column]],ColumnMapping[Add Column Name],ColumnMapping[Old Table.Column],"",0,1)</f>
        <v/>
      </c>
      <c r="Z1051" t="str">
        <f>_xlfn.XLOOKUP(Table6[[#This Row],[Old Table.Column]],Cobra8.6[Table.Column],Cobra8.6[TYPE],"",0,1)</f>
        <v/>
      </c>
      <c r="AA1051" t="str">
        <f>_xlfn.XLOOKUP(Table6[[#This Row],[Old Table.Column]],Cobra8.6[Table.Column],Cobra8.6[LENGTH],"",0,1)</f>
        <v/>
      </c>
      <c r="AB1051"/>
    </row>
    <row r="1052" spans="1:28" hidden="1" x14ac:dyDescent="0.2">
      <c r="A1052" t="s">
        <v>1599</v>
      </c>
      <c r="B1052" t="s">
        <v>1620</v>
      </c>
      <c r="C1052" t="s">
        <v>64</v>
      </c>
      <c r="D1052">
        <v>8</v>
      </c>
      <c r="E1052" t="s">
        <v>65</v>
      </c>
      <c r="F1052" t="str">
        <f>VLOOKUP($E1052,'Data Type Lookup'!$A$1:$C$21,2,FALSE)</f>
        <v>TIMESTAMP</v>
      </c>
      <c r="I1052" s="32" t="s">
        <v>32</v>
      </c>
      <c r="P1052" t="s">
        <v>1630</v>
      </c>
      <c r="Q1052" t="s">
        <v>67</v>
      </c>
      <c r="R1052" t="str">
        <f>VLOOKUP(E1052,'Data Type Lookup'!$A$1:$C$21,3,FALSE)</f>
        <v>java.time.Instant</v>
      </c>
      <c r="S1052">
        <v>2</v>
      </c>
      <c r="V1052" t="s">
        <v>1631</v>
      </c>
      <c r="W1052" t="str">
        <f t="shared" si="25"/>
        <v>USER_CODE_VALUE.CREATED_DATE</v>
      </c>
      <c r="X1052" t="str">
        <f>VLOOKUP(W1052,ColumnMapping[New Table.Column],1,)</f>
        <v>USER_CODE_VALUE.CREATED_DATE</v>
      </c>
      <c r="Y1052" t="str">
        <f>_xlfn.XLOOKUP(Table6[[#This Row],[Table.Column]],ColumnMapping[Add Column Name],ColumnMapping[Old Table.Column],"",0,1)</f>
        <v/>
      </c>
      <c r="Z1052" t="str">
        <f>_xlfn.XLOOKUP(Table6[[#This Row],[Old Table.Column]],Cobra8.6[Table.Column],Cobra8.6[TYPE],"",0,1)</f>
        <v/>
      </c>
      <c r="AA1052" t="str">
        <f>_xlfn.XLOOKUP(Table6[[#This Row],[Old Table.Column]],Cobra8.6[Table.Column],Cobra8.6[LENGTH],"",0,1)</f>
        <v/>
      </c>
      <c r="AB1052"/>
    </row>
    <row r="1053" spans="1:28" hidden="1" x14ac:dyDescent="0.2">
      <c r="A1053" t="s">
        <v>1599</v>
      </c>
      <c r="B1053" t="s">
        <v>1620</v>
      </c>
      <c r="C1053" t="s">
        <v>68</v>
      </c>
      <c r="D1053">
        <v>9</v>
      </c>
      <c r="E1053" t="s">
        <v>31</v>
      </c>
      <c r="F1053" t="str">
        <f>VLOOKUP($E1053,'Data Type Lookup'!$A$1:$C$21,2,FALSE)</f>
        <v>RAW(16)</v>
      </c>
      <c r="I1053" s="32" t="s">
        <v>32</v>
      </c>
      <c r="P1053" t="s">
        <v>1632</v>
      </c>
      <c r="Q1053" t="s">
        <v>70</v>
      </c>
      <c r="R1053" t="str">
        <f>VLOOKUP(E1053,'Data Type Lookup'!$A$1:$C$21,3,FALSE)</f>
        <v>java.util.UUID</v>
      </c>
      <c r="S1053">
        <v>2</v>
      </c>
      <c r="W1053" t="str">
        <f t="shared" si="25"/>
        <v>USER_CODE_VALUE.LAST_MODIFIED_BY_USER_UID</v>
      </c>
      <c r="X1053" t="str">
        <f>VLOOKUP(W1053,ColumnMapping[New Table.Column],1,)</f>
        <v>USER_CODE_VALUE.LAST_MODIFIED_BY_USER_UID</v>
      </c>
      <c r="Y1053" t="str">
        <f>_xlfn.XLOOKUP(Table6[[#This Row],[Table.Column]],ColumnMapping[Add Column Name],ColumnMapping[Old Table.Column],"",0,1)</f>
        <v/>
      </c>
      <c r="Z1053" t="str">
        <f>_xlfn.XLOOKUP(Table6[[#This Row],[Old Table.Column]],Cobra8.6[Table.Column],Cobra8.6[TYPE],"",0,1)</f>
        <v/>
      </c>
      <c r="AA1053" t="str">
        <f>_xlfn.XLOOKUP(Table6[[#This Row],[Old Table.Column]],Cobra8.6[Table.Column],Cobra8.6[LENGTH],"",0,1)</f>
        <v/>
      </c>
      <c r="AB1053"/>
    </row>
    <row r="1054" spans="1:28" hidden="1" x14ac:dyDescent="0.2">
      <c r="A1054" t="s">
        <v>1599</v>
      </c>
      <c r="B1054" t="s">
        <v>1620</v>
      </c>
      <c r="C1054" t="s">
        <v>71</v>
      </c>
      <c r="D1054">
        <v>10</v>
      </c>
      <c r="E1054" t="s">
        <v>65</v>
      </c>
      <c r="F1054" t="str">
        <f>VLOOKUP($E1054,'Data Type Lookup'!$A$1:$C$21,2,FALSE)</f>
        <v>TIMESTAMP</v>
      </c>
      <c r="I1054" s="32" t="s">
        <v>32</v>
      </c>
      <c r="P1054" t="s">
        <v>1633</v>
      </c>
      <c r="Q1054" t="s">
        <v>73</v>
      </c>
      <c r="R1054" t="str">
        <f>VLOOKUP(E1054,'Data Type Lookup'!$A$1:$C$21,3,FALSE)</f>
        <v>java.time.Instant</v>
      </c>
      <c r="S1054">
        <v>2</v>
      </c>
      <c r="W1054" t="str">
        <f t="shared" si="25"/>
        <v>USER_CODE_VALUE.LAST_MODIFIED_DATE</v>
      </c>
      <c r="X1054" t="str">
        <f>VLOOKUP(W1054,ColumnMapping[New Table.Column],1,)</f>
        <v>USER_CODE_VALUE.LAST_MODIFIED_DATE</v>
      </c>
      <c r="Y1054" t="str">
        <f>_xlfn.XLOOKUP(Table6[[#This Row],[Table.Column]],ColumnMapping[Add Column Name],ColumnMapping[Old Table.Column],"",0,1)</f>
        <v/>
      </c>
      <c r="Z1054" t="str">
        <f>_xlfn.XLOOKUP(Table6[[#This Row],[Old Table.Column]],Cobra8.6[Table.Column],Cobra8.6[TYPE],"",0,1)</f>
        <v/>
      </c>
      <c r="AA1054" t="str">
        <f>_xlfn.XLOOKUP(Table6[[#This Row],[Old Table.Column]],Cobra8.6[Table.Column],Cobra8.6[LENGTH],"",0,1)</f>
        <v/>
      </c>
      <c r="AB1054"/>
    </row>
    <row r="1055" spans="1:28" hidden="1" x14ac:dyDescent="0.2">
      <c r="A1055" t="s">
        <v>1599</v>
      </c>
      <c r="B1055" t="s">
        <v>1634</v>
      </c>
      <c r="C1055" t="s">
        <v>30</v>
      </c>
      <c r="D1055">
        <v>1</v>
      </c>
      <c r="E1055" t="s">
        <v>31</v>
      </c>
      <c r="F1055" t="str">
        <f>VLOOKUP($E1055,'Data Type Lookup'!$A$1:$C$21,2,FALSE)</f>
        <v>RAW(16)</v>
      </c>
      <c r="I1055" s="32" t="s">
        <v>32</v>
      </c>
      <c r="K1055" s="32" t="s">
        <v>32</v>
      </c>
      <c r="P1055" t="s">
        <v>1635</v>
      </c>
      <c r="Q1055" t="s">
        <v>34</v>
      </c>
      <c r="R1055" t="str">
        <f>VLOOKUP(E1055,'Data Type Lookup'!$A$1:$C$21,3,FALSE)</f>
        <v>java.util.UUID</v>
      </c>
      <c r="S1055">
        <v>3</v>
      </c>
      <c r="W1055" t="str">
        <f t="shared" si="25"/>
        <v>USER_FIELD_DEFINITION.ROW_UID</v>
      </c>
      <c r="X1055" t="str">
        <f>VLOOKUP(W1055,ColumnMapping[New Table.Column],1,)</f>
        <v>USER_FIELD_DEFINITION.ROW_UID</v>
      </c>
      <c r="Y1055" t="str">
        <f>_xlfn.XLOOKUP(Table6[[#This Row],[Table.Column]],ColumnMapping[Add Column Name],ColumnMapping[Old Table.Column],"",0,1)</f>
        <v/>
      </c>
      <c r="Z1055" t="str">
        <f>_xlfn.XLOOKUP(Table6[[#This Row],[Old Table.Column]],Cobra8.6[Table.Column],Cobra8.6[TYPE],"",0,1)</f>
        <v/>
      </c>
      <c r="AA1055" t="str">
        <f>_xlfn.XLOOKUP(Table6[[#This Row],[Old Table.Column]],Cobra8.6[Table.Column],Cobra8.6[LENGTH],"",0,1)</f>
        <v/>
      </c>
      <c r="AB1055"/>
    </row>
    <row r="1056" spans="1:28" hidden="1" x14ac:dyDescent="0.2">
      <c r="A1056" t="s">
        <v>1599</v>
      </c>
      <c r="B1056" t="s">
        <v>1634</v>
      </c>
      <c r="C1056" t="s">
        <v>35</v>
      </c>
      <c r="D1056">
        <v>2</v>
      </c>
      <c r="E1056" t="s">
        <v>36</v>
      </c>
      <c r="F1056" t="str">
        <f>VLOOKUP($E1056,'Data Type Lookup'!$A$1:$C$21,2,FALSE)</f>
        <v>NUMBER(19,0)</v>
      </c>
      <c r="I1056" s="32" t="s">
        <v>32</v>
      </c>
      <c r="J1056" s="32">
        <v>0</v>
      </c>
      <c r="P1056" t="s">
        <v>37</v>
      </c>
      <c r="Q1056" t="s">
        <v>38</v>
      </c>
      <c r="R1056" t="str">
        <f>VLOOKUP(E1056,'Data Type Lookup'!$A$1:$C$21,3,FALSE)</f>
        <v>Long</v>
      </c>
      <c r="S1056">
        <v>3</v>
      </c>
      <c r="W1056" t="str">
        <f t="shared" si="25"/>
        <v>USER_FIELD_DEFINITION.SEQUENCE</v>
      </c>
      <c r="X1056" t="str">
        <f>VLOOKUP(W1056,ColumnMapping[New Table.Column],1,)</f>
        <v>USER_FIELD_DEFINITION.SEQUENCE</v>
      </c>
      <c r="Y1056" t="str">
        <f>_xlfn.XLOOKUP(Table6[[#This Row],[Table.Column]],ColumnMapping[Add Column Name],ColumnMapping[Old Table.Column],"",0,1)</f>
        <v/>
      </c>
      <c r="Z1056" t="str">
        <f>_xlfn.XLOOKUP(Table6[[#This Row],[Old Table.Column]],Cobra8.6[Table.Column],Cobra8.6[TYPE],"",0,1)</f>
        <v/>
      </c>
      <c r="AA1056" t="str">
        <f>_xlfn.XLOOKUP(Table6[[#This Row],[Old Table.Column]],Cobra8.6[Table.Column],Cobra8.6[LENGTH],"",0,1)</f>
        <v/>
      </c>
      <c r="AB1056"/>
    </row>
    <row r="1057" spans="1:28" hidden="1" x14ac:dyDescent="0.2">
      <c r="A1057" t="s">
        <v>1599</v>
      </c>
      <c r="B1057" t="s">
        <v>1634</v>
      </c>
      <c r="C1057" t="s">
        <v>278</v>
      </c>
      <c r="D1057">
        <v>3</v>
      </c>
      <c r="E1057" t="s">
        <v>31</v>
      </c>
      <c r="F1057" t="str">
        <f>VLOOKUP($E1057,'Data Type Lookup'!$A$1:$C$21,2,FALSE)</f>
        <v>RAW(16)</v>
      </c>
      <c r="L1057" s="32" t="s">
        <v>32</v>
      </c>
      <c r="P1057" t="s">
        <v>1636</v>
      </c>
      <c r="Q1057" t="s">
        <v>280</v>
      </c>
      <c r="R1057" t="str">
        <f>VLOOKUP(E1057,'Data Type Lookup'!$A$1:$C$21,3,FALSE)</f>
        <v>java.util.UUID</v>
      </c>
      <c r="S1057">
        <v>1</v>
      </c>
      <c r="V1057" t="s">
        <v>1637</v>
      </c>
      <c r="W1057" t="str">
        <f t="shared" si="25"/>
        <v>USER_FIELD_DEFINITION.PRIMARY_ENTITY_UID</v>
      </c>
      <c r="X1057" t="str">
        <f>VLOOKUP(W1057,ColumnMapping[New Table.Column],1,)</f>
        <v>USER_FIELD_DEFINITION.PRIMARY_ENTITY_UID</v>
      </c>
      <c r="Y1057" t="str">
        <f>_xlfn.XLOOKUP(Table6[[#This Row],[Table.Column]],ColumnMapping[Add Column Name],ColumnMapping[Old Table.Column],"",0,1)</f>
        <v/>
      </c>
      <c r="Z1057" t="str">
        <f>_xlfn.XLOOKUP(Table6[[#This Row],[Old Table.Column]],Cobra8.6[Table.Column],Cobra8.6[TYPE],"",0,1)</f>
        <v/>
      </c>
      <c r="AA1057" t="str">
        <f>_xlfn.XLOOKUP(Table6[[#This Row],[Old Table.Column]],Cobra8.6[Table.Column],Cobra8.6[LENGTH],"",0,1)</f>
        <v/>
      </c>
      <c r="AB1057"/>
    </row>
    <row r="1058" spans="1:28" hidden="1" x14ac:dyDescent="0.2">
      <c r="A1058" t="s">
        <v>1599</v>
      </c>
      <c r="B1058" t="s">
        <v>1634</v>
      </c>
      <c r="C1058" t="s">
        <v>39</v>
      </c>
      <c r="D1058">
        <v>4</v>
      </c>
      <c r="E1058" t="s">
        <v>31</v>
      </c>
      <c r="F1058" t="str">
        <f>VLOOKUP($E1058,'Data Type Lookup'!$A$1:$C$21,2,FALSE)</f>
        <v>RAW(16)</v>
      </c>
      <c r="M1058" t="s">
        <v>40</v>
      </c>
      <c r="N1058" t="s">
        <v>30</v>
      </c>
      <c r="O1058" t="s">
        <v>41</v>
      </c>
      <c r="P1058" t="s">
        <v>88</v>
      </c>
      <c r="Q1058" t="s">
        <v>43</v>
      </c>
      <c r="R1058" t="str">
        <f>VLOOKUP(E1058,'Data Type Lookup'!$A$1:$C$21,3,FALSE)</f>
        <v>java.util.UUID</v>
      </c>
      <c r="S1058">
        <v>1</v>
      </c>
      <c r="W1058" t="str">
        <f t="shared" si="25"/>
        <v>USER_FIELD_DEFINITION.CODE_FILE_UID</v>
      </c>
      <c r="X1058" t="str">
        <f>VLOOKUP(W1058,ColumnMapping[New Table.Column],1,)</f>
        <v>USER_FIELD_DEFINITION.CODE_FILE_UID</v>
      </c>
      <c r="Y1058" t="str">
        <f>_xlfn.XLOOKUP(Table6[[#This Row],[Table.Column]],ColumnMapping[Add Column Name],ColumnMapping[Old Table.Column],"",0,1)</f>
        <v/>
      </c>
      <c r="Z1058" t="str">
        <f>_xlfn.XLOOKUP(Table6[[#This Row],[Old Table.Column]],Cobra8.6[Table.Column],Cobra8.6[TYPE],"",0,1)</f>
        <v/>
      </c>
      <c r="AA1058" t="str">
        <f>_xlfn.XLOOKUP(Table6[[#This Row],[Old Table.Column]],Cobra8.6[Table.Column],Cobra8.6[LENGTH],"",0,1)</f>
        <v/>
      </c>
      <c r="AB1058"/>
    </row>
    <row r="1059" spans="1:28" hidden="1" x14ac:dyDescent="0.2">
      <c r="A1059" t="s">
        <v>1599</v>
      </c>
      <c r="B1059" t="s">
        <v>1634</v>
      </c>
      <c r="C1059" t="s">
        <v>1638</v>
      </c>
      <c r="D1059">
        <v>5</v>
      </c>
      <c r="E1059" t="s">
        <v>86</v>
      </c>
      <c r="F1059" t="str">
        <f>VLOOKUP($E1059,'Data Type Lookup'!$A$1:$C$21,2,FALSE)</f>
        <v>VARCHAR2</v>
      </c>
      <c r="G1059">
        <v>30</v>
      </c>
      <c r="I1059" s="32" t="s">
        <v>32</v>
      </c>
      <c r="L1059" s="32" t="s">
        <v>32</v>
      </c>
      <c r="P1059" t="s">
        <v>1639</v>
      </c>
      <c r="Q1059" t="s">
        <v>1640</v>
      </c>
      <c r="R1059" t="str">
        <f>VLOOKUP(E1059,'Data Type Lookup'!$A$1:$C$21,3,FALSE)</f>
        <v>String</v>
      </c>
      <c r="W1059" t="str">
        <f t="shared" si="25"/>
        <v>USER_FIELD_DEFINITION.ENTITY_TYPE</v>
      </c>
      <c r="X1059" t="str">
        <f>VLOOKUP(W1059,ColumnMapping[New Table.Column],1,)</f>
        <v>USER_FIELD_DEFINITION.ENTITY_TYPE</v>
      </c>
      <c r="Y1059" t="str">
        <f>_xlfn.XLOOKUP(Table6[[#This Row],[Table.Column]],ColumnMapping[Add Column Name],ColumnMapping[Old Table.Column],"",0,1)</f>
        <v/>
      </c>
      <c r="Z1059" t="str">
        <f>_xlfn.XLOOKUP(Table6[[#This Row],[Old Table.Column]],Cobra8.6[Table.Column],Cobra8.6[TYPE],"",0,1)</f>
        <v/>
      </c>
      <c r="AA1059" t="str">
        <f>_xlfn.XLOOKUP(Table6[[#This Row],[Old Table.Column]],Cobra8.6[Table.Column],Cobra8.6[LENGTH],"",0,1)</f>
        <v/>
      </c>
      <c r="AB1059"/>
    </row>
    <row r="1060" spans="1:28" hidden="1" x14ac:dyDescent="0.2">
      <c r="A1060" t="s">
        <v>1599</v>
      </c>
      <c r="B1060" t="s">
        <v>1634</v>
      </c>
      <c r="C1060" t="s">
        <v>98</v>
      </c>
      <c r="D1060">
        <v>6</v>
      </c>
      <c r="E1060" t="s">
        <v>86</v>
      </c>
      <c r="F1060" t="str">
        <f>VLOOKUP($E1060,'Data Type Lookup'!$A$1:$C$21,2,FALSE)</f>
        <v>VARCHAR2</v>
      </c>
      <c r="G1060">
        <v>30</v>
      </c>
      <c r="I1060" s="32" t="s">
        <v>32</v>
      </c>
      <c r="L1060" s="32" t="s">
        <v>32</v>
      </c>
      <c r="P1060" t="s">
        <v>1641</v>
      </c>
      <c r="Q1060" t="s">
        <v>100</v>
      </c>
      <c r="R1060" t="str">
        <f>VLOOKUP(E1060,'Data Type Lookup'!$A$1:$C$21,3,FALSE)</f>
        <v>String</v>
      </c>
      <c r="V1060" t="s">
        <v>1642</v>
      </c>
      <c r="W1060" t="str">
        <f t="shared" si="25"/>
        <v>USER_FIELD_DEFINITION.FIELD_NAME</v>
      </c>
      <c r="X1060" t="str">
        <f>VLOOKUP(W1060,ColumnMapping[New Table.Column],1,)</f>
        <v>USER_FIELD_DEFINITION.FIELD_NAME</v>
      </c>
      <c r="Y1060" t="str">
        <f>_xlfn.XLOOKUP(Table6[[#This Row],[Table.Column]],ColumnMapping[Add Column Name],ColumnMapping[Old Table.Column],"",0,1)</f>
        <v/>
      </c>
      <c r="Z1060" t="str">
        <f>_xlfn.XLOOKUP(Table6[[#This Row],[Old Table.Column]],Cobra8.6[Table.Column],Cobra8.6[TYPE],"",0,1)</f>
        <v/>
      </c>
      <c r="AA1060" t="str">
        <f>_xlfn.XLOOKUP(Table6[[#This Row],[Old Table.Column]],Cobra8.6[Table.Column],Cobra8.6[LENGTH],"",0,1)</f>
        <v/>
      </c>
      <c r="AB1060"/>
    </row>
    <row r="1061" spans="1:28" hidden="1" x14ac:dyDescent="0.2">
      <c r="A1061" t="s">
        <v>1599</v>
      </c>
      <c r="B1061" t="s">
        <v>1634</v>
      </c>
      <c r="C1061" t="s">
        <v>1643</v>
      </c>
      <c r="D1061">
        <v>7</v>
      </c>
      <c r="E1061" t="s">
        <v>48</v>
      </c>
      <c r="F1061" t="str">
        <f>VLOOKUP($E1061,'Data Type Lookup'!$A$1:$C$21,2,FALSE)</f>
        <v>NVARCHAR2</v>
      </c>
      <c r="G1061">
        <v>30</v>
      </c>
      <c r="I1061" s="32" t="s">
        <v>32</v>
      </c>
      <c r="L1061" s="32" t="s">
        <v>32</v>
      </c>
      <c r="P1061" t="s">
        <v>1644</v>
      </c>
      <c r="Q1061" t="s">
        <v>1645</v>
      </c>
      <c r="R1061" t="str">
        <f>VLOOKUP(E1061,'Data Type Lookup'!$A$1:$C$21,3,FALSE)</f>
        <v>String</v>
      </c>
      <c r="W1061" t="str">
        <f t="shared" si="25"/>
        <v>USER_FIELD_DEFINITION.FIELD_LABEL</v>
      </c>
      <c r="X1061" t="str">
        <f>VLOOKUP(W1061,ColumnMapping[New Table.Column],1,)</f>
        <v>USER_FIELD_DEFINITION.FIELD_LABEL</v>
      </c>
      <c r="Y1061" t="str">
        <f>_xlfn.XLOOKUP(Table6[[#This Row],[Table.Column]],ColumnMapping[Add Column Name],ColumnMapping[Old Table.Column],"",0,1)</f>
        <v/>
      </c>
      <c r="Z1061" t="str">
        <f>_xlfn.XLOOKUP(Table6[[#This Row],[Old Table.Column]],Cobra8.6[Table.Column],Cobra8.6[TYPE],"",0,1)</f>
        <v/>
      </c>
      <c r="AA1061" t="str">
        <f>_xlfn.XLOOKUP(Table6[[#This Row],[Old Table.Column]],Cobra8.6[Table.Column],Cobra8.6[LENGTH],"",0,1)</f>
        <v/>
      </c>
      <c r="AB1061"/>
    </row>
    <row r="1062" spans="1:28" hidden="1" x14ac:dyDescent="0.2">
      <c r="A1062" t="s">
        <v>1599</v>
      </c>
      <c r="B1062" t="s">
        <v>1634</v>
      </c>
      <c r="C1062" t="s">
        <v>1646</v>
      </c>
      <c r="D1062">
        <v>8</v>
      </c>
      <c r="E1062" t="s">
        <v>86</v>
      </c>
      <c r="F1062" t="str">
        <f>VLOOKUP($E1062,'Data Type Lookup'!$A$1:$C$21,2,FALSE)</f>
        <v>VARCHAR2</v>
      </c>
      <c r="G1062">
        <v>30</v>
      </c>
      <c r="I1062" s="32" t="s">
        <v>32</v>
      </c>
      <c r="P1062" t="s">
        <v>1647</v>
      </c>
      <c r="Q1062" t="s">
        <v>1648</v>
      </c>
      <c r="R1062" t="str">
        <f>VLOOKUP(E1062,'Data Type Lookup'!$A$1:$C$21,3,FALSE)</f>
        <v>String</v>
      </c>
      <c r="W1062" t="str">
        <f t="shared" si="25"/>
        <v>USER_FIELD_DEFINITION.FIELD_DATA_TYPE</v>
      </c>
      <c r="X1062" t="str">
        <f>VLOOKUP(W1062,ColumnMapping[New Table.Column],1,)</f>
        <v>USER_FIELD_DEFINITION.FIELD_DATA_TYPE</v>
      </c>
      <c r="Y1062" t="str">
        <f>_xlfn.XLOOKUP(Table6[[#This Row],[Table.Column]],ColumnMapping[Add Column Name],ColumnMapping[Old Table.Column],"",0,1)</f>
        <v/>
      </c>
      <c r="Z1062" t="str">
        <f>_xlfn.XLOOKUP(Table6[[#This Row],[Old Table.Column]],Cobra8.6[Table.Column],Cobra8.6[TYPE],"",0,1)</f>
        <v/>
      </c>
      <c r="AA1062" t="str">
        <f>_xlfn.XLOOKUP(Table6[[#This Row],[Old Table.Column]],Cobra8.6[Table.Column],Cobra8.6[LENGTH],"",0,1)</f>
        <v/>
      </c>
      <c r="AB1062"/>
    </row>
    <row r="1063" spans="1:28" hidden="1" x14ac:dyDescent="0.2">
      <c r="A1063" t="s">
        <v>1599</v>
      </c>
      <c r="B1063" t="s">
        <v>1634</v>
      </c>
      <c r="C1063" t="s">
        <v>1256</v>
      </c>
      <c r="D1063">
        <v>9</v>
      </c>
      <c r="E1063" t="s">
        <v>288</v>
      </c>
      <c r="F1063" t="str">
        <f>VLOOKUP($E1063,'Data Type Lookup'!$A$1:$C$21,2,FALSE)</f>
        <v>NUMBER(1,0)</v>
      </c>
      <c r="I1063" s="32" t="s">
        <v>32</v>
      </c>
      <c r="J1063" s="37">
        <v>0</v>
      </c>
      <c r="P1063" t="s">
        <v>1649</v>
      </c>
      <c r="Q1063" t="s">
        <v>1258</v>
      </c>
      <c r="R1063" t="str">
        <f>VLOOKUP(E1063,'Data Type Lookup'!$A$1:$C$21,3,FALSE)</f>
        <v>Boolean</v>
      </c>
      <c r="V1063" t="s">
        <v>1650</v>
      </c>
      <c r="W1063" t="str">
        <f t="shared" si="25"/>
        <v>USER_FIELD_DEFINITION.REQUIRED</v>
      </c>
      <c r="X1063" t="str">
        <f>VLOOKUP(W1063,ColumnMapping[New Table.Column],1,)</f>
        <v>USER_FIELD_DEFINITION.REQUIRED</v>
      </c>
      <c r="Y1063" t="str">
        <f>_xlfn.XLOOKUP(Table6[[#This Row],[Table.Column]],ColumnMapping[Add Column Name],ColumnMapping[Old Table.Column],"",0,1)</f>
        <v/>
      </c>
      <c r="Z1063" t="str">
        <f>_xlfn.XLOOKUP(Table6[[#This Row],[Old Table.Column]],Cobra8.6[Table.Column],Cobra8.6[TYPE],"",0,1)</f>
        <v/>
      </c>
      <c r="AA1063" t="str">
        <f>_xlfn.XLOOKUP(Table6[[#This Row],[Old Table.Column]],Cobra8.6[Table.Column],Cobra8.6[LENGTH],"",0,1)</f>
        <v/>
      </c>
      <c r="AB1063"/>
    </row>
    <row r="1064" spans="1:28" hidden="1" x14ac:dyDescent="0.2">
      <c r="A1064" t="s">
        <v>1599</v>
      </c>
      <c r="B1064" t="s">
        <v>1634</v>
      </c>
      <c r="C1064" t="s">
        <v>61</v>
      </c>
      <c r="D1064">
        <v>10</v>
      </c>
      <c r="E1064" t="s">
        <v>31</v>
      </c>
      <c r="F1064" t="str">
        <f>VLOOKUP($E1064,'Data Type Lookup'!$A$1:$C$21,2,FALSE)</f>
        <v>RAW(16)</v>
      </c>
      <c r="I1064" s="32" t="s">
        <v>32</v>
      </c>
      <c r="P1064" t="s">
        <v>1651</v>
      </c>
      <c r="Q1064" t="s">
        <v>63</v>
      </c>
      <c r="R1064" t="str">
        <f>VLOOKUP(E1064,'Data Type Lookup'!$A$1:$C$21,3,FALSE)</f>
        <v>java.util.UUID</v>
      </c>
      <c r="S1064">
        <v>2</v>
      </c>
      <c r="W1064" t="str">
        <f t="shared" si="25"/>
        <v>USER_FIELD_DEFINITION.CREATED_BY_USER_UID</v>
      </c>
      <c r="X1064" t="str">
        <f>VLOOKUP(W1064,ColumnMapping[New Table.Column],1,)</f>
        <v>USER_FIELD_DEFINITION.CREATED_BY_USER_UID</v>
      </c>
      <c r="Y1064" t="str">
        <f>_xlfn.XLOOKUP(Table6[[#This Row],[Table.Column]],ColumnMapping[Add Column Name],ColumnMapping[Old Table.Column],"",0,1)</f>
        <v/>
      </c>
      <c r="Z1064" t="str">
        <f>_xlfn.XLOOKUP(Table6[[#This Row],[Old Table.Column]],Cobra8.6[Table.Column],Cobra8.6[TYPE],"",0,1)</f>
        <v/>
      </c>
      <c r="AA1064" t="str">
        <f>_xlfn.XLOOKUP(Table6[[#This Row],[Old Table.Column]],Cobra8.6[Table.Column],Cobra8.6[LENGTH],"",0,1)</f>
        <v/>
      </c>
      <c r="AB1064"/>
    </row>
    <row r="1065" spans="1:28" hidden="1" x14ac:dyDescent="0.2">
      <c r="A1065" t="s">
        <v>1599</v>
      </c>
      <c r="B1065" t="s">
        <v>1634</v>
      </c>
      <c r="C1065" t="s">
        <v>64</v>
      </c>
      <c r="D1065">
        <v>11</v>
      </c>
      <c r="E1065" t="s">
        <v>65</v>
      </c>
      <c r="F1065" t="str">
        <f>VLOOKUP($E1065,'Data Type Lookup'!$A$1:$C$21,2,FALSE)</f>
        <v>TIMESTAMP</v>
      </c>
      <c r="I1065" s="32" t="s">
        <v>32</v>
      </c>
      <c r="P1065" t="s">
        <v>1652</v>
      </c>
      <c r="Q1065" t="s">
        <v>67</v>
      </c>
      <c r="R1065" t="str">
        <f>VLOOKUP(E1065,'Data Type Lookup'!$A$1:$C$21,3,FALSE)</f>
        <v>java.time.Instant</v>
      </c>
      <c r="S1065">
        <v>2</v>
      </c>
      <c r="W1065" t="str">
        <f t="shared" si="25"/>
        <v>USER_FIELD_DEFINITION.CREATED_DATE</v>
      </c>
      <c r="X1065" t="str">
        <f>VLOOKUP(W1065,ColumnMapping[New Table.Column],1,)</f>
        <v>USER_FIELD_DEFINITION.CREATED_DATE</v>
      </c>
      <c r="Y1065" t="str">
        <f>_xlfn.XLOOKUP(Table6[[#This Row],[Table.Column]],ColumnMapping[Add Column Name],ColumnMapping[Old Table.Column],"",0,1)</f>
        <v/>
      </c>
      <c r="Z1065" t="str">
        <f>_xlfn.XLOOKUP(Table6[[#This Row],[Old Table.Column]],Cobra8.6[Table.Column],Cobra8.6[TYPE],"",0,1)</f>
        <v/>
      </c>
      <c r="AA1065" t="str">
        <f>_xlfn.XLOOKUP(Table6[[#This Row],[Old Table.Column]],Cobra8.6[Table.Column],Cobra8.6[LENGTH],"",0,1)</f>
        <v/>
      </c>
      <c r="AB1065"/>
    </row>
    <row r="1066" spans="1:28" hidden="1" x14ac:dyDescent="0.2">
      <c r="A1066" t="s">
        <v>1599</v>
      </c>
      <c r="B1066" t="s">
        <v>1634</v>
      </c>
      <c r="C1066" t="s">
        <v>68</v>
      </c>
      <c r="D1066">
        <v>12</v>
      </c>
      <c r="E1066" t="s">
        <v>31</v>
      </c>
      <c r="F1066" t="str">
        <f>VLOOKUP($E1066,'Data Type Lookup'!$A$1:$C$21,2,FALSE)</f>
        <v>RAW(16)</v>
      </c>
      <c r="I1066" s="32" t="s">
        <v>32</v>
      </c>
      <c r="P1066" t="s">
        <v>1653</v>
      </c>
      <c r="Q1066" t="s">
        <v>70</v>
      </c>
      <c r="R1066" t="str">
        <f>VLOOKUP(E1066,'Data Type Lookup'!$A$1:$C$21,3,FALSE)</f>
        <v>java.util.UUID</v>
      </c>
      <c r="S1066">
        <v>2</v>
      </c>
      <c r="W1066" t="str">
        <f t="shared" si="25"/>
        <v>USER_FIELD_DEFINITION.LAST_MODIFIED_BY_USER_UID</v>
      </c>
      <c r="X1066" t="str">
        <f>VLOOKUP(W1066,ColumnMapping[New Table.Column],1,)</f>
        <v>USER_FIELD_DEFINITION.LAST_MODIFIED_BY_USER_UID</v>
      </c>
      <c r="Y1066" t="str">
        <f>_xlfn.XLOOKUP(Table6[[#This Row],[Table.Column]],ColumnMapping[Add Column Name],ColumnMapping[Old Table.Column],"",0,1)</f>
        <v/>
      </c>
      <c r="Z1066" t="str">
        <f>_xlfn.XLOOKUP(Table6[[#This Row],[Old Table.Column]],Cobra8.6[Table.Column],Cobra8.6[TYPE],"",0,1)</f>
        <v/>
      </c>
      <c r="AA1066" t="str">
        <f>_xlfn.XLOOKUP(Table6[[#This Row],[Old Table.Column]],Cobra8.6[Table.Column],Cobra8.6[LENGTH],"",0,1)</f>
        <v/>
      </c>
      <c r="AB1066"/>
    </row>
    <row r="1067" spans="1:28" hidden="1" x14ac:dyDescent="0.2">
      <c r="A1067" t="s">
        <v>1599</v>
      </c>
      <c r="B1067" t="s">
        <v>1634</v>
      </c>
      <c r="C1067" t="s">
        <v>71</v>
      </c>
      <c r="D1067">
        <v>13</v>
      </c>
      <c r="E1067" t="s">
        <v>65</v>
      </c>
      <c r="F1067" t="str">
        <f>VLOOKUP($E1067,'Data Type Lookup'!$A$1:$C$21,2,FALSE)</f>
        <v>TIMESTAMP</v>
      </c>
      <c r="I1067" s="32" t="s">
        <v>32</v>
      </c>
      <c r="P1067" t="s">
        <v>1654</v>
      </c>
      <c r="Q1067" t="s">
        <v>73</v>
      </c>
      <c r="R1067" t="str">
        <f>VLOOKUP(E1067,'Data Type Lookup'!$A$1:$C$21,3,FALSE)</f>
        <v>java.time.Instant</v>
      </c>
      <c r="S1067">
        <v>2</v>
      </c>
      <c r="W1067" t="str">
        <f t="shared" si="25"/>
        <v>USER_FIELD_DEFINITION.LAST_MODIFIED_DATE</v>
      </c>
      <c r="X1067" t="str">
        <f>VLOOKUP(W1067,ColumnMapping[New Table.Column],1,)</f>
        <v>USER_FIELD_DEFINITION.LAST_MODIFIED_DATE</v>
      </c>
      <c r="Y1067" t="str">
        <f>_xlfn.XLOOKUP(Table6[[#This Row],[Table.Column]],ColumnMapping[Add Column Name],ColumnMapping[Old Table.Column],"",0,1)</f>
        <v/>
      </c>
      <c r="Z1067" t="str">
        <f>_xlfn.XLOOKUP(Table6[[#This Row],[Old Table.Column]],Cobra8.6[Table.Column],Cobra8.6[TYPE],"",0,1)</f>
        <v/>
      </c>
      <c r="AA1067" t="str">
        <f>_xlfn.XLOOKUP(Table6[[#This Row],[Old Table.Column]],Cobra8.6[Table.Column],Cobra8.6[LENGTH],"",0,1)</f>
        <v/>
      </c>
      <c r="AB1067"/>
    </row>
    <row r="1068" spans="1:28" hidden="1" x14ac:dyDescent="0.2">
      <c r="A1068" t="s">
        <v>1599</v>
      </c>
      <c r="B1068" t="s">
        <v>1634</v>
      </c>
      <c r="C1068" t="s">
        <v>15</v>
      </c>
      <c r="D1068">
        <v>14</v>
      </c>
      <c r="E1068" t="s">
        <v>48</v>
      </c>
      <c r="F1068" t="str">
        <f>VLOOKUP($E1068,'Data Type Lookup'!$A$1:$C$21,2,FALSE)</f>
        <v>NVARCHAR2</v>
      </c>
      <c r="G1068">
        <v>256</v>
      </c>
      <c r="Q1068" t="s">
        <v>75</v>
      </c>
      <c r="R1068" t="str">
        <f>VLOOKUP(E1068,'Data Type Lookup'!$A$1:$C$21,3,FALSE)</f>
        <v>String</v>
      </c>
      <c r="W1068" t="str">
        <f t="shared" si="25"/>
        <v>USER_FIELD_DEFINITION.DESCRIPTION</v>
      </c>
      <c r="X1068" t="str">
        <f>VLOOKUP(W1068,ColumnMapping[New Table.Column],1,)</f>
        <v>USER_FIELD_DEFINITION.DESCRIPTION</v>
      </c>
      <c r="Y1068" t="str">
        <f>_xlfn.XLOOKUP(Table6[[#This Row],[Table.Column]],ColumnMapping[Add Column Name],ColumnMapping[Old Table.Column],"",0,1)</f>
        <v/>
      </c>
      <c r="Z1068" t="str">
        <f>_xlfn.XLOOKUP(Table6[[#This Row],[Old Table.Column]],Cobra8.6[Table.Column],Cobra8.6[TYPE],"",0,1)</f>
        <v/>
      </c>
      <c r="AA1068" t="str">
        <f>_xlfn.XLOOKUP(Table6[[#This Row],[Old Table.Column]],Cobra8.6[Table.Column],Cobra8.6[LENGTH],"",0,1)</f>
        <v/>
      </c>
      <c r="AB1068"/>
    </row>
    <row r="1069" spans="1:28" hidden="1" x14ac:dyDescent="0.2">
      <c r="A1069" t="s">
        <v>1599</v>
      </c>
      <c r="B1069" t="s">
        <v>1634</v>
      </c>
      <c r="C1069" t="s">
        <v>2608</v>
      </c>
      <c r="D1069">
        <v>15</v>
      </c>
      <c r="E1069" t="s">
        <v>86</v>
      </c>
      <c r="F1069" t="s">
        <v>349</v>
      </c>
      <c r="G1069">
        <v>10</v>
      </c>
      <c r="I1069" s="32" t="s">
        <v>32</v>
      </c>
      <c r="P1069" t="s">
        <v>2609</v>
      </c>
      <c r="R1069" t="s">
        <v>2610</v>
      </c>
      <c r="W1069" t="str">
        <f>_xlfn.CONCAT(B1069,".",C1069)</f>
        <v>USER_FIELD_DEFINITION.SCOPE</v>
      </c>
      <c r="X1069" t="e">
        <f>VLOOKUP(W1069,ColumnMapping[New Table.Column],1,)</f>
        <v>#N/A</v>
      </c>
      <c r="Y1069" t="str">
        <f>_xlfn.XLOOKUP(Table6[[#This Row],[Table.Column]],ColumnMapping[Add Column Name],ColumnMapping[Old Table.Column],"",0,1)</f>
        <v/>
      </c>
      <c r="Z1069" t="str">
        <f>_xlfn.XLOOKUP(Table6[[#This Row],[Old Table.Column]],Cobra8.6[Table.Column],Cobra8.6[TYPE],"",0,1)</f>
        <v/>
      </c>
      <c r="AA1069" t="str">
        <f>_xlfn.XLOOKUP(Table6[[#This Row],[Old Table.Column]],Cobra8.6[Table.Column],Cobra8.6[LENGTH],"",0,1)</f>
        <v/>
      </c>
      <c r="AB1069"/>
    </row>
    <row r="1070" spans="1:28" hidden="1" x14ac:dyDescent="0.2">
      <c r="A1070" t="s">
        <v>1599</v>
      </c>
      <c r="B1070" t="s">
        <v>1655</v>
      </c>
      <c r="C1070" t="s">
        <v>30</v>
      </c>
      <c r="D1070">
        <v>1</v>
      </c>
      <c r="E1070" t="s">
        <v>31</v>
      </c>
      <c r="F1070" t="str">
        <f>VLOOKUP($E1070,'Data Type Lookup'!$A$1:$C$21,2,FALSE)</f>
        <v>RAW(16)</v>
      </c>
      <c r="I1070" s="32" t="s">
        <v>32</v>
      </c>
      <c r="K1070" s="32" t="s">
        <v>32</v>
      </c>
      <c r="P1070" t="s">
        <v>1635</v>
      </c>
      <c r="Q1070" t="s">
        <v>34</v>
      </c>
      <c r="R1070" t="str">
        <f>VLOOKUP(E1070,'Data Type Lookup'!$A$1:$C$21,3,FALSE)</f>
        <v>java.util.UUID</v>
      </c>
      <c r="S1070">
        <v>3</v>
      </c>
      <c r="W1070" t="str">
        <f t="shared" si="25"/>
        <v>USER_FIELD_VALUE.ROW_UID</v>
      </c>
      <c r="X1070" t="e">
        <f>VLOOKUP(W1070,ColumnMapping[New Table.Column],1,)</f>
        <v>#N/A</v>
      </c>
      <c r="Y1070" t="str">
        <f>_xlfn.XLOOKUP(Table6[[#This Row],[Table.Column]],ColumnMapping[Add Column Name],ColumnMapping[Old Table.Column],"",0,1)</f>
        <v/>
      </c>
      <c r="Z1070" t="str">
        <f>_xlfn.XLOOKUP(Table6[[#This Row],[Old Table.Column]],Cobra8.6[Table.Column],Cobra8.6[TYPE],"",0,1)</f>
        <v/>
      </c>
      <c r="AA1070" t="str">
        <f>_xlfn.XLOOKUP(Table6[[#This Row],[Old Table.Column]],Cobra8.6[Table.Column],Cobra8.6[LENGTH],"",0,1)</f>
        <v/>
      </c>
      <c r="AB1070"/>
    </row>
    <row r="1071" spans="1:28" hidden="1" x14ac:dyDescent="0.2">
      <c r="A1071" t="s">
        <v>1599</v>
      </c>
      <c r="B1071" t="s">
        <v>1655</v>
      </c>
      <c r="C1071" t="s">
        <v>278</v>
      </c>
      <c r="D1071">
        <v>2</v>
      </c>
      <c r="E1071" t="s">
        <v>31</v>
      </c>
      <c r="F1071" t="str">
        <f>VLOOKUP($E1071,'Data Type Lookup'!$A$1:$C$21,2,FALSE)</f>
        <v>RAW(16)</v>
      </c>
      <c r="P1071" t="s">
        <v>1656</v>
      </c>
      <c r="Q1071" t="s">
        <v>280</v>
      </c>
      <c r="R1071" t="str">
        <f>VLOOKUP(E1071,'Data Type Lookup'!$A$1:$C$21,3,FALSE)</f>
        <v>java.util.UUID</v>
      </c>
      <c r="S1071">
        <v>1</v>
      </c>
      <c r="V1071" t="s">
        <v>1657</v>
      </c>
      <c r="W1071" t="str">
        <f t="shared" si="25"/>
        <v>USER_FIELD_VALUE.PRIMARY_ENTITY_UID</v>
      </c>
      <c r="X1071" t="e">
        <f>VLOOKUP(W1071,ColumnMapping[New Table.Column],1,)</f>
        <v>#N/A</v>
      </c>
      <c r="Y1071" t="str">
        <f>_xlfn.XLOOKUP(Table6[[#This Row],[Table.Column]],ColumnMapping[Add Column Name],ColumnMapping[Old Table.Column],"",0,1)</f>
        <v/>
      </c>
      <c r="Z1071" t="str">
        <f>_xlfn.XLOOKUP(Table6[[#This Row],[Old Table.Column]],Cobra8.6[Table.Column],Cobra8.6[TYPE],"",0,1)</f>
        <v/>
      </c>
      <c r="AA1071" t="str">
        <f>_xlfn.XLOOKUP(Table6[[#This Row],[Old Table.Column]],Cobra8.6[Table.Column],Cobra8.6[LENGTH],"",0,1)</f>
        <v/>
      </c>
      <c r="AB1071"/>
    </row>
    <row r="1072" spans="1:28" hidden="1" x14ac:dyDescent="0.2">
      <c r="A1072" t="s">
        <v>1599</v>
      </c>
      <c r="B1072" t="s">
        <v>1655</v>
      </c>
      <c r="C1072" t="s">
        <v>1602</v>
      </c>
      <c r="D1072">
        <v>3</v>
      </c>
      <c r="E1072" t="s">
        <v>31</v>
      </c>
      <c r="F1072" t="str">
        <f>VLOOKUP($E1072,'Data Type Lookup'!$A$1:$C$21,2,FALSE)</f>
        <v>RAW(16)</v>
      </c>
      <c r="I1072" s="32" t="s">
        <v>32</v>
      </c>
      <c r="P1072" t="s">
        <v>1658</v>
      </c>
      <c r="Q1072" t="s">
        <v>1604</v>
      </c>
      <c r="R1072" t="str">
        <f>VLOOKUP(E1072,'Data Type Lookup'!$A$1:$C$21,3,FALSE)</f>
        <v>java.util.UUID</v>
      </c>
      <c r="S1072">
        <v>1</v>
      </c>
      <c r="W1072" t="str">
        <f t="shared" si="25"/>
        <v>USER_FIELD_VALUE.ENTITY_UID</v>
      </c>
      <c r="X1072" t="e">
        <f>VLOOKUP(W1072,ColumnMapping[New Table.Column],1,)</f>
        <v>#N/A</v>
      </c>
      <c r="Y1072" t="str">
        <f>_xlfn.XLOOKUP(Table6[[#This Row],[Table.Column]],ColumnMapping[Add Column Name],ColumnMapping[Old Table.Column],"",0,1)</f>
        <v/>
      </c>
      <c r="Z1072" t="str">
        <f>_xlfn.XLOOKUP(Table6[[#This Row],[Old Table.Column]],Cobra8.6[Table.Column],Cobra8.6[TYPE],"",0,1)</f>
        <v/>
      </c>
      <c r="AA1072" t="str">
        <f>_xlfn.XLOOKUP(Table6[[#This Row],[Old Table.Column]],Cobra8.6[Table.Column],Cobra8.6[LENGTH],"",0,1)</f>
        <v/>
      </c>
      <c r="AB1072"/>
    </row>
    <row r="1073" spans="1:28" hidden="1" x14ac:dyDescent="0.2">
      <c r="A1073" t="s">
        <v>1599</v>
      </c>
      <c r="B1073" t="s">
        <v>1655</v>
      </c>
      <c r="C1073" t="s">
        <v>1659</v>
      </c>
      <c r="D1073">
        <v>4</v>
      </c>
      <c r="E1073" t="s">
        <v>356</v>
      </c>
      <c r="F1073" t="str">
        <f>VLOOKUP($E1073,'Data Type Lookup'!$A$1:$C$21,2,FALSE)</f>
        <v>DATE</v>
      </c>
      <c r="P1073" t="s">
        <v>1660</v>
      </c>
      <c r="Q1073" t="s">
        <v>1661</v>
      </c>
      <c r="R1073" t="str">
        <f>VLOOKUP(E1073,'Data Type Lookup'!$A$1:$C$21,3,FALSE)</f>
        <v>java.time.Instant</v>
      </c>
      <c r="V1073" t="s">
        <v>1662</v>
      </c>
      <c r="W1073" t="str">
        <f t="shared" si="25"/>
        <v>USER_FIELD_VALUE.DATE1</v>
      </c>
      <c r="X1073" t="str">
        <f>VLOOKUP(W1073,ColumnMapping[New Table.Column],1,)</f>
        <v>USER_FIELD_VALUE.DATE1</v>
      </c>
      <c r="Y1073" t="str">
        <f>_xlfn.XLOOKUP(Table6[[#This Row],[Table.Column]],ColumnMapping[Add Column Name],ColumnMapping[Old Table.Column],"",0,1)</f>
        <v/>
      </c>
      <c r="Z1073" t="str">
        <f>_xlfn.XLOOKUP(Table6[[#This Row],[Old Table.Column]],Cobra8.6[Table.Column],Cobra8.6[TYPE],"",0,1)</f>
        <v/>
      </c>
      <c r="AA1073" t="str">
        <f>_xlfn.XLOOKUP(Table6[[#This Row],[Old Table.Column]],Cobra8.6[Table.Column],Cobra8.6[LENGTH],"",0,1)</f>
        <v/>
      </c>
      <c r="AB1073"/>
    </row>
    <row r="1074" spans="1:28" hidden="1" x14ac:dyDescent="0.2">
      <c r="A1074" t="s">
        <v>1599</v>
      </c>
      <c r="B1074" t="s">
        <v>1655</v>
      </c>
      <c r="C1074" t="s">
        <v>1663</v>
      </c>
      <c r="D1074">
        <v>4</v>
      </c>
      <c r="E1074" t="s">
        <v>1664</v>
      </c>
      <c r="F1074" t="str">
        <f>VLOOKUP($E1074,'Data Type Lookup'!$A$1:$C$21,2,FALSE)</f>
        <v>NCLOB</v>
      </c>
      <c r="P1074" t="s">
        <v>1665</v>
      </c>
      <c r="Q1074" t="s">
        <v>1666</v>
      </c>
      <c r="R1074" t="str">
        <f>VLOOKUP(E1074,'Data Type Lookup'!$A$1:$C$21,3,FALSE)</f>
        <v>String</v>
      </c>
      <c r="W1074" t="str">
        <f t="shared" si="25"/>
        <v>USER_FIELD_VALUE.USER_FIELD_VALUES</v>
      </c>
      <c r="X1074" t="e">
        <f>VLOOKUP(W1074,ColumnMapping[New Table.Column],1,)</f>
        <v>#N/A</v>
      </c>
      <c r="Y1074" t="str">
        <f>_xlfn.XLOOKUP(Table6[[#This Row],[Table.Column]],ColumnMapping[Add Column Name],ColumnMapping[Old Table.Column],"",0,1)</f>
        <v/>
      </c>
      <c r="Z1074" t="str">
        <f>_xlfn.XLOOKUP(Table6[[#This Row],[Old Table.Column]],Cobra8.6[Table.Column],Cobra8.6[TYPE],"",0,1)</f>
        <v/>
      </c>
      <c r="AA1074" t="str">
        <f>_xlfn.XLOOKUP(Table6[[#This Row],[Old Table.Column]],Cobra8.6[Table.Column],Cobra8.6[LENGTH],"",0,1)</f>
        <v/>
      </c>
      <c r="AB1074"/>
    </row>
    <row r="1075" spans="1:28" hidden="1" x14ac:dyDescent="0.2">
      <c r="A1075" t="s">
        <v>1599</v>
      </c>
      <c r="B1075" t="s">
        <v>1655</v>
      </c>
      <c r="C1075" t="s">
        <v>1667</v>
      </c>
      <c r="D1075">
        <v>5</v>
      </c>
      <c r="E1075" t="s">
        <v>356</v>
      </c>
      <c r="F1075" t="str">
        <f>VLOOKUP($E1075,'Data Type Lookup'!$A$1:$C$21,2,FALSE)</f>
        <v>DATE</v>
      </c>
      <c r="P1075" t="s">
        <v>1660</v>
      </c>
      <c r="Q1075" t="s">
        <v>1668</v>
      </c>
      <c r="R1075" t="str">
        <f>VLOOKUP(E1075,'Data Type Lookup'!$A$1:$C$21,3,FALSE)</f>
        <v>java.time.Instant</v>
      </c>
      <c r="V1075" t="s">
        <v>1669</v>
      </c>
      <c r="W1075" t="str">
        <f t="shared" si="25"/>
        <v>USER_FIELD_VALUE.DATE2</v>
      </c>
      <c r="X1075" t="str">
        <f>VLOOKUP(W1075,ColumnMapping[New Table.Column],1,)</f>
        <v>USER_FIELD_VALUE.DATE2</v>
      </c>
      <c r="Y1075" t="str">
        <f>_xlfn.XLOOKUP(Table6[[#This Row],[Table.Column]],ColumnMapping[Add Column Name],ColumnMapping[Old Table.Column],"",0,1)</f>
        <v/>
      </c>
      <c r="Z1075" t="str">
        <f>_xlfn.XLOOKUP(Table6[[#This Row],[Old Table.Column]],Cobra8.6[Table.Column],Cobra8.6[TYPE],"",0,1)</f>
        <v/>
      </c>
      <c r="AA1075" t="str">
        <f>_xlfn.XLOOKUP(Table6[[#This Row],[Old Table.Column]],Cobra8.6[Table.Column],Cobra8.6[LENGTH],"",0,1)</f>
        <v/>
      </c>
      <c r="AB1075"/>
    </row>
    <row r="1076" spans="1:28" hidden="1" x14ac:dyDescent="0.2">
      <c r="A1076" t="s">
        <v>1599</v>
      </c>
      <c r="B1076" t="s">
        <v>1655</v>
      </c>
      <c r="C1076" t="s">
        <v>1670</v>
      </c>
      <c r="D1076">
        <v>6</v>
      </c>
      <c r="E1076" t="s">
        <v>356</v>
      </c>
      <c r="F1076" t="str">
        <f>VLOOKUP($E1076,'Data Type Lookup'!$A$1:$C$21,2,FALSE)</f>
        <v>DATE</v>
      </c>
      <c r="P1076" t="s">
        <v>1660</v>
      </c>
      <c r="Q1076" t="s">
        <v>1671</v>
      </c>
      <c r="R1076" t="str">
        <f>VLOOKUP(E1076,'Data Type Lookup'!$A$1:$C$21,3,FALSE)</f>
        <v>java.time.Instant</v>
      </c>
      <c r="W1076" t="str">
        <f t="shared" si="25"/>
        <v>USER_FIELD_VALUE.DATE3</v>
      </c>
      <c r="X1076" t="str">
        <f>VLOOKUP(W1076,ColumnMapping[New Table.Column],1,)</f>
        <v>USER_FIELD_VALUE.DATE3</v>
      </c>
      <c r="Y1076" t="str">
        <f>_xlfn.XLOOKUP(Table6[[#This Row],[Table.Column]],ColumnMapping[Add Column Name],ColumnMapping[Old Table.Column],"",0,1)</f>
        <v/>
      </c>
      <c r="Z1076" t="str">
        <f>_xlfn.XLOOKUP(Table6[[#This Row],[Old Table.Column]],Cobra8.6[Table.Column],Cobra8.6[TYPE],"",0,1)</f>
        <v/>
      </c>
      <c r="AA1076" t="str">
        <f>_xlfn.XLOOKUP(Table6[[#This Row],[Old Table.Column]],Cobra8.6[Table.Column],Cobra8.6[LENGTH],"",0,1)</f>
        <v/>
      </c>
      <c r="AB1076"/>
    </row>
    <row r="1077" spans="1:28" hidden="1" x14ac:dyDescent="0.2">
      <c r="A1077" t="s">
        <v>1599</v>
      </c>
      <c r="B1077" t="s">
        <v>1655</v>
      </c>
      <c r="C1077" t="s">
        <v>1672</v>
      </c>
      <c r="D1077">
        <v>7</v>
      </c>
      <c r="E1077" t="s">
        <v>356</v>
      </c>
      <c r="F1077" t="str">
        <f>VLOOKUP($E1077,'Data Type Lookup'!$A$1:$C$21,2,FALSE)</f>
        <v>DATE</v>
      </c>
      <c r="P1077" t="s">
        <v>1660</v>
      </c>
      <c r="Q1077" t="s">
        <v>1673</v>
      </c>
      <c r="R1077" t="str">
        <f>VLOOKUP(E1077,'Data Type Lookup'!$A$1:$C$21,3,FALSE)</f>
        <v>java.time.Instant</v>
      </c>
      <c r="V1077" t="s">
        <v>1662</v>
      </c>
      <c r="W1077" t="str">
        <f t="shared" si="25"/>
        <v>USER_FIELD_VALUE.DATE4</v>
      </c>
      <c r="X1077" t="str">
        <f>VLOOKUP(W1077,ColumnMapping[New Table.Column],1,)</f>
        <v>USER_FIELD_VALUE.DATE4</v>
      </c>
      <c r="Y1077" t="str">
        <f>_xlfn.XLOOKUP(Table6[[#This Row],[Table.Column]],ColumnMapping[Add Column Name],ColumnMapping[Old Table.Column],"",0,1)</f>
        <v/>
      </c>
      <c r="Z1077" t="str">
        <f>_xlfn.XLOOKUP(Table6[[#This Row],[Old Table.Column]],Cobra8.6[Table.Column],Cobra8.6[TYPE],"",0,1)</f>
        <v/>
      </c>
      <c r="AA1077" t="str">
        <f>_xlfn.XLOOKUP(Table6[[#This Row],[Old Table.Column]],Cobra8.6[Table.Column],Cobra8.6[LENGTH],"",0,1)</f>
        <v/>
      </c>
      <c r="AB1077"/>
    </row>
    <row r="1078" spans="1:28" hidden="1" x14ac:dyDescent="0.2">
      <c r="A1078" t="s">
        <v>1599</v>
      </c>
      <c r="B1078" t="s">
        <v>1655</v>
      </c>
      <c r="C1078" t="s">
        <v>1674</v>
      </c>
      <c r="D1078">
        <v>8</v>
      </c>
      <c r="E1078" t="s">
        <v>356</v>
      </c>
      <c r="F1078" t="str">
        <f>VLOOKUP($E1078,'Data Type Lookup'!$A$1:$C$21,2,FALSE)</f>
        <v>DATE</v>
      </c>
      <c r="P1078" t="s">
        <v>1660</v>
      </c>
      <c r="Q1078" t="s">
        <v>1675</v>
      </c>
      <c r="R1078" t="str">
        <f>VLOOKUP(E1078,'Data Type Lookup'!$A$1:$C$21,3,FALSE)</f>
        <v>java.time.Instant</v>
      </c>
      <c r="V1078" t="s">
        <v>1669</v>
      </c>
      <c r="W1078" t="str">
        <f t="shared" si="25"/>
        <v>USER_FIELD_VALUE.DATE5</v>
      </c>
      <c r="X1078" t="str">
        <f>VLOOKUP(W1078,ColumnMapping[New Table.Column],1,)</f>
        <v>USER_FIELD_VALUE.DATE5</v>
      </c>
      <c r="Y1078" t="str">
        <f>_xlfn.XLOOKUP(Table6[[#This Row],[Table.Column]],ColumnMapping[Add Column Name],ColumnMapping[Old Table.Column],"",0,1)</f>
        <v/>
      </c>
      <c r="Z1078" t="str">
        <f>_xlfn.XLOOKUP(Table6[[#This Row],[Old Table.Column]],Cobra8.6[Table.Column],Cobra8.6[TYPE],"",0,1)</f>
        <v/>
      </c>
      <c r="AA1078" t="str">
        <f>_xlfn.XLOOKUP(Table6[[#This Row],[Old Table.Column]],Cobra8.6[Table.Column],Cobra8.6[LENGTH],"",0,1)</f>
        <v/>
      </c>
      <c r="AB1078"/>
    </row>
    <row r="1079" spans="1:28" hidden="1" x14ac:dyDescent="0.2">
      <c r="A1079" t="s">
        <v>1599</v>
      </c>
      <c r="B1079" t="s">
        <v>1655</v>
      </c>
      <c r="C1079" t="s">
        <v>1676</v>
      </c>
      <c r="D1079">
        <v>9</v>
      </c>
      <c r="E1079" t="s">
        <v>356</v>
      </c>
      <c r="F1079" t="str">
        <f>VLOOKUP($E1079,'Data Type Lookup'!$A$1:$C$21,2,FALSE)</f>
        <v>DATE</v>
      </c>
      <c r="P1079" t="s">
        <v>1660</v>
      </c>
      <c r="Q1079" t="s">
        <v>1677</v>
      </c>
      <c r="R1079" t="str">
        <f>VLOOKUP(E1079,'Data Type Lookup'!$A$1:$C$21,3,FALSE)</f>
        <v>java.time.Instant</v>
      </c>
      <c r="W1079" t="str">
        <f t="shared" si="25"/>
        <v>USER_FIELD_VALUE.DATE6</v>
      </c>
      <c r="X1079" t="e">
        <f>VLOOKUP(W1079,ColumnMapping[New Table.Column],1,)</f>
        <v>#N/A</v>
      </c>
      <c r="Y1079" t="str">
        <f>_xlfn.XLOOKUP(Table6[[#This Row],[Table.Column]],ColumnMapping[Add Column Name],ColumnMapping[Old Table.Column],"",0,1)</f>
        <v/>
      </c>
      <c r="Z1079" t="str">
        <f>_xlfn.XLOOKUP(Table6[[#This Row],[Old Table.Column]],Cobra8.6[Table.Column],Cobra8.6[TYPE],"",0,1)</f>
        <v/>
      </c>
      <c r="AA1079" t="str">
        <f>_xlfn.XLOOKUP(Table6[[#This Row],[Old Table.Column]],Cobra8.6[Table.Column],Cobra8.6[LENGTH],"",0,1)</f>
        <v/>
      </c>
      <c r="AB1079"/>
    </row>
    <row r="1080" spans="1:28" hidden="1" x14ac:dyDescent="0.2">
      <c r="A1080" t="s">
        <v>1599</v>
      </c>
      <c r="B1080" t="s">
        <v>1655</v>
      </c>
      <c r="C1080" t="s">
        <v>1678</v>
      </c>
      <c r="D1080">
        <v>10</v>
      </c>
      <c r="E1080" t="s">
        <v>356</v>
      </c>
      <c r="F1080" t="str">
        <f>VLOOKUP($E1080,'Data Type Lookup'!$A$1:$C$21,2,FALSE)</f>
        <v>DATE</v>
      </c>
      <c r="P1080" t="s">
        <v>1660</v>
      </c>
      <c r="Q1080" t="s">
        <v>1679</v>
      </c>
      <c r="R1080" t="str">
        <f>VLOOKUP(E1080,'Data Type Lookup'!$A$1:$C$21,3,FALSE)</f>
        <v>java.time.Instant</v>
      </c>
      <c r="V1080" t="s">
        <v>1662</v>
      </c>
      <c r="W1080" t="str">
        <f t="shared" si="25"/>
        <v>USER_FIELD_VALUE.DATE7</v>
      </c>
      <c r="X1080" t="e">
        <f>VLOOKUP(W1080,ColumnMapping[New Table.Column],1,)</f>
        <v>#N/A</v>
      </c>
      <c r="Y1080" t="str">
        <f>_xlfn.XLOOKUP(Table6[[#This Row],[Table.Column]],ColumnMapping[Add Column Name],ColumnMapping[Old Table.Column],"",0,1)</f>
        <v/>
      </c>
      <c r="Z1080" t="str">
        <f>_xlfn.XLOOKUP(Table6[[#This Row],[Old Table.Column]],Cobra8.6[Table.Column],Cobra8.6[TYPE],"",0,1)</f>
        <v/>
      </c>
      <c r="AA1080" t="str">
        <f>_xlfn.XLOOKUP(Table6[[#This Row],[Old Table.Column]],Cobra8.6[Table.Column],Cobra8.6[LENGTH],"",0,1)</f>
        <v/>
      </c>
      <c r="AB1080"/>
    </row>
    <row r="1081" spans="1:28" hidden="1" x14ac:dyDescent="0.2">
      <c r="A1081" t="s">
        <v>1599</v>
      </c>
      <c r="B1081" t="s">
        <v>1655</v>
      </c>
      <c r="C1081" t="s">
        <v>1680</v>
      </c>
      <c r="D1081">
        <v>11</v>
      </c>
      <c r="E1081" t="s">
        <v>356</v>
      </c>
      <c r="F1081" t="str">
        <f>VLOOKUP($E1081,'Data Type Lookup'!$A$1:$C$21,2,FALSE)</f>
        <v>DATE</v>
      </c>
      <c r="P1081" t="s">
        <v>1660</v>
      </c>
      <c r="Q1081" t="s">
        <v>1681</v>
      </c>
      <c r="R1081" t="str">
        <f>VLOOKUP(E1081,'Data Type Lookup'!$A$1:$C$21,3,FALSE)</f>
        <v>java.time.Instant</v>
      </c>
      <c r="V1081" t="s">
        <v>1669</v>
      </c>
      <c r="W1081" t="str">
        <f t="shared" si="25"/>
        <v>USER_FIELD_VALUE.DATE8</v>
      </c>
      <c r="X1081" t="e">
        <f>VLOOKUP(W1081,ColumnMapping[New Table.Column],1,)</f>
        <v>#N/A</v>
      </c>
      <c r="Y1081" t="str">
        <f>_xlfn.XLOOKUP(Table6[[#This Row],[Table.Column]],ColumnMapping[Add Column Name],ColumnMapping[Old Table.Column],"",0,1)</f>
        <v/>
      </c>
      <c r="Z1081" t="str">
        <f>_xlfn.XLOOKUP(Table6[[#This Row],[Old Table.Column]],Cobra8.6[Table.Column],Cobra8.6[TYPE],"",0,1)</f>
        <v/>
      </c>
      <c r="AA1081" t="str">
        <f>_xlfn.XLOOKUP(Table6[[#This Row],[Old Table.Column]],Cobra8.6[Table.Column],Cobra8.6[LENGTH],"",0,1)</f>
        <v/>
      </c>
      <c r="AB1081"/>
    </row>
    <row r="1082" spans="1:28" hidden="1" x14ac:dyDescent="0.2">
      <c r="A1082" t="s">
        <v>1599</v>
      </c>
      <c r="B1082" t="s">
        <v>1655</v>
      </c>
      <c r="C1082" t="s">
        <v>1682</v>
      </c>
      <c r="D1082">
        <v>12</v>
      </c>
      <c r="E1082" t="s">
        <v>356</v>
      </c>
      <c r="F1082" t="str">
        <f>VLOOKUP($E1082,'Data Type Lookup'!$A$1:$C$21,2,FALSE)</f>
        <v>DATE</v>
      </c>
      <c r="P1082" t="s">
        <v>1660</v>
      </c>
      <c r="Q1082" t="s">
        <v>1683</v>
      </c>
      <c r="R1082" t="str">
        <f>VLOOKUP(E1082,'Data Type Lookup'!$A$1:$C$21,3,FALSE)</f>
        <v>java.time.Instant</v>
      </c>
      <c r="W1082" t="str">
        <f t="shared" si="25"/>
        <v>USER_FIELD_VALUE.DATE9</v>
      </c>
      <c r="X1082" t="e">
        <f>VLOOKUP(W1082,ColumnMapping[New Table.Column],1,)</f>
        <v>#N/A</v>
      </c>
      <c r="Y1082" t="str">
        <f>_xlfn.XLOOKUP(Table6[[#This Row],[Table.Column]],ColumnMapping[Add Column Name],ColumnMapping[Old Table.Column],"",0,1)</f>
        <v/>
      </c>
      <c r="Z1082" t="str">
        <f>_xlfn.XLOOKUP(Table6[[#This Row],[Old Table.Column]],Cobra8.6[Table.Column],Cobra8.6[TYPE],"",0,1)</f>
        <v/>
      </c>
      <c r="AA1082" t="str">
        <f>_xlfn.XLOOKUP(Table6[[#This Row],[Old Table.Column]],Cobra8.6[Table.Column],Cobra8.6[LENGTH],"",0,1)</f>
        <v/>
      </c>
      <c r="AB1082"/>
    </row>
    <row r="1083" spans="1:28" hidden="1" x14ac:dyDescent="0.2">
      <c r="A1083" t="s">
        <v>1599</v>
      </c>
      <c r="B1083" t="s">
        <v>1655</v>
      </c>
      <c r="C1083" t="s">
        <v>1684</v>
      </c>
      <c r="D1083">
        <v>13</v>
      </c>
      <c r="E1083" t="s">
        <v>356</v>
      </c>
      <c r="F1083" t="str">
        <f>VLOOKUP($E1083,'Data Type Lookup'!$A$1:$C$21,2,FALSE)</f>
        <v>DATE</v>
      </c>
      <c r="P1083" t="s">
        <v>1660</v>
      </c>
      <c r="Q1083" t="s">
        <v>1685</v>
      </c>
      <c r="R1083" t="str">
        <f>VLOOKUP(E1083,'Data Type Lookup'!$A$1:$C$21,3,FALSE)</f>
        <v>java.time.Instant</v>
      </c>
      <c r="V1083" t="s">
        <v>1662</v>
      </c>
      <c r="W1083" t="str">
        <f t="shared" si="25"/>
        <v>USER_FIELD_VALUE.DATE10</v>
      </c>
      <c r="X1083" t="e">
        <f>VLOOKUP(W1083,ColumnMapping[New Table.Column],1,)</f>
        <v>#N/A</v>
      </c>
      <c r="Y1083" t="str">
        <f>_xlfn.XLOOKUP(Table6[[#This Row],[Table.Column]],ColumnMapping[Add Column Name],ColumnMapping[Old Table.Column],"",0,1)</f>
        <v/>
      </c>
      <c r="Z1083" t="str">
        <f>_xlfn.XLOOKUP(Table6[[#This Row],[Old Table.Column]],Cobra8.6[Table.Column],Cobra8.6[TYPE],"",0,1)</f>
        <v/>
      </c>
      <c r="AA1083" t="str">
        <f>_xlfn.XLOOKUP(Table6[[#This Row],[Old Table.Column]],Cobra8.6[Table.Column],Cobra8.6[LENGTH],"",0,1)</f>
        <v/>
      </c>
      <c r="AB1083"/>
    </row>
    <row r="1084" spans="1:28" hidden="1" x14ac:dyDescent="0.2">
      <c r="A1084" t="s">
        <v>1599</v>
      </c>
      <c r="B1084" t="s">
        <v>1655</v>
      </c>
      <c r="C1084" t="s">
        <v>1686</v>
      </c>
      <c r="D1084">
        <v>14</v>
      </c>
      <c r="E1084" t="s">
        <v>356</v>
      </c>
      <c r="F1084" t="str">
        <f>VLOOKUP($E1084,'Data Type Lookup'!$A$1:$C$21,2,FALSE)</f>
        <v>DATE</v>
      </c>
      <c r="P1084" t="s">
        <v>1660</v>
      </c>
      <c r="Q1084" t="s">
        <v>1687</v>
      </c>
      <c r="R1084" t="str">
        <f>VLOOKUP(E1084,'Data Type Lookup'!$A$1:$C$21,3,FALSE)</f>
        <v>java.time.Instant</v>
      </c>
      <c r="V1084" t="s">
        <v>1669</v>
      </c>
      <c r="W1084" t="str">
        <f t="shared" si="25"/>
        <v>USER_FIELD_VALUE.DATE11</v>
      </c>
      <c r="X1084" t="e">
        <f>VLOOKUP(W1084,ColumnMapping[New Table.Column],1,)</f>
        <v>#N/A</v>
      </c>
      <c r="Y1084" t="str">
        <f>_xlfn.XLOOKUP(Table6[[#This Row],[Table.Column]],ColumnMapping[Add Column Name],ColumnMapping[Old Table.Column],"",0,1)</f>
        <v/>
      </c>
      <c r="Z1084" t="str">
        <f>_xlfn.XLOOKUP(Table6[[#This Row],[Old Table.Column]],Cobra8.6[Table.Column],Cobra8.6[TYPE],"",0,1)</f>
        <v/>
      </c>
      <c r="AA1084" t="str">
        <f>_xlfn.XLOOKUP(Table6[[#This Row],[Old Table.Column]],Cobra8.6[Table.Column],Cobra8.6[LENGTH],"",0,1)</f>
        <v/>
      </c>
      <c r="AB1084"/>
    </row>
    <row r="1085" spans="1:28" hidden="1" x14ac:dyDescent="0.2">
      <c r="A1085" t="s">
        <v>1599</v>
      </c>
      <c r="B1085" t="s">
        <v>1655</v>
      </c>
      <c r="C1085" t="s">
        <v>1688</v>
      </c>
      <c r="D1085">
        <v>15</v>
      </c>
      <c r="E1085" t="s">
        <v>356</v>
      </c>
      <c r="F1085" t="str">
        <f>VLOOKUP($E1085,'Data Type Lookup'!$A$1:$C$21,2,FALSE)</f>
        <v>DATE</v>
      </c>
      <c r="P1085" t="s">
        <v>1660</v>
      </c>
      <c r="Q1085" t="s">
        <v>1689</v>
      </c>
      <c r="R1085" t="str">
        <f>VLOOKUP(E1085,'Data Type Lookup'!$A$1:$C$21,3,FALSE)</f>
        <v>java.time.Instant</v>
      </c>
      <c r="W1085" t="str">
        <f t="shared" si="25"/>
        <v>USER_FIELD_VALUE.DATE12</v>
      </c>
      <c r="X1085" t="e">
        <f>VLOOKUP(W1085,ColumnMapping[New Table.Column],1,)</f>
        <v>#N/A</v>
      </c>
      <c r="Y1085" t="str">
        <f>_xlfn.XLOOKUP(Table6[[#This Row],[Table.Column]],ColumnMapping[Add Column Name],ColumnMapping[Old Table.Column],"",0,1)</f>
        <v/>
      </c>
      <c r="Z1085" t="str">
        <f>_xlfn.XLOOKUP(Table6[[#This Row],[Old Table.Column]],Cobra8.6[Table.Column],Cobra8.6[TYPE],"",0,1)</f>
        <v/>
      </c>
      <c r="AA1085" t="str">
        <f>_xlfn.XLOOKUP(Table6[[#This Row],[Old Table.Column]],Cobra8.6[Table.Column],Cobra8.6[LENGTH],"",0,1)</f>
        <v/>
      </c>
      <c r="AB1085"/>
    </row>
    <row r="1086" spans="1:28" hidden="1" x14ac:dyDescent="0.2">
      <c r="A1086" t="s">
        <v>1599</v>
      </c>
      <c r="B1086" t="s">
        <v>1655</v>
      </c>
      <c r="C1086" t="s">
        <v>1690</v>
      </c>
      <c r="D1086">
        <v>16</v>
      </c>
      <c r="E1086" t="s">
        <v>356</v>
      </c>
      <c r="F1086" t="str">
        <f>VLOOKUP($E1086,'Data Type Lookup'!$A$1:$C$21,2,FALSE)</f>
        <v>DATE</v>
      </c>
      <c r="P1086" t="s">
        <v>1660</v>
      </c>
      <c r="Q1086" t="s">
        <v>1691</v>
      </c>
      <c r="R1086" t="str">
        <f>VLOOKUP(E1086,'Data Type Lookup'!$A$1:$C$21,3,FALSE)</f>
        <v>java.time.Instant</v>
      </c>
      <c r="V1086" t="s">
        <v>1662</v>
      </c>
      <c r="W1086" t="str">
        <f t="shared" si="25"/>
        <v>USER_FIELD_VALUE.DATE13</v>
      </c>
      <c r="X1086" t="e">
        <f>VLOOKUP(W1086,ColumnMapping[New Table.Column],1,)</f>
        <v>#N/A</v>
      </c>
      <c r="Y1086" t="str">
        <f>_xlfn.XLOOKUP(Table6[[#This Row],[Table.Column]],ColumnMapping[Add Column Name],ColumnMapping[Old Table.Column],"",0,1)</f>
        <v/>
      </c>
      <c r="Z1086" t="str">
        <f>_xlfn.XLOOKUP(Table6[[#This Row],[Old Table.Column]],Cobra8.6[Table.Column],Cobra8.6[TYPE],"",0,1)</f>
        <v/>
      </c>
      <c r="AA1086" t="str">
        <f>_xlfn.XLOOKUP(Table6[[#This Row],[Old Table.Column]],Cobra8.6[Table.Column],Cobra8.6[LENGTH],"",0,1)</f>
        <v/>
      </c>
      <c r="AB1086"/>
    </row>
    <row r="1087" spans="1:28" hidden="1" x14ac:dyDescent="0.2">
      <c r="A1087" t="s">
        <v>1599</v>
      </c>
      <c r="B1087" t="s">
        <v>1655</v>
      </c>
      <c r="C1087" t="s">
        <v>1692</v>
      </c>
      <c r="D1087">
        <v>17</v>
      </c>
      <c r="E1087" t="s">
        <v>356</v>
      </c>
      <c r="F1087" t="str">
        <f>VLOOKUP($E1087,'Data Type Lookup'!$A$1:$C$21,2,FALSE)</f>
        <v>DATE</v>
      </c>
      <c r="P1087" t="s">
        <v>1660</v>
      </c>
      <c r="Q1087" t="s">
        <v>1693</v>
      </c>
      <c r="R1087" t="str">
        <f>VLOOKUP(E1087,'Data Type Lookup'!$A$1:$C$21,3,FALSE)</f>
        <v>java.time.Instant</v>
      </c>
      <c r="V1087" t="s">
        <v>1669</v>
      </c>
      <c r="W1087" t="str">
        <f t="shared" si="25"/>
        <v>USER_FIELD_VALUE.DATE14</v>
      </c>
      <c r="X1087" t="e">
        <f>VLOOKUP(W1087,ColumnMapping[New Table.Column],1,)</f>
        <v>#N/A</v>
      </c>
      <c r="Y1087" t="str">
        <f>_xlfn.XLOOKUP(Table6[[#This Row],[Table.Column]],ColumnMapping[Add Column Name],ColumnMapping[Old Table.Column],"",0,1)</f>
        <v/>
      </c>
      <c r="Z1087" t="str">
        <f>_xlfn.XLOOKUP(Table6[[#This Row],[Old Table.Column]],Cobra8.6[Table.Column],Cobra8.6[TYPE],"",0,1)</f>
        <v/>
      </c>
      <c r="AA1087" t="str">
        <f>_xlfn.XLOOKUP(Table6[[#This Row],[Old Table.Column]],Cobra8.6[Table.Column],Cobra8.6[LENGTH],"",0,1)</f>
        <v/>
      </c>
      <c r="AB1087"/>
    </row>
    <row r="1088" spans="1:28" hidden="1" x14ac:dyDescent="0.2">
      <c r="A1088" t="s">
        <v>1599</v>
      </c>
      <c r="B1088" t="s">
        <v>1655</v>
      </c>
      <c r="C1088" t="s">
        <v>1694</v>
      </c>
      <c r="D1088">
        <v>18</v>
      </c>
      <c r="E1088" t="s">
        <v>356</v>
      </c>
      <c r="F1088" t="str">
        <f>VLOOKUP($E1088,'Data Type Lookup'!$A$1:$C$21,2,FALSE)</f>
        <v>DATE</v>
      </c>
      <c r="P1088" t="s">
        <v>1660</v>
      </c>
      <c r="Q1088" t="s">
        <v>1695</v>
      </c>
      <c r="R1088" t="str">
        <f>VLOOKUP(E1088,'Data Type Lookup'!$A$1:$C$21,3,FALSE)</f>
        <v>java.time.Instant</v>
      </c>
      <c r="W1088" t="str">
        <f t="shared" si="25"/>
        <v>USER_FIELD_VALUE.DATE15</v>
      </c>
      <c r="X1088" t="e">
        <f>VLOOKUP(W1088,ColumnMapping[New Table.Column],1,)</f>
        <v>#N/A</v>
      </c>
      <c r="Y1088" t="str">
        <f>_xlfn.XLOOKUP(Table6[[#This Row],[Table.Column]],ColumnMapping[Add Column Name],ColumnMapping[Old Table.Column],"",0,1)</f>
        <v/>
      </c>
      <c r="Z1088" t="str">
        <f>_xlfn.XLOOKUP(Table6[[#This Row],[Old Table.Column]],Cobra8.6[Table.Column],Cobra8.6[TYPE],"",0,1)</f>
        <v/>
      </c>
      <c r="AA1088" t="str">
        <f>_xlfn.XLOOKUP(Table6[[#This Row],[Old Table.Column]],Cobra8.6[Table.Column],Cobra8.6[LENGTH],"",0,1)</f>
        <v/>
      </c>
      <c r="AB1088"/>
    </row>
    <row r="1089" spans="1:28" hidden="1" x14ac:dyDescent="0.2">
      <c r="A1089" t="s">
        <v>1599</v>
      </c>
      <c r="B1089" t="s">
        <v>1655</v>
      </c>
      <c r="C1089" t="s">
        <v>1696</v>
      </c>
      <c r="D1089">
        <v>19</v>
      </c>
      <c r="E1089" t="s">
        <v>356</v>
      </c>
      <c r="F1089" t="str">
        <f>VLOOKUP($E1089,'Data Type Lookup'!$A$1:$C$21,2,FALSE)</f>
        <v>DATE</v>
      </c>
      <c r="P1089" t="s">
        <v>1660</v>
      </c>
      <c r="Q1089" t="s">
        <v>1697</v>
      </c>
      <c r="R1089" t="str">
        <f>VLOOKUP(E1089,'Data Type Lookup'!$A$1:$C$21,3,FALSE)</f>
        <v>java.time.Instant</v>
      </c>
      <c r="V1089" t="s">
        <v>1662</v>
      </c>
      <c r="W1089" t="str">
        <f t="shared" si="25"/>
        <v>USER_FIELD_VALUE.DATE16</v>
      </c>
      <c r="X1089" t="e">
        <f>VLOOKUP(W1089,ColumnMapping[New Table.Column],1,)</f>
        <v>#N/A</v>
      </c>
      <c r="Y1089" t="str">
        <f>_xlfn.XLOOKUP(Table6[[#This Row],[Table.Column]],ColumnMapping[Add Column Name],ColumnMapping[Old Table.Column],"",0,1)</f>
        <v/>
      </c>
      <c r="Z1089" t="str">
        <f>_xlfn.XLOOKUP(Table6[[#This Row],[Old Table.Column]],Cobra8.6[Table.Column],Cobra8.6[TYPE],"",0,1)</f>
        <v/>
      </c>
      <c r="AA1089" t="str">
        <f>_xlfn.XLOOKUP(Table6[[#This Row],[Old Table.Column]],Cobra8.6[Table.Column],Cobra8.6[LENGTH],"",0,1)</f>
        <v/>
      </c>
      <c r="AB1089"/>
    </row>
    <row r="1090" spans="1:28" hidden="1" x14ac:dyDescent="0.2">
      <c r="A1090" t="s">
        <v>1599</v>
      </c>
      <c r="B1090" t="s">
        <v>1655</v>
      </c>
      <c r="C1090" t="s">
        <v>1698</v>
      </c>
      <c r="D1090">
        <v>20</v>
      </c>
      <c r="E1090" t="s">
        <v>356</v>
      </c>
      <c r="F1090" t="str">
        <f>VLOOKUP($E1090,'Data Type Lookup'!$A$1:$C$21,2,FALSE)</f>
        <v>DATE</v>
      </c>
      <c r="P1090" t="s">
        <v>1660</v>
      </c>
      <c r="Q1090" t="s">
        <v>1699</v>
      </c>
      <c r="R1090" t="str">
        <f>VLOOKUP(E1090,'Data Type Lookup'!$A$1:$C$21,3,FALSE)</f>
        <v>java.time.Instant</v>
      </c>
      <c r="V1090" t="s">
        <v>1669</v>
      </c>
      <c r="W1090" t="str">
        <f t="shared" si="25"/>
        <v>USER_FIELD_VALUE.DATE17</v>
      </c>
      <c r="X1090" t="e">
        <f>VLOOKUP(W1090,ColumnMapping[New Table.Column],1,)</f>
        <v>#N/A</v>
      </c>
      <c r="Y1090" t="str">
        <f>_xlfn.XLOOKUP(Table6[[#This Row],[Table.Column]],ColumnMapping[Add Column Name],ColumnMapping[Old Table.Column],"",0,1)</f>
        <v/>
      </c>
      <c r="Z1090" t="str">
        <f>_xlfn.XLOOKUP(Table6[[#This Row],[Old Table.Column]],Cobra8.6[Table.Column],Cobra8.6[TYPE],"",0,1)</f>
        <v/>
      </c>
      <c r="AA1090" t="str">
        <f>_xlfn.XLOOKUP(Table6[[#This Row],[Old Table.Column]],Cobra8.6[Table.Column],Cobra8.6[LENGTH],"",0,1)</f>
        <v/>
      </c>
      <c r="AB1090"/>
    </row>
    <row r="1091" spans="1:28" hidden="1" x14ac:dyDescent="0.2">
      <c r="A1091" t="s">
        <v>1599</v>
      </c>
      <c r="B1091" t="s">
        <v>1655</v>
      </c>
      <c r="C1091" t="s">
        <v>1700</v>
      </c>
      <c r="D1091">
        <v>21</v>
      </c>
      <c r="E1091" t="s">
        <v>356</v>
      </c>
      <c r="F1091" t="str">
        <f>VLOOKUP($E1091,'Data Type Lookup'!$A$1:$C$21,2,FALSE)</f>
        <v>DATE</v>
      </c>
      <c r="P1091" t="s">
        <v>1660</v>
      </c>
      <c r="Q1091" t="s">
        <v>1701</v>
      </c>
      <c r="R1091" t="str">
        <f>VLOOKUP(E1091,'Data Type Lookup'!$A$1:$C$21,3,FALSE)</f>
        <v>java.time.Instant</v>
      </c>
      <c r="W1091" t="str">
        <f t="shared" si="25"/>
        <v>USER_FIELD_VALUE.DATE18</v>
      </c>
      <c r="X1091" t="e">
        <f>VLOOKUP(W1091,ColumnMapping[New Table.Column],1,)</f>
        <v>#N/A</v>
      </c>
      <c r="Y1091" t="str">
        <f>_xlfn.XLOOKUP(Table6[[#This Row],[Table.Column]],ColumnMapping[Add Column Name],ColumnMapping[Old Table.Column],"",0,1)</f>
        <v/>
      </c>
      <c r="Z1091" t="str">
        <f>_xlfn.XLOOKUP(Table6[[#This Row],[Old Table.Column]],Cobra8.6[Table.Column],Cobra8.6[TYPE],"",0,1)</f>
        <v/>
      </c>
      <c r="AA1091" t="str">
        <f>_xlfn.XLOOKUP(Table6[[#This Row],[Old Table.Column]],Cobra8.6[Table.Column],Cobra8.6[LENGTH],"",0,1)</f>
        <v/>
      </c>
      <c r="AB1091"/>
    </row>
    <row r="1092" spans="1:28" hidden="1" x14ac:dyDescent="0.2">
      <c r="A1092" t="s">
        <v>1599</v>
      </c>
      <c r="B1092" t="s">
        <v>1655</v>
      </c>
      <c r="C1092" t="s">
        <v>1702</v>
      </c>
      <c r="D1092">
        <v>22</v>
      </c>
      <c r="E1092" t="s">
        <v>356</v>
      </c>
      <c r="F1092" t="str">
        <f>VLOOKUP($E1092,'Data Type Lookup'!$A$1:$C$21,2,FALSE)</f>
        <v>DATE</v>
      </c>
      <c r="P1092" t="s">
        <v>1660</v>
      </c>
      <c r="Q1092" t="s">
        <v>1703</v>
      </c>
      <c r="R1092" t="str">
        <f>VLOOKUP(E1092,'Data Type Lookup'!$A$1:$C$21,3,FALSE)</f>
        <v>java.time.Instant</v>
      </c>
      <c r="V1092" t="s">
        <v>1669</v>
      </c>
      <c r="W1092" t="str">
        <f t="shared" si="25"/>
        <v>USER_FIELD_VALUE.DATE19</v>
      </c>
      <c r="X1092" t="e">
        <f>VLOOKUP(W1092,ColumnMapping[New Table.Column],1,)</f>
        <v>#N/A</v>
      </c>
      <c r="Y1092" t="str">
        <f>_xlfn.XLOOKUP(Table6[[#This Row],[Table.Column]],ColumnMapping[Add Column Name],ColumnMapping[Old Table.Column],"",0,1)</f>
        <v/>
      </c>
      <c r="Z1092" t="str">
        <f>_xlfn.XLOOKUP(Table6[[#This Row],[Old Table.Column]],Cobra8.6[Table.Column],Cobra8.6[TYPE],"",0,1)</f>
        <v/>
      </c>
      <c r="AA1092" t="str">
        <f>_xlfn.XLOOKUP(Table6[[#This Row],[Old Table.Column]],Cobra8.6[Table.Column],Cobra8.6[LENGTH],"",0,1)</f>
        <v/>
      </c>
      <c r="AB1092"/>
    </row>
    <row r="1093" spans="1:28" hidden="1" x14ac:dyDescent="0.2">
      <c r="A1093" t="s">
        <v>1599</v>
      </c>
      <c r="B1093" t="s">
        <v>1655</v>
      </c>
      <c r="C1093" t="s">
        <v>1704</v>
      </c>
      <c r="D1093">
        <v>23</v>
      </c>
      <c r="E1093" t="s">
        <v>356</v>
      </c>
      <c r="F1093" t="str">
        <f>VLOOKUP($E1093,'Data Type Lookup'!$A$1:$C$21,2,FALSE)</f>
        <v>DATE</v>
      </c>
      <c r="P1093" t="s">
        <v>1660</v>
      </c>
      <c r="Q1093" t="s">
        <v>1705</v>
      </c>
      <c r="R1093" t="str">
        <f>VLOOKUP(E1093,'Data Type Lookup'!$A$1:$C$21,3,FALSE)</f>
        <v>java.time.Instant</v>
      </c>
      <c r="W1093" t="str">
        <f t="shared" si="25"/>
        <v>USER_FIELD_VALUE.DATE20</v>
      </c>
      <c r="X1093" t="e">
        <f>VLOOKUP(W1093,ColumnMapping[New Table.Column],1,)</f>
        <v>#N/A</v>
      </c>
      <c r="Y1093" t="str">
        <f>_xlfn.XLOOKUP(Table6[[#This Row],[Table.Column]],ColumnMapping[Add Column Name],ColumnMapping[Old Table.Column],"",0,1)</f>
        <v/>
      </c>
      <c r="Z1093" t="str">
        <f>_xlfn.XLOOKUP(Table6[[#This Row],[Old Table.Column]],Cobra8.6[Table.Column],Cobra8.6[TYPE],"",0,1)</f>
        <v/>
      </c>
      <c r="AA1093" t="str">
        <f>_xlfn.XLOOKUP(Table6[[#This Row],[Old Table.Column]],Cobra8.6[Table.Column],Cobra8.6[LENGTH],"",0,1)</f>
        <v/>
      </c>
      <c r="AB1093"/>
    </row>
    <row r="1094" spans="1:28" hidden="1" x14ac:dyDescent="0.2">
      <c r="A1094" t="s">
        <v>1599</v>
      </c>
      <c r="B1094" t="s">
        <v>1655</v>
      </c>
      <c r="C1094" t="s">
        <v>1706</v>
      </c>
      <c r="D1094">
        <v>24</v>
      </c>
      <c r="E1094" t="s">
        <v>161</v>
      </c>
      <c r="F1094" t="str">
        <f>VLOOKUP($E1094,'Data Type Lookup'!$A$1:$C$21,2,FALSE)</f>
        <v>NUMBER(21,6)</v>
      </c>
      <c r="J1094" s="32">
        <v>0</v>
      </c>
      <c r="P1094" t="s">
        <v>1707</v>
      </c>
      <c r="Q1094" t="s">
        <v>1708</v>
      </c>
      <c r="R1094" t="str">
        <f>VLOOKUP(E1094,'Data Type Lookup'!$A$1:$C$21,3,FALSE)</f>
        <v>java.math.BigDecimal</v>
      </c>
      <c r="W1094" t="str">
        <f t="shared" si="25"/>
        <v>USER_FIELD_VALUE.NUMBER1</v>
      </c>
      <c r="X1094" t="str">
        <f>VLOOKUP(W1094,ColumnMapping[New Table.Column],1,)</f>
        <v>USER_FIELD_VALUE.NUMBER1</v>
      </c>
      <c r="Y1094" t="str">
        <f>_xlfn.XLOOKUP(Table6[[#This Row],[Table.Column]],ColumnMapping[Add Column Name],ColumnMapping[Old Table.Column],"",0,1)</f>
        <v/>
      </c>
      <c r="Z1094" t="str">
        <f>_xlfn.XLOOKUP(Table6[[#This Row],[Old Table.Column]],Cobra8.6[Table.Column],Cobra8.6[TYPE],"",0,1)</f>
        <v/>
      </c>
      <c r="AA1094" t="str">
        <f>_xlfn.XLOOKUP(Table6[[#This Row],[Old Table.Column]],Cobra8.6[Table.Column],Cobra8.6[LENGTH],"",0,1)</f>
        <v/>
      </c>
      <c r="AB1094"/>
    </row>
    <row r="1095" spans="1:28" hidden="1" x14ac:dyDescent="0.2">
      <c r="A1095" t="s">
        <v>1599</v>
      </c>
      <c r="B1095" t="s">
        <v>1655</v>
      </c>
      <c r="C1095" t="s">
        <v>1709</v>
      </c>
      <c r="D1095">
        <v>25</v>
      </c>
      <c r="E1095" t="s">
        <v>161</v>
      </c>
      <c r="F1095" t="str">
        <f>VLOOKUP($E1095,'Data Type Lookup'!$A$1:$C$21,2,FALSE)</f>
        <v>NUMBER(21,6)</v>
      </c>
      <c r="J1095" s="32">
        <v>0</v>
      </c>
      <c r="P1095" t="s">
        <v>1707</v>
      </c>
      <c r="Q1095" t="s">
        <v>1710</v>
      </c>
      <c r="R1095" t="str">
        <f>VLOOKUP(E1095,'Data Type Lookup'!$A$1:$C$21,3,FALSE)</f>
        <v>java.math.BigDecimal</v>
      </c>
      <c r="W1095" t="str">
        <f t="shared" si="25"/>
        <v>USER_FIELD_VALUE.NUMBER2</v>
      </c>
      <c r="X1095" t="str">
        <f>VLOOKUP(W1095,ColumnMapping[New Table.Column],1,)</f>
        <v>USER_FIELD_VALUE.NUMBER2</v>
      </c>
      <c r="Y1095" t="str">
        <f>_xlfn.XLOOKUP(Table6[[#This Row],[Table.Column]],ColumnMapping[Add Column Name],ColumnMapping[Old Table.Column],"",0,1)</f>
        <v/>
      </c>
      <c r="Z1095" t="str">
        <f>_xlfn.XLOOKUP(Table6[[#This Row],[Old Table.Column]],Cobra8.6[Table.Column],Cobra8.6[TYPE],"",0,1)</f>
        <v/>
      </c>
      <c r="AA1095" t="str">
        <f>_xlfn.XLOOKUP(Table6[[#This Row],[Old Table.Column]],Cobra8.6[Table.Column],Cobra8.6[LENGTH],"",0,1)</f>
        <v/>
      </c>
      <c r="AB1095"/>
    </row>
    <row r="1096" spans="1:28" hidden="1" x14ac:dyDescent="0.2">
      <c r="A1096" t="s">
        <v>1599</v>
      </c>
      <c r="B1096" t="s">
        <v>1655</v>
      </c>
      <c r="C1096" t="s">
        <v>1711</v>
      </c>
      <c r="D1096">
        <v>26</v>
      </c>
      <c r="E1096" t="s">
        <v>161</v>
      </c>
      <c r="F1096" t="str">
        <f>VLOOKUP($E1096,'Data Type Lookup'!$A$1:$C$21,2,FALSE)</f>
        <v>NUMBER(21,6)</v>
      </c>
      <c r="J1096" s="32">
        <v>0</v>
      </c>
      <c r="P1096" t="s">
        <v>1707</v>
      </c>
      <c r="Q1096" t="s">
        <v>1712</v>
      </c>
      <c r="R1096" t="str">
        <f>VLOOKUP(E1096,'Data Type Lookup'!$A$1:$C$21,3,FALSE)</f>
        <v>java.math.BigDecimal</v>
      </c>
      <c r="W1096" t="str">
        <f t="shared" si="25"/>
        <v>USER_FIELD_VALUE.NUMBER3</v>
      </c>
      <c r="X1096" t="str">
        <f>VLOOKUP(W1096,ColumnMapping[New Table.Column],1,)</f>
        <v>USER_FIELD_VALUE.NUMBER3</v>
      </c>
      <c r="Y1096" t="str">
        <f>_xlfn.XLOOKUP(Table6[[#This Row],[Table.Column]],ColumnMapping[Add Column Name],ColumnMapping[Old Table.Column],"",0,1)</f>
        <v/>
      </c>
      <c r="Z1096" t="str">
        <f>_xlfn.XLOOKUP(Table6[[#This Row],[Old Table.Column]],Cobra8.6[Table.Column],Cobra8.6[TYPE],"",0,1)</f>
        <v/>
      </c>
      <c r="AA1096" t="str">
        <f>_xlfn.XLOOKUP(Table6[[#This Row],[Old Table.Column]],Cobra8.6[Table.Column],Cobra8.6[LENGTH],"",0,1)</f>
        <v/>
      </c>
      <c r="AB1096"/>
    </row>
    <row r="1097" spans="1:28" hidden="1" x14ac:dyDescent="0.2">
      <c r="A1097" t="s">
        <v>1599</v>
      </c>
      <c r="B1097" t="s">
        <v>1655</v>
      </c>
      <c r="C1097" t="s">
        <v>1713</v>
      </c>
      <c r="D1097">
        <v>27</v>
      </c>
      <c r="E1097" t="s">
        <v>161</v>
      </c>
      <c r="F1097" t="str">
        <f>VLOOKUP($E1097,'Data Type Lookup'!$A$1:$C$21,2,FALSE)</f>
        <v>NUMBER(21,6)</v>
      </c>
      <c r="J1097" s="32">
        <v>0</v>
      </c>
      <c r="P1097" t="s">
        <v>1707</v>
      </c>
      <c r="Q1097" t="s">
        <v>1714</v>
      </c>
      <c r="R1097" t="str">
        <f>VLOOKUP(E1097,'Data Type Lookup'!$A$1:$C$21,3,FALSE)</f>
        <v>java.math.BigDecimal</v>
      </c>
      <c r="W1097" t="str">
        <f t="shared" si="25"/>
        <v>USER_FIELD_VALUE.NUMBER4</v>
      </c>
      <c r="X1097" t="str">
        <f>VLOOKUP(W1097,ColumnMapping[New Table.Column],1,)</f>
        <v>USER_FIELD_VALUE.NUMBER4</v>
      </c>
      <c r="Y1097" t="str">
        <f>_xlfn.XLOOKUP(Table6[[#This Row],[Table.Column]],ColumnMapping[Add Column Name],ColumnMapping[Old Table.Column],"",0,1)</f>
        <v/>
      </c>
      <c r="Z1097" t="str">
        <f>_xlfn.XLOOKUP(Table6[[#This Row],[Old Table.Column]],Cobra8.6[Table.Column],Cobra8.6[TYPE],"",0,1)</f>
        <v/>
      </c>
      <c r="AA1097" t="str">
        <f>_xlfn.XLOOKUP(Table6[[#This Row],[Old Table.Column]],Cobra8.6[Table.Column],Cobra8.6[LENGTH],"",0,1)</f>
        <v/>
      </c>
      <c r="AB1097"/>
    </row>
    <row r="1098" spans="1:28" hidden="1" x14ac:dyDescent="0.2">
      <c r="A1098" t="s">
        <v>1599</v>
      </c>
      <c r="B1098" t="s">
        <v>1655</v>
      </c>
      <c r="C1098" t="s">
        <v>1715</v>
      </c>
      <c r="D1098">
        <v>28</v>
      </c>
      <c r="E1098" t="s">
        <v>161</v>
      </c>
      <c r="F1098" t="str">
        <f>VLOOKUP($E1098,'Data Type Lookup'!$A$1:$C$21,2,FALSE)</f>
        <v>NUMBER(21,6)</v>
      </c>
      <c r="J1098" s="32">
        <v>0</v>
      </c>
      <c r="P1098" t="s">
        <v>1707</v>
      </c>
      <c r="Q1098" t="s">
        <v>1716</v>
      </c>
      <c r="R1098" t="str">
        <f>VLOOKUP(E1098,'Data Type Lookup'!$A$1:$C$21,3,FALSE)</f>
        <v>java.math.BigDecimal</v>
      </c>
      <c r="W1098" t="str">
        <f t="shared" si="25"/>
        <v>USER_FIELD_VALUE.NUMBER5</v>
      </c>
      <c r="X1098" t="str">
        <f>VLOOKUP(W1098,ColumnMapping[New Table.Column],1,)</f>
        <v>USER_FIELD_VALUE.NUMBER5</v>
      </c>
      <c r="Y1098" t="str">
        <f>_xlfn.XLOOKUP(Table6[[#This Row],[Table.Column]],ColumnMapping[Add Column Name],ColumnMapping[Old Table.Column],"",0,1)</f>
        <v/>
      </c>
      <c r="Z1098" t="str">
        <f>_xlfn.XLOOKUP(Table6[[#This Row],[Old Table.Column]],Cobra8.6[Table.Column],Cobra8.6[TYPE],"",0,1)</f>
        <v/>
      </c>
      <c r="AA1098" t="str">
        <f>_xlfn.XLOOKUP(Table6[[#This Row],[Old Table.Column]],Cobra8.6[Table.Column],Cobra8.6[LENGTH],"",0,1)</f>
        <v/>
      </c>
      <c r="AB1098"/>
    </row>
    <row r="1099" spans="1:28" hidden="1" x14ac:dyDescent="0.2">
      <c r="A1099" t="s">
        <v>1599</v>
      </c>
      <c r="B1099" t="s">
        <v>1655</v>
      </c>
      <c r="C1099" t="s">
        <v>1717</v>
      </c>
      <c r="D1099">
        <v>29</v>
      </c>
      <c r="E1099" t="s">
        <v>161</v>
      </c>
      <c r="F1099" t="str">
        <f>VLOOKUP($E1099,'Data Type Lookup'!$A$1:$C$21,2,FALSE)</f>
        <v>NUMBER(21,6)</v>
      </c>
      <c r="J1099" s="32">
        <v>0</v>
      </c>
      <c r="P1099" t="s">
        <v>1707</v>
      </c>
      <c r="Q1099" t="s">
        <v>1718</v>
      </c>
      <c r="R1099" t="str">
        <f>VLOOKUP(E1099,'Data Type Lookup'!$A$1:$C$21,3,FALSE)</f>
        <v>java.math.BigDecimal</v>
      </c>
      <c r="W1099" t="str">
        <f t="shared" si="25"/>
        <v>USER_FIELD_VALUE.NUMBER6</v>
      </c>
      <c r="X1099" t="e">
        <f>VLOOKUP(W1099,ColumnMapping[New Table.Column],1,)</f>
        <v>#N/A</v>
      </c>
      <c r="Y1099" t="str">
        <f>_xlfn.XLOOKUP(Table6[[#This Row],[Table.Column]],ColumnMapping[Add Column Name],ColumnMapping[Old Table.Column],"",0,1)</f>
        <v/>
      </c>
      <c r="Z1099" t="str">
        <f>_xlfn.XLOOKUP(Table6[[#This Row],[Old Table.Column]],Cobra8.6[Table.Column],Cobra8.6[TYPE],"",0,1)</f>
        <v/>
      </c>
      <c r="AA1099" t="str">
        <f>_xlfn.XLOOKUP(Table6[[#This Row],[Old Table.Column]],Cobra8.6[Table.Column],Cobra8.6[LENGTH],"",0,1)</f>
        <v/>
      </c>
      <c r="AB1099"/>
    </row>
    <row r="1100" spans="1:28" hidden="1" x14ac:dyDescent="0.2">
      <c r="A1100" t="s">
        <v>1599</v>
      </c>
      <c r="B1100" t="s">
        <v>1655</v>
      </c>
      <c r="C1100" t="s">
        <v>1719</v>
      </c>
      <c r="D1100">
        <v>30</v>
      </c>
      <c r="E1100" t="s">
        <v>161</v>
      </c>
      <c r="F1100" t="str">
        <f>VLOOKUP($E1100,'Data Type Lookup'!$A$1:$C$21,2,FALSE)</f>
        <v>NUMBER(21,6)</v>
      </c>
      <c r="J1100" s="32">
        <v>0</v>
      </c>
      <c r="P1100" t="s">
        <v>1707</v>
      </c>
      <c r="Q1100" t="s">
        <v>1720</v>
      </c>
      <c r="R1100" t="str">
        <f>VLOOKUP(E1100,'Data Type Lookup'!$A$1:$C$21,3,FALSE)</f>
        <v>java.math.BigDecimal</v>
      </c>
      <c r="W1100" t="str">
        <f t="shared" si="25"/>
        <v>USER_FIELD_VALUE.NUMBER7</v>
      </c>
      <c r="X1100" t="e">
        <f>VLOOKUP(W1100,ColumnMapping[New Table.Column],1,)</f>
        <v>#N/A</v>
      </c>
      <c r="Y1100" t="str">
        <f>_xlfn.XLOOKUP(Table6[[#This Row],[Table.Column]],ColumnMapping[Add Column Name],ColumnMapping[Old Table.Column],"",0,1)</f>
        <v/>
      </c>
      <c r="Z1100" t="str">
        <f>_xlfn.XLOOKUP(Table6[[#This Row],[Old Table.Column]],Cobra8.6[Table.Column],Cobra8.6[TYPE],"",0,1)</f>
        <v/>
      </c>
      <c r="AA1100" t="str">
        <f>_xlfn.XLOOKUP(Table6[[#This Row],[Old Table.Column]],Cobra8.6[Table.Column],Cobra8.6[LENGTH],"",0,1)</f>
        <v/>
      </c>
      <c r="AB1100"/>
    </row>
    <row r="1101" spans="1:28" hidden="1" x14ac:dyDescent="0.2">
      <c r="A1101" t="s">
        <v>1599</v>
      </c>
      <c r="B1101" t="s">
        <v>1655</v>
      </c>
      <c r="C1101" t="s">
        <v>1721</v>
      </c>
      <c r="D1101">
        <v>31</v>
      </c>
      <c r="E1101" t="s">
        <v>161</v>
      </c>
      <c r="F1101" t="str">
        <f>VLOOKUP($E1101,'Data Type Lookup'!$A$1:$C$21,2,FALSE)</f>
        <v>NUMBER(21,6)</v>
      </c>
      <c r="J1101" s="32">
        <v>0</v>
      </c>
      <c r="P1101" t="s">
        <v>1707</v>
      </c>
      <c r="Q1101" t="s">
        <v>1722</v>
      </c>
      <c r="R1101" t="str">
        <f>VLOOKUP(E1101,'Data Type Lookup'!$A$1:$C$21,3,FALSE)</f>
        <v>java.math.BigDecimal</v>
      </c>
      <c r="W1101" t="str">
        <f t="shared" ref="W1101:W1169" si="26">_xlfn.CONCAT(B1101,".",C1101)</f>
        <v>USER_FIELD_VALUE.NUMBER8</v>
      </c>
      <c r="X1101" t="e">
        <f>VLOOKUP(W1101,ColumnMapping[New Table.Column],1,)</f>
        <v>#N/A</v>
      </c>
      <c r="Y1101" t="str">
        <f>_xlfn.XLOOKUP(Table6[[#This Row],[Table.Column]],ColumnMapping[Add Column Name],ColumnMapping[Old Table.Column],"",0,1)</f>
        <v/>
      </c>
      <c r="Z1101" t="str">
        <f>_xlfn.XLOOKUP(Table6[[#This Row],[Old Table.Column]],Cobra8.6[Table.Column],Cobra8.6[TYPE],"",0,1)</f>
        <v/>
      </c>
      <c r="AA1101" t="str">
        <f>_xlfn.XLOOKUP(Table6[[#This Row],[Old Table.Column]],Cobra8.6[Table.Column],Cobra8.6[LENGTH],"",0,1)</f>
        <v/>
      </c>
      <c r="AB1101"/>
    </row>
    <row r="1102" spans="1:28" hidden="1" x14ac:dyDescent="0.2">
      <c r="A1102" t="s">
        <v>1599</v>
      </c>
      <c r="B1102" t="s">
        <v>1655</v>
      </c>
      <c r="C1102" t="s">
        <v>1723</v>
      </c>
      <c r="D1102">
        <v>32</v>
      </c>
      <c r="E1102" t="s">
        <v>161</v>
      </c>
      <c r="F1102" t="str">
        <f>VLOOKUP($E1102,'Data Type Lookup'!$A$1:$C$21,2,FALSE)</f>
        <v>NUMBER(21,6)</v>
      </c>
      <c r="J1102" s="32">
        <v>0</v>
      </c>
      <c r="P1102" t="s">
        <v>1707</v>
      </c>
      <c r="Q1102" t="s">
        <v>1724</v>
      </c>
      <c r="R1102" t="str">
        <f>VLOOKUP(E1102,'Data Type Lookup'!$A$1:$C$21,3,FALSE)</f>
        <v>java.math.BigDecimal</v>
      </c>
      <c r="W1102" t="str">
        <f t="shared" si="26"/>
        <v>USER_FIELD_VALUE.NUMBER9</v>
      </c>
      <c r="X1102" t="e">
        <f>VLOOKUP(W1102,ColumnMapping[New Table.Column],1,)</f>
        <v>#N/A</v>
      </c>
      <c r="Y1102" t="str">
        <f>_xlfn.XLOOKUP(Table6[[#This Row],[Table.Column]],ColumnMapping[Add Column Name],ColumnMapping[Old Table.Column],"",0,1)</f>
        <v/>
      </c>
      <c r="Z1102" t="str">
        <f>_xlfn.XLOOKUP(Table6[[#This Row],[Old Table.Column]],Cobra8.6[Table.Column],Cobra8.6[TYPE],"",0,1)</f>
        <v/>
      </c>
      <c r="AA1102" t="str">
        <f>_xlfn.XLOOKUP(Table6[[#This Row],[Old Table.Column]],Cobra8.6[Table.Column],Cobra8.6[LENGTH],"",0,1)</f>
        <v/>
      </c>
      <c r="AB1102"/>
    </row>
    <row r="1103" spans="1:28" hidden="1" x14ac:dyDescent="0.2">
      <c r="A1103" t="s">
        <v>1599</v>
      </c>
      <c r="B1103" t="s">
        <v>1655</v>
      </c>
      <c r="C1103" t="s">
        <v>1725</v>
      </c>
      <c r="D1103">
        <v>33</v>
      </c>
      <c r="E1103" t="s">
        <v>161</v>
      </c>
      <c r="F1103" t="str">
        <f>VLOOKUP($E1103,'Data Type Lookup'!$A$1:$C$21,2,FALSE)</f>
        <v>NUMBER(21,6)</v>
      </c>
      <c r="J1103" s="32">
        <v>0</v>
      </c>
      <c r="P1103" t="s">
        <v>1707</v>
      </c>
      <c r="Q1103" t="s">
        <v>1726</v>
      </c>
      <c r="R1103" t="str">
        <f>VLOOKUP(E1103,'Data Type Lookup'!$A$1:$C$21,3,FALSE)</f>
        <v>java.math.BigDecimal</v>
      </c>
      <c r="W1103" t="str">
        <f t="shared" si="26"/>
        <v>USER_FIELD_VALUE.NUMBER10</v>
      </c>
      <c r="X1103" t="e">
        <f>VLOOKUP(W1103,ColumnMapping[New Table.Column],1,)</f>
        <v>#N/A</v>
      </c>
      <c r="Y1103" t="str">
        <f>_xlfn.XLOOKUP(Table6[[#This Row],[Table.Column]],ColumnMapping[Add Column Name],ColumnMapping[Old Table.Column],"",0,1)</f>
        <v/>
      </c>
      <c r="Z1103" t="str">
        <f>_xlfn.XLOOKUP(Table6[[#This Row],[Old Table.Column]],Cobra8.6[Table.Column],Cobra8.6[TYPE],"",0,1)</f>
        <v/>
      </c>
      <c r="AA1103" t="str">
        <f>_xlfn.XLOOKUP(Table6[[#This Row],[Old Table.Column]],Cobra8.6[Table.Column],Cobra8.6[LENGTH],"",0,1)</f>
        <v/>
      </c>
      <c r="AB1103"/>
    </row>
    <row r="1104" spans="1:28" hidden="1" x14ac:dyDescent="0.2">
      <c r="A1104" t="s">
        <v>1599</v>
      </c>
      <c r="B1104" t="s">
        <v>1655</v>
      </c>
      <c r="C1104" t="s">
        <v>1727</v>
      </c>
      <c r="D1104">
        <v>34</v>
      </c>
      <c r="E1104" t="s">
        <v>161</v>
      </c>
      <c r="F1104" t="str">
        <f>VLOOKUP($E1104,'Data Type Lookup'!$A$1:$C$21,2,FALSE)</f>
        <v>NUMBER(21,6)</v>
      </c>
      <c r="J1104" s="32">
        <v>0</v>
      </c>
      <c r="P1104" t="s">
        <v>1707</v>
      </c>
      <c r="Q1104" t="s">
        <v>1728</v>
      </c>
      <c r="R1104" t="str">
        <f>VLOOKUP(E1104,'Data Type Lookup'!$A$1:$C$21,3,FALSE)</f>
        <v>java.math.BigDecimal</v>
      </c>
      <c r="W1104" t="str">
        <f t="shared" si="26"/>
        <v>USER_FIELD_VALUE.NUMBER11</v>
      </c>
      <c r="X1104" t="e">
        <f>VLOOKUP(W1104,ColumnMapping[New Table.Column],1,)</f>
        <v>#N/A</v>
      </c>
      <c r="Y1104" t="str">
        <f>_xlfn.XLOOKUP(Table6[[#This Row],[Table.Column]],ColumnMapping[Add Column Name],ColumnMapping[Old Table.Column],"",0,1)</f>
        <v/>
      </c>
      <c r="Z1104" t="str">
        <f>_xlfn.XLOOKUP(Table6[[#This Row],[Old Table.Column]],Cobra8.6[Table.Column],Cobra8.6[TYPE],"",0,1)</f>
        <v/>
      </c>
      <c r="AA1104" t="str">
        <f>_xlfn.XLOOKUP(Table6[[#This Row],[Old Table.Column]],Cobra8.6[Table.Column],Cobra8.6[LENGTH],"",0,1)</f>
        <v/>
      </c>
      <c r="AB1104"/>
    </row>
    <row r="1105" spans="1:28" hidden="1" x14ac:dyDescent="0.2">
      <c r="A1105" t="s">
        <v>1599</v>
      </c>
      <c r="B1105" t="s">
        <v>1655</v>
      </c>
      <c r="C1105" t="s">
        <v>1729</v>
      </c>
      <c r="D1105">
        <v>35</v>
      </c>
      <c r="E1105" t="s">
        <v>161</v>
      </c>
      <c r="F1105" t="str">
        <f>VLOOKUP($E1105,'Data Type Lookup'!$A$1:$C$21,2,FALSE)</f>
        <v>NUMBER(21,6)</v>
      </c>
      <c r="J1105" s="32">
        <v>0</v>
      </c>
      <c r="P1105" t="s">
        <v>1707</v>
      </c>
      <c r="Q1105" t="s">
        <v>1730</v>
      </c>
      <c r="R1105" t="str">
        <f>VLOOKUP(E1105,'Data Type Lookup'!$A$1:$C$21,3,FALSE)</f>
        <v>java.math.BigDecimal</v>
      </c>
      <c r="W1105" t="str">
        <f t="shared" si="26"/>
        <v>USER_FIELD_VALUE.NUMBER12</v>
      </c>
      <c r="X1105" t="e">
        <f>VLOOKUP(W1105,ColumnMapping[New Table.Column],1,)</f>
        <v>#N/A</v>
      </c>
      <c r="Y1105" t="str">
        <f>_xlfn.XLOOKUP(Table6[[#This Row],[Table.Column]],ColumnMapping[Add Column Name],ColumnMapping[Old Table.Column],"",0,1)</f>
        <v/>
      </c>
      <c r="Z1105" t="str">
        <f>_xlfn.XLOOKUP(Table6[[#This Row],[Old Table.Column]],Cobra8.6[Table.Column],Cobra8.6[TYPE],"",0,1)</f>
        <v/>
      </c>
      <c r="AA1105" t="str">
        <f>_xlfn.XLOOKUP(Table6[[#This Row],[Old Table.Column]],Cobra8.6[Table.Column],Cobra8.6[LENGTH],"",0,1)</f>
        <v/>
      </c>
      <c r="AB1105"/>
    </row>
    <row r="1106" spans="1:28" hidden="1" x14ac:dyDescent="0.2">
      <c r="A1106" t="s">
        <v>1599</v>
      </c>
      <c r="B1106" t="s">
        <v>1655</v>
      </c>
      <c r="C1106" t="s">
        <v>1731</v>
      </c>
      <c r="D1106">
        <v>36</v>
      </c>
      <c r="E1106" t="s">
        <v>161</v>
      </c>
      <c r="F1106" t="str">
        <f>VLOOKUP($E1106,'Data Type Lookup'!$A$1:$C$21,2,FALSE)</f>
        <v>NUMBER(21,6)</v>
      </c>
      <c r="J1106" s="32">
        <v>0</v>
      </c>
      <c r="P1106" t="s">
        <v>1707</v>
      </c>
      <c r="Q1106" t="s">
        <v>1732</v>
      </c>
      <c r="R1106" t="str">
        <f>VLOOKUP(E1106,'Data Type Lookup'!$A$1:$C$21,3,FALSE)</f>
        <v>java.math.BigDecimal</v>
      </c>
      <c r="W1106" t="str">
        <f t="shared" si="26"/>
        <v>USER_FIELD_VALUE.NUMBER13</v>
      </c>
      <c r="X1106" t="e">
        <f>VLOOKUP(W1106,ColumnMapping[New Table.Column],1,)</f>
        <v>#N/A</v>
      </c>
      <c r="Y1106" t="str">
        <f>_xlfn.XLOOKUP(Table6[[#This Row],[Table.Column]],ColumnMapping[Add Column Name],ColumnMapping[Old Table.Column],"",0,1)</f>
        <v/>
      </c>
      <c r="Z1106" t="str">
        <f>_xlfn.XLOOKUP(Table6[[#This Row],[Old Table.Column]],Cobra8.6[Table.Column],Cobra8.6[TYPE],"",0,1)</f>
        <v/>
      </c>
      <c r="AA1106" t="str">
        <f>_xlfn.XLOOKUP(Table6[[#This Row],[Old Table.Column]],Cobra8.6[Table.Column],Cobra8.6[LENGTH],"",0,1)</f>
        <v/>
      </c>
      <c r="AB1106"/>
    </row>
    <row r="1107" spans="1:28" hidden="1" x14ac:dyDescent="0.2">
      <c r="A1107" t="s">
        <v>1599</v>
      </c>
      <c r="B1107" t="s">
        <v>1655</v>
      </c>
      <c r="C1107" t="s">
        <v>1733</v>
      </c>
      <c r="D1107">
        <v>37</v>
      </c>
      <c r="E1107" t="s">
        <v>161</v>
      </c>
      <c r="F1107" t="str">
        <f>VLOOKUP($E1107,'Data Type Lookup'!$A$1:$C$21,2,FALSE)</f>
        <v>NUMBER(21,6)</v>
      </c>
      <c r="J1107" s="32">
        <v>0</v>
      </c>
      <c r="P1107" t="s">
        <v>1707</v>
      </c>
      <c r="Q1107" t="s">
        <v>1734</v>
      </c>
      <c r="R1107" t="str">
        <f>VLOOKUP(E1107,'Data Type Lookup'!$A$1:$C$21,3,FALSE)</f>
        <v>java.math.BigDecimal</v>
      </c>
      <c r="W1107" t="str">
        <f t="shared" si="26"/>
        <v>USER_FIELD_VALUE.NUMBER14</v>
      </c>
      <c r="X1107" t="e">
        <f>VLOOKUP(W1107,ColumnMapping[New Table.Column],1,)</f>
        <v>#N/A</v>
      </c>
      <c r="Y1107" t="str">
        <f>_xlfn.XLOOKUP(Table6[[#This Row],[Table.Column]],ColumnMapping[Add Column Name],ColumnMapping[Old Table.Column],"",0,1)</f>
        <v/>
      </c>
      <c r="Z1107" t="str">
        <f>_xlfn.XLOOKUP(Table6[[#This Row],[Old Table.Column]],Cobra8.6[Table.Column],Cobra8.6[TYPE],"",0,1)</f>
        <v/>
      </c>
      <c r="AA1107" t="str">
        <f>_xlfn.XLOOKUP(Table6[[#This Row],[Old Table.Column]],Cobra8.6[Table.Column],Cobra8.6[LENGTH],"",0,1)</f>
        <v/>
      </c>
      <c r="AB1107"/>
    </row>
    <row r="1108" spans="1:28" hidden="1" x14ac:dyDescent="0.2">
      <c r="A1108" t="s">
        <v>1599</v>
      </c>
      <c r="B1108" t="s">
        <v>1655</v>
      </c>
      <c r="C1108" t="s">
        <v>1735</v>
      </c>
      <c r="D1108">
        <v>38</v>
      </c>
      <c r="E1108" t="s">
        <v>161</v>
      </c>
      <c r="F1108" t="str">
        <f>VLOOKUP($E1108,'Data Type Lookup'!$A$1:$C$21,2,FALSE)</f>
        <v>NUMBER(21,6)</v>
      </c>
      <c r="J1108" s="32">
        <v>0</v>
      </c>
      <c r="P1108" t="s">
        <v>1707</v>
      </c>
      <c r="Q1108" t="s">
        <v>1736</v>
      </c>
      <c r="R1108" t="str">
        <f>VLOOKUP(E1108,'Data Type Lookup'!$A$1:$C$21,3,FALSE)</f>
        <v>java.math.BigDecimal</v>
      </c>
      <c r="W1108" t="str">
        <f t="shared" si="26"/>
        <v>USER_FIELD_VALUE.NUMBER15</v>
      </c>
      <c r="X1108" t="e">
        <f>VLOOKUP(W1108,ColumnMapping[New Table.Column],1,)</f>
        <v>#N/A</v>
      </c>
      <c r="Y1108" t="str">
        <f>_xlfn.XLOOKUP(Table6[[#This Row],[Table.Column]],ColumnMapping[Add Column Name],ColumnMapping[Old Table.Column],"",0,1)</f>
        <v/>
      </c>
      <c r="Z1108" t="str">
        <f>_xlfn.XLOOKUP(Table6[[#This Row],[Old Table.Column]],Cobra8.6[Table.Column],Cobra8.6[TYPE],"",0,1)</f>
        <v/>
      </c>
      <c r="AA1108" t="str">
        <f>_xlfn.XLOOKUP(Table6[[#This Row],[Old Table.Column]],Cobra8.6[Table.Column],Cobra8.6[LENGTH],"",0,1)</f>
        <v/>
      </c>
      <c r="AB1108"/>
    </row>
    <row r="1109" spans="1:28" hidden="1" x14ac:dyDescent="0.2">
      <c r="A1109" t="s">
        <v>1599</v>
      </c>
      <c r="B1109" t="s">
        <v>1655</v>
      </c>
      <c r="C1109" t="s">
        <v>1737</v>
      </c>
      <c r="D1109">
        <v>39</v>
      </c>
      <c r="E1109" t="s">
        <v>161</v>
      </c>
      <c r="F1109" t="str">
        <f>VLOOKUP($E1109,'Data Type Lookup'!$A$1:$C$21,2,FALSE)</f>
        <v>NUMBER(21,6)</v>
      </c>
      <c r="J1109" s="32">
        <v>0</v>
      </c>
      <c r="P1109" t="s">
        <v>1707</v>
      </c>
      <c r="Q1109" t="s">
        <v>1738</v>
      </c>
      <c r="R1109" t="str">
        <f>VLOOKUP(E1109,'Data Type Lookup'!$A$1:$C$21,3,FALSE)</f>
        <v>java.math.BigDecimal</v>
      </c>
      <c r="W1109" t="str">
        <f t="shared" si="26"/>
        <v>USER_FIELD_VALUE.NUMBER16</v>
      </c>
      <c r="X1109" t="e">
        <f>VLOOKUP(W1109,ColumnMapping[New Table.Column],1,)</f>
        <v>#N/A</v>
      </c>
      <c r="Y1109" t="str">
        <f>_xlfn.XLOOKUP(Table6[[#This Row],[Table.Column]],ColumnMapping[Add Column Name],ColumnMapping[Old Table.Column],"",0,1)</f>
        <v/>
      </c>
      <c r="Z1109" t="str">
        <f>_xlfn.XLOOKUP(Table6[[#This Row],[Old Table.Column]],Cobra8.6[Table.Column],Cobra8.6[TYPE],"",0,1)</f>
        <v/>
      </c>
      <c r="AA1109" t="str">
        <f>_xlfn.XLOOKUP(Table6[[#This Row],[Old Table.Column]],Cobra8.6[Table.Column],Cobra8.6[LENGTH],"",0,1)</f>
        <v/>
      </c>
      <c r="AB1109"/>
    </row>
    <row r="1110" spans="1:28" hidden="1" x14ac:dyDescent="0.2">
      <c r="A1110" t="s">
        <v>1599</v>
      </c>
      <c r="B1110" t="s">
        <v>1655</v>
      </c>
      <c r="C1110" t="s">
        <v>1739</v>
      </c>
      <c r="D1110">
        <v>40</v>
      </c>
      <c r="E1110" t="s">
        <v>161</v>
      </c>
      <c r="F1110" t="str">
        <f>VLOOKUP($E1110,'Data Type Lookup'!$A$1:$C$21,2,FALSE)</f>
        <v>NUMBER(21,6)</v>
      </c>
      <c r="J1110" s="32">
        <v>0</v>
      </c>
      <c r="P1110" t="s">
        <v>1707</v>
      </c>
      <c r="Q1110" t="s">
        <v>1740</v>
      </c>
      <c r="R1110" t="str">
        <f>VLOOKUP(E1110,'Data Type Lookup'!$A$1:$C$21,3,FALSE)</f>
        <v>java.math.BigDecimal</v>
      </c>
      <c r="W1110" t="str">
        <f t="shared" si="26"/>
        <v>USER_FIELD_VALUE.NUMBER17</v>
      </c>
      <c r="X1110" t="e">
        <f>VLOOKUP(W1110,ColumnMapping[New Table.Column],1,)</f>
        <v>#N/A</v>
      </c>
      <c r="Y1110" t="str">
        <f>_xlfn.XLOOKUP(Table6[[#This Row],[Table.Column]],ColumnMapping[Add Column Name],ColumnMapping[Old Table.Column],"",0,1)</f>
        <v/>
      </c>
      <c r="Z1110" t="str">
        <f>_xlfn.XLOOKUP(Table6[[#This Row],[Old Table.Column]],Cobra8.6[Table.Column],Cobra8.6[TYPE],"",0,1)</f>
        <v/>
      </c>
      <c r="AA1110" t="str">
        <f>_xlfn.XLOOKUP(Table6[[#This Row],[Old Table.Column]],Cobra8.6[Table.Column],Cobra8.6[LENGTH],"",0,1)</f>
        <v/>
      </c>
      <c r="AB1110"/>
    </row>
    <row r="1111" spans="1:28" hidden="1" x14ac:dyDescent="0.2">
      <c r="A1111" t="s">
        <v>1599</v>
      </c>
      <c r="B1111" t="s">
        <v>1655</v>
      </c>
      <c r="C1111" t="s">
        <v>1741</v>
      </c>
      <c r="D1111">
        <v>41</v>
      </c>
      <c r="E1111" t="s">
        <v>161</v>
      </c>
      <c r="F1111" t="str">
        <f>VLOOKUP($E1111,'Data Type Lookup'!$A$1:$C$21,2,FALSE)</f>
        <v>NUMBER(21,6)</v>
      </c>
      <c r="J1111" s="32">
        <v>0</v>
      </c>
      <c r="P1111" t="s">
        <v>1707</v>
      </c>
      <c r="Q1111" t="s">
        <v>1742</v>
      </c>
      <c r="R1111" t="str">
        <f>VLOOKUP(E1111,'Data Type Lookup'!$A$1:$C$21,3,FALSE)</f>
        <v>java.math.BigDecimal</v>
      </c>
      <c r="W1111" t="str">
        <f t="shared" si="26"/>
        <v>USER_FIELD_VALUE.NUMBER18</v>
      </c>
      <c r="X1111" t="e">
        <f>VLOOKUP(W1111,ColumnMapping[New Table.Column],1,)</f>
        <v>#N/A</v>
      </c>
      <c r="Y1111" t="str">
        <f>_xlfn.XLOOKUP(Table6[[#This Row],[Table.Column]],ColumnMapping[Add Column Name],ColumnMapping[Old Table.Column],"",0,1)</f>
        <v/>
      </c>
      <c r="Z1111" t="str">
        <f>_xlfn.XLOOKUP(Table6[[#This Row],[Old Table.Column]],Cobra8.6[Table.Column],Cobra8.6[TYPE],"",0,1)</f>
        <v/>
      </c>
      <c r="AA1111" t="str">
        <f>_xlfn.XLOOKUP(Table6[[#This Row],[Old Table.Column]],Cobra8.6[Table.Column],Cobra8.6[LENGTH],"",0,1)</f>
        <v/>
      </c>
      <c r="AB1111"/>
    </row>
    <row r="1112" spans="1:28" hidden="1" x14ac:dyDescent="0.2">
      <c r="A1112" t="s">
        <v>1599</v>
      </c>
      <c r="B1112" t="s">
        <v>1655</v>
      </c>
      <c r="C1112" t="s">
        <v>1743</v>
      </c>
      <c r="D1112">
        <v>42</v>
      </c>
      <c r="E1112" t="s">
        <v>161</v>
      </c>
      <c r="F1112" t="str">
        <f>VLOOKUP($E1112,'Data Type Lookup'!$A$1:$C$21,2,FALSE)</f>
        <v>NUMBER(21,6)</v>
      </c>
      <c r="J1112" s="32">
        <v>0</v>
      </c>
      <c r="P1112" t="s">
        <v>1707</v>
      </c>
      <c r="Q1112" t="s">
        <v>1744</v>
      </c>
      <c r="R1112" t="str">
        <f>VLOOKUP(E1112,'Data Type Lookup'!$A$1:$C$21,3,FALSE)</f>
        <v>java.math.BigDecimal</v>
      </c>
      <c r="W1112" t="str">
        <f t="shared" si="26"/>
        <v>USER_FIELD_VALUE.NUMBER19</v>
      </c>
      <c r="X1112" t="e">
        <f>VLOOKUP(W1112,ColumnMapping[New Table.Column],1,)</f>
        <v>#N/A</v>
      </c>
      <c r="Y1112" t="str">
        <f>_xlfn.XLOOKUP(Table6[[#This Row],[Table.Column]],ColumnMapping[Add Column Name],ColumnMapping[Old Table.Column],"",0,1)</f>
        <v/>
      </c>
      <c r="Z1112" t="str">
        <f>_xlfn.XLOOKUP(Table6[[#This Row],[Old Table.Column]],Cobra8.6[Table.Column],Cobra8.6[TYPE],"",0,1)</f>
        <v/>
      </c>
      <c r="AA1112" t="str">
        <f>_xlfn.XLOOKUP(Table6[[#This Row],[Old Table.Column]],Cobra8.6[Table.Column],Cobra8.6[LENGTH],"",0,1)</f>
        <v/>
      </c>
      <c r="AB1112"/>
    </row>
    <row r="1113" spans="1:28" hidden="1" x14ac:dyDescent="0.2">
      <c r="A1113" t="s">
        <v>1599</v>
      </c>
      <c r="B1113" t="s">
        <v>1655</v>
      </c>
      <c r="C1113" t="s">
        <v>1745</v>
      </c>
      <c r="D1113">
        <v>43</v>
      </c>
      <c r="E1113" t="s">
        <v>161</v>
      </c>
      <c r="F1113" t="str">
        <f>VLOOKUP($E1113,'Data Type Lookup'!$A$1:$C$21,2,FALSE)</f>
        <v>NUMBER(21,6)</v>
      </c>
      <c r="J1113" s="32">
        <v>0</v>
      </c>
      <c r="P1113" t="s">
        <v>1707</v>
      </c>
      <c r="Q1113" t="s">
        <v>1746</v>
      </c>
      <c r="R1113" t="str">
        <f>VLOOKUP(E1113,'Data Type Lookup'!$A$1:$C$21,3,FALSE)</f>
        <v>java.math.BigDecimal</v>
      </c>
      <c r="W1113" t="str">
        <f t="shared" si="26"/>
        <v>USER_FIELD_VALUE.NUMBER20</v>
      </c>
      <c r="X1113" t="e">
        <f>VLOOKUP(W1113,ColumnMapping[New Table.Column],1,)</f>
        <v>#N/A</v>
      </c>
      <c r="Y1113" t="str">
        <f>_xlfn.XLOOKUP(Table6[[#This Row],[Table.Column]],ColumnMapping[Add Column Name],ColumnMapping[Old Table.Column],"",0,1)</f>
        <v/>
      </c>
      <c r="Z1113" t="str">
        <f>_xlfn.XLOOKUP(Table6[[#This Row],[Old Table.Column]],Cobra8.6[Table.Column],Cobra8.6[TYPE],"",0,1)</f>
        <v/>
      </c>
      <c r="AA1113" t="str">
        <f>_xlfn.XLOOKUP(Table6[[#This Row],[Old Table.Column]],Cobra8.6[Table.Column],Cobra8.6[LENGTH],"",0,1)</f>
        <v/>
      </c>
      <c r="AB1113"/>
    </row>
    <row r="1114" spans="1:28" hidden="1" x14ac:dyDescent="0.2">
      <c r="A1114" t="s">
        <v>1599</v>
      </c>
      <c r="B1114" t="s">
        <v>1655</v>
      </c>
      <c r="C1114" t="s">
        <v>1747</v>
      </c>
      <c r="D1114">
        <v>44</v>
      </c>
      <c r="E1114" t="s">
        <v>48</v>
      </c>
      <c r="F1114" t="str">
        <f>VLOOKUP($E1114,'Data Type Lookup'!$A$1:$C$21,2,FALSE)</f>
        <v>NVARCHAR2</v>
      </c>
      <c r="G1114">
        <v>256</v>
      </c>
      <c r="P1114" t="s">
        <v>1748</v>
      </c>
      <c r="Q1114" t="s">
        <v>1749</v>
      </c>
      <c r="R1114" t="str">
        <f>VLOOKUP(E1114,'Data Type Lookup'!$A$1:$C$21,3,FALSE)</f>
        <v>String</v>
      </c>
      <c r="W1114" t="str">
        <f t="shared" si="26"/>
        <v>USER_FIELD_VALUE.TEXT1</v>
      </c>
      <c r="X1114" t="str">
        <f>VLOOKUP(W1114,ColumnMapping[New Table.Column],1,)</f>
        <v>USER_FIELD_VALUE.TEXT1</v>
      </c>
      <c r="Y1114" t="str">
        <f>_xlfn.XLOOKUP(Table6[[#This Row],[Table.Column]],ColumnMapping[Add Column Name],ColumnMapping[Old Table.Column],"",0,1)</f>
        <v/>
      </c>
      <c r="Z1114" t="str">
        <f>_xlfn.XLOOKUP(Table6[[#This Row],[Old Table.Column]],Cobra8.6[Table.Column],Cobra8.6[TYPE],"",0,1)</f>
        <v/>
      </c>
      <c r="AA1114" t="str">
        <f>_xlfn.XLOOKUP(Table6[[#This Row],[Old Table.Column]],Cobra8.6[Table.Column],Cobra8.6[LENGTH],"",0,1)</f>
        <v/>
      </c>
      <c r="AB1114"/>
    </row>
    <row r="1115" spans="1:28" hidden="1" x14ac:dyDescent="0.2">
      <c r="A1115" t="s">
        <v>1599</v>
      </c>
      <c r="B1115" t="s">
        <v>1655</v>
      </c>
      <c r="C1115" t="s">
        <v>1750</v>
      </c>
      <c r="D1115">
        <v>45</v>
      </c>
      <c r="E1115" t="s">
        <v>48</v>
      </c>
      <c r="F1115" t="str">
        <f>VLOOKUP($E1115,'Data Type Lookup'!$A$1:$C$21,2,FALSE)</f>
        <v>NVARCHAR2</v>
      </c>
      <c r="G1115">
        <v>256</v>
      </c>
      <c r="P1115" t="s">
        <v>1748</v>
      </c>
      <c r="Q1115" t="s">
        <v>1751</v>
      </c>
      <c r="R1115" t="str">
        <f>VLOOKUP(E1115,'Data Type Lookup'!$A$1:$C$21,3,FALSE)</f>
        <v>String</v>
      </c>
      <c r="W1115" t="str">
        <f t="shared" si="26"/>
        <v>USER_FIELD_VALUE.TEXT2</v>
      </c>
      <c r="X1115" t="str">
        <f>VLOOKUP(W1115,ColumnMapping[New Table.Column],1,)</f>
        <v>USER_FIELD_VALUE.TEXT2</v>
      </c>
      <c r="Y1115" t="str">
        <f>_xlfn.XLOOKUP(Table6[[#This Row],[Table.Column]],ColumnMapping[Add Column Name],ColumnMapping[Old Table.Column],"",0,1)</f>
        <v/>
      </c>
      <c r="Z1115" t="str">
        <f>_xlfn.XLOOKUP(Table6[[#This Row],[Old Table.Column]],Cobra8.6[Table.Column],Cobra8.6[TYPE],"",0,1)</f>
        <v/>
      </c>
      <c r="AA1115" t="str">
        <f>_xlfn.XLOOKUP(Table6[[#This Row],[Old Table.Column]],Cobra8.6[Table.Column],Cobra8.6[LENGTH],"",0,1)</f>
        <v/>
      </c>
      <c r="AB1115"/>
    </row>
    <row r="1116" spans="1:28" hidden="1" x14ac:dyDescent="0.2">
      <c r="A1116" t="s">
        <v>1599</v>
      </c>
      <c r="B1116" t="s">
        <v>1655</v>
      </c>
      <c r="C1116" t="s">
        <v>1752</v>
      </c>
      <c r="D1116">
        <v>46</v>
      </c>
      <c r="E1116" t="s">
        <v>48</v>
      </c>
      <c r="F1116" t="str">
        <f>VLOOKUP($E1116,'Data Type Lookup'!$A$1:$C$21,2,FALSE)</f>
        <v>NVARCHAR2</v>
      </c>
      <c r="G1116">
        <v>256</v>
      </c>
      <c r="P1116" t="s">
        <v>1748</v>
      </c>
      <c r="Q1116" t="s">
        <v>1753</v>
      </c>
      <c r="R1116" t="str">
        <f>VLOOKUP(E1116,'Data Type Lookup'!$A$1:$C$21,3,FALSE)</f>
        <v>String</v>
      </c>
      <c r="W1116" t="str">
        <f t="shared" si="26"/>
        <v>USER_FIELD_VALUE.TEXT3</v>
      </c>
      <c r="X1116" t="str">
        <f>VLOOKUP(W1116,ColumnMapping[New Table.Column],1,)</f>
        <v>USER_FIELD_VALUE.TEXT3</v>
      </c>
      <c r="Y1116" t="str">
        <f>_xlfn.XLOOKUP(Table6[[#This Row],[Table.Column]],ColumnMapping[Add Column Name],ColumnMapping[Old Table.Column],"",0,1)</f>
        <v/>
      </c>
      <c r="Z1116" t="str">
        <f>_xlfn.XLOOKUP(Table6[[#This Row],[Old Table.Column]],Cobra8.6[Table.Column],Cobra8.6[TYPE],"",0,1)</f>
        <v/>
      </c>
      <c r="AA1116" t="str">
        <f>_xlfn.XLOOKUP(Table6[[#This Row],[Old Table.Column]],Cobra8.6[Table.Column],Cobra8.6[LENGTH],"",0,1)</f>
        <v/>
      </c>
      <c r="AB1116"/>
    </row>
    <row r="1117" spans="1:28" hidden="1" x14ac:dyDescent="0.2">
      <c r="A1117" t="s">
        <v>1599</v>
      </c>
      <c r="B1117" t="s">
        <v>1655</v>
      </c>
      <c r="C1117" t="s">
        <v>1754</v>
      </c>
      <c r="D1117">
        <v>47</v>
      </c>
      <c r="E1117" t="s">
        <v>48</v>
      </c>
      <c r="F1117" t="str">
        <f>VLOOKUP($E1117,'Data Type Lookup'!$A$1:$C$21,2,FALSE)</f>
        <v>NVARCHAR2</v>
      </c>
      <c r="G1117">
        <v>256</v>
      </c>
      <c r="P1117" t="s">
        <v>1748</v>
      </c>
      <c r="Q1117" t="s">
        <v>1755</v>
      </c>
      <c r="R1117" t="str">
        <f>VLOOKUP(E1117,'Data Type Lookup'!$A$1:$C$21,3,FALSE)</f>
        <v>String</v>
      </c>
      <c r="W1117" t="str">
        <f t="shared" si="26"/>
        <v>USER_FIELD_VALUE.TEXT4</v>
      </c>
      <c r="X1117" t="str">
        <f>VLOOKUP(W1117,ColumnMapping[New Table.Column],1,)</f>
        <v>USER_FIELD_VALUE.TEXT4</v>
      </c>
      <c r="Y1117" t="str">
        <f>_xlfn.XLOOKUP(Table6[[#This Row],[Table.Column]],ColumnMapping[Add Column Name],ColumnMapping[Old Table.Column],"",0,1)</f>
        <v/>
      </c>
      <c r="Z1117" t="str">
        <f>_xlfn.XLOOKUP(Table6[[#This Row],[Old Table.Column]],Cobra8.6[Table.Column],Cobra8.6[TYPE],"",0,1)</f>
        <v/>
      </c>
      <c r="AA1117" t="str">
        <f>_xlfn.XLOOKUP(Table6[[#This Row],[Old Table.Column]],Cobra8.6[Table.Column],Cobra8.6[LENGTH],"",0,1)</f>
        <v/>
      </c>
      <c r="AB1117"/>
    </row>
    <row r="1118" spans="1:28" hidden="1" x14ac:dyDescent="0.2">
      <c r="A1118" t="s">
        <v>1599</v>
      </c>
      <c r="B1118" t="s">
        <v>1655</v>
      </c>
      <c r="C1118" t="s">
        <v>1756</v>
      </c>
      <c r="D1118">
        <v>48</v>
      </c>
      <c r="E1118" t="s">
        <v>48</v>
      </c>
      <c r="F1118" t="str">
        <f>VLOOKUP($E1118,'Data Type Lookup'!$A$1:$C$21,2,FALSE)</f>
        <v>NVARCHAR2</v>
      </c>
      <c r="G1118">
        <v>256</v>
      </c>
      <c r="P1118" t="s">
        <v>1748</v>
      </c>
      <c r="Q1118" t="s">
        <v>1757</v>
      </c>
      <c r="R1118" t="str">
        <f>VLOOKUP(E1118,'Data Type Lookup'!$A$1:$C$21,3,FALSE)</f>
        <v>String</v>
      </c>
      <c r="W1118" t="str">
        <f t="shared" si="26"/>
        <v>USER_FIELD_VALUE.TEXT5</v>
      </c>
      <c r="X1118" t="str">
        <f>VLOOKUP(W1118,ColumnMapping[New Table.Column],1,)</f>
        <v>USER_FIELD_VALUE.TEXT5</v>
      </c>
      <c r="Y1118" t="str">
        <f>_xlfn.XLOOKUP(Table6[[#This Row],[Table.Column]],ColumnMapping[Add Column Name],ColumnMapping[Old Table.Column],"",0,1)</f>
        <v/>
      </c>
      <c r="Z1118" t="str">
        <f>_xlfn.XLOOKUP(Table6[[#This Row],[Old Table.Column]],Cobra8.6[Table.Column],Cobra8.6[TYPE],"",0,1)</f>
        <v/>
      </c>
      <c r="AA1118" t="str">
        <f>_xlfn.XLOOKUP(Table6[[#This Row],[Old Table.Column]],Cobra8.6[Table.Column],Cobra8.6[LENGTH],"",0,1)</f>
        <v/>
      </c>
      <c r="AB1118"/>
    </row>
    <row r="1119" spans="1:28" hidden="1" x14ac:dyDescent="0.2">
      <c r="A1119" t="s">
        <v>1599</v>
      </c>
      <c r="B1119" t="s">
        <v>1655</v>
      </c>
      <c r="C1119" t="s">
        <v>1758</v>
      </c>
      <c r="D1119">
        <v>49</v>
      </c>
      <c r="E1119" t="s">
        <v>48</v>
      </c>
      <c r="F1119" t="str">
        <f>VLOOKUP($E1119,'Data Type Lookup'!$A$1:$C$21,2,FALSE)</f>
        <v>NVARCHAR2</v>
      </c>
      <c r="G1119">
        <v>256</v>
      </c>
      <c r="P1119" t="s">
        <v>1748</v>
      </c>
      <c r="Q1119" t="s">
        <v>1759</v>
      </c>
      <c r="R1119" t="str">
        <f>VLOOKUP(E1119,'Data Type Lookup'!$A$1:$C$21,3,FALSE)</f>
        <v>String</v>
      </c>
      <c r="W1119" t="str">
        <f t="shared" si="26"/>
        <v>USER_FIELD_VALUE.TEXT6</v>
      </c>
      <c r="X1119" t="e">
        <f>VLOOKUP(W1119,ColumnMapping[New Table.Column],1,)</f>
        <v>#N/A</v>
      </c>
      <c r="Y1119" t="str">
        <f>_xlfn.XLOOKUP(Table6[[#This Row],[Table.Column]],ColumnMapping[Add Column Name],ColumnMapping[Old Table.Column],"",0,1)</f>
        <v/>
      </c>
      <c r="Z1119" t="str">
        <f>_xlfn.XLOOKUP(Table6[[#This Row],[Old Table.Column]],Cobra8.6[Table.Column],Cobra8.6[TYPE],"",0,1)</f>
        <v/>
      </c>
      <c r="AA1119" t="str">
        <f>_xlfn.XLOOKUP(Table6[[#This Row],[Old Table.Column]],Cobra8.6[Table.Column],Cobra8.6[LENGTH],"",0,1)</f>
        <v/>
      </c>
      <c r="AB1119"/>
    </row>
    <row r="1120" spans="1:28" hidden="1" x14ac:dyDescent="0.2">
      <c r="A1120" t="s">
        <v>1599</v>
      </c>
      <c r="B1120" t="s">
        <v>1655</v>
      </c>
      <c r="C1120" t="s">
        <v>1760</v>
      </c>
      <c r="D1120">
        <v>50</v>
      </c>
      <c r="E1120" t="s">
        <v>48</v>
      </c>
      <c r="F1120" t="str">
        <f>VLOOKUP($E1120,'Data Type Lookup'!$A$1:$C$21,2,FALSE)</f>
        <v>NVARCHAR2</v>
      </c>
      <c r="G1120">
        <v>256</v>
      </c>
      <c r="P1120" t="s">
        <v>1748</v>
      </c>
      <c r="Q1120" t="s">
        <v>1761</v>
      </c>
      <c r="R1120" t="str">
        <f>VLOOKUP(E1120,'Data Type Lookup'!$A$1:$C$21,3,FALSE)</f>
        <v>String</v>
      </c>
      <c r="W1120" t="str">
        <f t="shared" si="26"/>
        <v>USER_FIELD_VALUE.TEXT7</v>
      </c>
      <c r="X1120" t="e">
        <f>VLOOKUP(W1120,ColumnMapping[New Table.Column],1,)</f>
        <v>#N/A</v>
      </c>
      <c r="Y1120" t="str">
        <f>_xlfn.XLOOKUP(Table6[[#This Row],[Table.Column]],ColumnMapping[Add Column Name],ColumnMapping[Old Table.Column],"",0,1)</f>
        <v/>
      </c>
      <c r="Z1120" t="str">
        <f>_xlfn.XLOOKUP(Table6[[#This Row],[Old Table.Column]],Cobra8.6[Table.Column],Cobra8.6[TYPE],"",0,1)</f>
        <v/>
      </c>
      <c r="AA1120" t="str">
        <f>_xlfn.XLOOKUP(Table6[[#This Row],[Old Table.Column]],Cobra8.6[Table.Column],Cobra8.6[LENGTH],"",0,1)</f>
        <v/>
      </c>
      <c r="AB1120"/>
    </row>
    <row r="1121" spans="1:28" hidden="1" x14ac:dyDescent="0.2">
      <c r="A1121" t="s">
        <v>1599</v>
      </c>
      <c r="B1121" t="s">
        <v>1655</v>
      </c>
      <c r="C1121" t="s">
        <v>1762</v>
      </c>
      <c r="D1121">
        <v>51</v>
      </c>
      <c r="E1121" t="s">
        <v>48</v>
      </c>
      <c r="F1121" t="str">
        <f>VLOOKUP($E1121,'Data Type Lookup'!$A$1:$C$21,2,FALSE)</f>
        <v>NVARCHAR2</v>
      </c>
      <c r="G1121">
        <v>256</v>
      </c>
      <c r="P1121" t="s">
        <v>1748</v>
      </c>
      <c r="Q1121" t="s">
        <v>1763</v>
      </c>
      <c r="R1121" t="str">
        <f>VLOOKUP(E1121,'Data Type Lookup'!$A$1:$C$21,3,FALSE)</f>
        <v>String</v>
      </c>
      <c r="W1121" t="str">
        <f t="shared" si="26"/>
        <v>USER_FIELD_VALUE.TEXT8</v>
      </c>
      <c r="X1121" t="e">
        <f>VLOOKUP(W1121,ColumnMapping[New Table.Column],1,)</f>
        <v>#N/A</v>
      </c>
      <c r="Y1121" t="str">
        <f>_xlfn.XLOOKUP(Table6[[#This Row],[Table.Column]],ColumnMapping[Add Column Name],ColumnMapping[Old Table.Column],"",0,1)</f>
        <v/>
      </c>
      <c r="Z1121" t="str">
        <f>_xlfn.XLOOKUP(Table6[[#This Row],[Old Table.Column]],Cobra8.6[Table.Column],Cobra8.6[TYPE],"",0,1)</f>
        <v/>
      </c>
      <c r="AA1121" t="str">
        <f>_xlfn.XLOOKUP(Table6[[#This Row],[Old Table.Column]],Cobra8.6[Table.Column],Cobra8.6[LENGTH],"",0,1)</f>
        <v/>
      </c>
      <c r="AB1121"/>
    </row>
    <row r="1122" spans="1:28" hidden="1" x14ac:dyDescent="0.2">
      <c r="A1122" t="s">
        <v>1599</v>
      </c>
      <c r="B1122" t="s">
        <v>1655</v>
      </c>
      <c r="C1122" t="s">
        <v>1764</v>
      </c>
      <c r="D1122">
        <v>52</v>
      </c>
      <c r="E1122" t="s">
        <v>48</v>
      </c>
      <c r="F1122" t="str">
        <f>VLOOKUP($E1122,'Data Type Lookup'!$A$1:$C$21,2,FALSE)</f>
        <v>NVARCHAR2</v>
      </c>
      <c r="G1122">
        <v>256</v>
      </c>
      <c r="P1122" t="s">
        <v>1748</v>
      </c>
      <c r="Q1122" t="s">
        <v>1765</v>
      </c>
      <c r="R1122" t="str">
        <f>VLOOKUP(E1122,'Data Type Lookup'!$A$1:$C$21,3,FALSE)</f>
        <v>String</v>
      </c>
      <c r="W1122" t="str">
        <f t="shared" si="26"/>
        <v>USER_FIELD_VALUE.TEXT9</v>
      </c>
      <c r="X1122" t="e">
        <f>VLOOKUP(W1122,ColumnMapping[New Table.Column],1,)</f>
        <v>#N/A</v>
      </c>
      <c r="Y1122" t="str">
        <f>_xlfn.XLOOKUP(Table6[[#This Row],[Table.Column]],ColumnMapping[Add Column Name],ColumnMapping[Old Table.Column],"",0,1)</f>
        <v/>
      </c>
      <c r="Z1122" t="str">
        <f>_xlfn.XLOOKUP(Table6[[#This Row],[Old Table.Column]],Cobra8.6[Table.Column],Cobra8.6[TYPE],"",0,1)</f>
        <v/>
      </c>
      <c r="AA1122" t="str">
        <f>_xlfn.XLOOKUP(Table6[[#This Row],[Old Table.Column]],Cobra8.6[Table.Column],Cobra8.6[LENGTH],"",0,1)</f>
        <v/>
      </c>
      <c r="AB1122"/>
    </row>
    <row r="1123" spans="1:28" hidden="1" x14ac:dyDescent="0.2">
      <c r="A1123" t="s">
        <v>1599</v>
      </c>
      <c r="B1123" t="s">
        <v>1655</v>
      </c>
      <c r="C1123" t="s">
        <v>1766</v>
      </c>
      <c r="D1123">
        <v>53</v>
      </c>
      <c r="E1123" t="s">
        <v>48</v>
      </c>
      <c r="F1123" t="str">
        <f>VLOOKUP($E1123,'Data Type Lookup'!$A$1:$C$21,2,FALSE)</f>
        <v>NVARCHAR2</v>
      </c>
      <c r="G1123">
        <v>256</v>
      </c>
      <c r="P1123" t="s">
        <v>1748</v>
      </c>
      <c r="Q1123" t="s">
        <v>1767</v>
      </c>
      <c r="R1123" t="str">
        <f>VLOOKUP(E1123,'Data Type Lookup'!$A$1:$C$21,3,FALSE)</f>
        <v>String</v>
      </c>
      <c r="W1123" t="str">
        <f t="shared" si="26"/>
        <v>USER_FIELD_VALUE.TEXT10</v>
      </c>
      <c r="X1123" t="e">
        <f>VLOOKUP(W1123,ColumnMapping[New Table.Column],1,)</f>
        <v>#N/A</v>
      </c>
      <c r="Y1123" t="str">
        <f>_xlfn.XLOOKUP(Table6[[#This Row],[Table.Column]],ColumnMapping[Add Column Name],ColumnMapping[Old Table.Column],"",0,1)</f>
        <v/>
      </c>
      <c r="Z1123" t="str">
        <f>_xlfn.XLOOKUP(Table6[[#This Row],[Old Table.Column]],Cobra8.6[Table.Column],Cobra8.6[TYPE],"",0,1)</f>
        <v/>
      </c>
      <c r="AA1123" t="str">
        <f>_xlfn.XLOOKUP(Table6[[#This Row],[Old Table.Column]],Cobra8.6[Table.Column],Cobra8.6[LENGTH],"",0,1)</f>
        <v/>
      </c>
      <c r="AB1123"/>
    </row>
    <row r="1124" spans="1:28" hidden="1" x14ac:dyDescent="0.2">
      <c r="A1124" t="s">
        <v>1599</v>
      </c>
      <c r="B1124" t="s">
        <v>1655</v>
      </c>
      <c r="C1124" t="s">
        <v>1768</v>
      </c>
      <c r="D1124">
        <v>54</v>
      </c>
      <c r="E1124" t="s">
        <v>48</v>
      </c>
      <c r="F1124" t="str">
        <f>VLOOKUP($E1124,'Data Type Lookup'!$A$1:$C$21,2,FALSE)</f>
        <v>NVARCHAR2</v>
      </c>
      <c r="G1124">
        <v>256</v>
      </c>
      <c r="P1124" t="s">
        <v>1748</v>
      </c>
      <c r="Q1124" t="s">
        <v>1769</v>
      </c>
      <c r="R1124" t="str">
        <f>VLOOKUP(E1124,'Data Type Lookup'!$A$1:$C$21,3,FALSE)</f>
        <v>String</v>
      </c>
      <c r="W1124" t="str">
        <f t="shared" si="26"/>
        <v>USER_FIELD_VALUE.TEXT11</v>
      </c>
      <c r="X1124" t="e">
        <f>VLOOKUP(W1124,ColumnMapping[New Table.Column],1,)</f>
        <v>#N/A</v>
      </c>
      <c r="Y1124" t="str">
        <f>_xlfn.XLOOKUP(Table6[[#This Row],[Table.Column]],ColumnMapping[Add Column Name],ColumnMapping[Old Table.Column],"",0,1)</f>
        <v/>
      </c>
      <c r="Z1124" t="str">
        <f>_xlfn.XLOOKUP(Table6[[#This Row],[Old Table.Column]],Cobra8.6[Table.Column],Cobra8.6[TYPE],"",0,1)</f>
        <v/>
      </c>
      <c r="AA1124" t="str">
        <f>_xlfn.XLOOKUP(Table6[[#This Row],[Old Table.Column]],Cobra8.6[Table.Column],Cobra8.6[LENGTH],"",0,1)</f>
        <v/>
      </c>
      <c r="AB1124"/>
    </row>
    <row r="1125" spans="1:28" hidden="1" x14ac:dyDescent="0.2">
      <c r="A1125" t="s">
        <v>1599</v>
      </c>
      <c r="B1125" t="s">
        <v>1655</v>
      </c>
      <c r="C1125" t="s">
        <v>1770</v>
      </c>
      <c r="D1125">
        <v>55</v>
      </c>
      <c r="E1125" t="s">
        <v>48</v>
      </c>
      <c r="F1125" t="str">
        <f>VLOOKUP($E1125,'Data Type Lookup'!$A$1:$C$21,2,FALSE)</f>
        <v>NVARCHAR2</v>
      </c>
      <c r="G1125">
        <v>256</v>
      </c>
      <c r="P1125" t="s">
        <v>1748</v>
      </c>
      <c r="Q1125" t="s">
        <v>1771</v>
      </c>
      <c r="R1125" t="str">
        <f>VLOOKUP(E1125,'Data Type Lookup'!$A$1:$C$21,3,FALSE)</f>
        <v>String</v>
      </c>
      <c r="W1125" t="str">
        <f t="shared" si="26"/>
        <v>USER_FIELD_VALUE.TEXT12</v>
      </c>
      <c r="X1125" t="e">
        <f>VLOOKUP(W1125,ColumnMapping[New Table.Column],1,)</f>
        <v>#N/A</v>
      </c>
      <c r="Y1125" t="str">
        <f>_xlfn.XLOOKUP(Table6[[#This Row],[Table.Column]],ColumnMapping[Add Column Name],ColumnMapping[Old Table.Column],"",0,1)</f>
        <v/>
      </c>
      <c r="Z1125" t="str">
        <f>_xlfn.XLOOKUP(Table6[[#This Row],[Old Table.Column]],Cobra8.6[Table.Column],Cobra8.6[TYPE],"",0,1)</f>
        <v/>
      </c>
      <c r="AA1125" t="str">
        <f>_xlfn.XLOOKUP(Table6[[#This Row],[Old Table.Column]],Cobra8.6[Table.Column],Cobra8.6[LENGTH],"",0,1)</f>
        <v/>
      </c>
      <c r="AB1125"/>
    </row>
    <row r="1126" spans="1:28" hidden="1" x14ac:dyDescent="0.2">
      <c r="A1126" t="s">
        <v>1599</v>
      </c>
      <c r="B1126" t="s">
        <v>1655</v>
      </c>
      <c r="C1126" t="s">
        <v>1772</v>
      </c>
      <c r="D1126">
        <v>56</v>
      </c>
      <c r="E1126" t="s">
        <v>48</v>
      </c>
      <c r="F1126" t="str">
        <f>VLOOKUP($E1126,'Data Type Lookup'!$A$1:$C$21,2,FALSE)</f>
        <v>NVARCHAR2</v>
      </c>
      <c r="G1126">
        <v>256</v>
      </c>
      <c r="P1126" t="s">
        <v>1748</v>
      </c>
      <c r="Q1126" t="s">
        <v>1773</v>
      </c>
      <c r="R1126" t="str">
        <f>VLOOKUP(E1126,'Data Type Lookup'!$A$1:$C$21,3,FALSE)</f>
        <v>String</v>
      </c>
      <c r="W1126" t="str">
        <f t="shared" si="26"/>
        <v>USER_FIELD_VALUE.TEXT13</v>
      </c>
      <c r="X1126" t="e">
        <f>VLOOKUP(W1126,ColumnMapping[New Table.Column],1,)</f>
        <v>#N/A</v>
      </c>
      <c r="Y1126" t="str">
        <f>_xlfn.XLOOKUP(Table6[[#This Row],[Table.Column]],ColumnMapping[Add Column Name],ColumnMapping[Old Table.Column],"",0,1)</f>
        <v/>
      </c>
      <c r="Z1126" t="str">
        <f>_xlfn.XLOOKUP(Table6[[#This Row],[Old Table.Column]],Cobra8.6[Table.Column],Cobra8.6[TYPE],"",0,1)</f>
        <v/>
      </c>
      <c r="AA1126" t="str">
        <f>_xlfn.XLOOKUP(Table6[[#This Row],[Old Table.Column]],Cobra8.6[Table.Column],Cobra8.6[LENGTH],"",0,1)</f>
        <v/>
      </c>
      <c r="AB1126"/>
    </row>
    <row r="1127" spans="1:28" hidden="1" x14ac:dyDescent="0.2">
      <c r="A1127" t="s">
        <v>1599</v>
      </c>
      <c r="B1127" t="s">
        <v>1655</v>
      </c>
      <c r="C1127" t="s">
        <v>1774</v>
      </c>
      <c r="D1127">
        <v>57</v>
      </c>
      <c r="E1127" t="s">
        <v>48</v>
      </c>
      <c r="F1127" t="str">
        <f>VLOOKUP($E1127,'Data Type Lookup'!$A$1:$C$21,2,FALSE)</f>
        <v>NVARCHAR2</v>
      </c>
      <c r="G1127">
        <v>256</v>
      </c>
      <c r="P1127" t="s">
        <v>1748</v>
      </c>
      <c r="Q1127" t="s">
        <v>1775</v>
      </c>
      <c r="R1127" t="str">
        <f>VLOOKUP(E1127,'Data Type Lookup'!$A$1:$C$21,3,FALSE)</f>
        <v>String</v>
      </c>
      <c r="W1127" t="str">
        <f t="shared" si="26"/>
        <v>USER_FIELD_VALUE.TEXT14</v>
      </c>
      <c r="X1127" t="e">
        <f>VLOOKUP(W1127,ColumnMapping[New Table.Column],1,)</f>
        <v>#N/A</v>
      </c>
      <c r="Y1127" t="str">
        <f>_xlfn.XLOOKUP(Table6[[#This Row],[Table.Column]],ColumnMapping[Add Column Name],ColumnMapping[Old Table.Column],"",0,1)</f>
        <v/>
      </c>
      <c r="Z1127" t="str">
        <f>_xlfn.XLOOKUP(Table6[[#This Row],[Old Table.Column]],Cobra8.6[Table.Column],Cobra8.6[TYPE],"",0,1)</f>
        <v/>
      </c>
      <c r="AA1127" t="str">
        <f>_xlfn.XLOOKUP(Table6[[#This Row],[Old Table.Column]],Cobra8.6[Table.Column],Cobra8.6[LENGTH],"",0,1)</f>
        <v/>
      </c>
      <c r="AB1127"/>
    </row>
    <row r="1128" spans="1:28" hidden="1" x14ac:dyDescent="0.2">
      <c r="A1128" t="s">
        <v>1599</v>
      </c>
      <c r="B1128" t="s">
        <v>1655</v>
      </c>
      <c r="C1128" t="s">
        <v>1776</v>
      </c>
      <c r="D1128">
        <v>58</v>
      </c>
      <c r="E1128" t="s">
        <v>48</v>
      </c>
      <c r="F1128" t="str">
        <f>VLOOKUP($E1128,'Data Type Lookup'!$A$1:$C$21,2,FALSE)</f>
        <v>NVARCHAR2</v>
      </c>
      <c r="G1128">
        <v>256</v>
      </c>
      <c r="P1128" t="s">
        <v>1748</v>
      </c>
      <c r="Q1128" t="s">
        <v>1777</v>
      </c>
      <c r="R1128" t="str">
        <f>VLOOKUP(E1128,'Data Type Lookup'!$A$1:$C$21,3,FALSE)</f>
        <v>String</v>
      </c>
      <c r="W1128" t="str">
        <f t="shared" si="26"/>
        <v>USER_FIELD_VALUE.TEXT15</v>
      </c>
      <c r="X1128" t="e">
        <f>VLOOKUP(W1128,ColumnMapping[New Table.Column],1,)</f>
        <v>#N/A</v>
      </c>
      <c r="Y1128" t="str">
        <f>_xlfn.XLOOKUP(Table6[[#This Row],[Table.Column]],ColumnMapping[Add Column Name],ColumnMapping[Old Table.Column],"",0,1)</f>
        <v/>
      </c>
      <c r="Z1128" t="str">
        <f>_xlfn.XLOOKUP(Table6[[#This Row],[Old Table.Column]],Cobra8.6[Table.Column],Cobra8.6[TYPE],"",0,1)</f>
        <v/>
      </c>
      <c r="AA1128" t="str">
        <f>_xlfn.XLOOKUP(Table6[[#This Row],[Old Table.Column]],Cobra8.6[Table.Column],Cobra8.6[LENGTH],"",0,1)</f>
        <v/>
      </c>
      <c r="AB1128"/>
    </row>
    <row r="1129" spans="1:28" hidden="1" x14ac:dyDescent="0.2">
      <c r="A1129" t="s">
        <v>1599</v>
      </c>
      <c r="B1129" t="s">
        <v>1655</v>
      </c>
      <c r="C1129" t="s">
        <v>1778</v>
      </c>
      <c r="D1129">
        <v>59</v>
      </c>
      <c r="E1129" t="s">
        <v>48</v>
      </c>
      <c r="F1129" t="str">
        <f>VLOOKUP($E1129,'Data Type Lookup'!$A$1:$C$21,2,FALSE)</f>
        <v>NVARCHAR2</v>
      </c>
      <c r="G1129">
        <v>256</v>
      </c>
      <c r="P1129" t="s">
        <v>1748</v>
      </c>
      <c r="Q1129" t="s">
        <v>1779</v>
      </c>
      <c r="R1129" t="str">
        <f>VLOOKUP(E1129,'Data Type Lookup'!$A$1:$C$21,3,FALSE)</f>
        <v>String</v>
      </c>
      <c r="W1129" t="str">
        <f t="shared" si="26"/>
        <v>USER_FIELD_VALUE.TEXT16</v>
      </c>
      <c r="X1129" t="e">
        <f>VLOOKUP(W1129,ColumnMapping[New Table.Column],1,)</f>
        <v>#N/A</v>
      </c>
      <c r="Y1129" t="str">
        <f>_xlfn.XLOOKUP(Table6[[#This Row],[Table.Column]],ColumnMapping[Add Column Name],ColumnMapping[Old Table.Column],"",0,1)</f>
        <v/>
      </c>
      <c r="Z1129" t="str">
        <f>_xlfn.XLOOKUP(Table6[[#This Row],[Old Table.Column]],Cobra8.6[Table.Column],Cobra8.6[TYPE],"",0,1)</f>
        <v/>
      </c>
      <c r="AA1129" t="str">
        <f>_xlfn.XLOOKUP(Table6[[#This Row],[Old Table.Column]],Cobra8.6[Table.Column],Cobra8.6[LENGTH],"",0,1)</f>
        <v/>
      </c>
      <c r="AB1129"/>
    </row>
    <row r="1130" spans="1:28" hidden="1" x14ac:dyDescent="0.2">
      <c r="A1130" t="s">
        <v>1599</v>
      </c>
      <c r="B1130" t="s">
        <v>1655</v>
      </c>
      <c r="C1130" t="s">
        <v>1780</v>
      </c>
      <c r="D1130">
        <v>60</v>
      </c>
      <c r="E1130" t="s">
        <v>48</v>
      </c>
      <c r="F1130" t="str">
        <f>VLOOKUP($E1130,'Data Type Lookup'!$A$1:$C$21,2,FALSE)</f>
        <v>NVARCHAR2</v>
      </c>
      <c r="G1130">
        <v>256</v>
      </c>
      <c r="P1130" t="s">
        <v>1748</v>
      </c>
      <c r="Q1130" t="s">
        <v>1781</v>
      </c>
      <c r="R1130" t="str">
        <f>VLOOKUP(E1130,'Data Type Lookup'!$A$1:$C$21,3,FALSE)</f>
        <v>String</v>
      </c>
      <c r="W1130" t="str">
        <f t="shared" si="26"/>
        <v>USER_FIELD_VALUE.TEXT17</v>
      </c>
      <c r="X1130" t="e">
        <f>VLOOKUP(W1130,ColumnMapping[New Table.Column],1,)</f>
        <v>#N/A</v>
      </c>
      <c r="Y1130" t="str">
        <f>_xlfn.XLOOKUP(Table6[[#This Row],[Table.Column]],ColumnMapping[Add Column Name],ColumnMapping[Old Table.Column],"",0,1)</f>
        <v/>
      </c>
      <c r="Z1130" t="str">
        <f>_xlfn.XLOOKUP(Table6[[#This Row],[Old Table.Column]],Cobra8.6[Table.Column],Cobra8.6[TYPE],"",0,1)</f>
        <v/>
      </c>
      <c r="AA1130" t="str">
        <f>_xlfn.XLOOKUP(Table6[[#This Row],[Old Table.Column]],Cobra8.6[Table.Column],Cobra8.6[LENGTH],"",0,1)</f>
        <v/>
      </c>
      <c r="AB1130"/>
    </row>
    <row r="1131" spans="1:28" hidden="1" x14ac:dyDescent="0.2">
      <c r="A1131" t="s">
        <v>1599</v>
      </c>
      <c r="B1131" t="s">
        <v>1655</v>
      </c>
      <c r="C1131" t="s">
        <v>1782</v>
      </c>
      <c r="D1131">
        <v>61</v>
      </c>
      <c r="E1131" t="s">
        <v>48</v>
      </c>
      <c r="F1131" t="str">
        <f>VLOOKUP($E1131,'Data Type Lookup'!$A$1:$C$21,2,FALSE)</f>
        <v>NVARCHAR2</v>
      </c>
      <c r="G1131">
        <v>256</v>
      </c>
      <c r="P1131" t="s">
        <v>1748</v>
      </c>
      <c r="Q1131" t="s">
        <v>1783</v>
      </c>
      <c r="R1131" t="str">
        <f>VLOOKUP(E1131,'Data Type Lookup'!$A$1:$C$21,3,FALSE)</f>
        <v>String</v>
      </c>
      <c r="W1131" t="str">
        <f t="shared" si="26"/>
        <v>USER_FIELD_VALUE.TEXT18</v>
      </c>
      <c r="X1131" t="e">
        <f>VLOOKUP(W1131,ColumnMapping[New Table.Column],1,)</f>
        <v>#N/A</v>
      </c>
      <c r="Y1131" t="str">
        <f>_xlfn.XLOOKUP(Table6[[#This Row],[Table.Column]],ColumnMapping[Add Column Name],ColumnMapping[Old Table.Column],"",0,1)</f>
        <v/>
      </c>
      <c r="Z1131" t="str">
        <f>_xlfn.XLOOKUP(Table6[[#This Row],[Old Table.Column]],Cobra8.6[Table.Column],Cobra8.6[TYPE],"",0,1)</f>
        <v/>
      </c>
      <c r="AA1131" t="str">
        <f>_xlfn.XLOOKUP(Table6[[#This Row],[Old Table.Column]],Cobra8.6[Table.Column],Cobra8.6[LENGTH],"",0,1)</f>
        <v/>
      </c>
      <c r="AB1131"/>
    </row>
    <row r="1132" spans="1:28" hidden="1" x14ac:dyDescent="0.2">
      <c r="A1132" t="s">
        <v>1599</v>
      </c>
      <c r="B1132" t="s">
        <v>1655</v>
      </c>
      <c r="C1132" t="s">
        <v>1784</v>
      </c>
      <c r="D1132">
        <v>62</v>
      </c>
      <c r="E1132" t="s">
        <v>48</v>
      </c>
      <c r="F1132" t="str">
        <f>VLOOKUP($E1132,'Data Type Lookup'!$A$1:$C$21,2,FALSE)</f>
        <v>NVARCHAR2</v>
      </c>
      <c r="G1132">
        <v>256</v>
      </c>
      <c r="P1132" t="s">
        <v>1748</v>
      </c>
      <c r="Q1132" t="s">
        <v>1785</v>
      </c>
      <c r="R1132" t="str">
        <f>VLOOKUP(E1132,'Data Type Lookup'!$A$1:$C$21,3,FALSE)</f>
        <v>String</v>
      </c>
      <c r="W1132" t="str">
        <f t="shared" si="26"/>
        <v>USER_FIELD_VALUE.TEXT19</v>
      </c>
      <c r="X1132" t="e">
        <f>VLOOKUP(W1132,ColumnMapping[New Table.Column],1,)</f>
        <v>#N/A</v>
      </c>
      <c r="Y1132" t="str">
        <f>_xlfn.XLOOKUP(Table6[[#This Row],[Table.Column]],ColumnMapping[Add Column Name],ColumnMapping[Old Table.Column],"",0,1)</f>
        <v/>
      </c>
      <c r="Z1132" t="str">
        <f>_xlfn.XLOOKUP(Table6[[#This Row],[Old Table.Column]],Cobra8.6[Table.Column],Cobra8.6[TYPE],"",0,1)</f>
        <v/>
      </c>
      <c r="AA1132" t="str">
        <f>_xlfn.XLOOKUP(Table6[[#This Row],[Old Table.Column]],Cobra8.6[Table.Column],Cobra8.6[LENGTH],"",0,1)</f>
        <v/>
      </c>
      <c r="AB1132"/>
    </row>
    <row r="1133" spans="1:28" hidden="1" x14ac:dyDescent="0.2">
      <c r="A1133" t="s">
        <v>1599</v>
      </c>
      <c r="B1133" t="s">
        <v>1655</v>
      </c>
      <c r="C1133" t="s">
        <v>1786</v>
      </c>
      <c r="D1133">
        <v>63</v>
      </c>
      <c r="E1133" t="s">
        <v>48</v>
      </c>
      <c r="F1133" t="str">
        <f>VLOOKUP($E1133,'Data Type Lookup'!$A$1:$C$21,2,FALSE)</f>
        <v>NVARCHAR2</v>
      </c>
      <c r="G1133">
        <v>256</v>
      </c>
      <c r="P1133" t="s">
        <v>1748</v>
      </c>
      <c r="Q1133" t="s">
        <v>1787</v>
      </c>
      <c r="R1133" t="str">
        <f>VLOOKUP(E1133,'Data Type Lookup'!$A$1:$C$21,3,FALSE)</f>
        <v>String</v>
      </c>
      <c r="W1133" t="str">
        <f t="shared" si="26"/>
        <v>USER_FIELD_VALUE.TEXT20</v>
      </c>
      <c r="X1133" t="e">
        <f>VLOOKUP(W1133,ColumnMapping[New Table.Column],1,)</f>
        <v>#N/A</v>
      </c>
      <c r="Y1133" t="str">
        <f>_xlfn.XLOOKUP(Table6[[#This Row],[Table.Column]],ColumnMapping[Add Column Name],ColumnMapping[Old Table.Column],"",0,1)</f>
        <v/>
      </c>
      <c r="Z1133" t="str">
        <f>_xlfn.XLOOKUP(Table6[[#This Row],[Old Table.Column]],Cobra8.6[Table.Column],Cobra8.6[TYPE],"",0,1)</f>
        <v/>
      </c>
      <c r="AA1133" t="str">
        <f>_xlfn.XLOOKUP(Table6[[#This Row],[Old Table.Column]],Cobra8.6[Table.Column],Cobra8.6[LENGTH],"",0,1)</f>
        <v/>
      </c>
      <c r="AB1133"/>
    </row>
    <row r="1134" spans="1:28" hidden="1" x14ac:dyDescent="0.2">
      <c r="A1134" t="s">
        <v>1599</v>
      </c>
      <c r="B1134" t="s">
        <v>1655</v>
      </c>
      <c r="C1134" t="s">
        <v>35</v>
      </c>
      <c r="D1134">
        <v>64</v>
      </c>
      <c r="E1134" t="s">
        <v>36</v>
      </c>
      <c r="F1134" t="str">
        <f>VLOOKUP($E1134,'Data Type Lookup'!$A$1:$C$21,2,FALSE)</f>
        <v>NUMBER(19,0)</v>
      </c>
      <c r="I1134" s="32" t="s">
        <v>32</v>
      </c>
      <c r="J1134" s="32">
        <v>0</v>
      </c>
      <c r="P1134" t="s">
        <v>37</v>
      </c>
      <c r="Q1134" t="s">
        <v>38</v>
      </c>
      <c r="R1134" t="str">
        <f>VLOOKUP(E1134,'Data Type Lookup'!$A$1:$C$21,3,FALSE)</f>
        <v>Long</v>
      </c>
      <c r="S1134">
        <v>3</v>
      </c>
      <c r="W1134" t="str">
        <f>_xlfn.CONCAT(B1134,".",C1134)</f>
        <v>USER_FIELD_VALUE.SEQUENCE</v>
      </c>
      <c r="X1134" t="e">
        <f>VLOOKUP(W1134,ColumnMapping[New Table.Column],1,)</f>
        <v>#N/A</v>
      </c>
      <c r="Y1134" t="str">
        <f>_xlfn.XLOOKUP(Table6[[#This Row],[Table.Column]],ColumnMapping[Add Column Name],ColumnMapping[Old Table.Column],"",0,1)</f>
        <v/>
      </c>
      <c r="Z1134" t="str">
        <f>_xlfn.XLOOKUP(Table6[[#This Row],[Old Table.Column]],Cobra8.6[Table.Column],Cobra8.6[TYPE],"",0,1)</f>
        <v/>
      </c>
      <c r="AA1134" t="str">
        <f>_xlfn.XLOOKUP(Table6[[#This Row],[Old Table.Column]],Cobra8.6[Table.Column],Cobra8.6[LENGTH],"",0,1)</f>
        <v/>
      </c>
      <c r="AB1134"/>
    </row>
    <row r="1135" spans="1:28" hidden="1" x14ac:dyDescent="0.2">
      <c r="A1135" t="s">
        <v>1599</v>
      </c>
      <c r="B1135" t="s">
        <v>1655</v>
      </c>
      <c r="C1135" t="s">
        <v>61</v>
      </c>
      <c r="D1135">
        <v>65</v>
      </c>
      <c r="E1135" t="s">
        <v>31</v>
      </c>
      <c r="F1135" t="str">
        <f>VLOOKUP($E1135,'Data Type Lookup'!$A$1:$C$21,2,FALSE)</f>
        <v>RAW(16)</v>
      </c>
      <c r="I1135" s="32" t="s">
        <v>32</v>
      </c>
      <c r="P1135" t="s">
        <v>2611</v>
      </c>
      <c r="Q1135" t="s">
        <v>63</v>
      </c>
      <c r="R1135" t="str">
        <f>VLOOKUP(E1135,'Data Type Lookup'!$A$1:$C$21,3,FALSE)</f>
        <v>java.util.UUID</v>
      </c>
      <c r="S1135">
        <v>2</v>
      </c>
      <c r="W1135" t="str">
        <f>_xlfn.CONCAT(B1135,".",C1135)</f>
        <v>USER_FIELD_VALUE.CREATED_BY_USER_UID</v>
      </c>
      <c r="X1135" t="e">
        <f>VLOOKUP(W1135,ColumnMapping[New Table.Column],1,)</f>
        <v>#N/A</v>
      </c>
      <c r="Y1135" t="str">
        <f>_xlfn.XLOOKUP(Table6[[#This Row],[Table.Column]],ColumnMapping[Add Column Name],ColumnMapping[Old Table.Column],"",0,1)</f>
        <v/>
      </c>
      <c r="Z1135" t="str">
        <f>_xlfn.XLOOKUP(Table6[[#This Row],[Old Table.Column]],Cobra8.6[Table.Column],Cobra8.6[TYPE],"",0,1)</f>
        <v/>
      </c>
      <c r="AA1135" t="str">
        <f>_xlfn.XLOOKUP(Table6[[#This Row],[Old Table.Column]],Cobra8.6[Table.Column],Cobra8.6[LENGTH],"",0,1)</f>
        <v/>
      </c>
      <c r="AB1135"/>
    </row>
    <row r="1136" spans="1:28" hidden="1" x14ac:dyDescent="0.2">
      <c r="A1136" t="s">
        <v>1599</v>
      </c>
      <c r="B1136" t="s">
        <v>1655</v>
      </c>
      <c r="C1136" t="s">
        <v>64</v>
      </c>
      <c r="D1136">
        <v>66</v>
      </c>
      <c r="E1136" t="s">
        <v>65</v>
      </c>
      <c r="F1136" t="str">
        <f>VLOOKUP($E1136,'Data Type Lookup'!$A$1:$C$21,2,FALSE)</f>
        <v>TIMESTAMP</v>
      </c>
      <c r="I1136" s="32" t="s">
        <v>32</v>
      </c>
      <c r="P1136" t="s">
        <v>2612</v>
      </c>
      <c r="Q1136" t="s">
        <v>67</v>
      </c>
      <c r="R1136" t="str">
        <f>VLOOKUP(E1136,'Data Type Lookup'!$A$1:$C$21,3,FALSE)</f>
        <v>java.time.Instant</v>
      </c>
      <c r="S1136">
        <v>2</v>
      </c>
      <c r="W1136" t="str">
        <f>_xlfn.CONCAT(B1136,".",C1136)</f>
        <v>USER_FIELD_VALUE.CREATED_DATE</v>
      </c>
      <c r="X1136" t="e">
        <f>VLOOKUP(W1136,ColumnMapping[New Table.Column],1,)</f>
        <v>#N/A</v>
      </c>
      <c r="Y1136" t="str">
        <f>_xlfn.XLOOKUP(Table6[[#This Row],[Table.Column]],ColumnMapping[Add Column Name],ColumnMapping[Old Table.Column],"",0,1)</f>
        <v/>
      </c>
      <c r="Z1136" t="str">
        <f>_xlfn.XLOOKUP(Table6[[#This Row],[Old Table.Column]],Cobra8.6[Table.Column],Cobra8.6[TYPE],"",0,1)</f>
        <v/>
      </c>
      <c r="AA1136" t="str">
        <f>_xlfn.XLOOKUP(Table6[[#This Row],[Old Table.Column]],Cobra8.6[Table.Column],Cobra8.6[LENGTH],"",0,1)</f>
        <v/>
      </c>
      <c r="AB1136"/>
    </row>
    <row r="1137" spans="1:28" hidden="1" x14ac:dyDescent="0.2">
      <c r="A1137" t="s">
        <v>1599</v>
      </c>
      <c r="B1137" t="s">
        <v>1655</v>
      </c>
      <c r="C1137" t="s">
        <v>68</v>
      </c>
      <c r="D1137">
        <v>67</v>
      </c>
      <c r="E1137" t="s">
        <v>31</v>
      </c>
      <c r="F1137" t="str">
        <f>VLOOKUP($E1137,'Data Type Lookup'!$A$1:$C$21,2,FALSE)</f>
        <v>RAW(16)</v>
      </c>
      <c r="I1137" s="32" t="s">
        <v>32</v>
      </c>
      <c r="P1137" t="s">
        <v>2613</v>
      </c>
      <c r="Q1137" t="s">
        <v>70</v>
      </c>
      <c r="R1137" t="str">
        <f>VLOOKUP(E1137,'Data Type Lookup'!$A$1:$C$21,3,FALSE)</f>
        <v>java.util.UUID</v>
      </c>
      <c r="S1137">
        <v>2</v>
      </c>
      <c r="W1137" t="str">
        <f>_xlfn.CONCAT(B1137,".",C1137)</f>
        <v>USER_FIELD_VALUE.LAST_MODIFIED_BY_USER_UID</v>
      </c>
      <c r="X1137" t="e">
        <f>VLOOKUP(W1137,ColumnMapping[New Table.Column],1,)</f>
        <v>#N/A</v>
      </c>
      <c r="Y1137" t="str">
        <f>_xlfn.XLOOKUP(Table6[[#This Row],[Table.Column]],ColumnMapping[Add Column Name],ColumnMapping[Old Table.Column],"",0,1)</f>
        <v/>
      </c>
      <c r="Z1137" t="str">
        <f>_xlfn.XLOOKUP(Table6[[#This Row],[Old Table.Column]],Cobra8.6[Table.Column],Cobra8.6[TYPE],"",0,1)</f>
        <v/>
      </c>
      <c r="AA1137" t="str">
        <f>_xlfn.XLOOKUP(Table6[[#This Row],[Old Table.Column]],Cobra8.6[Table.Column],Cobra8.6[LENGTH],"",0,1)</f>
        <v/>
      </c>
      <c r="AB1137"/>
    </row>
    <row r="1138" spans="1:28" hidden="1" x14ac:dyDescent="0.2">
      <c r="A1138" t="s">
        <v>1599</v>
      </c>
      <c r="B1138" t="s">
        <v>1655</v>
      </c>
      <c r="C1138" t="s">
        <v>71</v>
      </c>
      <c r="D1138">
        <v>68</v>
      </c>
      <c r="E1138" t="s">
        <v>65</v>
      </c>
      <c r="F1138" t="str">
        <f>VLOOKUP($E1138,'Data Type Lookup'!$A$1:$C$21,2,FALSE)</f>
        <v>TIMESTAMP</v>
      </c>
      <c r="I1138" s="32" t="s">
        <v>32</v>
      </c>
      <c r="P1138" t="s">
        <v>2614</v>
      </c>
      <c r="Q1138" t="s">
        <v>73</v>
      </c>
      <c r="R1138" t="str">
        <f>VLOOKUP(E1138,'Data Type Lookup'!$A$1:$C$21,3,FALSE)</f>
        <v>java.time.Instant</v>
      </c>
      <c r="S1138">
        <v>2</v>
      </c>
      <c r="W1138" t="str">
        <f>_xlfn.CONCAT(B1138,".",C1138)</f>
        <v>USER_FIELD_VALUE.LAST_MODIFIED_DATE</v>
      </c>
      <c r="X1138" t="e">
        <f>VLOOKUP(W1138,ColumnMapping[New Table.Column],1,)</f>
        <v>#N/A</v>
      </c>
      <c r="Y1138" t="str">
        <f>_xlfn.XLOOKUP(Table6[[#This Row],[Table.Column]],ColumnMapping[Add Column Name],ColumnMapping[Old Table.Column],"",0,1)</f>
        <v/>
      </c>
      <c r="Z1138" t="str">
        <f>_xlfn.XLOOKUP(Table6[[#This Row],[Old Table.Column]],Cobra8.6[Table.Column],Cobra8.6[TYPE],"",0,1)</f>
        <v/>
      </c>
      <c r="AA1138" t="str">
        <f>_xlfn.XLOOKUP(Table6[[#This Row],[Old Table.Column]],Cobra8.6[Table.Column],Cobra8.6[LENGTH],"",0,1)</f>
        <v/>
      </c>
      <c r="AB1138"/>
    </row>
    <row r="1139" spans="1:28" hidden="1" x14ac:dyDescent="0.2">
      <c r="A1139" t="s">
        <v>1599</v>
      </c>
      <c r="B1139" t="s">
        <v>1788</v>
      </c>
      <c r="C1139" t="s">
        <v>30</v>
      </c>
      <c r="D1139">
        <v>1</v>
      </c>
      <c r="E1139" t="s">
        <v>31</v>
      </c>
      <c r="F1139" t="str">
        <f>VLOOKUP($E1139,'Data Type Lookup'!$A$1:$C$21,2,FALSE)</f>
        <v>RAW(16)</v>
      </c>
      <c r="I1139" s="32" t="s">
        <v>32</v>
      </c>
      <c r="K1139" s="32" t="s">
        <v>32</v>
      </c>
      <c r="P1139" t="s">
        <v>1789</v>
      </c>
      <c r="Q1139" t="s">
        <v>34</v>
      </c>
      <c r="R1139" t="str">
        <f>VLOOKUP(E1139,'Data Type Lookup'!$A$1:$C$21,3,FALSE)</f>
        <v>java.util.UUID</v>
      </c>
      <c r="S1139">
        <v>3</v>
      </c>
      <c r="W1139" t="str">
        <f t="shared" si="26"/>
        <v>USER_NOTE_VALUE.ROW_UID</v>
      </c>
      <c r="X1139" t="str">
        <f>VLOOKUP(W1139,ColumnMapping[New Table.Column],1,)</f>
        <v>USER_NOTE_VALUE.ROW_UID</v>
      </c>
      <c r="Y1139" t="str">
        <f>_xlfn.XLOOKUP(Table6[[#This Row],[Table.Column]],ColumnMapping[Add Column Name],ColumnMapping[Old Table.Column],"",0,1)</f>
        <v/>
      </c>
      <c r="Z1139" t="str">
        <f>_xlfn.XLOOKUP(Table6[[#This Row],[Old Table.Column]],Cobra8.6[Table.Column],Cobra8.6[TYPE],"",0,1)</f>
        <v/>
      </c>
      <c r="AA1139" t="str">
        <f>_xlfn.XLOOKUP(Table6[[#This Row],[Old Table.Column]],Cobra8.6[Table.Column],Cobra8.6[LENGTH],"",0,1)</f>
        <v/>
      </c>
      <c r="AB1139"/>
    </row>
    <row r="1140" spans="1:28" hidden="1" x14ac:dyDescent="0.2">
      <c r="A1140" t="s">
        <v>1599</v>
      </c>
      <c r="B1140" t="s">
        <v>1788</v>
      </c>
      <c r="C1140" t="s">
        <v>35</v>
      </c>
      <c r="D1140">
        <v>2</v>
      </c>
      <c r="E1140" t="s">
        <v>36</v>
      </c>
      <c r="F1140" t="str">
        <f>VLOOKUP($E1140,'Data Type Lookup'!$A$1:$C$21,2,FALSE)</f>
        <v>NUMBER(19,0)</v>
      </c>
      <c r="I1140" s="32" t="s">
        <v>32</v>
      </c>
      <c r="J1140" s="32">
        <v>0</v>
      </c>
      <c r="P1140" t="s">
        <v>37</v>
      </c>
      <c r="Q1140" t="s">
        <v>38</v>
      </c>
      <c r="R1140" t="str">
        <f>VLOOKUP(E1140,'Data Type Lookup'!$A$1:$C$21,3,FALSE)</f>
        <v>Long</v>
      </c>
      <c r="S1140">
        <v>3</v>
      </c>
      <c r="W1140" t="str">
        <f t="shared" si="26"/>
        <v>USER_NOTE_VALUE.SEQUENCE</v>
      </c>
      <c r="X1140" t="str">
        <f>VLOOKUP(W1140,ColumnMapping[New Table.Column],1,)</f>
        <v>USER_NOTE_VALUE.SEQUENCE</v>
      </c>
      <c r="Y1140" t="str">
        <f>_xlfn.XLOOKUP(Table6[[#This Row],[Table.Column]],ColumnMapping[Add Column Name],ColumnMapping[Old Table.Column],"",0,1)</f>
        <v/>
      </c>
      <c r="Z1140" t="str">
        <f>_xlfn.XLOOKUP(Table6[[#This Row],[Old Table.Column]],Cobra8.6[Table.Column],Cobra8.6[TYPE],"",0,1)</f>
        <v/>
      </c>
      <c r="AA1140" t="str">
        <f>_xlfn.XLOOKUP(Table6[[#This Row],[Old Table.Column]],Cobra8.6[Table.Column],Cobra8.6[LENGTH],"",0,1)</f>
        <v/>
      </c>
      <c r="AB1140"/>
    </row>
    <row r="1141" spans="1:28" hidden="1" x14ac:dyDescent="0.2">
      <c r="A1141" t="s">
        <v>1599</v>
      </c>
      <c r="B1141" t="s">
        <v>1788</v>
      </c>
      <c r="C1141" t="s">
        <v>278</v>
      </c>
      <c r="D1141">
        <v>3</v>
      </c>
      <c r="E1141" t="s">
        <v>31</v>
      </c>
      <c r="F1141" t="str">
        <f>VLOOKUP($E1141,'Data Type Lookup'!$A$1:$C$21,2,FALSE)</f>
        <v>RAW(16)</v>
      </c>
      <c r="I1141" s="32" t="s">
        <v>32</v>
      </c>
      <c r="L1141" s="32" t="s">
        <v>32</v>
      </c>
      <c r="P1141" t="s">
        <v>1790</v>
      </c>
      <c r="Q1141" t="s">
        <v>280</v>
      </c>
      <c r="R1141" t="str">
        <f>VLOOKUP(E1141,'Data Type Lookup'!$A$1:$C$21,3,FALSE)</f>
        <v>java.util.UUID</v>
      </c>
      <c r="S1141">
        <v>1</v>
      </c>
      <c r="W1141" t="str">
        <f t="shared" si="26"/>
        <v>USER_NOTE_VALUE.PRIMARY_ENTITY_UID</v>
      </c>
      <c r="X1141" t="e">
        <f>VLOOKUP(W1141,ColumnMapping[New Table.Column],1,)</f>
        <v>#N/A</v>
      </c>
      <c r="Y1141" t="str">
        <f>_xlfn.XLOOKUP(Table6[[#This Row],[Table.Column]],ColumnMapping[Add Column Name],ColumnMapping[Old Table.Column],"",0,1)</f>
        <v/>
      </c>
      <c r="Z1141" t="str">
        <f>_xlfn.XLOOKUP(Table6[[#This Row],[Old Table.Column]],Cobra8.6[Table.Column],Cobra8.6[TYPE],"",0,1)</f>
        <v/>
      </c>
      <c r="AA1141" t="str">
        <f>_xlfn.XLOOKUP(Table6[[#This Row],[Old Table.Column]],Cobra8.6[Table.Column],Cobra8.6[LENGTH],"",0,1)</f>
        <v/>
      </c>
      <c r="AB1141"/>
    </row>
    <row r="1142" spans="1:28" hidden="1" x14ac:dyDescent="0.2">
      <c r="A1142" t="s">
        <v>1599</v>
      </c>
      <c r="B1142" t="s">
        <v>1788</v>
      </c>
      <c r="C1142" t="s">
        <v>1602</v>
      </c>
      <c r="D1142">
        <v>5</v>
      </c>
      <c r="E1142" t="s">
        <v>31</v>
      </c>
      <c r="F1142" t="str">
        <f>VLOOKUP($E1142,'Data Type Lookup'!$A$1:$C$21,2,FALSE)</f>
        <v>RAW(16)</v>
      </c>
      <c r="I1142" s="32" t="s">
        <v>32</v>
      </c>
      <c r="L1142" s="32" t="s">
        <v>32</v>
      </c>
      <c r="P1142" t="s">
        <v>1791</v>
      </c>
      <c r="Q1142" t="s">
        <v>1604</v>
      </c>
      <c r="R1142" t="str">
        <f>VLOOKUP(E1142,'Data Type Lookup'!$A$1:$C$21,3,FALSE)</f>
        <v>java.util.UUID</v>
      </c>
      <c r="S1142">
        <v>1</v>
      </c>
      <c r="W1142" t="str">
        <f t="shared" si="26"/>
        <v>USER_NOTE_VALUE.ENTITY_UID</v>
      </c>
      <c r="X1142" t="str">
        <f>VLOOKUP(W1142,ColumnMapping[New Table.Column],1,)</f>
        <v>USER_NOTE_VALUE.ENTITY_UID</v>
      </c>
      <c r="Y1142" t="str">
        <f>_xlfn.XLOOKUP(Table6[[#This Row],[Table.Column]],ColumnMapping[Add Column Name],ColumnMapping[Old Table.Column],"",0,1)</f>
        <v/>
      </c>
      <c r="Z1142" t="str">
        <f>_xlfn.XLOOKUP(Table6[[#This Row],[Old Table.Column]],Cobra8.6[Table.Column],Cobra8.6[TYPE],"",0,1)</f>
        <v/>
      </c>
      <c r="AA1142" t="str">
        <f>_xlfn.XLOOKUP(Table6[[#This Row],[Old Table.Column]],Cobra8.6[Table.Column],Cobra8.6[LENGTH],"",0,1)</f>
        <v/>
      </c>
      <c r="AB1142"/>
    </row>
    <row r="1143" spans="1:28" hidden="1" x14ac:dyDescent="0.2">
      <c r="A1143" t="s">
        <v>1599</v>
      </c>
      <c r="B1143" t="s">
        <v>1788</v>
      </c>
      <c r="C1143" t="s">
        <v>98</v>
      </c>
      <c r="D1143">
        <v>6</v>
      </c>
      <c r="E1143" t="s">
        <v>48</v>
      </c>
      <c r="F1143" t="str">
        <f>VLOOKUP($E1143,'Data Type Lookup'!$A$1:$C$21,2,FALSE)</f>
        <v>NVARCHAR2</v>
      </c>
      <c r="G1143">
        <v>30</v>
      </c>
      <c r="I1143" s="32" t="s">
        <v>32</v>
      </c>
      <c r="L1143" s="32" t="s">
        <v>32</v>
      </c>
      <c r="P1143" t="s">
        <v>1624</v>
      </c>
      <c r="Q1143" t="s">
        <v>100</v>
      </c>
      <c r="R1143" t="str">
        <f>VLOOKUP(E1143,'Data Type Lookup'!$A$1:$C$21,3,FALSE)</f>
        <v>String</v>
      </c>
      <c r="V1143" t="s">
        <v>1625</v>
      </c>
      <c r="W1143" t="str">
        <f t="shared" si="26"/>
        <v>USER_NOTE_VALUE.FIELD_NAME</v>
      </c>
      <c r="X1143" t="str">
        <f>VLOOKUP(W1143,ColumnMapping[New Table.Column],1,)</f>
        <v>USER_NOTE_VALUE.FIELD_NAME</v>
      </c>
      <c r="Y1143" t="str">
        <f>_xlfn.XLOOKUP(Table6[[#This Row],[Table.Column]],ColumnMapping[Add Column Name],ColumnMapping[Old Table.Column],"",0,1)</f>
        <v/>
      </c>
      <c r="Z1143" t="str">
        <f>_xlfn.XLOOKUP(Table6[[#This Row],[Old Table.Column]],Cobra8.6[Table.Column],Cobra8.6[TYPE],"",0,1)</f>
        <v/>
      </c>
      <c r="AA1143" t="str">
        <f>_xlfn.XLOOKUP(Table6[[#This Row],[Old Table.Column]],Cobra8.6[Table.Column],Cobra8.6[LENGTH],"",0,1)</f>
        <v/>
      </c>
      <c r="AB1143"/>
    </row>
    <row r="1144" spans="1:28" hidden="1" x14ac:dyDescent="0.2">
      <c r="A1144" t="s">
        <v>1599</v>
      </c>
      <c r="B1144" t="s">
        <v>1788</v>
      </c>
      <c r="C1144" t="s">
        <v>61</v>
      </c>
      <c r="D1144">
        <v>7</v>
      </c>
      <c r="E1144" t="s">
        <v>31</v>
      </c>
      <c r="F1144" t="str">
        <f>VLOOKUP($E1144,'Data Type Lookup'!$A$1:$C$21,2,FALSE)</f>
        <v>RAW(16)</v>
      </c>
      <c r="I1144" s="32" t="s">
        <v>32</v>
      </c>
      <c r="P1144" t="s">
        <v>1792</v>
      </c>
      <c r="Q1144" t="s">
        <v>63</v>
      </c>
      <c r="R1144" t="str">
        <f>VLOOKUP(E1144,'Data Type Lookup'!$A$1:$C$21,3,FALSE)</f>
        <v>java.util.UUID</v>
      </c>
      <c r="S1144">
        <v>2</v>
      </c>
      <c r="W1144" t="str">
        <f t="shared" si="26"/>
        <v>USER_NOTE_VALUE.CREATED_BY_USER_UID</v>
      </c>
      <c r="X1144" t="str">
        <f>VLOOKUP(W1144,ColumnMapping[New Table.Column],1,)</f>
        <v>USER_NOTE_VALUE.CREATED_BY_USER_UID</v>
      </c>
      <c r="Y1144" t="str">
        <f>_xlfn.XLOOKUP(Table6[[#This Row],[Table.Column]],ColumnMapping[Add Column Name],ColumnMapping[Old Table.Column],"",0,1)</f>
        <v/>
      </c>
      <c r="Z1144" t="str">
        <f>_xlfn.XLOOKUP(Table6[[#This Row],[Old Table.Column]],Cobra8.6[Table.Column],Cobra8.6[TYPE],"",0,1)</f>
        <v/>
      </c>
      <c r="AA1144" t="str">
        <f>_xlfn.XLOOKUP(Table6[[#This Row],[Old Table.Column]],Cobra8.6[Table.Column],Cobra8.6[LENGTH],"",0,1)</f>
        <v/>
      </c>
      <c r="AB1144"/>
    </row>
    <row r="1145" spans="1:28" hidden="1" x14ac:dyDescent="0.2">
      <c r="A1145" t="s">
        <v>1599</v>
      </c>
      <c r="B1145" t="s">
        <v>1788</v>
      </c>
      <c r="C1145" t="s">
        <v>64</v>
      </c>
      <c r="D1145">
        <v>8</v>
      </c>
      <c r="E1145" t="s">
        <v>65</v>
      </c>
      <c r="F1145" t="str">
        <f>VLOOKUP($E1145,'Data Type Lookup'!$A$1:$C$21,2,FALSE)</f>
        <v>TIMESTAMP</v>
      </c>
      <c r="I1145" s="32" t="s">
        <v>32</v>
      </c>
      <c r="P1145" t="s">
        <v>1793</v>
      </c>
      <c r="Q1145" t="s">
        <v>67</v>
      </c>
      <c r="R1145" t="str">
        <f>VLOOKUP(E1145,'Data Type Lookup'!$A$1:$C$21,3,FALSE)</f>
        <v>java.time.Instant</v>
      </c>
      <c r="S1145">
        <v>2</v>
      </c>
      <c r="V1145" t="s">
        <v>1631</v>
      </c>
      <c r="W1145" t="str">
        <f t="shared" si="26"/>
        <v>USER_NOTE_VALUE.CREATED_DATE</v>
      </c>
      <c r="X1145" t="str">
        <f>VLOOKUP(W1145,ColumnMapping[New Table.Column],1,)</f>
        <v>USER_NOTE_VALUE.CREATED_DATE</v>
      </c>
      <c r="Y1145" t="str">
        <f>_xlfn.XLOOKUP(Table6[[#This Row],[Table.Column]],ColumnMapping[Add Column Name],ColumnMapping[Old Table.Column],"",0,1)</f>
        <v/>
      </c>
      <c r="Z1145" t="str">
        <f>_xlfn.XLOOKUP(Table6[[#This Row],[Old Table.Column]],Cobra8.6[Table.Column],Cobra8.6[TYPE],"",0,1)</f>
        <v/>
      </c>
      <c r="AA1145" t="str">
        <f>_xlfn.XLOOKUP(Table6[[#This Row],[Old Table.Column]],Cobra8.6[Table.Column],Cobra8.6[LENGTH],"",0,1)</f>
        <v/>
      </c>
      <c r="AB1145"/>
    </row>
    <row r="1146" spans="1:28" hidden="1" x14ac:dyDescent="0.2">
      <c r="A1146" t="s">
        <v>1599</v>
      </c>
      <c r="B1146" t="s">
        <v>1788</v>
      </c>
      <c r="C1146" t="s">
        <v>68</v>
      </c>
      <c r="D1146">
        <v>9</v>
      </c>
      <c r="E1146" t="s">
        <v>31</v>
      </c>
      <c r="F1146" t="str">
        <f>VLOOKUP($E1146,'Data Type Lookup'!$A$1:$C$21,2,FALSE)</f>
        <v>RAW(16)</v>
      </c>
      <c r="I1146" s="32" t="s">
        <v>32</v>
      </c>
      <c r="P1146" t="s">
        <v>1794</v>
      </c>
      <c r="Q1146" t="s">
        <v>70</v>
      </c>
      <c r="R1146" t="str">
        <f>VLOOKUP(E1146,'Data Type Lookup'!$A$1:$C$21,3,FALSE)</f>
        <v>java.util.UUID</v>
      </c>
      <c r="S1146">
        <v>2</v>
      </c>
      <c r="W1146" t="str">
        <f t="shared" si="26"/>
        <v>USER_NOTE_VALUE.LAST_MODIFIED_BY_USER_UID</v>
      </c>
      <c r="X1146" t="str">
        <f>VLOOKUP(W1146,ColumnMapping[New Table.Column],1,)</f>
        <v>USER_NOTE_VALUE.LAST_MODIFIED_BY_USER_UID</v>
      </c>
      <c r="Y1146" t="str">
        <f>_xlfn.XLOOKUP(Table6[[#This Row],[Table.Column]],ColumnMapping[Add Column Name],ColumnMapping[Old Table.Column],"",0,1)</f>
        <v/>
      </c>
      <c r="Z1146" t="str">
        <f>_xlfn.XLOOKUP(Table6[[#This Row],[Old Table.Column]],Cobra8.6[Table.Column],Cobra8.6[TYPE],"",0,1)</f>
        <v/>
      </c>
      <c r="AA1146" t="str">
        <f>_xlfn.XLOOKUP(Table6[[#This Row],[Old Table.Column]],Cobra8.6[Table.Column],Cobra8.6[LENGTH],"",0,1)</f>
        <v/>
      </c>
      <c r="AB1146"/>
    </row>
    <row r="1147" spans="1:28" hidden="1" x14ac:dyDescent="0.2">
      <c r="A1147" t="s">
        <v>1599</v>
      </c>
      <c r="B1147" t="s">
        <v>1788</v>
      </c>
      <c r="C1147" t="s">
        <v>71</v>
      </c>
      <c r="D1147">
        <v>10</v>
      </c>
      <c r="E1147" t="s">
        <v>65</v>
      </c>
      <c r="F1147" t="str">
        <f>VLOOKUP($E1147,'Data Type Lookup'!$A$1:$C$21,2,FALSE)</f>
        <v>TIMESTAMP</v>
      </c>
      <c r="I1147" s="32" t="s">
        <v>32</v>
      </c>
      <c r="P1147" t="s">
        <v>1795</v>
      </c>
      <c r="Q1147" t="s">
        <v>73</v>
      </c>
      <c r="R1147" t="str">
        <f>VLOOKUP(E1147,'Data Type Lookup'!$A$1:$C$21,3,FALSE)</f>
        <v>java.time.Instant</v>
      </c>
      <c r="S1147">
        <v>2</v>
      </c>
      <c r="W1147" t="str">
        <f t="shared" si="26"/>
        <v>USER_NOTE_VALUE.LAST_MODIFIED_DATE</v>
      </c>
      <c r="X1147" t="str">
        <f>VLOOKUP(W1147,ColumnMapping[New Table.Column],1,)</f>
        <v>USER_NOTE_VALUE.LAST_MODIFIED_DATE</v>
      </c>
      <c r="Y1147" t="str">
        <f>_xlfn.XLOOKUP(Table6[[#This Row],[Table.Column]],ColumnMapping[Add Column Name],ColumnMapping[Old Table.Column],"",0,1)</f>
        <v/>
      </c>
      <c r="Z1147" t="str">
        <f>_xlfn.XLOOKUP(Table6[[#This Row],[Old Table.Column]],Cobra8.6[Table.Column],Cobra8.6[TYPE],"",0,1)</f>
        <v/>
      </c>
      <c r="AA1147" t="str">
        <f>_xlfn.XLOOKUP(Table6[[#This Row],[Old Table.Column]],Cobra8.6[Table.Column],Cobra8.6[LENGTH],"",0,1)</f>
        <v/>
      </c>
      <c r="AB1147"/>
    </row>
    <row r="1148" spans="1:28" hidden="1" x14ac:dyDescent="0.2">
      <c r="A1148" t="s">
        <v>1599</v>
      </c>
      <c r="B1148" t="s">
        <v>1788</v>
      </c>
      <c r="C1148" t="s">
        <v>1796</v>
      </c>
      <c r="D1148">
        <v>11</v>
      </c>
      <c r="E1148" t="s">
        <v>271</v>
      </c>
      <c r="F1148" t="str">
        <f>VLOOKUP($E1148,'Data Type Lookup'!$A$1:$C$21,2,FALSE)</f>
        <v>NCLOB</v>
      </c>
      <c r="I1148" s="32" t="s">
        <v>32</v>
      </c>
      <c r="P1148" t="s">
        <v>1797</v>
      </c>
      <c r="Q1148" t="s">
        <v>1798</v>
      </c>
      <c r="R1148" t="str">
        <f>VLOOKUP(E1148,'Data Type Lookup'!$A$1:$C$21,3,FALSE)</f>
        <v>String</v>
      </c>
      <c r="W1148" t="str">
        <f t="shared" si="26"/>
        <v>USER_NOTE_VALUE.FIELD_VALUE</v>
      </c>
      <c r="X1148" t="str">
        <f>VLOOKUP(W1148,ColumnMapping[New Table.Column],1,)</f>
        <v>USER_NOTE_VALUE.FIELD_VALUE</v>
      </c>
      <c r="Y1148" t="str">
        <f>_xlfn.XLOOKUP(Table6[[#This Row],[Table.Column]],ColumnMapping[Add Column Name],ColumnMapping[Old Table.Column],"",0,1)</f>
        <v/>
      </c>
      <c r="Z1148" t="str">
        <f>_xlfn.XLOOKUP(Table6[[#This Row],[Old Table.Column]],Cobra8.6[Table.Column],Cobra8.6[TYPE],"",0,1)</f>
        <v/>
      </c>
      <c r="AA1148" t="str">
        <f>_xlfn.XLOOKUP(Table6[[#This Row],[Old Table.Column]],Cobra8.6[Table.Column],Cobra8.6[LENGTH],"",0,1)</f>
        <v/>
      </c>
      <c r="AB1148"/>
    </row>
    <row r="1149" spans="1:28" hidden="1" x14ac:dyDescent="0.2">
      <c r="A1149" t="s">
        <v>1799</v>
      </c>
      <c r="B1149" t="s">
        <v>1072</v>
      </c>
      <c r="C1149" t="s">
        <v>1800</v>
      </c>
      <c r="D1149">
        <v>5</v>
      </c>
      <c r="E1149" t="s">
        <v>1664</v>
      </c>
      <c r="F1149" t="str">
        <f>VLOOKUP($E1149,'Data Type Lookup'!$A$1:$C$21,2,FALSE)</f>
        <v>NCLOB</v>
      </c>
      <c r="I1149" s="32" t="s">
        <v>32</v>
      </c>
      <c r="P1149" t="s">
        <v>1801</v>
      </c>
      <c r="Q1149" t="s">
        <v>1802</v>
      </c>
      <c r="R1149" t="str">
        <f>VLOOKUP(E1149,'Data Type Lookup'!$A$1:$C$21,3,FALSE)</f>
        <v>String</v>
      </c>
      <c r="W1149" t="str">
        <f t="shared" si="26"/>
        <v>SPREAD_CURVE.POINT_VALUES</v>
      </c>
      <c r="X1149" t="str">
        <f>VLOOKUP(W1149,ColumnMapping[New Table.Column],1,)</f>
        <v>SPREAD_CURVE.POINT_VALUES</v>
      </c>
      <c r="Y1149" t="str">
        <f>_xlfn.XLOOKUP(Table6[[#This Row],[Table.Column]],ColumnMapping[Add Column Name],ColumnMapping[Old Table.Column],"",0,1)</f>
        <v/>
      </c>
      <c r="Z1149" t="str">
        <f>_xlfn.XLOOKUP(Table6[[#This Row],[Old Table.Column]],Cobra8.6[Table.Column],Cobra8.6[TYPE],"",0,1)</f>
        <v/>
      </c>
      <c r="AA1149" t="str">
        <f>_xlfn.XLOOKUP(Table6[[#This Row],[Old Table.Column]],Cobra8.6[Table.Column],Cobra8.6[LENGTH],"",0,1)</f>
        <v/>
      </c>
      <c r="AB1149"/>
    </row>
    <row r="1150" spans="1:28" hidden="1" x14ac:dyDescent="0.2">
      <c r="A1150" t="s">
        <v>1799</v>
      </c>
      <c r="B1150" t="s">
        <v>1072</v>
      </c>
      <c r="C1150" t="s">
        <v>61</v>
      </c>
      <c r="D1150">
        <v>6</v>
      </c>
      <c r="E1150" t="s">
        <v>31</v>
      </c>
      <c r="F1150" t="str">
        <f>VLOOKUP($E1150,'Data Type Lookup'!$A$1:$C$21,2,FALSE)</f>
        <v>RAW(16)</v>
      </c>
      <c r="I1150" s="32" t="s">
        <v>32</v>
      </c>
      <c r="P1150" t="s">
        <v>1803</v>
      </c>
      <c r="Q1150" t="s">
        <v>63</v>
      </c>
      <c r="R1150" t="str">
        <f>VLOOKUP(E1150,'Data Type Lookup'!$A$1:$C$21,3,FALSE)</f>
        <v>java.util.UUID</v>
      </c>
      <c r="S1150">
        <v>2</v>
      </c>
      <c r="W1150" t="str">
        <f t="shared" si="26"/>
        <v>SPREAD_CURVE.CREATED_BY_USER_UID</v>
      </c>
      <c r="X1150" t="str">
        <f>VLOOKUP(W1150,ColumnMapping[New Table.Column],1,)</f>
        <v>SPREAD_CURVE.CREATED_BY_USER_UID</v>
      </c>
      <c r="Y1150" t="str">
        <f>_xlfn.XLOOKUP(Table6[[#This Row],[Table.Column]],ColumnMapping[Add Column Name],ColumnMapping[Old Table.Column],"",0,1)</f>
        <v/>
      </c>
      <c r="Z1150" t="str">
        <f>_xlfn.XLOOKUP(Table6[[#This Row],[Old Table.Column]],Cobra8.6[Table.Column],Cobra8.6[TYPE],"",0,1)</f>
        <v/>
      </c>
      <c r="AA1150" t="str">
        <f>_xlfn.XLOOKUP(Table6[[#This Row],[Old Table.Column]],Cobra8.6[Table.Column],Cobra8.6[LENGTH],"",0,1)</f>
        <v/>
      </c>
      <c r="AB1150"/>
    </row>
    <row r="1151" spans="1:28" hidden="1" x14ac:dyDescent="0.2">
      <c r="A1151" t="s">
        <v>1799</v>
      </c>
      <c r="B1151" t="s">
        <v>1072</v>
      </c>
      <c r="C1151" t="s">
        <v>64</v>
      </c>
      <c r="D1151">
        <v>7</v>
      </c>
      <c r="E1151" t="s">
        <v>65</v>
      </c>
      <c r="F1151" t="str">
        <f>VLOOKUP($E1151,'Data Type Lookup'!$A$1:$C$21,2,FALSE)</f>
        <v>TIMESTAMP</v>
      </c>
      <c r="I1151" s="32" t="s">
        <v>32</v>
      </c>
      <c r="P1151" t="s">
        <v>1804</v>
      </c>
      <c r="Q1151" t="s">
        <v>67</v>
      </c>
      <c r="R1151" t="str">
        <f>VLOOKUP(E1151,'Data Type Lookup'!$A$1:$C$21,3,FALSE)</f>
        <v>java.time.Instant</v>
      </c>
      <c r="S1151">
        <v>2</v>
      </c>
      <c r="W1151" t="str">
        <f t="shared" si="26"/>
        <v>SPREAD_CURVE.CREATED_DATE</v>
      </c>
      <c r="X1151" t="str">
        <f>VLOOKUP(W1151,ColumnMapping[New Table.Column],1,)</f>
        <v>SPREAD_CURVE.CREATED_DATE</v>
      </c>
      <c r="Y1151" t="str">
        <f>_xlfn.XLOOKUP(Table6[[#This Row],[Table.Column]],ColumnMapping[Add Column Name],ColumnMapping[Old Table.Column],"",0,1)</f>
        <v/>
      </c>
      <c r="Z1151" t="str">
        <f>_xlfn.XLOOKUP(Table6[[#This Row],[Old Table.Column]],Cobra8.6[Table.Column],Cobra8.6[TYPE],"",0,1)</f>
        <v/>
      </c>
      <c r="AA1151" t="str">
        <f>_xlfn.XLOOKUP(Table6[[#This Row],[Old Table.Column]],Cobra8.6[Table.Column],Cobra8.6[LENGTH],"",0,1)</f>
        <v/>
      </c>
      <c r="AB1151"/>
    </row>
    <row r="1152" spans="1:28" hidden="1" x14ac:dyDescent="0.2">
      <c r="A1152" t="s">
        <v>1799</v>
      </c>
      <c r="B1152" t="s">
        <v>1072</v>
      </c>
      <c r="C1152" t="s">
        <v>68</v>
      </c>
      <c r="D1152">
        <v>8</v>
      </c>
      <c r="E1152" t="s">
        <v>31</v>
      </c>
      <c r="F1152" t="str">
        <f>VLOOKUP($E1152,'Data Type Lookup'!$A$1:$C$21,2,FALSE)</f>
        <v>RAW(16)</v>
      </c>
      <c r="I1152" s="32" t="s">
        <v>32</v>
      </c>
      <c r="P1152" t="s">
        <v>1805</v>
      </c>
      <c r="Q1152" t="s">
        <v>70</v>
      </c>
      <c r="R1152" t="str">
        <f>VLOOKUP(E1152,'Data Type Lookup'!$A$1:$C$21,3,FALSE)</f>
        <v>java.util.UUID</v>
      </c>
      <c r="S1152">
        <v>2</v>
      </c>
      <c r="W1152" t="str">
        <f t="shared" si="26"/>
        <v>SPREAD_CURVE.LAST_MODIFIED_BY_USER_UID</v>
      </c>
      <c r="X1152" t="str">
        <f>VLOOKUP(W1152,ColumnMapping[New Table.Column],1,)</f>
        <v>SPREAD_CURVE.LAST_MODIFIED_BY_USER_UID</v>
      </c>
      <c r="Y1152" t="str">
        <f>_xlfn.XLOOKUP(Table6[[#This Row],[Table.Column]],ColumnMapping[Add Column Name],ColumnMapping[Old Table.Column],"",0,1)</f>
        <v/>
      </c>
      <c r="Z1152" t="str">
        <f>_xlfn.XLOOKUP(Table6[[#This Row],[Old Table.Column]],Cobra8.6[Table.Column],Cobra8.6[TYPE],"",0,1)</f>
        <v/>
      </c>
      <c r="AA1152" t="str">
        <f>_xlfn.XLOOKUP(Table6[[#This Row],[Old Table.Column]],Cobra8.6[Table.Column],Cobra8.6[LENGTH],"",0,1)</f>
        <v/>
      </c>
      <c r="AB1152"/>
    </row>
    <row r="1153" spans="1:28" hidden="1" x14ac:dyDescent="0.2">
      <c r="A1153" t="s">
        <v>1799</v>
      </c>
      <c r="B1153" t="s">
        <v>1072</v>
      </c>
      <c r="C1153" t="s">
        <v>71</v>
      </c>
      <c r="D1153">
        <v>9</v>
      </c>
      <c r="E1153" t="s">
        <v>65</v>
      </c>
      <c r="F1153" t="str">
        <f>VLOOKUP($E1153,'Data Type Lookup'!$A$1:$C$21,2,FALSE)</f>
        <v>TIMESTAMP</v>
      </c>
      <c r="I1153" s="32" t="s">
        <v>32</v>
      </c>
      <c r="P1153" t="s">
        <v>1806</v>
      </c>
      <c r="Q1153" t="s">
        <v>73</v>
      </c>
      <c r="R1153" t="str">
        <f>VLOOKUP(E1153,'Data Type Lookup'!$A$1:$C$21,3,FALSE)</f>
        <v>java.time.Instant</v>
      </c>
      <c r="S1153">
        <v>2</v>
      </c>
      <c r="W1153" t="str">
        <f t="shared" si="26"/>
        <v>SPREAD_CURVE.LAST_MODIFIED_DATE</v>
      </c>
      <c r="X1153" t="str">
        <f>VLOOKUP(W1153,ColumnMapping[New Table.Column],1,)</f>
        <v>SPREAD_CURVE.LAST_MODIFIED_DATE</v>
      </c>
      <c r="Y1153" t="str">
        <f>_xlfn.XLOOKUP(Table6[[#This Row],[Table.Column]],ColumnMapping[Add Column Name],ColumnMapping[Old Table.Column],"",0,1)</f>
        <v/>
      </c>
      <c r="Z1153" t="str">
        <f>_xlfn.XLOOKUP(Table6[[#This Row],[Old Table.Column]],Cobra8.6[Table.Column],Cobra8.6[TYPE],"",0,1)</f>
        <v/>
      </c>
      <c r="AA1153" t="str">
        <f>_xlfn.XLOOKUP(Table6[[#This Row],[Old Table.Column]],Cobra8.6[Table.Column],Cobra8.6[LENGTH],"",0,1)</f>
        <v/>
      </c>
      <c r="AB1153"/>
    </row>
    <row r="1154" spans="1:28" hidden="1" x14ac:dyDescent="0.2">
      <c r="A1154" t="s">
        <v>1799</v>
      </c>
      <c r="B1154" s="17" t="s">
        <v>1072</v>
      </c>
      <c r="C1154" s="17" t="s">
        <v>1807</v>
      </c>
      <c r="D1154" s="17">
        <v>10</v>
      </c>
      <c r="E1154" s="17" t="s">
        <v>36</v>
      </c>
      <c r="F1154" t="str">
        <f>VLOOKUP($E1154,'Data Type Lookup'!$A$1:$C$21,2,FALSE)</f>
        <v>NUMBER(19,0)</v>
      </c>
      <c r="G1154" s="17"/>
      <c r="H1154" s="17"/>
      <c r="I1154" s="29"/>
      <c r="J1154" s="29">
        <v>0</v>
      </c>
      <c r="K1154" s="29"/>
      <c r="L1154" s="29"/>
      <c r="M1154" s="17"/>
      <c r="N1154" s="17"/>
      <c r="O1154" s="17"/>
      <c r="P1154" s="17" t="s">
        <v>1808</v>
      </c>
      <c r="Q1154" s="17" t="str">
        <f t="shared" ref="Q1154:Q1185" si="27">IF(C1154="","",LOWER(LEFT(TRIM(C1154),FIND("_",TRIM(C1154)&amp;"_")-1))&amp;SUBSTITUTE(PROPER(SUBSTITUTE(MID(TRIM(C1154),FIND("_",TRIM(C1154)&amp;"_"),LEN(TRIM(C1154))),"_"," "))," ",""))</f>
        <v>spF1</v>
      </c>
      <c r="R1154" t="str">
        <f>VLOOKUP(E1154,'Data Type Lookup'!$A$1:$C$21,3,FALSE)</f>
        <v>Long</v>
      </c>
      <c r="S1154" s="17"/>
      <c r="W1154" t="str">
        <f t="shared" si="26"/>
        <v>SPREAD_CURVE.SP_F1</v>
      </c>
      <c r="X1154" t="e">
        <f>VLOOKUP(W1154,ColumnMapping[New Table.Column],1,)</f>
        <v>#N/A</v>
      </c>
      <c r="Y1154" t="str">
        <f>_xlfn.XLOOKUP(Table6[[#This Row],[Table.Column]],ColumnMapping[Add Column Name],ColumnMapping[Old Table.Column],"",0,1)</f>
        <v>SPREAD.SP_F1</v>
      </c>
      <c r="Z1154" t="str">
        <f>_xlfn.XLOOKUP(Table6[[#This Row],[Old Table.Column]],Cobra8.6[Table.Column],Cobra8.6[TYPE],"",0,1)</f>
        <v>INTE</v>
      </c>
      <c r="AA1154">
        <f>_xlfn.XLOOKUP(Table6[[#This Row],[Old Table.Column]],Cobra8.6[Table.Column],Cobra8.6[LENGTH],"",0,1)</f>
        <v>-1</v>
      </c>
      <c r="AB1154" t="s">
        <v>32</v>
      </c>
    </row>
    <row r="1155" spans="1:28" hidden="1" x14ac:dyDescent="0.2">
      <c r="A1155" t="s">
        <v>1799</v>
      </c>
      <c r="B1155" s="17" t="s">
        <v>1072</v>
      </c>
      <c r="C1155" s="17" t="s">
        <v>1809</v>
      </c>
      <c r="D1155" s="17">
        <v>11</v>
      </c>
      <c r="E1155" s="17" t="s">
        <v>36</v>
      </c>
      <c r="F1155" t="str">
        <f>VLOOKUP($E1155,'Data Type Lookup'!$A$1:$C$21,2,FALSE)</f>
        <v>NUMBER(19,0)</v>
      </c>
      <c r="G1155" s="17"/>
      <c r="H1155" s="17"/>
      <c r="I1155" s="29"/>
      <c r="J1155" s="29">
        <v>0</v>
      </c>
      <c r="K1155" s="29"/>
      <c r="L1155" s="29"/>
      <c r="M1155" s="17"/>
      <c r="N1155" s="17"/>
      <c r="O1155" s="17"/>
      <c r="P1155" s="17" t="s">
        <v>1810</v>
      </c>
      <c r="Q1155" s="17" t="str">
        <f t="shared" si="27"/>
        <v>spF10</v>
      </c>
      <c r="R1155" t="str">
        <f>VLOOKUP(E1155,'Data Type Lookup'!$A$1:$C$21,3,FALSE)</f>
        <v>Long</v>
      </c>
      <c r="S1155" s="17"/>
      <c r="W1155" t="str">
        <f t="shared" si="26"/>
        <v>SPREAD_CURVE.SP_F10</v>
      </c>
      <c r="X1155" t="e">
        <f>VLOOKUP(W1155,ColumnMapping[New Table.Column],1,)</f>
        <v>#N/A</v>
      </c>
      <c r="Y1155" t="str">
        <f>_xlfn.XLOOKUP(Table6[[#This Row],[Table.Column]],ColumnMapping[Add Column Name],ColumnMapping[Old Table.Column],"",0,1)</f>
        <v>SPREAD.SP_F10</v>
      </c>
      <c r="Z1155" t="str">
        <f>_xlfn.XLOOKUP(Table6[[#This Row],[Old Table.Column]],Cobra8.6[Table.Column],Cobra8.6[TYPE],"",0,1)</f>
        <v>INTE</v>
      </c>
      <c r="AA1155">
        <f>_xlfn.XLOOKUP(Table6[[#This Row],[Old Table.Column]],Cobra8.6[Table.Column],Cobra8.6[LENGTH],"",0,1)</f>
        <v>-1</v>
      </c>
      <c r="AB1155" t="s">
        <v>32</v>
      </c>
    </row>
    <row r="1156" spans="1:28" hidden="1" x14ac:dyDescent="0.2">
      <c r="A1156" t="s">
        <v>1799</v>
      </c>
      <c r="B1156" s="17" t="s">
        <v>1072</v>
      </c>
      <c r="C1156" s="17" t="s">
        <v>1811</v>
      </c>
      <c r="D1156" s="17">
        <v>12</v>
      </c>
      <c r="E1156" s="17" t="s">
        <v>36</v>
      </c>
      <c r="F1156" t="str">
        <f>VLOOKUP($E1156,'Data Type Lookup'!$A$1:$C$21,2,FALSE)</f>
        <v>NUMBER(19,0)</v>
      </c>
      <c r="G1156" s="17"/>
      <c r="H1156" s="17"/>
      <c r="I1156" s="29"/>
      <c r="J1156" s="29">
        <v>0</v>
      </c>
      <c r="K1156" s="29"/>
      <c r="L1156" s="29"/>
      <c r="M1156" s="17"/>
      <c r="N1156" s="17"/>
      <c r="O1156" s="17"/>
      <c r="P1156" s="17" t="s">
        <v>1812</v>
      </c>
      <c r="Q1156" s="17" t="str">
        <f t="shared" si="27"/>
        <v>spF11</v>
      </c>
      <c r="R1156" t="str">
        <f>VLOOKUP(E1156,'Data Type Lookup'!$A$1:$C$21,3,FALSE)</f>
        <v>Long</v>
      </c>
      <c r="S1156" s="17"/>
      <c r="W1156" t="str">
        <f t="shared" si="26"/>
        <v>SPREAD_CURVE.SP_F11</v>
      </c>
      <c r="X1156" t="e">
        <f>VLOOKUP(W1156,ColumnMapping[New Table.Column],1,)</f>
        <v>#N/A</v>
      </c>
      <c r="Y1156" t="str">
        <f>_xlfn.XLOOKUP(Table6[[#This Row],[Table.Column]],ColumnMapping[Add Column Name],ColumnMapping[Old Table.Column],"",0,1)</f>
        <v>SPREAD.SP_F11</v>
      </c>
      <c r="Z1156" t="str">
        <f>_xlfn.XLOOKUP(Table6[[#This Row],[Old Table.Column]],Cobra8.6[Table.Column],Cobra8.6[TYPE],"",0,1)</f>
        <v>INTE</v>
      </c>
      <c r="AA1156">
        <f>_xlfn.XLOOKUP(Table6[[#This Row],[Old Table.Column]],Cobra8.6[Table.Column],Cobra8.6[LENGTH],"",0,1)</f>
        <v>-1</v>
      </c>
      <c r="AB1156" t="s">
        <v>32</v>
      </c>
    </row>
    <row r="1157" spans="1:28" hidden="1" x14ac:dyDescent="0.2">
      <c r="A1157" t="s">
        <v>1799</v>
      </c>
      <c r="B1157" s="17" t="s">
        <v>1072</v>
      </c>
      <c r="C1157" s="17" t="s">
        <v>1813</v>
      </c>
      <c r="D1157" s="17">
        <v>13</v>
      </c>
      <c r="E1157" s="17" t="s">
        <v>36</v>
      </c>
      <c r="F1157" t="str">
        <f>VLOOKUP($E1157,'Data Type Lookup'!$A$1:$C$21,2,FALSE)</f>
        <v>NUMBER(19,0)</v>
      </c>
      <c r="G1157" s="17"/>
      <c r="H1157" s="17"/>
      <c r="I1157" s="29"/>
      <c r="J1157" s="29">
        <v>0</v>
      </c>
      <c r="K1157" s="29"/>
      <c r="L1157" s="29"/>
      <c r="M1157" s="17"/>
      <c r="N1157" s="17"/>
      <c r="O1157" s="17"/>
      <c r="P1157" s="17" t="s">
        <v>1814</v>
      </c>
      <c r="Q1157" s="17" t="str">
        <f t="shared" si="27"/>
        <v>spF12</v>
      </c>
      <c r="R1157" t="str">
        <f>VLOOKUP(E1157,'Data Type Lookup'!$A$1:$C$21,3,FALSE)</f>
        <v>Long</v>
      </c>
      <c r="S1157" s="17"/>
      <c r="W1157" t="str">
        <f t="shared" si="26"/>
        <v>SPREAD_CURVE.SP_F12</v>
      </c>
      <c r="X1157" t="e">
        <f>VLOOKUP(W1157,ColumnMapping[New Table.Column],1,)</f>
        <v>#N/A</v>
      </c>
      <c r="Y1157" t="str">
        <f>_xlfn.XLOOKUP(Table6[[#This Row],[Table.Column]],ColumnMapping[Add Column Name],ColumnMapping[Old Table.Column],"",0,1)</f>
        <v>SPREAD.SP_F12</v>
      </c>
      <c r="Z1157" t="str">
        <f>_xlfn.XLOOKUP(Table6[[#This Row],[Old Table.Column]],Cobra8.6[Table.Column],Cobra8.6[TYPE],"",0,1)</f>
        <v>INTE</v>
      </c>
      <c r="AA1157">
        <f>_xlfn.XLOOKUP(Table6[[#This Row],[Old Table.Column]],Cobra8.6[Table.Column],Cobra8.6[LENGTH],"",0,1)</f>
        <v>-1</v>
      </c>
      <c r="AB1157" t="s">
        <v>32</v>
      </c>
    </row>
    <row r="1158" spans="1:28" hidden="1" x14ac:dyDescent="0.2">
      <c r="A1158" t="s">
        <v>1799</v>
      </c>
      <c r="B1158" s="17" t="s">
        <v>1072</v>
      </c>
      <c r="C1158" s="17" t="s">
        <v>1815</v>
      </c>
      <c r="D1158" s="17">
        <v>14</v>
      </c>
      <c r="E1158" s="17" t="s">
        <v>36</v>
      </c>
      <c r="F1158" t="str">
        <f>VLOOKUP($E1158,'Data Type Lookup'!$A$1:$C$21,2,FALSE)</f>
        <v>NUMBER(19,0)</v>
      </c>
      <c r="G1158" s="17"/>
      <c r="H1158" s="17"/>
      <c r="I1158" s="29"/>
      <c r="J1158" s="29">
        <v>0</v>
      </c>
      <c r="K1158" s="29"/>
      <c r="L1158" s="29"/>
      <c r="M1158" s="17"/>
      <c r="N1158" s="17"/>
      <c r="O1158" s="17"/>
      <c r="P1158" s="17" t="s">
        <v>1816</v>
      </c>
      <c r="Q1158" s="17" t="str">
        <f t="shared" si="27"/>
        <v>spF13</v>
      </c>
      <c r="R1158" t="str">
        <f>VLOOKUP(E1158,'Data Type Lookup'!$A$1:$C$21,3,FALSE)</f>
        <v>Long</v>
      </c>
      <c r="S1158" s="17"/>
      <c r="W1158" t="str">
        <f t="shared" si="26"/>
        <v>SPREAD_CURVE.SP_F13</v>
      </c>
      <c r="X1158" t="e">
        <f>VLOOKUP(W1158,ColumnMapping[New Table.Column],1,)</f>
        <v>#N/A</v>
      </c>
      <c r="Y1158" t="str">
        <f>_xlfn.XLOOKUP(Table6[[#This Row],[Table.Column]],ColumnMapping[Add Column Name],ColumnMapping[Old Table.Column],"",0,1)</f>
        <v>SPREAD.SP_F13</v>
      </c>
      <c r="Z1158" t="str">
        <f>_xlfn.XLOOKUP(Table6[[#This Row],[Old Table.Column]],Cobra8.6[Table.Column],Cobra8.6[TYPE],"",0,1)</f>
        <v>INTE</v>
      </c>
      <c r="AA1158">
        <f>_xlfn.XLOOKUP(Table6[[#This Row],[Old Table.Column]],Cobra8.6[Table.Column],Cobra8.6[LENGTH],"",0,1)</f>
        <v>-1</v>
      </c>
      <c r="AB1158" t="s">
        <v>32</v>
      </c>
    </row>
    <row r="1159" spans="1:28" hidden="1" x14ac:dyDescent="0.2">
      <c r="A1159" t="s">
        <v>1799</v>
      </c>
      <c r="B1159" s="17" t="s">
        <v>1072</v>
      </c>
      <c r="C1159" s="17" t="s">
        <v>1817</v>
      </c>
      <c r="D1159" s="17">
        <v>15</v>
      </c>
      <c r="E1159" s="17" t="s">
        <v>36</v>
      </c>
      <c r="F1159" t="str">
        <f>VLOOKUP($E1159,'Data Type Lookup'!$A$1:$C$21,2,FALSE)</f>
        <v>NUMBER(19,0)</v>
      </c>
      <c r="G1159" s="17"/>
      <c r="H1159" s="17"/>
      <c r="I1159" s="29"/>
      <c r="J1159" s="29">
        <v>0</v>
      </c>
      <c r="K1159" s="29"/>
      <c r="L1159" s="29"/>
      <c r="M1159" s="17"/>
      <c r="N1159" s="17"/>
      <c r="O1159" s="17"/>
      <c r="P1159" s="17" t="s">
        <v>1818</v>
      </c>
      <c r="Q1159" s="17" t="str">
        <f t="shared" si="27"/>
        <v>spF14</v>
      </c>
      <c r="R1159" t="str">
        <f>VLOOKUP(E1159,'Data Type Lookup'!$A$1:$C$21,3,FALSE)</f>
        <v>Long</v>
      </c>
      <c r="S1159" s="17"/>
      <c r="W1159" t="str">
        <f t="shared" si="26"/>
        <v>SPREAD_CURVE.SP_F14</v>
      </c>
      <c r="X1159" t="e">
        <f>VLOOKUP(W1159,ColumnMapping[New Table.Column],1,)</f>
        <v>#N/A</v>
      </c>
      <c r="Y1159" t="str">
        <f>_xlfn.XLOOKUP(Table6[[#This Row],[Table.Column]],ColumnMapping[Add Column Name],ColumnMapping[Old Table.Column],"",0,1)</f>
        <v>SPREAD.SP_F14</v>
      </c>
      <c r="Z1159" t="str">
        <f>_xlfn.XLOOKUP(Table6[[#This Row],[Old Table.Column]],Cobra8.6[Table.Column],Cobra8.6[TYPE],"",0,1)</f>
        <v>INTE</v>
      </c>
      <c r="AA1159">
        <f>_xlfn.XLOOKUP(Table6[[#This Row],[Old Table.Column]],Cobra8.6[Table.Column],Cobra8.6[LENGTH],"",0,1)</f>
        <v>-1</v>
      </c>
      <c r="AB1159" t="s">
        <v>32</v>
      </c>
    </row>
    <row r="1160" spans="1:28" hidden="1" x14ac:dyDescent="0.2">
      <c r="A1160" t="s">
        <v>1799</v>
      </c>
      <c r="B1160" s="17" t="s">
        <v>1072</v>
      </c>
      <c r="C1160" s="17" t="s">
        <v>1819</v>
      </c>
      <c r="D1160" s="17">
        <v>16</v>
      </c>
      <c r="E1160" s="17" t="s">
        <v>36</v>
      </c>
      <c r="F1160" t="str">
        <f>VLOOKUP($E1160,'Data Type Lookup'!$A$1:$C$21,2,FALSE)</f>
        <v>NUMBER(19,0)</v>
      </c>
      <c r="G1160" s="17"/>
      <c r="H1160" s="17"/>
      <c r="I1160" s="29"/>
      <c r="J1160" s="29">
        <v>0</v>
      </c>
      <c r="K1160" s="29"/>
      <c r="L1160" s="29"/>
      <c r="M1160" s="17"/>
      <c r="N1160" s="17"/>
      <c r="O1160" s="17"/>
      <c r="P1160" s="17" t="s">
        <v>1820</v>
      </c>
      <c r="Q1160" s="17" t="str">
        <f t="shared" si="27"/>
        <v>spF15</v>
      </c>
      <c r="R1160" t="str">
        <f>VLOOKUP(E1160,'Data Type Lookup'!$A$1:$C$21,3,FALSE)</f>
        <v>Long</v>
      </c>
      <c r="S1160" s="17"/>
      <c r="W1160" t="str">
        <f t="shared" si="26"/>
        <v>SPREAD_CURVE.SP_F15</v>
      </c>
      <c r="X1160" t="e">
        <f>VLOOKUP(W1160,ColumnMapping[New Table.Column],1,)</f>
        <v>#N/A</v>
      </c>
      <c r="Y1160" t="str">
        <f>_xlfn.XLOOKUP(Table6[[#This Row],[Table.Column]],ColumnMapping[Add Column Name],ColumnMapping[Old Table.Column],"",0,1)</f>
        <v>SPREAD.SP_F15</v>
      </c>
      <c r="Z1160" t="str">
        <f>_xlfn.XLOOKUP(Table6[[#This Row],[Old Table.Column]],Cobra8.6[Table.Column],Cobra8.6[TYPE],"",0,1)</f>
        <v>INTE</v>
      </c>
      <c r="AA1160">
        <f>_xlfn.XLOOKUP(Table6[[#This Row],[Old Table.Column]],Cobra8.6[Table.Column],Cobra8.6[LENGTH],"",0,1)</f>
        <v>-1</v>
      </c>
      <c r="AB1160" t="s">
        <v>32</v>
      </c>
    </row>
    <row r="1161" spans="1:28" hidden="1" x14ac:dyDescent="0.2">
      <c r="A1161" t="s">
        <v>1799</v>
      </c>
      <c r="B1161" s="17" t="s">
        <v>1072</v>
      </c>
      <c r="C1161" s="17" t="s">
        <v>1821</v>
      </c>
      <c r="D1161" s="17">
        <v>17</v>
      </c>
      <c r="E1161" s="17" t="s">
        <v>36</v>
      </c>
      <c r="F1161" t="str">
        <f>VLOOKUP($E1161,'Data Type Lookup'!$A$1:$C$21,2,FALSE)</f>
        <v>NUMBER(19,0)</v>
      </c>
      <c r="G1161" s="17"/>
      <c r="H1161" s="17"/>
      <c r="I1161" s="29"/>
      <c r="J1161" s="29">
        <v>0</v>
      </c>
      <c r="K1161" s="29"/>
      <c r="L1161" s="29"/>
      <c r="M1161" s="17"/>
      <c r="N1161" s="17"/>
      <c r="O1161" s="17"/>
      <c r="P1161" s="17" t="s">
        <v>1822</v>
      </c>
      <c r="Q1161" s="17" t="str">
        <f t="shared" si="27"/>
        <v>spF16</v>
      </c>
      <c r="R1161" t="str">
        <f>VLOOKUP(E1161,'Data Type Lookup'!$A$1:$C$21,3,FALSE)</f>
        <v>Long</v>
      </c>
      <c r="S1161" s="17"/>
      <c r="W1161" t="str">
        <f t="shared" si="26"/>
        <v>SPREAD_CURVE.SP_F16</v>
      </c>
      <c r="X1161" t="e">
        <f>VLOOKUP(W1161,ColumnMapping[New Table.Column],1,)</f>
        <v>#N/A</v>
      </c>
      <c r="Y1161" t="str">
        <f>_xlfn.XLOOKUP(Table6[[#This Row],[Table.Column]],ColumnMapping[Add Column Name],ColumnMapping[Old Table.Column],"",0,1)</f>
        <v>SPREAD.SP_F16</v>
      </c>
      <c r="Z1161" t="str">
        <f>_xlfn.XLOOKUP(Table6[[#This Row],[Old Table.Column]],Cobra8.6[Table.Column],Cobra8.6[TYPE],"",0,1)</f>
        <v>INTE</v>
      </c>
      <c r="AA1161">
        <f>_xlfn.XLOOKUP(Table6[[#This Row],[Old Table.Column]],Cobra8.6[Table.Column],Cobra8.6[LENGTH],"",0,1)</f>
        <v>-1</v>
      </c>
      <c r="AB1161" t="s">
        <v>32</v>
      </c>
    </row>
    <row r="1162" spans="1:28" hidden="1" x14ac:dyDescent="0.2">
      <c r="A1162" t="s">
        <v>1799</v>
      </c>
      <c r="B1162" s="17" t="s">
        <v>1072</v>
      </c>
      <c r="C1162" s="17" t="s">
        <v>1823</v>
      </c>
      <c r="D1162" s="17">
        <v>18</v>
      </c>
      <c r="E1162" s="17" t="s">
        <v>36</v>
      </c>
      <c r="F1162" t="str">
        <f>VLOOKUP($E1162,'Data Type Lookup'!$A$1:$C$21,2,FALSE)</f>
        <v>NUMBER(19,0)</v>
      </c>
      <c r="G1162" s="17"/>
      <c r="H1162" s="17"/>
      <c r="I1162" s="29"/>
      <c r="J1162" s="29">
        <v>0</v>
      </c>
      <c r="K1162" s="29"/>
      <c r="L1162" s="29"/>
      <c r="M1162" s="17"/>
      <c r="N1162" s="17"/>
      <c r="O1162" s="17"/>
      <c r="P1162" s="17" t="s">
        <v>1824</v>
      </c>
      <c r="Q1162" s="17" t="str">
        <f t="shared" si="27"/>
        <v>spF17</v>
      </c>
      <c r="R1162" t="str">
        <f>VLOOKUP(E1162,'Data Type Lookup'!$A$1:$C$21,3,FALSE)</f>
        <v>Long</v>
      </c>
      <c r="S1162" s="17"/>
      <c r="W1162" t="str">
        <f t="shared" si="26"/>
        <v>SPREAD_CURVE.SP_F17</v>
      </c>
      <c r="X1162" t="e">
        <f>VLOOKUP(W1162,ColumnMapping[New Table.Column],1,)</f>
        <v>#N/A</v>
      </c>
      <c r="Y1162" t="str">
        <f>_xlfn.XLOOKUP(Table6[[#This Row],[Table.Column]],ColumnMapping[Add Column Name],ColumnMapping[Old Table.Column],"",0,1)</f>
        <v>SPREAD.SP_F17</v>
      </c>
      <c r="Z1162" t="str">
        <f>_xlfn.XLOOKUP(Table6[[#This Row],[Old Table.Column]],Cobra8.6[Table.Column],Cobra8.6[TYPE],"",0,1)</f>
        <v>INTE</v>
      </c>
      <c r="AA1162">
        <f>_xlfn.XLOOKUP(Table6[[#This Row],[Old Table.Column]],Cobra8.6[Table.Column],Cobra8.6[LENGTH],"",0,1)</f>
        <v>-1</v>
      </c>
      <c r="AB1162" t="s">
        <v>32</v>
      </c>
    </row>
    <row r="1163" spans="1:28" hidden="1" x14ac:dyDescent="0.2">
      <c r="A1163" t="s">
        <v>1799</v>
      </c>
      <c r="B1163" s="17" t="s">
        <v>1072</v>
      </c>
      <c r="C1163" s="17" t="s">
        <v>1825</v>
      </c>
      <c r="D1163" s="17">
        <v>19</v>
      </c>
      <c r="E1163" s="17" t="s">
        <v>36</v>
      </c>
      <c r="F1163" t="str">
        <f>VLOOKUP($E1163,'Data Type Lookup'!$A$1:$C$21,2,FALSE)</f>
        <v>NUMBER(19,0)</v>
      </c>
      <c r="G1163" s="17"/>
      <c r="H1163" s="17"/>
      <c r="I1163" s="29"/>
      <c r="J1163" s="29">
        <v>0</v>
      </c>
      <c r="K1163" s="29"/>
      <c r="L1163" s="29"/>
      <c r="M1163" s="17"/>
      <c r="N1163" s="17"/>
      <c r="O1163" s="17"/>
      <c r="P1163" s="17" t="s">
        <v>1826</v>
      </c>
      <c r="Q1163" s="17" t="str">
        <f t="shared" si="27"/>
        <v>spF18</v>
      </c>
      <c r="R1163" t="str">
        <f>VLOOKUP(E1163,'Data Type Lookup'!$A$1:$C$21,3,FALSE)</f>
        <v>Long</v>
      </c>
      <c r="S1163" s="17"/>
      <c r="W1163" t="str">
        <f t="shared" si="26"/>
        <v>SPREAD_CURVE.SP_F18</v>
      </c>
      <c r="X1163" t="e">
        <f>VLOOKUP(W1163,ColumnMapping[New Table.Column],1,)</f>
        <v>#N/A</v>
      </c>
      <c r="Y1163" t="str">
        <f>_xlfn.XLOOKUP(Table6[[#This Row],[Table.Column]],ColumnMapping[Add Column Name],ColumnMapping[Old Table.Column],"",0,1)</f>
        <v>SPREAD.SP_F18</v>
      </c>
      <c r="Z1163" t="str">
        <f>_xlfn.XLOOKUP(Table6[[#This Row],[Old Table.Column]],Cobra8.6[Table.Column],Cobra8.6[TYPE],"",0,1)</f>
        <v>INTE</v>
      </c>
      <c r="AA1163">
        <f>_xlfn.XLOOKUP(Table6[[#This Row],[Old Table.Column]],Cobra8.6[Table.Column],Cobra8.6[LENGTH],"",0,1)</f>
        <v>-1</v>
      </c>
      <c r="AB1163" t="s">
        <v>32</v>
      </c>
    </row>
    <row r="1164" spans="1:28" hidden="1" x14ac:dyDescent="0.2">
      <c r="A1164" t="s">
        <v>1799</v>
      </c>
      <c r="B1164" s="17" t="s">
        <v>1072</v>
      </c>
      <c r="C1164" s="17" t="s">
        <v>1827</v>
      </c>
      <c r="D1164" s="17">
        <v>20</v>
      </c>
      <c r="E1164" s="17" t="s">
        <v>36</v>
      </c>
      <c r="F1164" t="str">
        <f>VLOOKUP($E1164,'Data Type Lookup'!$A$1:$C$21,2,FALSE)</f>
        <v>NUMBER(19,0)</v>
      </c>
      <c r="G1164" s="17"/>
      <c r="H1164" s="17"/>
      <c r="I1164" s="29"/>
      <c r="J1164" s="29">
        <v>0</v>
      </c>
      <c r="K1164" s="29"/>
      <c r="L1164" s="29"/>
      <c r="M1164" s="17"/>
      <c r="N1164" s="17"/>
      <c r="O1164" s="17"/>
      <c r="P1164" s="17" t="s">
        <v>1828</v>
      </c>
      <c r="Q1164" s="17" t="str">
        <f t="shared" si="27"/>
        <v>spF19</v>
      </c>
      <c r="R1164" t="str">
        <f>VLOOKUP(E1164,'Data Type Lookup'!$A$1:$C$21,3,FALSE)</f>
        <v>Long</v>
      </c>
      <c r="S1164" s="17"/>
      <c r="W1164" t="str">
        <f t="shared" si="26"/>
        <v>SPREAD_CURVE.SP_F19</v>
      </c>
      <c r="X1164" t="e">
        <f>VLOOKUP(W1164,ColumnMapping[New Table.Column],1,)</f>
        <v>#N/A</v>
      </c>
      <c r="Y1164" t="str">
        <f>_xlfn.XLOOKUP(Table6[[#This Row],[Table.Column]],ColumnMapping[Add Column Name],ColumnMapping[Old Table.Column],"",0,1)</f>
        <v>SPREAD.SP_F19</v>
      </c>
      <c r="Z1164" t="str">
        <f>_xlfn.XLOOKUP(Table6[[#This Row],[Old Table.Column]],Cobra8.6[Table.Column],Cobra8.6[TYPE],"",0,1)</f>
        <v>INTE</v>
      </c>
      <c r="AA1164">
        <f>_xlfn.XLOOKUP(Table6[[#This Row],[Old Table.Column]],Cobra8.6[Table.Column],Cobra8.6[LENGTH],"",0,1)</f>
        <v>-1</v>
      </c>
      <c r="AB1164" t="s">
        <v>32</v>
      </c>
    </row>
    <row r="1165" spans="1:28" hidden="1" x14ac:dyDescent="0.2">
      <c r="A1165" t="s">
        <v>1799</v>
      </c>
      <c r="B1165" s="17" t="s">
        <v>1072</v>
      </c>
      <c r="C1165" s="17" t="s">
        <v>1829</v>
      </c>
      <c r="D1165" s="17">
        <v>21</v>
      </c>
      <c r="E1165" s="17" t="s">
        <v>36</v>
      </c>
      <c r="F1165" t="str">
        <f>VLOOKUP($E1165,'Data Type Lookup'!$A$1:$C$21,2,FALSE)</f>
        <v>NUMBER(19,0)</v>
      </c>
      <c r="G1165" s="17"/>
      <c r="H1165" s="17"/>
      <c r="I1165" s="29"/>
      <c r="J1165" s="29">
        <v>0</v>
      </c>
      <c r="K1165" s="29"/>
      <c r="L1165" s="29"/>
      <c r="M1165" s="17"/>
      <c r="N1165" s="17"/>
      <c r="O1165" s="17"/>
      <c r="P1165" s="17" t="s">
        <v>1830</v>
      </c>
      <c r="Q1165" s="17" t="str">
        <f t="shared" si="27"/>
        <v>spF2</v>
      </c>
      <c r="R1165" t="str">
        <f>VLOOKUP(E1165,'Data Type Lookup'!$A$1:$C$21,3,FALSE)</f>
        <v>Long</v>
      </c>
      <c r="S1165" s="17"/>
      <c r="W1165" t="str">
        <f t="shared" si="26"/>
        <v>SPREAD_CURVE.SP_F2</v>
      </c>
      <c r="X1165" t="e">
        <f>VLOOKUP(W1165,ColumnMapping[New Table.Column],1,)</f>
        <v>#N/A</v>
      </c>
      <c r="Y1165" t="str">
        <f>_xlfn.XLOOKUP(Table6[[#This Row],[Table.Column]],ColumnMapping[Add Column Name],ColumnMapping[Old Table.Column],"",0,1)</f>
        <v>SPREAD.SP_F2</v>
      </c>
      <c r="Z1165" t="str">
        <f>_xlfn.XLOOKUP(Table6[[#This Row],[Old Table.Column]],Cobra8.6[Table.Column],Cobra8.6[TYPE],"",0,1)</f>
        <v>INTE</v>
      </c>
      <c r="AA1165">
        <f>_xlfn.XLOOKUP(Table6[[#This Row],[Old Table.Column]],Cobra8.6[Table.Column],Cobra8.6[LENGTH],"",0,1)</f>
        <v>-1</v>
      </c>
      <c r="AB1165" t="s">
        <v>32</v>
      </c>
    </row>
    <row r="1166" spans="1:28" hidden="1" x14ac:dyDescent="0.2">
      <c r="A1166" t="s">
        <v>1799</v>
      </c>
      <c r="B1166" s="17" t="s">
        <v>1072</v>
      </c>
      <c r="C1166" s="17" t="s">
        <v>1831</v>
      </c>
      <c r="D1166" s="17">
        <v>22</v>
      </c>
      <c r="E1166" s="17" t="s">
        <v>36</v>
      </c>
      <c r="F1166" t="str">
        <f>VLOOKUP($E1166,'Data Type Lookup'!$A$1:$C$21,2,FALSE)</f>
        <v>NUMBER(19,0)</v>
      </c>
      <c r="G1166" s="17"/>
      <c r="H1166" s="17"/>
      <c r="I1166" s="29"/>
      <c r="J1166" s="29">
        <v>0</v>
      </c>
      <c r="K1166" s="29"/>
      <c r="L1166" s="29"/>
      <c r="M1166" s="17"/>
      <c r="N1166" s="17"/>
      <c r="O1166" s="17"/>
      <c r="P1166" s="17" t="s">
        <v>1832</v>
      </c>
      <c r="Q1166" s="17" t="str">
        <f t="shared" si="27"/>
        <v>spF20</v>
      </c>
      <c r="R1166" t="str">
        <f>VLOOKUP(E1166,'Data Type Lookup'!$A$1:$C$21,3,FALSE)</f>
        <v>Long</v>
      </c>
      <c r="S1166" s="17"/>
      <c r="W1166" t="str">
        <f t="shared" si="26"/>
        <v>SPREAD_CURVE.SP_F20</v>
      </c>
      <c r="X1166" t="e">
        <f>VLOOKUP(W1166,ColumnMapping[New Table.Column],1,)</f>
        <v>#N/A</v>
      </c>
      <c r="Y1166" t="str">
        <f>_xlfn.XLOOKUP(Table6[[#This Row],[Table.Column]],ColumnMapping[Add Column Name],ColumnMapping[Old Table.Column],"",0,1)</f>
        <v>SPREAD.SP_F20</v>
      </c>
      <c r="Z1166" t="str">
        <f>_xlfn.XLOOKUP(Table6[[#This Row],[Old Table.Column]],Cobra8.6[Table.Column],Cobra8.6[TYPE],"",0,1)</f>
        <v>INTE</v>
      </c>
      <c r="AA1166">
        <f>_xlfn.XLOOKUP(Table6[[#This Row],[Old Table.Column]],Cobra8.6[Table.Column],Cobra8.6[LENGTH],"",0,1)</f>
        <v>-1</v>
      </c>
      <c r="AB1166" t="s">
        <v>32</v>
      </c>
    </row>
    <row r="1167" spans="1:28" hidden="1" x14ac:dyDescent="0.2">
      <c r="A1167" t="s">
        <v>1799</v>
      </c>
      <c r="B1167" s="17" t="s">
        <v>1072</v>
      </c>
      <c r="C1167" s="17" t="s">
        <v>1833</v>
      </c>
      <c r="D1167" s="17">
        <v>23</v>
      </c>
      <c r="E1167" s="17" t="s">
        <v>36</v>
      </c>
      <c r="F1167" t="str">
        <f>VLOOKUP($E1167,'Data Type Lookup'!$A$1:$C$21,2,FALSE)</f>
        <v>NUMBER(19,0)</v>
      </c>
      <c r="G1167" s="17"/>
      <c r="H1167" s="17"/>
      <c r="I1167" s="29"/>
      <c r="J1167" s="29">
        <v>0</v>
      </c>
      <c r="K1167" s="29"/>
      <c r="L1167" s="29"/>
      <c r="M1167" s="17"/>
      <c r="N1167" s="17"/>
      <c r="O1167" s="17"/>
      <c r="P1167" s="17" t="s">
        <v>1834</v>
      </c>
      <c r="Q1167" s="17" t="str">
        <f t="shared" si="27"/>
        <v>spF21</v>
      </c>
      <c r="R1167" t="str">
        <f>VLOOKUP(E1167,'Data Type Lookup'!$A$1:$C$21,3,FALSE)</f>
        <v>Long</v>
      </c>
      <c r="S1167" s="17"/>
      <c r="W1167" t="str">
        <f t="shared" si="26"/>
        <v>SPREAD_CURVE.SP_F21</v>
      </c>
      <c r="X1167" t="e">
        <f>VLOOKUP(W1167,ColumnMapping[New Table.Column],1,)</f>
        <v>#N/A</v>
      </c>
      <c r="Y1167" t="str">
        <f>_xlfn.XLOOKUP(Table6[[#This Row],[Table.Column]],ColumnMapping[Add Column Name],ColumnMapping[Old Table.Column],"",0,1)</f>
        <v>SPREAD.SP_F21</v>
      </c>
      <c r="Z1167" t="str">
        <f>_xlfn.XLOOKUP(Table6[[#This Row],[Old Table.Column]],Cobra8.6[Table.Column],Cobra8.6[TYPE],"",0,1)</f>
        <v>INTE</v>
      </c>
      <c r="AA1167">
        <f>_xlfn.XLOOKUP(Table6[[#This Row],[Old Table.Column]],Cobra8.6[Table.Column],Cobra8.6[LENGTH],"",0,1)</f>
        <v>-1</v>
      </c>
      <c r="AB1167" t="s">
        <v>32</v>
      </c>
    </row>
    <row r="1168" spans="1:28" hidden="1" x14ac:dyDescent="0.2">
      <c r="A1168" t="s">
        <v>1799</v>
      </c>
      <c r="B1168" s="17" t="s">
        <v>1072</v>
      </c>
      <c r="C1168" s="17" t="s">
        <v>1835</v>
      </c>
      <c r="D1168" s="17">
        <v>24</v>
      </c>
      <c r="E1168" s="17" t="s">
        <v>36</v>
      </c>
      <c r="F1168" t="str">
        <f>VLOOKUP($E1168,'Data Type Lookup'!$A$1:$C$21,2,FALSE)</f>
        <v>NUMBER(19,0)</v>
      </c>
      <c r="G1168" s="17"/>
      <c r="H1168" s="17"/>
      <c r="I1168" s="29"/>
      <c r="J1168" s="29">
        <v>0</v>
      </c>
      <c r="K1168" s="29"/>
      <c r="L1168" s="29"/>
      <c r="M1168" s="17"/>
      <c r="N1168" s="17"/>
      <c r="O1168" s="17"/>
      <c r="P1168" s="17" t="s">
        <v>1836</v>
      </c>
      <c r="Q1168" s="17" t="str">
        <f t="shared" si="27"/>
        <v>spF22</v>
      </c>
      <c r="R1168" t="str">
        <f>VLOOKUP(E1168,'Data Type Lookup'!$A$1:$C$21,3,FALSE)</f>
        <v>Long</v>
      </c>
      <c r="S1168" s="17"/>
      <c r="W1168" t="str">
        <f t="shared" si="26"/>
        <v>SPREAD_CURVE.SP_F22</v>
      </c>
      <c r="X1168" t="e">
        <f>VLOOKUP(W1168,ColumnMapping[New Table.Column],1,)</f>
        <v>#N/A</v>
      </c>
      <c r="Y1168" t="str">
        <f>_xlfn.XLOOKUP(Table6[[#This Row],[Table.Column]],ColumnMapping[Add Column Name],ColumnMapping[Old Table.Column],"",0,1)</f>
        <v>SPREAD.SP_F22</v>
      </c>
      <c r="Z1168" t="str">
        <f>_xlfn.XLOOKUP(Table6[[#This Row],[Old Table.Column]],Cobra8.6[Table.Column],Cobra8.6[TYPE],"",0,1)</f>
        <v>INTE</v>
      </c>
      <c r="AA1168">
        <f>_xlfn.XLOOKUP(Table6[[#This Row],[Old Table.Column]],Cobra8.6[Table.Column],Cobra8.6[LENGTH],"",0,1)</f>
        <v>-1</v>
      </c>
      <c r="AB1168" t="s">
        <v>32</v>
      </c>
    </row>
    <row r="1169" spans="1:28" hidden="1" x14ac:dyDescent="0.2">
      <c r="A1169" t="s">
        <v>1799</v>
      </c>
      <c r="B1169" s="17" t="s">
        <v>1072</v>
      </c>
      <c r="C1169" s="17" t="s">
        <v>1837</v>
      </c>
      <c r="D1169" s="17">
        <v>25</v>
      </c>
      <c r="E1169" s="17" t="s">
        <v>36</v>
      </c>
      <c r="F1169" t="str">
        <f>VLOOKUP($E1169,'Data Type Lookup'!$A$1:$C$21,2,FALSE)</f>
        <v>NUMBER(19,0)</v>
      </c>
      <c r="G1169" s="17"/>
      <c r="H1169" s="17"/>
      <c r="I1169" s="29"/>
      <c r="J1169" s="29">
        <v>0</v>
      </c>
      <c r="K1169" s="29"/>
      <c r="L1169" s="29"/>
      <c r="M1169" s="17"/>
      <c r="N1169" s="17"/>
      <c r="O1169" s="17"/>
      <c r="P1169" s="17" t="s">
        <v>1838</v>
      </c>
      <c r="Q1169" s="17" t="str">
        <f t="shared" si="27"/>
        <v>spF23</v>
      </c>
      <c r="R1169" t="str">
        <f>VLOOKUP(E1169,'Data Type Lookup'!$A$1:$C$21,3,FALSE)</f>
        <v>Long</v>
      </c>
      <c r="S1169" s="17"/>
      <c r="W1169" t="str">
        <f t="shared" si="26"/>
        <v>SPREAD_CURVE.SP_F23</v>
      </c>
      <c r="X1169" t="e">
        <f>VLOOKUP(W1169,ColumnMapping[New Table.Column],1,)</f>
        <v>#N/A</v>
      </c>
      <c r="Y1169" t="str">
        <f>_xlfn.XLOOKUP(Table6[[#This Row],[Table.Column]],ColumnMapping[Add Column Name],ColumnMapping[Old Table.Column],"",0,1)</f>
        <v>SPREAD.SP_F23</v>
      </c>
      <c r="Z1169" t="str">
        <f>_xlfn.XLOOKUP(Table6[[#This Row],[Old Table.Column]],Cobra8.6[Table.Column],Cobra8.6[TYPE],"",0,1)</f>
        <v>INTE</v>
      </c>
      <c r="AA1169">
        <f>_xlfn.XLOOKUP(Table6[[#This Row],[Old Table.Column]],Cobra8.6[Table.Column],Cobra8.6[LENGTH],"",0,1)</f>
        <v>-1</v>
      </c>
      <c r="AB1169" t="s">
        <v>32</v>
      </c>
    </row>
    <row r="1170" spans="1:28" hidden="1" x14ac:dyDescent="0.2">
      <c r="A1170" t="s">
        <v>1799</v>
      </c>
      <c r="B1170" s="17" t="s">
        <v>1072</v>
      </c>
      <c r="C1170" s="17" t="s">
        <v>1839</v>
      </c>
      <c r="D1170" s="17">
        <v>26</v>
      </c>
      <c r="E1170" s="17" t="s">
        <v>36</v>
      </c>
      <c r="F1170" t="str">
        <f>VLOOKUP($E1170,'Data Type Lookup'!$A$1:$C$21,2,FALSE)</f>
        <v>NUMBER(19,0)</v>
      </c>
      <c r="G1170" s="17"/>
      <c r="H1170" s="17"/>
      <c r="I1170" s="29"/>
      <c r="J1170" s="29">
        <v>0</v>
      </c>
      <c r="K1170" s="29"/>
      <c r="L1170" s="29"/>
      <c r="M1170" s="17"/>
      <c r="N1170" s="17"/>
      <c r="O1170" s="17"/>
      <c r="P1170" s="17" t="s">
        <v>1840</v>
      </c>
      <c r="Q1170" s="17" t="str">
        <f t="shared" si="27"/>
        <v>spF24</v>
      </c>
      <c r="R1170" t="str">
        <f>VLOOKUP(E1170,'Data Type Lookup'!$A$1:$C$21,3,FALSE)</f>
        <v>Long</v>
      </c>
      <c r="S1170" s="17"/>
      <c r="W1170" t="str">
        <f t="shared" ref="W1170:W1218" si="28">_xlfn.CONCAT(B1170,".",C1170)</f>
        <v>SPREAD_CURVE.SP_F24</v>
      </c>
      <c r="X1170" t="e">
        <f>VLOOKUP(W1170,ColumnMapping[New Table.Column],1,)</f>
        <v>#N/A</v>
      </c>
      <c r="Y1170" t="str">
        <f>_xlfn.XLOOKUP(Table6[[#This Row],[Table.Column]],ColumnMapping[Add Column Name],ColumnMapping[Old Table.Column],"",0,1)</f>
        <v>SPREAD.SP_F24</v>
      </c>
      <c r="Z1170" t="str">
        <f>_xlfn.XLOOKUP(Table6[[#This Row],[Old Table.Column]],Cobra8.6[Table.Column],Cobra8.6[TYPE],"",0,1)</f>
        <v>INTE</v>
      </c>
      <c r="AA1170">
        <f>_xlfn.XLOOKUP(Table6[[#This Row],[Old Table.Column]],Cobra8.6[Table.Column],Cobra8.6[LENGTH],"",0,1)</f>
        <v>-1</v>
      </c>
      <c r="AB1170" t="s">
        <v>32</v>
      </c>
    </row>
    <row r="1171" spans="1:28" hidden="1" x14ac:dyDescent="0.2">
      <c r="A1171" t="s">
        <v>1799</v>
      </c>
      <c r="B1171" s="17" t="s">
        <v>1072</v>
      </c>
      <c r="C1171" s="17" t="s">
        <v>1841</v>
      </c>
      <c r="D1171" s="17">
        <v>27</v>
      </c>
      <c r="E1171" s="17" t="s">
        <v>36</v>
      </c>
      <c r="F1171" t="str">
        <f>VLOOKUP($E1171,'Data Type Lookup'!$A$1:$C$21,2,FALSE)</f>
        <v>NUMBER(19,0)</v>
      </c>
      <c r="G1171" s="17"/>
      <c r="H1171" s="17"/>
      <c r="I1171" s="29"/>
      <c r="J1171" s="29">
        <v>0</v>
      </c>
      <c r="K1171" s="29"/>
      <c r="L1171" s="29"/>
      <c r="M1171" s="17"/>
      <c r="N1171" s="17"/>
      <c r="O1171" s="17"/>
      <c r="P1171" s="17" t="s">
        <v>1842</v>
      </c>
      <c r="Q1171" s="17" t="str">
        <f t="shared" si="27"/>
        <v>spF25</v>
      </c>
      <c r="R1171" t="str">
        <f>VLOOKUP(E1171,'Data Type Lookup'!$A$1:$C$21,3,FALSE)</f>
        <v>Long</v>
      </c>
      <c r="S1171" s="17"/>
      <c r="W1171" t="str">
        <f t="shared" si="28"/>
        <v>SPREAD_CURVE.SP_F25</v>
      </c>
      <c r="X1171" t="e">
        <f>VLOOKUP(W1171,ColumnMapping[New Table.Column],1,)</f>
        <v>#N/A</v>
      </c>
      <c r="Y1171" t="str">
        <f>_xlfn.XLOOKUP(Table6[[#This Row],[Table.Column]],ColumnMapping[Add Column Name],ColumnMapping[Old Table.Column],"",0,1)</f>
        <v>SPREAD.SP_F25</v>
      </c>
      <c r="Z1171" t="str">
        <f>_xlfn.XLOOKUP(Table6[[#This Row],[Old Table.Column]],Cobra8.6[Table.Column],Cobra8.6[TYPE],"",0,1)</f>
        <v>INTE</v>
      </c>
      <c r="AA1171">
        <f>_xlfn.XLOOKUP(Table6[[#This Row],[Old Table.Column]],Cobra8.6[Table.Column],Cobra8.6[LENGTH],"",0,1)</f>
        <v>-1</v>
      </c>
      <c r="AB1171" t="s">
        <v>32</v>
      </c>
    </row>
    <row r="1172" spans="1:28" hidden="1" x14ac:dyDescent="0.2">
      <c r="A1172" t="s">
        <v>1799</v>
      </c>
      <c r="B1172" s="17" t="s">
        <v>1072</v>
      </c>
      <c r="C1172" s="17" t="s">
        <v>1843</v>
      </c>
      <c r="D1172" s="17">
        <v>28</v>
      </c>
      <c r="E1172" s="17" t="s">
        <v>36</v>
      </c>
      <c r="F1172" t="str">
        <f>VLOOKUP($E1172,'Data Type Lookup'!$A$1:$C$21,2,FALSE)</f>
        <v>NUMBER(19,0)</v>
      </c>
      <c r="G1172" s="17"/>
      <c r="H1172" s="17"/>
      <c r="I1172" s="29"/>
      <c r="J1172" s="29">
        <v>0</v>
      </c>
      <c r="K1172" s="29"/>
      <c r="L1172" s="29"/>
      <c r="M1172" s="17"/>
      <c r="N1172" s="17"/>
      <c r="O1172" s="17"/>
      <c r="P1172" s="17" t="s">
        <v>1844</v>
      </c>
      <c r="Q1172" s="17" t="str">
        <f t="shared" si="27"/>
        <v>spF26</v>
      </c>
      <c r="R1172" t="str">
        <f>VLOOKUP(E1172,'Data Type Lookup'!$A$1:$C$21,3,FALSE)</f>
        <v>Long</v>
      </c>
      <c r="S1172" s="17"/>
      <c r="W1172" t="str">
        <f t="shared" si="28"/>
        <v>SPREAD_CURVE.SP_F26</v>
      </c>
      <c r="X1172" t="e">
        <f>VLOOKUP(W1172,ColumnMapping[New Table.Column],1,)</f>
        <v>#N/A</v>
      </c>
      <c r="Y1172" t="str">
        <f>_xlfn.XLOOKUP(Table6[[#This Row],[Table.Column]],ColumnMapping[Add Column Name],ColumnMapping[Old Table.Column],"",0,1)</f>
        <v>SPREAD.SP_F26</v>
      </c>
      <c r="Z1172" t="str">
        <f>_xlfn.XLOOKUP(Table6[[#This Row],[Old Table.Column]],Cobra8.6[Table.Column],Cobra8.6[TYPE],"",0,1)</f>
        <v>INTE</v>
      </c>
      <c r="AA1172">
        <f>_xlfn.XLOOKUP(Table6[[#This Row],[Old Table.Column]],Cobra8.6[Table.Column],Cobra8.6[LENGTH],"",0,1)</f>
        <v>-1</v>
      </c>
      <c r="AB1172" t="s">
        <v>32</v>
      </c>
    </row>
    <row r="1173" spans="1:28" hidden="1" x14ac:dyDescent="0.2">
      <c r="A1173" t="s">
        <v>1799</v>
      </c>
      <c r="B1173" s="17" t="s">
        <v>1072</v>
      </c>
      <c r="C1173" s="17" t="s">
        <v>1845</v>
      </c>
      <c r="D1173" s="17">
        <v>29</v>
      </c>
      <c r="E1173" s="17" t="s">
        <v>36</v>
      </c>
      <c r="F1173" t="str">
        <f>VLOOKUP($E1173,'Data Type Lookup'!$A$1:$C$21,2,FALSE)</f>
        <v>NUMBER(19,0)</v>
      </c>
      <c r="G1173" s="17"/>
      <c r="H1173" s="17"/>
      <c r="I1173" s="29"/>
      <c r="J1173" s="29">
        <v>0</v>
      </c>
      <c r="K1173" s="29"/>
      <c r="L1173" s="29"/>
      <c r="M1173" s="17"/>
      <c r="N1173" s="17"/>
      <c r="O1173" s="17"/>
      <c r="P1173" s="17" t="s">
        <v>1846</v>
      </c>
      <c r="Q1173" s="17" t="str">
        <f t="shared" si="27"/>
        <v>spF27</v>
      </c>
      <c r="R1173" t="str">
        <f>VLOOKUP(E1173,'Data Type Lookup'!$A$1:$C$21,3,FALSE)</f>
        <v>Long</v>
      </c>
      <c r="S1173" s="17"/>
      <c r="W1173" t="str">
        <f t="shared" si="28"/>
        <v>SPREAD_CURVE.SP_F27</v>
      </c>
      <c r="X1173" t="e">
        <f>VLOOKUP(W1173,ColumnMapping[New Table.Column],1,)</f>
        <v>#N/A</v>
      </c>
      <c r="Y1173" t="str">
        <f>_xlfn.XLOOKUP(Table6[[#This Row],[Table.Column]],ColumnMapping[Add Column Name],ColumnMapping[Old Table.Column],"",0,1)</f>
        <v>SPREAD.SP_F27</v>
      </c>
      <c r="Z1173" t="str">
        <f>_xlfn.XLOOKUP(Table6[[#This Row],[Old Table.Column]],Cobra8.6[Table.Column],Cobra8.6[TYPE],"",0,1)</f>
        <v>INTE</v>
      </c>
      <c r="AA1173">
        <f>_xlfn.XLOOKUP(Table6[[#This Row],[Old Table.Column]],Cobra8.6[Table.Column],Cobra8.6[LENGTH],"",0,1)</f>
        <v>-1</v>
      </c>
      <c r="AB1173" t="s">
        <v>32</v>
      </c>
    </row>
    <row r="1174" spans="1:28" hidden="1" x14ac:dyDescent="0.2">
      <c r="A1174" t="s">
        <v>1799</v>
      </c>
      <c r="B1174" s="17" t="s">
        <v>1072</v>
      </c>
      <c r="C1174" s="17" t="s">
        <v>1847</v>
      </c>
      <c r="D1174" s="17">
        <v>30</v>
      </c>
      <c r="E1174" s="17" t="s">
        <v>36</v>
      </c>
      <c r="F1174" t="str">
        <f>VLOOKUP($E1174,'Data Type Lookup'!$A$1:$C$21,2,FALSE)</f>
        <v>NUMBER(19,0)</v>
      </c>
      <c r="G1174" s="17"/>
      <c r="H1174" s="17"/>
      <c r="I1174" s="29"/>
      <c r="J1174" s="29">
        <v>0</v>
      </c>
      <c r="K1174" s="29"/>
      <c r="L1174" s="29"/>
      <c r="M1174" s="17"/>
      <c r="N1174" s="17"/>
      <c r="O1174" s="17"/>
      <c r="P1174" s="17" t="s">
        <v>1848</v>
      </c>
      <c r="Q1174" s="17" t="str">
        <f t="shared" si="27"/>
        <v>spF28</v>
      </c>
      <c r="R1174" t="str">
        <f>VLOOKUP(E1174,'Data Type Lookup'!$A$1:$C$21,3,FALSE)</f>
        <v>Long</v>
      </c>
      <c r="S1174" s="17"/>
      <c r="W1174" t="str">
        <f t="shared" si="28"/>
        <v>SPREAD_CURVE.SP_F28</v>
      </c>
      <c r="X1174" t="e">
        <f>VLOOKUP(W1174,ColumnMapping[New Table.Column],1,)</f>
        <v>#N/A</v>
      </c>
      <c r="Y1174" t="str">
        <f>_xlfn.XLOOKUP(Table6[[#This Row],[Table.Column]],ColumnMapping[Add Column Name],ColumnMapping[Old Table.Column],"",0,1)</f>
        <v>SPREAD.SP_F28</v>
      </c>
      <c r="Z1174" t="str">
        <f>_xlfn.XLOOKUP(Table6[[#This Row],[Old Table.Column]],Cobra8.6[Table.Column],Cobra8.6[TYPE],"",0,1)</f>
        <v>INTE</v>
      </c>
      <c r="AA1174">
        <f>_xlfn.XLOOKUP(Table6[[#This Row],[Old Table.Column]],Cobra8.6[Table.Column],Cobra8.6[LENGTH],"",0,1)</f>
        <v>-1</v>
      </c>
      <c r="AB1174" t="s">
        <v>32</v>
      </c>
    </row>
    <row r="1175" spans="1:28" hidden="1" x14ac:dyDescent="0.2">
      <c r="A1175" t="s">
        <v>1799</v>
      </c>
      <c r="B1175" s="17" t="s">
        <v>1072</v>
      </c>
      <c r="C1175" s="17" t="s">
        <v>1849</v>
      </c>
      <c r="D1175" s="17">
        <v>31</v>
      </c>
      <c r="E1175" s="17" t="s">
        <v>36</v>
      </c>
      <c r="F1175" t="str">
        <f>VLOOKUP($E1175,'Data Type Lookup'!$A$1:$C$21,2,FALSE)</f>
        <v>NUMBER(19,0)</v>
      </c>
      <c r="G1175" s="17"/>
      <c r="H1175" s="17"/>
      <c r="I1175" s="29"/>
      <c r="J1175" s="29">
        <v>0</v>
      </c>
      <c r="K1175" s="29"/>
      <c r="L1175" s="29"/>
      <c r="M1175" s="17"/>
      <c r="N1175" s="17"/>
      <c r="O1175" s="17"/>
      <c r="P1175" s="17" t="s">
        <v>1850</v>
      </c>
      <c r="Q1175" s="17" t="str">
        <f t="shared" si="27"/>
        <v>spF29</v>
      </c>
      <c r="R1175" t="str">
        <f>VLOOKUP(E1175,'Data Type Lookup'!$A$1:$C$21,3,FALSE)</f>
        <v>Long</v>
      </c>
      <c r="S1175" s="17"/>
      <c r="W1175" t="str">
        <f t="shared" si="28"/>
        <v>SPREAD_CURVE.SP_F29</v>
      </c>
      <c r="X1175" t="e">
        <f>VLOOKUP(W1175,ColumnMapping[New Table.Column],1,)</f>
        <v>#N/A</v>
      </c>
      <c r="Y1175" t="str">
        <f>_xlfn.XLOOKUP(Table6[[#This Row],[Table.Column]],ColumnMapping[Add Column Name],ColumnMapping[Old Table.Column],"",0,1)</f>
        <v>SPREAD.SP_F29</v>
      </c>
      <c r="Z1175" t="str">
        <f>_xlfn.XLOOKUP(Table6[[#This Row],[Old Table.Column]],Cobra8.6[Table.Column],Cobra8.6[TYPE],"",0,1)</f>
        <v>INTE</v>
      </c>
      <c r="AA1175">
        <f>_xlfn.XLOOKUP(Table6[[#This Row],[Old Table.Column]],Cobra8.6[Table.Column],Cobra8.6[LENGTH],"",0,1)</f>
        <v>-1</v>
      </c>
      <c r="AB1175" t="s">
        <v>32</v>
      </c>
    </row>
    <row r="1176" spans="1:28" hidden="1" x14ac:dyDescent="0.2">
      <c r="A1176" t="s">
        <v>1799</v>
      </c>
      <c r="B1176" s="17" t="s">
        <v>1072</v>
      </c>
      <c r="C1176" s="17" t="s">
        <v>1851</v>
      </c>
      <c r="D1176" s="17">
        <v>32</v>
      </c>
      <c r="E1176" s="17" t="s">
        <v>36</v>
      </c>
      <c r="F1176" t="str">
        <f>VLOOKUP($E1176,'Data Type Lookup'!$A$1:$C$21,2,FALSE)</f>
        <v>NUMBER(19,0)</v>
      </c>
      <c r="G1176" s="17"/>
      <c r="H1176" s="17"/>
      <c r="I1176" s="29"/>
      <c r="J1176" s="29">
        <v>0</v>
      </c>
      <c r="K1176" s="29"/>
      <c r="L1176" s="29"/>
      <c r="M1176" s="17"/>
      <c r="N1176" s="17"/>
      <c r="O1176" s="17"/>
      <c r="P1176" s="17" t="s">
        <v>1852</v>
      </c>
      <c r="Q1176" s="17" t="str">
        <f t="shared" si="27"/>
        <v>spF3</v>
      </c>
      <c r="R1176" t="str">
        <f>VLOOKUP(E1176,'Data Type Lookup'!$A$1:$C$21,3,FALSE)</f>
        <v>Long</v>
      </c>
      <c r="S1176" s="17"/>
      <c r="W1176" t="str">
        <f t="shared" si="28"/>
        <v>SPREAD_CURVE.SP_F3</v>
      </c>
      <c r="X1176" t="e">
        <f>VLOOKUP(W1176,ColumnMapping[New Table.Column],1,)</f>
        <v>#N/A</v>
      </c>
      <c r="Y1176" t="str">
        <f>_xlfn.XLOOKUP(Table6[[#This Row],[Table.Column]],ColumnMapping[Add Column Name],ColumnMapping[Old Table.Column],"",0,1)</f>
        <v>SPREAD.SP_F3</v>
      </c>
      <c r="Z1176" t="str">
        <f>_xlfn.XLOOKUP(Table6[[#This Row],[Old Table.Column]],Cobra8.6[Table.Column],Cobra8.6[TYPE],"",0,1)</f>
        <v>INTE</v>
      </c>
      <c r="AA1176">
        <f>_xlfn.XLOOKUP(Table6[[#This Row],[Old Table.Column]],Cobra8.6[Table.Column],Cobra8.6[LENGTH],"",0,1)</f>
        <v>-1</v>
      </c>
      <c r="AB1176" t="s">
        <v>32</v>
      </c>
    </row>
    <row r="1177" spans="1:28" hidden="1" x14ac:dyDescent="0.2">
      <c r="A1177" t="s">
        <v>1799</v>
      </c>
      <c r="B1177" s="17" t="s">
        <v>1072</v>
      </c>
      <c r="C1177" s="17" t="s">
        <v>1853</v>
      </c>
      <c r="D1177" s="17">
        <v>33</v>
      </c>
      <c r="E1177" s="17" t="s">
        <v>36</v>
      </c>
      <c r="F1177" t="str">
        <f>VLOOKUP($E1177,'Data Type Lookup'!$A$1:$C$21,2,FALSE)</f>
        <v>NUMBER(19,0)</v>
      </c>
      <c r="G1177" s="17"/>
      <c r="H1177" s="17"/>
      <c r="I1177" s="29"/>
      <c r="J1177" s="29">
        <v>0</v>
      </c>
      <c r="K1177" s="29"/>
      <c r="L1177" s="29"/>
      <c r="M1177" s="17"/>
      <c r="N1177" s="17"/>
      <c r="O1177" s="17"/>
      <c r="P1177" s="17" t="s">
        <v>1854</v>
      </c>
      <c r="Q1177" s="17" t="str">
        <f t="shared" si="27"/>
        <v>spF30</v>
      </c>
      <c r="R1177" t="str">
        <f>VLOOKUP(E1177,'Data Type Lookup'!$A$1:$C$21,3,FALSE)</f>
        <v>Long</v>
      </c>
      <c r="S1177" s="17"/>
      <c r="W1177" t="str">
        <f t="shared" si="28"/>
        <v>SPREAD_CURVE.SP_F30</v>
      </c>
      <c r="X1177" t="e">
        <f>VLOOKUP(W1177,ColumnMapping[New Table.Column],1,)</f>
        <v>#N/A</v>
      </c>
      <c r="Y1177" t="str">
        <f>_xlfn.XLOOKUP(Table6[[#This Row],[Table.Column]],ColumnMapping[Add Column Name],ColumnMapping[Old Table.Column],"",0,1)</f>
        <v>SPREAD.SP_F30</v>
      </c>
      <c r="Z1177" t="str">
        <f>_xlfn.XLOOKUP(Table6[[#This Row],[Old Table.Column]],Cobra8.6[Table.Column],Cobra8.6[TYPE],"",0,1)</f>
        <v>INTE</v>
      </c>
      <c r="AA1177">
        <f>_xlfn.XLOOKUP(Table6[[#This Row],[Old Table.Column]],Cobra8.6[Table.Column],Cobra8.6[LENGTH],"",0,1)</f>
        <v>-1</v>
      </c>
      <c r="AB1177" t="s">
        <v>32</v>
      </c>
    </row>
    <row r="1178" spans="1:28" hidden="1" x14ac:dyDescent="0.2">
      <c r="A1178" t="s">
        <v>1799</v>
      </c>
      <c r="B1178" s="17" t="s">
        <v>1072</v>
      </c>
      <c r="C1178" s="17" t="s">
        <v>1855</v>
      </c>
      <c r="D1178" s="17">
        <v>34</v>
      </c>
      <c r="E1178" s="17" t="s">
        <v>36</v>
      </c>
      <c r="F1178" t="str">
        <f>VLOOKUP($E1178,'Data Type Lookup'!$A$1:$C$21,2,FALSE)</f>
        <v>NUMBER(19,0)</v>
      </c>
      <c r="G1178" s="17"/>
      <c r="H1178" s="17"/>
      <c r="I1178" s="29"/>
      <c r="J1178" s="29">
        <v>0</v>
      </c>
      <c r="K1178" s="29"/>
      <c r="L1178" s="29"/>
      <c r="M1178" s="17"/>
      <c r="N1178" s="17"/>
      <c r="O1178" s="17"/>
      <c r="P1178" s="17" t="s">
        <v>1856</v>
      </c>
      <c r="Q1178" s="17" t="str">
        <f t="shared" si="27"/>
        <v>spF31</v>
      </c>
      <c r="R1178" t="str">
        <f>VLOOKUP(E1178,'Data Type Lookup'!$A$1:$C$21,3,FALSE)</f>
        <v>Long</v>
      </c>
      <c r="S1178" s="17"/>
      <c r="W1178" t="str">
        <f t="shared" si="28"/>
        <v>SPREAD_CURVE.SP_F31</v>
      </c>
      <c r="X1178" t="e">
        <f>VLOOKUP(W1178,ColumnMapping[New Table.Column],1,)</f>
        <v>#N/A</v>
      </c>
      <c r="Y1178" t="str">
        <f>_xlfn.XLOOKUP(Table6[[#This Row],[Table.Column]],ColumnMapping[Add Column Name],ColumnMapping[Old Table.Column],"",0,1)</f>
        <v>SPREAD.SP_F31</v>
      </c>
      <c r="Z1178" t="str">
        <f>_xlfn.XLOOKUP(Table6[[#This Row],[Old Table.Column]],Cobra8.6[Table.Column],Cobra8.6[TYPE],"",0,1)</f>
        <v>INTE</v>
      </c>
      <c r="AA1178">
        <f>_xlfn.XLOOKUP(Table6[[#This Row],[Old Table.Column]],Cobra8.6[Table.Column],Cobra8.6[LENGTH],"",0,1)</f>
        <v>-1</v>
      </c>
      <c r="AB1178" t="s">
        <v>32</v>
      </c>
    </row>
    <row r="1179" spans="1:28" hidden="1" x14ac:dyDescent="0.2">
      <c r="A1179" t="s">
        <v>1799</v>
      </c>
      <c r="B1179" s="17" t="s">
        <v>1072</v>
      </c>
      <c r="C1179" s="17" t="s">
        <v>1857</v>
      </c>
      <c r="D1179" s="17">
        <v>35</v>
      </c>
      <c r="E1179" s="17" t="s">
        <v>36</v>
      </c>
      <c r="F1179" t="str">
        <f>VLOOKUP($E1179,'Data Type Lookup'!$A$1:$C$21,2,FALSE)</f>
        <v>NUMBER(19,0)</v>
      </c>
      <c r="G1179" s="17"/>
      <c r="H1179" s="17"/>
      <c r="I1179" s="29"/>
      <c r="J1179" s="29">
        <v>0</v>
      </c>
      <c r="K1179" s="29"/>
      <c r="L1179" s="29"/>
      <c r="M1179" s="17"/>
      <c r="N1179" s="17"/>
      <c r="O1179" s="17"/>
      <c r="P1179" s="17" t="s">
        <v>1858</v>
      </c>
      <c r="Q1179" s="17" t="str">
        <f t="shared" si="27"/>
        <v>spF32</v>
      </c>
      <c r="R1179" t="str">
        <f>VLOOKUP(E1179,'Data Type Lookup'!$A$1:$C$21,3,FALSE)</f>
        <v>Long</v>
      </c>
      <c r="S1179" s="17"/>
      <c r="W1179" t="str">
        <f t="shared" si="28"/>
        <v>SPREAD_CURVE.SP_F32</v>
      </c>
      <c r="X1179" t="e">
        <f>VLOOKUP(W1179,ColumnMapping[New Table.Column],1,)</f>
        <v>#N/A</v>
      </c>
      <c r="Y1179" t="str">
        <f>_xlfn.XLOOKUP(Table6[[#This Row],[Table.Column]],ColumnMapping[Add Column Name],ColumnMapping[Old Table.Column],"",0,1)</f>
        <v>SPREAD.SP_F32</v>
      </c>
      <c r="Z1179" t="str">
        <f>_xlfn.XLOOKUP(Table6[[#This Row],[Old Table.Column]],Cobra8.6[Table.Column],Cobra8.6[TYPE],"",0,1)</f>
        <v>INTE</v>
      </c>
      <c r="AA1179">
        <f>_xlfn.XLOOKUP(Table6[[#This Row],[Old Table.Column]],Cobra8.6[Table.Column],Cobra8.6[LENGTH],"",0,1)</f>
        <v>-1</v>
      </c>
      <c r="AB1179" t="s">
        <v>32</v>
      </c>
    </row>
    <row r="1180" spans="1:28" hidden="1" x14ac:dyDescent="0.2">
      <c r="A1180" t="s">
        <v>1799</v>
      </c>
      <c r="B1180" s="17" t="s">
        <v>1072</v>
      </c>
      <c r="C1180" s="17" t="s">
        <v>1859</v>
      </c>
      <c r="D1180" s="17">
        <v>36</v>
      </c>
      <c r="E1180" s="17" t="s">
        <v>36</v>
      </c>
      <c r="F1180" t="str">
        <f>VLOOKUP($E1180,'Data Type Lookup'!$A$1:$C$21,2,FALSE)</f>
        <v>NUMBER(19,0)</v>
      </c>
      <c r="G1180" s="17"/>
      <c r="H1180" s="17"/>
      <c r="I1180" s="29"/>
      <c r="J1180" s="29">
        <v>0</v>
      </c>
      <c r="K1180" s="29"/>
      <c r="L1180" s="29"/>
      <c r="M1180" s="17"/>
      <c r="N1180" s="17"/>
      <c r="O1180" s="17"/>
      <c r="P1180" s="17" t="s">
        <v>1860</v>
      </c>
      <c r="Q1180" s="17" t="str">
        <f t="shared" si="27"/>
        <v>spF33</v>
      </c>
      <c r="R1180" t="str">
        <f>VLOOKUP(E1180,'Data Type Lookup'!$A$1:$C$21,3,FALSE)</f>
        <v>Long</v>
      </c>
      <c r="S1180" s="17"/>
      <c r="W1180" t="str">
        <f t="shared" si="28"/>
        <v>SPREAD_CURVE.SP_F33</v>
      </c>
      <c r="X1180" t="e">
        <f>VLOOKUP(W1180,ColumnMapping[New Table.Column],1,)</f>
        <v>#N/A</v>
      </c>
      <c r="Y1180" t="str">
        <f>_xlfn.XLOOKUP(Table6[[#This Row],[Table.Column]],ColumnMapping[Add Column Name],ColumnMapping[Old Table.Column],"",0,1)</f>
        <v>SPREAD.SP_F33</v>
      </c>
      <c r="Z1180" t="str">
        <f>_xlfn.XLOOKUP(Table6[[#This Row],[Old Table.Column]],Cobra8.6[Table.Column],Cobra8.6[TYPE],"",0,1)</f>
        <v>INTE</v>
      </c>
      <c r="AA1180">
        <f>_xlfn.XLOOKUP(Table6[[#This Row],[Old Table.Column]],Cobra8.6[Table.Column],Cobra8.6[LENGTH],"",0,1)</f>
        <v>-1</v>
      </c>
      <c r="AB1180" t="s">
        <v>32</v>
      </c>
    </row>
    <row r="1181" spans="1:28" hidden="1" x14ac:dyDescent="0.2">
      <c r="A1181" t="s">
        <v>1799</v>
      </c>
      <c r="B1181" s="17" t="s">
        <v>1072</v>
      </c>
      <c r="C1181" s="17" t="s">
        <v>1861</v>
      </c>
      <c r="D1181" s="17">
        <v>37</v>
      </c>
      <c r="E1181" s="17" t="s">
        <v>36</v>
      </c>
      <c r="F1181" t="str">
        <f>VLOOKUP($E1181,'Data Type Lookup'!$A$1:$C$21,2,FALSE)</f>
        <v>NUMBER(19,0)</v>
      </c>
      <c r="G1181" s="17"/>
      <c r="H1181" s="17"/>
      <c r="I1181" s="29"/>
      <c r="J1181" s="29">
        <v>0</v>
      </c>
      <c r="K1181" s="29"/>
      <c r="L1181" s="29"/>
      <c r="M1181" s="17"/>
      <c r="N1181" s="17"/>
      <c r="O1181" s="17"/>
      <c r="P1181" s="17" t="s">
        <v>1862</v>
      </c>
      <c r="Q1181" s="17" t="str">
        <f t="shared" si="27"/>
        <v>spF34</v>
      </c>
      <c r="R1181" t="str">
        <f>VLOOKUP(E1181,'Data Type Lookup'!$A$1:$C$21,3,FALSE)</f>
        <v>Long</v>
      </c>
      <c r="S1181" s="17"/>
      <c r="W1181" t="str">
        <f t="shared" si="28"/>
        <v>SPREAD_CURVE.SP_F34</v>
      </c>
      <c r="X1181" t="e">
        <f>VLOOKUP(W1181,ColumnMapping[New Table.Column],1,)</f>
        <v>#N/A</v>
      </c>
      <c r="Y1181" t="str">
        <f>_xlfn.XLOOKUP(Table6[[#This Row],[Table.Column]],ColumnMapping[Add Column Name],ColumnMapping[Old Table.Column],"",0,1)</f>
        <v>SPREAD.SP_F34</v>
      </c>
      <c r="Z1181" t="str">
        <f>_xlfn.XLOOKUP(Table6[[#This Row],[Old Table.Column]],Cobra8.6[Table.Column],Cobra8.6[TYPE],"",0,1)</f>
        <v>INTE</v>
      </c>
      <c r="AA1181">
        <f>_xlfn.XLOOKUP(Table6[[#This Row],[Old Table.Column]],Cobra8.6[Table.Column],Cobra8.6[LENGTH],"",0,1)</f>
        <v>-1</v>
      </c>
      <c r="AB1181" t="s">
        <v>32</v>
      </c>
    </row>
    <row r="1182" spans="1:28" hidden="1" x14ac:dyDescent="0.2">
      <c r="A1182" t="s">
        <v>1799</v>
      </c>
      <c r="B1182" s="17" t="s">
        <v>1072</v>
      </c>
      <c r="C1182" s="17" t="s">
        <v>1863</v>
      </c>
      <c r="D1182" s="17">
        <v>38</v>
      </c>
      <c r="E1182" s="17" t="s">
        <v>36</v>
      </c>
      <c r="F1182" t="str">
        <f>VLOOKUP($E1182,'Data Type Lookup'!$A$1:$C$21,2,FALSE)</f>
        <v>NUMBER(19,0)</v>
      </c>
      <c r="G1182" s="17"/>
      <c r="H1182" s="17"/>
      <c r="I1182" s="29"/>
      <c r="J1182" s="29">
        <v>0</v>
      </c>
      <c r="K1182" s="29"/>
      <c r="L1182" s="29"/>
      <c r="M1182" s="17"/>
      <c r="N1182" s="17"/>
      <c r="O1182" s="17"/>
      <c r="P1182" s="17" t="s">
        <v>1864</v>
      </c>
      <c r="Q1182" s="17" t="str">
        <f t="shared" si="27"/>
        <v>spF35</v>
      </c>
      <c r="R1182" t="str">
        <f>VLOOKUP(E1182,'Data Type Lookup'!$A$1:$C$21,3,FALSE)</f>
        <v>Long</v>
      </c>
      <c r="S1182" s="17"/>
      <c r="W1182" t="str">
        <f t="shared" si="28"/>
        <v>SPREAD_CURVE.SP_F35</v>
      </c>
      <c r="X1182" t="e">
        <f>VLOOKUP(W1182,ColumnMapping[New Table.Column],1,)</f>
        <v>#N/A</v>
      </c>
      <c r="Y1182" t="str">
        <f>_xlfn.XLOOKUP(Table6[[#This Row],[Table.Column]],ColumnMapping[Add Column Name],ColumnMapping[Old Table.Column],"",0,1)</f>
        <v>SPREAD.SP_F35</v>
      </c>
      <c r="Z1182" t="str">
        <f>_xlfn.XLOOKUP(Table6[[#This Row],[Old Table.Column]],Cobra8.6[Table.Column],Cobra8.6[TYPE],"",0,1)</f>
        <v>INTE</v>
      </c>
      <c r="AA1182">
        <f>_xlfn.XLOOKUP(Table6[[#This Row],[Old Table.Column]],Cobra8.6[Table.Column],Cobra8.6[LENGTH],"",0,1)</f>
        <v>-1</v>
      </c>
      <c r="AB1182" t="s">
        <v>32</v>
      </c>
    </row>
    <row r="1183" spans="1:28" hidden="1" x14ac:dyDescent="0.2">
      <c r="A1183" t="s">
        <v>1799</v>
      </c>
      <c r="B1183" s="17" t="s">
        <v>1072</v>
      </c>
      <c r="C1183" s="17" t="s">
        <v>1865</v>
      </c>
      <c r="D1183" s="17">
        <v>39</v>
      </c>
      <c r="E1183" s="17" t="s">
        <v>36</v>
      </c>
      <c r="F1183" t="str">
        <f>VLOOKUP($E1183,'Data Type Lookup'!$A$1:$C$21,2,FALSE)</f>
        <v>NUMBER(19,0)</v>
      </c>
      <c r="G1183" s="17"/>
      <c r="H1183" s="17"/>
      <c r="I1183" s="29"/>
      <c r="J1183" s="29">
        <v>0</v>
      </c>
      <c r="K1183" s="29"/>
      <c r="L1183" s="29"/>
      <c r="M1183" s="17"/>
      <c r="N1183" s="17"/>
      <c r="O1183" s="17"/>
      <c r="P1183" s="17" t="s">
        <v>1866</v>
      </c>
      <c r="Q1183" s="17" t="str">
        <f t="shared" si="27"/>
        <v>spF36</v>
      </c>
      <c r="R1183" t="str">
        <f>VLOOKUP(E1183,'Data Type Lookup'!$A$1:$C$21,3,FALSE)</f>
        <v>Long</v>
      </c>
      <c r="S1183" s="17"/>
      <c r="W1183" t="str">
        <f t="shared" si="28"/>
        <v>SPREAD_CURVE.SP_F36</v>
      </c>
      <c r="X1183" t="e">
        <f>VLOOKUP(W1183,ColumnMapping[New Table.Column],1,)</f>
        <v>#N/A</v>
      </c>
      <c r="Y1183" t="str">
        <f>_xlfn.XLOOKUP(Table6[[#This Row],[Table.Column]],ColumnMapping[Add Column Name],ColumnMapping[Old Table.Column],"",0,1)</f>
        <v>SPREAD.SP_F36</v>
      </c>
      <c r="Z1183" t="str">
        <f>_xlfn.XLOOKUP(Table6[[#This Row],[Old Table.Column]],Cobra8.6[Table.Column],Cobra8.6[TYPE],"",0,1)</f>
        <v>INTE</v>
      </c>
      <c r="AA1183">
        <f>_xlfn.XLOOKUP(Table6[[#This Row],[Old Table.Column]],Cobra8.6[Table.Column],Cobra8.6[LENGTH],"",0,1)</f>
        <v>-1</v>
      </c>
      <c r="AB1183" t="s">
        <v>32</v>
      </c>
    </row>
    <row r="1184" spans="1:28" hidden="1" x14ac:dyDescent="0.2">
      <c r="A1184" t="s">
        <v>1799</v>
      </c>
      <c r="B1184" s="17" t="s">
        <v>1072</v>
      </c>
      <c r="C1184" s="17" t="s">
        <v>1867</v>
      </c>
      <c r="D1184" s="17">
        <v>40</v>
      </c>
      <c r="E1184" s="17" t="s">
        <v>36</v>
      </c>
      <c r="F1184" t="str">
        <f>VLOOKUP($E1184,'Data Type Lookup'!$A$1:$C$21,2,FALSE)</f>
        <v>NUMBER(19,0)</v>
      </c>
      <c r="G1184" s="17"/>
      <c r="H1184" s="17"/>
      <c r="I1184" s="29"/>
      <c r="J1184" s="29">
        <v>0</v>
      </c>
      <c r="K1184" s="29"/>
      <c r="L1184" s="29"/>
      <c r="M1184" s="17"/>
      <c r="N1184" s="17"/>
      <c r="O1184" s="17"/>
      <c r="P1184" s="17" t="s">
        <v>1868</v>
      </c>
      <c r="Q1184" s="17" t="str">
        <f t="shared" si="27"/>
        <v>spF37</v>
      </c>
      <c r="R1184" t="str">
        <f>VLOOKUP(E1184,'Data Type Lookup'!$A$1:$C$21,3,FALSE)</f>
        <v>Long</v>
      </c>
      <c r="S1184" s="17"/>
      <c r="W1184" t="str">
        <f t="shared" si="28"/>
        <v>SPREAD_CURVE.SP_F37</v>
      </c>
      <c r="X1184" t="e">
        <f>VLOOKUP(W1184,ColumnMapping[New Table.Column],1,)</f>
        <v>#N/A</v>
      </c>
      <c r="Y1184" t="str">
        <f>_xlfn.XLOOKUP(Table6[[#This Row],[Table.Column]],ColumnMapping[Add Column Name],ColumnMapping[Old Table.Column],"",0,1)</f>
        <v>SPREAD.SP_F37</v>
      </c>
      <c r="Z1184" t="str">
        <f>_xlfn.XLOOKUP(Table6[[#This Row],[Old Table.Column]],Cobra8.6[Table.Column],Cobra8.6[TYPE],"",0,1)</f>
        <v>INTE</v>
      </c>
      <c r="AA1184">
        <f>_xlfn.XLOOKUP(Table6[[#This Row],[Old Table.Column]],Cobra8.6[Table.Column],Cobra8.6[LENGTH],"",0,1)</f>
        <v>-1</v>
      </c>
      <c r="AB1184" t="s">
        <v>32</v>
      </c>
    </row>
    <row r="1185" spans="1:28" hidden="1" x14ac:dyDescent="0.2">
      <c r="A1185" t="s">
        <v>1799</v>
      </c>
      <c r="B1185" s="17" t="s">
        <v>1072</v>
      </c>
      <c r="C1185" s="17" t="s">
        <v>1869</v>
      </c>
      <c r="D1185" s="17">
        <v>41</v>
      </c>
      <c r="E1185" s="17" t="s">
        <v>36</v>
      </c>
      <c r="F1185" t="str">
        <f>VLOOKUP($E1185,'Data Type Lookup'!$A$1:$C$21,2,FALSE)</f>
        <v>NUMBER(19,0)</v>
      </c>
      <c r="G1185" s="17"/>
      <c r="H1185" s="17"/>
      <c r="I1185" s="29"/>
      <c r="J1185" s="29">
        <v>0</v>
      </c>
      <c r="K1185" s="29"/>
      <c r="L1185" s="29"/>
      <c r="M1185" s="17"/>
      <c r="N1185" s="17"/>
      <c r="O1185" s="17"/>
      <c r="P1185" s="17" t="s">
        <v>1870</v>
      </c>
      <c r="Q1185" s="17" t="str">
        <f t="shared" si="27"/>
        <v>spF38</v>
      </c>
      <c r="R1185" t="str">
        <f>VLOOKUP(E1185,'Data Type Lookup'!$A$1:$C$21,3,FALSE)</f>
        <v>Long</v>
      </c>
      <c r="S1185" s="17"/>
      <c r="W1185" t="str">
        <f t="shared" si="28"/>
        <v>SPREAD_CURVE.SP_F38</v>
      </c>
      <c r="X1185" t="e">
        <f>VLOOKUP(W1185,ColumnMapping[New Table.Column],1,)</f>
        <v>#N/A</v>
      </c>
      <c r="Y1185" t="str">
        <f>_xlfn.XLOOKUP(Table6[[#This Row],[Table.Column]],ColumnMapping[Add Column Name],ColumnMapping[Old Table.Column],"",0,1)</f>
        <v>SPREAD.SP_F38</v>
      </c>
      <c r="Z1185" t="str">
        <f>_xlfn.XLOOKUP(Table6[[#This Row],[Old Table.Column]],Cobra8.6[Table.Column],Cobra8.6[TYPE],"",0,1)</f>
        <v>INTE</v>
      </c>
      <c r="AA1185">
        <f>_xlfn.XLOOKUP(Table6[[#This Row],[Old Table.Column]],Cobra8.6[Table.Column],Cobra8.6[LENGTH],"",0,1)</f>
        <v>-1</v>
      </c>
      <c r="AB1185" t="s">
        <v>32</v>
      </c>
    </row>
    <row r="1186" spans="1:28" hidden="1" x14ac:dyDescent="0.2">
      <c r="A1186" t="s">
        <v>1799</v>
      </c>
      <c r="B1186" s="17" t="s">
        <v>1072</v>
      </c>
      <c r="C1186" s="17" t="s">
        <v>1871</v>
      </c>
      <c r="D1186" s="17">
        <v>42</v>
      </c>
      <c r="E1186" s="17" t="s">
        <v>36</v>
      </c>
      <c r="F1186" t="str">
        <f>VLOOKUP($E1186,'Data Type Lookup'!$A$1:$C$21,2,FALSE)</f>
        <v>NUMBER(19,0)</v>
      </c>
      <c r="G1186" s="17"/>
      <c r="H1186" s="17"/>
      <c r="I1186" s="29"/>
      <c r="J1186" s="29">
        <v>0</v>
      </c>
      <c r="K1186" s="29"/>
      <c r="L1186" s="29"/>
      <c r="M1186" s="17"/>
      <c r="N1186" s="17"/>
      <c r="O1186" s="17"/>
      <c r="P1186" s="17" t="s">
        <v>1872</v>
      </c>
      <c r="Q1186" s="17" t="str">
        <f t="shared" ref="Q1186:Q1207" si="29">IF(C1186="","",LOWER(LEFT(TRIM(C1186),FIND("_",TRIM(C1186)&amp;"_")-1))&amp;SUBSTITUTE(PROPER(SUBSTITUTE(MID(TRIM(C1186),FIND("_",TRIM(C1186)&amp;"_"),LEN(TRIM(C1186))),"_"," "))," ",""))</f>
        <v>spF39</v>
      </c>
      <c r="R1186" t="str">
        <f>VLOOKUP(E1186,'Data Type Lookup'!$A$1:$C$21,3,FALSE)</f>
        <v>Long</v>
      </c>
      <c r="S1186" s="17"/>
      <c r="W1186" t="str">
        <f t="shared" si="28"/>
        <v>SPREAD_CURVE.SP_F39</v>
      </c>
      <c r="X1186" t="e">
        <f>VLOOKUP(W1186,ColumnMapping[New Table.Column],1,)</f>
        <v>#N/A</v>
      </c>
      <c r="Y1186" t="str">
        <f>_xlfn.XLOOKUP(Table6[[#This Row],[Table.Column]],ColumnMapping[Add Column Name],ColumnMapping[Old Table.Column],"",0,1)</f>
        <v>SPREAD.SP_F39</v>
      </c>
      <c r="Z1186" t="str">
        <f>_xlfn.XLOOKUP(Table6[[#This Row],[Old Table.Column]],Cobra8.6[Table.Column],Cobra8.6[TYPE],"",0,1)</f>
        <v>INTE</v>
      </c>
      <c r="AA1186">
        <f>_xlfn.XLOOKUP(Table6[[#This Row],[Old Table.Column]],Cobra8.6[Table.Column],Cobra8.6[LENGTH],"",0,1)</f>
        <v>-1</v>
      </c>
      <c r="AB1186" t="s">
        <v>32</v>
      </c>
    </row>
    <row r="1187" spans="1:28" hidden="1" x14ac:dyDescent="0.2">
      <c r="A1187" t="s">
        <v>1799</v>
      </c>
      <c r="B1187" s="17" t="s">
        <v>1072</v>
      </c>
      <c r="C1187" s="17" t="s">
        <v>1873</v>
      </c>
      <c r="D1187" s="17">
        <v>43</v>
      </c>
      <c r="E1187" s="17" t="s">
        <v>36</v>
      </c>
      <c r="F1187" t="str">
        <f>VLOOKUP($E1187,'Data Type Lookup'!$A$1:$C$21,2,FALSE)</f>
        <v>NUMBER(19,0)</v>
      </c>
      <c r="G1187" s="17"/>
      <c r="H1187" s="17"/>
      <c r="I1187" s="29"/>
      <c r="J1187" s="29">
        <v>0</v>
      </c>
      <c r="K1187" s="29"/>
      <c r="L1187" s="29"/>
      <c r="M1187" s="17"/>
      <c r="N1187" s="17"/>
      <c r="O1187" s="17"/>
      <c r="P1187" s="17" t="s">
        <v>1874</v>
      </c>
      <c r="Q1187" s="17" t="str">
        <f t="shared" si="29"/>
        <v>spF4</v>
      </c>
      <c r="R1187" t="str">
        <f>VLOOKUP(E1187,'Data Type Lookup'!$A$1:$C$21,3,FALSE)</f>
        <v>Long</v>
      </c>
      <c r="S1187" s="17"/>
      <c r="W1187" t="str">
        <f t="shared" si="28"/>
        <v>SPREAD_CURVE.SP_F4</v>
      </c>
      <c r="X1187" t="e">
        <f>VLOOKUP(W1187,ColumnMapping[New Table.Column],1,)</f>
        <v>#N/A</v>
      </c>
      <c r="Y1187" t="str">
        <f>_xlfn.XLOOKUP(Table6[[#This Row],[Table.Column]],ColumnMapping[Add Column Name],ColumnMapping[Old Table.Column],"",0,1)</f>
        <v>SPREAD.SP_F4</v>
      </c>
      <c r="Z1187" t="str">
        <f>_xlfn.XLOOKUP(Table6[[#This Row],[Old Table.Column]],Cobra8.6[Table.Column],Cobra8.6[TYPE],"",0,1)</f>
        <v>INTE</v>
      </c>
      <c r="AA1187">
        <f>_xlfn.XLOOKUP(Table6[[#This Row],[Old Table.Column]],Cobra8.6[Table.Column],Cobra8.6[LENGTH],"",0,1)</f>
        <v>-1</v>
      </c>
      <c r="AB1187" t="s">
        <v>32</v>
      </c>
    </row>
    <row r="1188" spans="1:28" hidden="1" x14ac:dyDescent="0.2">
      <c r="A1188" t="s">
        <v>1799</v>
      </c>
      <c r="B1188" s="17" t="s">
        <v>1072</v>
      </c>
      <c r="C1188" s="17" t="s">
        <v>1875</v>
      </c>
      <c r="D1188" s="17">
        <v>44</v>
      </c>
      <c r="E1188" s="17" t="s">
        <v>36</v>
      </c>
      <c r="F1188" t="str">
        <f>VLOOKUP($E1188,'Data Type Lookup'!$A$1:$C$21,2,FALSE)</f>
        <v>NUMBER(19,0)</v>
      </c>
      <c r="G1188" s="17"/>
      <c r="H1188" s="17"/>
      <c r="I1188" s="29"/>
      <c r="J1188" s="29">
        <v>0</v>
      </c>
      <c r="K1188" s="29"/>
      <c r="L1188" s="29"/>
      <c r="M1188" s="17"/>
      <c r="N1188" s="17"/>
      <c r="O1188" s="17"/>
      <c r="P1188" s="17" t="s">
        <v>1876</v>
      </c>
      <c r="Q1188" s="17" t="str">
        <f t="shared" si="29"/>
        <v>spF40</v>
      </c>
      <c r="R1188" t="str">
        <f>VLOOKUP(E1188,'Data Type Lookup'!$A$1:$C$21,3,FALSE)</f>
        <v>Long</v>
      </c>
      <c r="S1188" s="17"/>
      <c r="W1188" t="str">
        <f t="shared" si="28"/>
        <v>SPREAD_CURVE.SP_F40</v>
      </c>
      <c r="X1188" t="e">
        <f>VLOOKUP(W1188,ColumnMapping[New Table.Column],1,)</f>
        <v>#N/A</v>
      </c>
      <c r="Y1188" t="str">
        <f>_xlfn.XLOOKUP(Table6[[#This Row],[Table.Column]],ColumnMapping[Add Column Name],ColumnMapping[Old Table.Column],"",0,1)</f>
        <v>SPREAD.SP_F40</v>
      </c>
      <c r="Z1188" t="str">
        <f>_xlfn.XLOOKUP(Table6[[#This Row],[Old Table.Column]],Cobra8.6[Table.Column],Cobra8.6[TYPE],"",0,1)</f>
        <v>INTE</v>
      </c>
      <c r="AA1188">
        <f>_xlfn.XLOOKUP(Table6[[#This Row],[Old Table.Column]],Cobra8.6[Table.Column],Cobra8.6[LENGTH],"",0,1)</f>
        <v>-1</v>
      </c>
      <c r="AB1188" t="s">
        <v>32</v>
      </c>
    </row>
    <row r="1189" spans="1:28" hidden="1" x14ac:dyDescent="0.2">
      <c r="A1189" t="s">
        <v>1799</v>
      </c>
      <c r="B1189" s="17" t="s">
        <v>1072</v>
      </c>
      <c r="C1189" s="17" t="s">
        <v>1877</v>
      </c>
      <c r="D1189" s="17">
        <v>45</v>
      </c>
      <c r="E1189" s="17" t="s">
        <v>36</v>
      </c>
      <c r="F1189" t="str">
        <f>VLOOKUP($E1189,'Data Type Lookup'!$A$1:$C$21,2,FALSE)</f>
        <v>NUMBER(19,0)</v>
      </c>
      <c r="G1189" s="17"/>
      <c r="H1189" s="17"/>
      <c r="I1189" s="29"/>
      <c r="J1189" s="29">
        <v>0</v>
      </c>
      <c r="K1189" s="29"/>
      <c r="L1189" s="29"/>
      <c r="M1189" s="17"/>
      <c r="N1189" s="17"/>
      <c r="O1189" s="17"/>
      <c r="P1189" s="17" t="s">
        <v>1878</v>
      </c>
      <c r="Q1189" s="17" t="str">
        <f t="shared" si="29"/>
        <v>spF41</v>
      </c>
      <c r="R1189" t="str">
        <f>VLOOKUP(E1189,'Data Type Lookup'!$A$1:$C$21,3,FALSE)</f>
        <v>Long</v>
      </c>
      <c r="S1189" s="17"/>
      <c r="W1189" t="str">
        <f t="shared" si="28"/>
        <v>SPREAD_CURVE.SP_F41</v>
      </c>
      <c r="X1189" t="e">
        <f>VLOOKUP(W1189,ColumnMapping[New Table.Column],1,)</f>
        <v>#N/A</v>
      </c>
      <c r="Y1189" t="str">
        <f>_xlfn.XLOOKUP(Table6[[#This Row],[Table.Column]],ColumnMapping[Add Column Name],ColumnMapping[Old Table.Column],"",0,1)</f>
        <v>SPREAD.SP_F41</v>
      </c>
      <c r="Z1189" t="str">
        <f>_xlfn.XLOOKUP(Table6[[#This Row],[Old Table.Column]],Cobra8.6[Table.Column],Cobra8.6[TYPE],"",0,1)</f>
        <v>INTE</v>
      </c>
      <c r="AA1189">
        <f>_xlfn.XLOOKUP(Table6[[#This Row],[Old Table.Column]],Cobra8.6[Table.Column],Cobra8.6[LENGTH],"",0,1)</f>
        <v>-1</v>
      </c>
      <c r="AB1189" t="s">
        <v>32</v>
      </c>
    </row>
    <row r="1190" spans="1:28" hidden="1" x14ac:dyDescent="0.2">
      <c r="A1190" t="s">
        <v>1799</v>
      </c>
      <c r="B1190" s="17" t="s">
        <v>1072</v>
      </c>
      <c r="C1190" s="17" t="s">
        <v>1879</v>
      </c>
      <c r="D1190" s="17">
        <v>46</v>
      </c>
      <c r="E1190" s="17" t="s">
        <v>36</v>
      </c>
      <c r="F1190" t="str">
        <f>VLOOKUP($E1190,'Data Type Lookup'!$A$1:$C$21,2,FALSE)</f>
        <v>NUMBER(19,0)</v>
      </c>
      <c r="G1190" s="17"/>
      <c r="H1190" s="17"/>
      <c r="I1190" s="29"/>
      <c r="J1190" s="29">
        <v>0</v>
      </c>
      <c r="K1190" s="29"/>
      <c r="L1190" s="29"/>
      <c r="M1190" s="17"/>
      <c r="N1190" s="17"/>
      <c r="O1190" s="17"/>
      <c r="P1190" s="17" t="s">
        <v>1880</v>
      </c>
      <c r="Q1190" s="17" t="str">
        <f t="shared" si="29"/>
        <v>spF42</v>
      </c>
      <c r="R1190" t="str">
        <f>VLOOKUP(E1190,'Data Type Lookup'!$A$1:$C$21,3,FALSE)</f>
        <v>Long</v>
      </c>
      <c r="S1190" s="17"/>
      <c r="W1190" t="str">
        <f t="shared" si="28"/>
        <v>SPREAD_CURVE.SP_F42</v>
      </c>
      <c r="X1190" t="e">
        <f>VLOOKUP(W1190,ColumnMapping[New Table.Column],1,)</f>
        <v>#N/A</v>
      </c>
      <c r="Y1190" t="str">
        <f>_xlfn.XLOOKUP(Table6[[#This Row],[Table.Column]],ColumnMapping[Add Column Name],ColumnMapping[Old Table.Column],"",0,1)</f>
        <v>SPREAD.SP_F42</v>
      </c>
      <c r="Z1190" t="str">
        <f>_xlfn.XLOOKUP(Table6[[#This Row],[Old Table.Column]],Cobra8.6[Table.Column],Cobra8.6[TYPE],"",0,1)</f>
        <v>INTE</v>
      </c>
      <c r="AA1190">
        <f>_xlfn.XLOOKUP(Table6[[#This Row],[Old Table.Column]],Cobra8.6[Table.Column],Cobra8.6[LENGTH],"",0,1)</f>
        <v>-1</v>
      </c>
      <c r="AB1190" t="s">
        <v>32</v>
      </c>
    </row>
    <row r="1191" spans="1:28" hidden="1" x14ac:dyDescent="0.2">
      <c r="A1191" t="s">
        <v>1799</v>
      </c>
      <c r="B1191" s="17" t="s">
        <v>1072</v>
      </c>
      <c r="C1191" s="17" t="s">
        <v>1881</v>
      </c>
      <c r="D1191" s="17">
        <v>47</v>
      </c>
      <c r="E1191" s="17" t="s">
        <v>36</v>
      </c>
      <c r="F1191" t="str">
        <f>VLOOKUP($E1191,'Data Type Lookup'!$A$1:$C$21,2,FALSE)</f>
        <v>NUMBER(19,0)</v>
      </c>
      <c r="G1191" s="17"/>
      <c r="H1191" s="17"/>
      <c r="I1191" s="29"/>
      <c r="J1191" s="29">
        <v>0</v>
      </c>
      <c r="K1191" s="29"/>
      <c r="L1191" s="29"/>
      <c r="M1191" s="17"/>
      <c r="N1191" s="17"/>
      <c r="O1191" s="17"/>
      <c r="P1191" s="17" t="s">
        <v>1882</v>
      </c>
      <c r="Q1191" s="17" t="str">
        <f t="shared" si="29"/>
        <v>spF43</v>
      </c>
      <c r="R1191" t="str">
        <f>VLOOKUP(E1191,'Data Type Lookup'!$A$1:$C$21,3,FALSE)</f>
        <v>Long</v>
      </c>
      <c r="S1191" s="17"/>
      <c r="W1191" t="str">
        <f t="shared" si="28"/>
        <v>SPREAD_CURVE.SP_F43</v>
      </c>
      <c r="X1191" t="e">
        <f>VLOOKUP(W1191,ColumnMapping[New Table.Column],1,)</f>
        <v>#N/A</v>
      </c>
      <c r="Y1191" t="str">
        <f>_xlfn.XLOOKUP(Table6[[#This Row],[Table.Column]],ColumnMapping[Add Column Name],ColumnMapping[Old Table.Column],"",0,1)</f>
        <v>SPREAD.SP_F43</v>
      </c>
      <c r="Z1191" t="str">
        <f>_xlfn.XLOOKUP(Table6[[#This Row],[Old Table.Column]],Cobra8.6[Table.Column],Cobra8.6[TYPE],"",0,1)</f>
        <v>INTE</v>
      </c>
      <c r="AA1191">
        <f>_xlfn.XLOOKUP(Table6[[#This Row],[Old Table.Column]],Cobra8.6[Table.Column],Cobra8.6[LENGTH],"",0,1)</f>
        <v>-1</v>
      </c>
      <c r="AB1191" t="s">
        <v>32</v>
      </c>
    </row>
    <row r="1192" spans="1:28" hidden="1" x14ac:dyDescent="0.2">
      <c r="A1192" t="s">
        <v>1799</v>
      </c>
      <c r="B1192" s="17" t="s">
        <v>1072</v>
      </c>
      <c r="C1192" s="17" t="s">
        <v>1883</v>
      </c>
      <c r="D1192" s="17">
        <v>48</v>
      </c>
      <c r="E1192" s="17" t="s">
        <v>36</v>
      </c>
      <c r="F1192" t="str">
        <f>VLOOKUP($E1192,'Data Type Lookup'!$A$1:$C$21,2,FALSE)</f>
        <v>NUMBER(19,0)</v>
      </c>
      <c r="G1192" s="17"/>
      <c r="H1192" s="17"/>
      <c r="I1192" s="29"/>
      <c r="J1192" s="29">
        <v>0</v>
      </c>
      <c r="K1192" s="29"/>
      <c r="L1192" s="29"/>
      <c r="M1192" s="17"/>
      <c r="N1192" s="17"/>
      <c r="O1192" s="17"/>
      <c r="P1192" s="17" t="s">
        <v>1884</v>
      </c>
      <c r="Q1192" s="17" t="str">
        <f t="shared" si="29"/>
        <v>spF44</v>
      </c>
      <c r="R1192" t="str">
        <f>VLOOKUP(E1192,'Data Type Lookup'!$A$1:$C$21,3,FALSE)</f>
        <v>Long</v>
      </c>
      <c r="S1192" s="17"/>
      <c r="W1192" t="str">
        <f t="shared" si="28"/>
        <v>SPREAD_CURVE.SP_F44</v>
      </c>
      <c r="X1192" t="e">
        <f>VLOOKUP(W1192,ColumnMapping[New Table.Column],1,)</f>
        <v>#N/A</v>
      </c>
      <c r="Y1192" t="str">
        <f>_xlfn.XLOOKUP(Table6[[#This Row],[Table.Column]],ColumnMapping[Add Column Name],ColumnMapping[Old Table.Column],"",0,1)</f>
        <v>SPREAD.SP_F44</v>
      </c>
      <c r="Z1192" t="str">
        <f>_xlfn.XLOOKUP(Table6[[#This Row],[Old Table.Column]],Cobra8.6[Table.Column],Cobra8.6[TYPE],"",0,1)</f>
        <v>INTE</v>
      </c>
      <c r="AA1192">
        <f>_xlfn.XLOOKUP(Table6[[#This Row],[Old Table.Column]],Cobra8.6[Table.Column],Cobra8.6[LENGTH],"",0,1)</f>
        <v>-1</v>
      </c>
      <c r="AB1192" t="s">
        <v>32</v>
      </c>
    </row>
    <row r="1193" spans="1:28" hidden="1" x14ac:dyDescent="0.2">
      <c r="A1193" t="s">
        <v>1799</v>
      </c>
      <c r="B1193" s="17" t="s">
        <v>1072</v>
      </c>
      <c r="C1193" s="17" t="s">
        <v>1885</v>
      </c>
      <c r="D1193" s="17">
        <v>49</v>
      </c>
      <c r="E1193" s="17" t="s">
        <v>36</v>
      </c>
      <c r="F1193" t="str">
        <f>VLOOKUP($E1193,'Data Type Lookup'!$A$1:$C$21,2,FALSE)</f>
        <v>NUMBER(19,0)</v>
      </c>
      <c r="G1193" s="17"/>
      <c r="H1193" s="17"/>
      <c r="I1193" s="29"/>
      <c r="J1193" s="29">
        <v>0</v>
      </c>
      <c r="K1193" s="29"/>
      <c r="L1193" s="29"/>
      <c r="M1193" s="17"/>
      <c r="N1193" s="17"/>
      <c r="O1193" s="17"/>
      <c r="P1193" s="17" t="s">
        <v>1886</v>
      </c>
      <c r="Q1193" s="17" t="str">
        <f t="shared" si="29"/>
        <v>spF45</v>
      </c>
      <c r="R1193" t="str">
        <f>VLOOKUP(E1193,'Data Type Lookup'!$A$1:$C$21,3,FALSE)</f>
        <v>Long</v>
      </c>
      <c r="S1193" s="17"/>
      <c r="W1193" t="str">
        <f t="shared" si="28"/>
        <v>SPREAD_CURVE.SP_F45</v>
      </c>
      <c r="X1193" t="e">
        <f>VLOOKUP(W1193,ColumnMapping[New Table.Column],1,)</f>
        <v>#N/A</v>
      </c>
      <c r="Y1193" t="str">
        <f>_xlfn.XLOOKUP(Table6[[#This Row],[Table.Column]],ColumnMapping[Add Column Name],ColumnMapping[Old Table.Column],"",0,1)</f>
        <v>SPREAD.SP_F45</v>
      </c>
      <c r="Z1193" t="str">
        <f>_xlfn.XLOOKUP(Table6[[#This Row],[Old Table.Column]],Cobra8.6[Table.Column],Cobra8.6[TYPE],"",0,1)</f>
        <v>INTE</v>
      </c>
      <c r="AA1193">
        <f>_xlfn.XLOOKUP(Table6[[#This Row],[Old Table.Column]],Cobra8.6[Table.Column],Cobra8.6[LENGTH],"",0,1)</f>
        <v>-1</v>
      </c>
      <c r="AB1193" t="s">
        <v>32</v>
      </c>
    </row>
    <row r="1194" spans="1:28" hidden="1" x14ac:dyDescent="0.2">
      <c r="A1194" t="s">
        <v>1799</v>
      </c>
      <c r="B1194" s="17" t="s">
        <v>1072</v>
      </c>
      <c r="C1194" s="17" t="s">
        <v>1887</v>
      </c>
      <c r="D1194" s="17">
        <v>50</v>
      </c>
      <c r="E1194" s="17" t="s">
        <v>36</v>
      </c>
      <c r="F1194" t="str">
        <f>VLOOKUP($E1194,'Data Type Lookup'!$A$1:$C$21,2,FALSE)</f>
        <v>NUMBER(19,0)</v>
      </c>
      <c r="G1194" s="17"/>
      <c r="H1194" s="17"/>
      <c r="I1194" s="29"/>
      <c r="J1194" s="29">
        <v>0</v>
      </c>
      <c r="K1194" s="29"/>
      <c r="L1194" s="29"/>
      <c r="M1194" s="17"/>
      <c r="N1194" s="17"/>
      <c r="O1194" s="17"/>
      <c r="P1194" s="17" t="s">
        <v>1888</v>
      </c>
      <c r="Q1194" s="17" t="str">
        <f t="shared" si="29"/>
        <v>spF46</v>
      </c>
      <c r="R1194" t="str">
        <f>VLOOKUP(E1194,'Data Type Lookup'!$A$1:$C$21,3,FALSE)</f>
        <v>Long</v>
      </c>
      <c r="S1194" s="17"/>
      <c r="W1194" t="str">
        <f t="shared" si="28"/>
        <v>SPREAD_CURVE.SP_F46</v>
      </c>
      <c r="X1194" t="e">
        <f>VLOOKUP(W1194,ColumnMapping[New Table.Column],1,)</f>
        <v>#N/A</v>
      </c>
      <c r="Y1194" t="str">
        <f>_xlfn.XLOOKUP(Table6[[#This Row],[Table.Column]],ColumnMapping[Add Column Name],ColumnMapping[Old Table.Column],"",0,1)</f>
        <v>SPREAD.SP_F46</v>
      </c>
      <c r="Z1194" t="str">
        <f>_xlfn.XLOOKUP(Table6[[#This Row],[Old Table.Column]],Cobra8.6[Table.Column],Cobra8.6[TYPE],"",0,1)</f>
        <v>INTE</v>
      </c>
      <c r="AA1194">
        <f>_xlfn.XLOOKUP(Table6[[#This Row],[Old Table.Column]],Cobra8.6[Table.Column],Cobra8.6[LENGTH],"",0,1)</f>
        <v>-1</v>
      </c>
      <c r="AB1194" t="s">
        <v>32</v>
      </c>
    </row>
    <row r="1195" spans="1:28" hidden="1" x14ac:dyDescent="0.2">
      <c r="A1195" t="s">
        <v>1799</v>
      </c>
      <c r="B1195" s="17" t="s">
        <v>1072</v>
      </c>
      <c r="C1195" s="17" t="s">
        <v>1889</v>
      </c>
      <c r="D1195" s="17">
        <v>51</v>
      </c>
      <c r="E1195" s="17" t="s">
        <v>36</v>
      </c>
      <c r="F1195" t="str">
        <f>VLOOKUP($E1195,'Data Type Lookup'!$A$1:$C$21,2,FALSE)</f>
        <v>NUMBER(19,0)</v>
      </c>
      <c r="G1195" s="17"/>
      <c r="H1195" s="17"/>
      <c r="I1195" s="29"/>
      <c r="J1195" s="29">
        <v>0</v>
      </c>
      <c r="K1195" s="29"/>
      <c r="L1195" s="29"/>
      <c r="M1195" s="17"/>
      <c r="N1195" s="17"/>
      <c r="O1195" s="17"/>
      <c r="P1195" s="17" t="s">
        <v>1890</v>
      </c>
      <c r="Q1195" s="17" t="str">
        <f t="shared" si="29"/>
        <v>spF47</v>
      </c>
      <c r="R1195" t="str">
        <f>VLOOKUP(E1195,'Data Type Lookup'!$A$1:$C$21,3,FALSE)</f>
        <v>Long</v>
      </c>
      <c r="S1195" s="17"/>
      <c r="W1195" t="str">
        <f t="shared" si="28"/>
        <v>SPREAD_CURVE.SP_F47</v>
      </c>
      <c r="X1195" t="e">
        <f>VLOOKUP(W1195,ColumnMapping[New Table.Column],1,)</f>
        <v>#N/A</v>
      </c>
      <c r="Y1195" t="str">
        <f>_xlfn.XLOOKUP(Table6[[#This Row],[Table.Column]],ColumnMapping[Add Column Name],ColumnMapping[Old Table.Column],"",0,1)</f>
        <v>SPREAD.SP_F47</v>
      </c>
      <c r="Z1195" t="str">
        <f>_xlfn.XLOOKUP(Table6[[#This Row],[Old Table.Column]],Cobra8.6[Table.Column],Cobra8.6[TYPE],"",0,1)</f>
        <v>INTE</v>
      </c>
      <c r="AA1195">
        <f>_xlfn.XLOOKUP(Table6[[#This Row],[Old Table.Column]],Cobra8.6[Table.Column],Cobra8.6[LENGTH],"",0,1)</f>
        <v>-1</v>
      </c>
      <c r="AB1195" t="s">
        <v>32</v>
      </c>
    </row>
    <row r="1196" spans="1:28" hidden="1" x14ac:dyDescent="0.2">
      <c r="A1196" t="s">
        <v>1799</v>
      </c>
      <c r="B1196" s="17" t="s">
        <v>1072</v>
      </c>
      <c r="C1196" s="17" t="s">
        <v>1891</v>
      </c>
      <c r="D1196" s="17">
        <v>52</v>
      </c>
      <c r="E1196" s="17" t="s">
        <v>36</v>
      </c>
      <c r="F1196" t="str">
        <f>VLOOKUP($E1196,'Data Type Lookup'!$A$1:$C$21,2,FALSE)</f>
        <v>NUMBER(19,0)</v>
      </c>
      <c r="G1196" s="17"/>
      <c r="H1196" s="17"/>
      <c r="I1196" s="29"/>
      <c r="J1196" s="29">
        <v>0</v>
      </c>
      <c r="K1196" s="29"/>
      <c r="L1196" s="29"/>
      <c r="M1196" s="17"/>
      <c r="N1196" s="17"/>
      <c r="O1196" s="17"/>
      <c r="P1196" s="17" t="s">
        <v>1892</v>
      </c>
      <c r="Q1196" s="17" t="str">
        <f t="shared" si="29"/>
        <v>spF48</v>
      </c>
      <c r="R1196" t="str">
        <f>VLOOKUP(E1196,'Data Type Lookup'!$A$1:$C$21,3,FALSE)</f>
        <v>Long</v>
      </c>
      <c r="S1196" s="17"/>
      <c r="W1196" t="str">
        <f t="shared" si="28"/>
        <v>SPREAD_CURVE.SP_F48</v>
      </c>
      <c r="X1196" t="e">
        <f>VLOOKUP(W1196,ColumnMapping[New Table.Column],1,)</f>
        <v>#N/A</v>
      </c>
      <c r="Y1196" t="str">
        <f>_xlfn.XLOOKUP(Table6[[#This Row],[Table.Column]],ColumnMapping[Add Column Name],ColumnMapping[Old Table.Column],"",0,1)</f>
        <v>SPREAD.SP_F48</v>
      </c>
      <c r="Z1196" t="str">
        <f>_xlfn.XLOOKUP(Table6[[#This Row],[Old Table.Column]],Cobra8.6[Table.Column],Cobra8.6[TYPE],"",0,1)</f>
        <v>INTE</v>
      </c>
      <c r="AA1196">
        <f>_xlfn.XLOOKUP(Table6[[#This Row],[Old Table.Column]],Cobra8.6[Table.Column],Cobra8.6[LENGTH],"",0,1)</f>
        <v>-1</v>
      </c>
      <c r="AB1196" t="s">
        <v>32</v>
      </c>
    </row>
    <row r="1197" spans="1:28" hidden="1" x14ac:dyDescent="0.2">
      <c r="A1197" t="s">
        <v>1799</v>
      </c>
      <c r="B1197" s="17" t="s">
        <v>1072</v>
      </c>
      <c r="C1197" s="17" t="s">
        <v>1893</v>
      </c>
      <c r="D1197" s="17">
        <v>53</v>
      </c>
      <c r="E1197" s="17" t="s">
        <v>36</v>
      </c>
      <c r="F1197" t="str">
        <f>VLOOKUP($E1197,'Data Type Lookup'!$A$1:$C$21,2,FALSE)</f>
        <v>NUMBER(19,0)</v>
      </c>
      <c r="G1197" s="17"/>
      <c r="H1197" s="17"/>
      <c r="I1197" s="29"/>
      <c r="J1197" s="29">
        <v>0</v>
      </c>
      <c r="K1197" s="29"/>
      <c r="L1197" s="29"/>
      <c r="M1197" s="17"/>
      <c r="N1197" s="17"/>
      <c r="O1197" s="17"/>
      <c r="P1197" s="17" t="s">
        <v>1894</v>
      </c>
      <c r="Q1197" s="17" t="str">
        <f t="shared" si="29"/>
        <v>spF49</v>
      </c>
      <c r="R1197" t="str">
        <f>VLOOKUP(E1197,'Data Type Lookup'!$A$1:$C$21,3,FALSE)</f>
        <v>Long</v>
      </c>
      <c r="S1197" s="17"/>
      <c r="W1197" t="str">
        <f t="shared" si="28"/>
        <v>SPREAD_CURVE.SP_F49</v>
      </c>
      <c r="X1197" t="e">
        <f>VLOOKUP(W1197,ColumnMapping[New Table.Column],1,)</f>
        <v>#N/A</v>
      </c>
      <c r="Y1197" t="str">
        <f>_xlfn.XLOOKUP(Table6[[#This Row],[Table.Column]],ColumnMapping[Add Column Name],ColumnMapping[Old Table.Column],"",0,1)</f>
        <v>SPREAD.SP_F49</v>
      </c>
      <c r="Z1197" t="str">
        <f>_xlfn.XLOOKUP(Table6[[#This Row],[Old Table.Column]],Cobra8.6[Table.Column],Cobra8.6[TYPE],"",0,1)</f>
        <v>INTE</v>
      </c>
      <c r="AA1197">
        <f>_xlfn.XLOOKUP(Table6[[#This Row],[Old Table.Column]],Cobra8.6[Table.Column],Cobra8.6[LENGTH],"",0,1)</f>
        <v>-1</v>
      </c>
      <c r="AB1197" t="s">
        <v>32</v>
      </c>
    </row>
    <row r="1198" spans="1:28" hidden="1" x14ac:dyDescent="0.2">
      <c r="A1198" t="s">
        <v>1799</v>
      </c>
      <c r="B1198" s="17" t="s">
        <v>1072</v>
      </c>
      <c r="C1198" s="17" t="s">
        <v>1895</v>
      </c>
      <c r="D1198" s="17">
        <v>54</v>
      </c>
      <c r="E1198" s="17" t="s">
        <v>36</v>
      </c>
      <c r="F1198" t="str">
        <f>VLOOKUP($E1198,'Data Type Lookup'!$A$1:$C$21,2,FALSE)</f>
        <v>NUMBER(19,0)</v>
      </c>
      <c r="G1198" s="17"/>
      <c r="H1198" s="17"/>
      <c r="I1198" s="29"/>
      <c r="J1198" s="29">
        <v>0</v>
      </c>
      <c r="K1198" s="29"/>
      <c r="L1198" s="29"/>
      <c r="M1198" s="17"/>
      <c r="N1198" s="17"/>
      <c r="O1198" s="17"/>
      <c r="P1198" s="17" t="s">
        <v>1896</v>
      </c>
      <c r="Q1198" s="17" t="str">
        <f t="shared" si="29"/>
        <v>spF5</v>
      </c>
      <c r="R1198" t="str">
        <f>VLOOKUP(E1198,'Data Type Lookup'!$A$1:$C$21,3,FALSE)</f>
        <v>Long</v>
      </c>
      <c r="S1198" s="17"/>
      <c r="W1198" t="str">
        <f t="shared" si="28"/>
        <v>SPREAD_CURVE.SP_F5</v>
      </c>
      <c r="X1198" t="e">
        <f>VLOOKUP(W1198,ColumnMapping[New Table.Column],1,)</f>
        <v>#N/A</v>
      </c>
      <c r="Y1198" t="str">
        <f>_xlfn.XLOOKUP(Table6[[#This Row],[Table.Column]],ColumnMapping[Add Column Name],ColumnMapping[Old Table.Column],"",0,1)</f>
        <v>SPREAD.SP_F5</v>
      </c>
      <c r="Z1198" t="str">
        <f>_xlfn.XLOOKUP(Table6[[#This Row],[Old Table.Column]],Cobra8.6[Table.Column],Cobra8.6[TYPE],"",0,1)</f>
        <v>INTE</v>
      </c>
      <c r="AA1198">
        <f>_xlfn.XLOOKUP(Table6[[#This Row],[Old Table.Column]],Cobra8.6[Table.Column],Cobra8.6[LENGTH],"",0,1)</f>
        <v>-1</v>
      </c>
      <c r="AB1198" t="s">
        <v>32</v>
      </c>
    </row>
    <row r="1199" spans="1:28" hidden="1" x14ac:dyDescent="0.2">
      <c r="A1199" t="s">
        <v>1799</v>
      </c>
      <c r="B1199" s="17" t="s">
        <v>1072</v>
      </c>
      <c r="C1199" s="17" t="s">
        <v>1897</v>
      </c>
      <c r="D1199" s="17">
        <v>55</v>
      </c>
      <c r="E1199" s="17" t="s">
        <v>36</v>
      </c>
      <c r="F1199" t="str">
        <f>VLOOKUP($E1199,'Data Type Lookup'!$A$1:$C$21,2,FALSE)</f>
        <v>NUMBER(19,0)</v>
      </c>
      <c r="G1199" s="17"/>
      <c r="H1199" s="17"/>
      <c r="I1199" s="29"/>
      <c r="J1199" s="29">
        <v>0</v>
      </c>
      <c r="K1199" s="29"/>
      <c r="L1199" s="29"/>
      <c r="M1199" s="17"/>
      <c r="N1199" s="17"/>
      <c r="O1199" s="17"/>
      <c r="P1199" s="17" t="s">
        <v>1898</v>
      </c>
      <c r="Q1199" s="17" t="str">
        <f t="shared" si="29"/>
        <v>spF50</v>
      </c>
      <c r="R1199" t="str">
        <f>VLOOKUP(E1199,'Data Type Lookup'!$A$1:$C$21,3,FALSE)</f>
        <v>Long</v>
      </c>
      <c r="S1199" s="17"/>
      <c r="W1199" t="str">
        <f t="shared" si="28"/>
        <v>SPREAD_CURVE.SP_F50</v>
      </c>
      <c r="X1199" t="e">
        <f>VLOOKUP(W1199,ColumnMapping[New Table.Column],1,)</f>
        <v>#N/A</v>
      </c>
      <c r="Y1199" t="str">
        <f>_xlfn.XLOOKUP(Table6[[#This Row],[Table.Column]],ColumnMapping[Add Column Name],ColumnMapping[Old Table.Column],"",0,1)</f>
        <v>SPREAD.SP_F50</v>
      </c>
      <c r="Z1199" t="str">
        <f>_xlfn.XLOOKUP(Table6[[#This Row],[Old Table.Column]],Cobra8.6[Table.Column],Cobra8.6[TYPE],"",0,1)</f>
        <v>INTE</v>
      </c>
      <c r="AA1199">
        <f>_xlfn.XLOOKUP(Table6[[#This Row],[Old Table.Column]],Cobra8.6[Table.Column],Cobra8.6[LENGTH],"",0,1)</f>
        <v>-1</v>
      </c>
      <c r="AB1199" t="s">
        <v>32</v>
      </c>
    </row>
    <row r="1200" spans="1:28" hidden="1" x14ac:dyDescent="0.2">
      <c r="A1200" t="s">
        <v>1799</v>
      </c>
      <c r="B1200" s="17" t="s">
        <v>1072</v>
      </c>
      <c r="C1200" s="17" t="s">
        <v>1899</v>
      </c>
      <c r="D1200" s="17">
        <v>56</v>
      </c>
      <c r="E1200" s="17" t="s">
        <v>36</v>
      </c>
      <c r="F1200" t="str">
        <f>VLOOKUP($E1200,'Data Type Lookup'!$A$1:$C$21,2,FALSE)</f>
        <v>NUMBER(19,0)</v>
      </c>
      <c r="G1200" s="17"/>
      <c r="H1200" s="17"/>
      <c r="I1200" s="29"/>
      <c r="J1200" s="29">
        <v>0</v>
      </c>
      <c r="K1200" s="29"/>
      <c r="L1200" s="29"/>
      <c r="M1200" s="17"/>
      <c r="N1200" s="17"/>
      <c r="O1200" s="17"/>
      <c r="P1200" s="17" t="s">
        <v>1900</v>
      </c>
      <c r="Q1200" s="17" t="str">
        <f t="shared" si="29"/>
        <v>spF51</v>
      </c>
      <c r="R1200" t="str">
        <f>VLOOKUP(E1200,'Data Type Lookup'!$A$1:$C$21,3,FALSE)</f>
        <v>Long</v>
      </c>
      <c r="S1200" s="17"/>
      <c r="W1200" t="str">
        <f t="shared" si="28"/>
        <v>SPREAD_CURVE.SP_F51</v>
      </c>
      <c r="X1200" t="e">
        <f>VLOOKUP(W1200,ColumnMapping[New Table.Column],1,)</f>
        <v>#N/A</v>
      </c>
      <c r="Y1200" t="str">
        <f>_xlfn.XLOOKUP(Table6[[#This Row],[Table.Column]],ColumnMapping[Add Column Name],ColumnMapping[Old Table.Column],"",0,1)</f>
        <v>SPREAD.SP_F51</v>
      </c>
      <c r="Z1200" t="str">
        <f>_xlfn.XLOOKUP(Table6[[#This Row],[Old Table.Column]],Cobra8.6[Table.Column],Cobra8.6[TYPE],"",0,1)</f>
        <v>INTE</v>
      </c>
      <c r="AA1200">
        <f>_xlfn.XLOOKUP(Table6[[#This Row],[Old Table.Column]],Cobra8.6[Table.Column],Cobra8.6[LENGTH],"",0,1)</f>
        <v>-1</v>
      </c>
      <c r="AB1200" t="s">
        <v>32</v>
      </c>
    </row>
    <row r="1201" spans="1:28" hidden="1" x14ac:dyDescent="0.2">
      <c r="A1201" t="s">
        <v>1799</v>
      </c>
      <c r="B1201" s="17" t="s">
        <v>1072</v>
      </c>
      <c r="C1201" s="17" t="s">
        <v>1901</v>
      </c>
      <c r="D1201" s="17">
        <v>57</v>
      </c>
      <c r="E1201" s="17" t="s">
        <v>36</v>
      </c>
      <c r="F1201" t="str">
        <f>VLOOKUP($E1201,'Data Type Lookup'!$A$1:$C$21,2,FALSE)</f>
        <v>NUMBER(19,0)</v>
      </c>
      <c r="G1201" s="17"/>
      <c r="H1201" s="17"/>
      <c r="I1201" s="29"/>
      <c r="J1201" s="29">
        <v>0</v>
      </c>
      <c r="K1201" s="29"/>
      <c r="L1201" s="29"/>
      <c r="M1201" s="17"/>
      <c r="N1201" s="17"/>
      <c r="O1201" s="17"/>
      <c r="P1201" s="17" t="s">
        <v>1902</v>
      </c>
      <c r="Q1201" s="17" t="str">
        <f t="shared" si="29"/>
        <v>spF52</v>
      </c>
      <c r="R1201" t="str">
        <f>VLOOKUP(E1201,'Data Type Lookup'!$A$1:$C$21,3,FALSE)</f>
        <v>Long</v>
      </c>
      <c r="S1201" s="17"/>
      <c r="W1201" t="str">
        <f t="shared" si="28"/>
        <v>SPREAD_CURVE.SP_F52</v>
      </c>
      <c r="X1201" t="e">
        <f>VLOOKUP(W1201,ColumnMapping[New Table.Column],1,)</f>
        <v>#N/A</v>
      </c>
      <c r="Y1201" t="str">
        <f>_xlfn.XLOOKUP(Table6[[#This Row],[Table.Column]],ColumnMapping[Add Column Name],ColumnMapping[Old Table.Column],"",0,1)</f>
        <v>SPREAD.SP_F52</v>
      </c>
      <c r="Z1201" t="str">
        <f>_xlfn.XLOOKUP(Table6[[#This Row],[Old Table.Column]],Cobra8.6[Table.Column],Cobra8.6[TYPE],"",0,1)</f>
        <v>INTE</v>
      </c>
      <c r="AA1201">
        <f>_xlfn.XLOOKUP(Table6[[#This Row],[Old Table.Column]],Cobra8.6[Table.Column],Cobra8.6[LENGTH],"",0,1)</f>
        <v>-1</v>
      </c>
      <c r="AB1201" t="s">
        <v>32</v>
      </c>
    </row>
    <row r="1202" spans="1:28" hidden="1" x14ac:dyDescent="0.2">
      <c r="A1202" t="s">
        <v>1799</v>
      </c>
      <c r="B1202" s="17" t="s">
        <v>1072</v>
      </c>
      <c r="C1202" s="17" t="s">
        <v>1903</v>
      </c>
      <c r="D1202" s="17">
        <v>58</v>
      </c>
      <c r="E1202" s="17" t="s">
        <v>36</v>
      </c>
      <c r="F1202" t="str">
        <f>VLOOKUP($E1202,'Data Type Lookup'!$A$1:$C$21,2,FALSE)</f>
        <v>NUMBER(19,0)</v>
      </c>
      <c r="G1202" s="17"/>
      <c r="H1202" s="17"/>
      <c r="I1202" s="29"/>
      <c r="J1202" s="29">
        <v>0</v>
      </c>
      <c r="K1202" s="29"/>
      <c r="L1202" s="29"/>
      <c r="M1202" s="17"/>
      <c r="N1202" s="17"/>
      <c r="O1202" s="17"/>
      <c r="P1202" s="17" t="s">
        <v>1904</v>
      </c>
      <c r="Q1202" s="17" t="str">
        <f t="shared" si="29"/>
        <v>spF6</v>
      </c>
      <c r="R1202" t="str">
        <f>VLOOKUP(E1202,'Data Type Lookup'!$A$1:$C$21,3,FALSE)</f>
        <v>Long</v>
      </c>
      <c r="S1202" s="17"/>
      <c r="W1202" t="str">
        <f t="shared" si="28"/>
        <v>SPREAD_CURVE.SP_F6</v>
      </c>
      <c r="X1202" t="e">
        <f>VLOOKUP(W1202,ColumnMapping[New Table.Column],1,)</f>
        <v>#N/A</v>
      </c>
      <c r="Y1202" t="str">
        <f>_xlfn.XLOOKUP(Table6[[#This Row],[Table.Column]],ColumnMapping[Add Column Name],ColumnMapping[Old Table.Column],"",0,1)</f>
        <v>SPREAD.SP_F6</v>
      </c>
      <c r="Z1202" t="str">
        <f>_xlfn.XLOOKUP(Table6[[#This Row],[Old Table.Column]],Cobra8.6[Table.Column],Cobra8.6[TYPE],"",0,1)</f>
        <v>INTE</v>
      </c>
      <c r="AA1202">
        <f>_xlfn.XLOOKUP(Table6[[#This Row],[Old Table.Column]],Cobra8.6[Table.Column],Cobra8.6[LENGTH],"",0,1)</f>
        <v>-1</v>
      </c>
      <c r="AB1202" t="s">
        <v>32</v>
      </c>
    </row>
    <row r="1203" spans="1:28" hidden="1" x14ac:dyDescent="0.2">
      <c r="A1203" t="s">
        <v>1799</v>
      </c>
      <c r="B1203" s="17" t="s">
        <v>1072</v>
      </c>
      <c r="C1203" s="17" t="s">
        <v>1905</v>
      </c>
      <c r="D1203" s="17">
        <v>59</v>
      </c>
      <c r="E1203" s="17" t="s">
        <v>36</v>
      </c>
      <c r="F1203" t="str">
        <f>VLOOKUP($E1203,'Data Type Lookup'!$A$1:$C$21,2,FALSE)</f>
        <v>NUMBER(19,0)</v>
      </c>
      <c r="G1203" s="17"/>
      <c r="H1203" s="17"/>
      <c r="I1203" s="29"/>
      <c r="J1203" s="29">
        <v>0</v>
      </c>
      <c r="K1203" s="29"/>
      <c r="L1203" s="29"/>
      <c r="M1203" s="17"/>
      <c r="N1203" s="17"/>
      <c r="O1203" s="17"/>
      <c r="P1203" s="17" t="s">
        <v>1906</v>
      </c>
      <c r="Q1203" s="17" t="str">
        <f t="shared" si="29"/>
        <v>spF7</v>
      </c>
      <c r="R1203" t="str">
        <f>VLOOKUP(E1203,'Data Type Lookup'!$A$1:$C$21,3,FALSE)</f>
        <v>Long</v>
      </c>
      <c r="S1203" s="17"/>
      <c r="W1203" t="str">
        <f t="shared" si="28"/>
        <v>SPREAD_CURVE.SP_F7</v>
      </c>
      <c r="X1203" t="e">
        <f>VLOOKUP(W1203,ColumnMapping[New Table.Column],1,)</f>
        <v>#N/A</v>
      </c>
      <c r="Y1203" t="str">
        <f>_xlfn.XLOOKUP(Table6[[#This Row],[Table.Column]],ColumnMapping[Add Column Name],ColumnMapping[Old Table.Column],"",0,1)</f>
        <v>SPREAD.SP_F7</v>
      </c>
      <c r="Z1203" t="str">
        <f>_xlfn.XLOOKUP(Table6[[#This Row],[Old Table.Column]],Cobra8.6[Table.Column],Cobra8.6[TYPE],"",0,1)</f>
        <v>INTE</v>
      </c>
      <c r="AA1203">
        <f>_xlfn.XLOOKUP(Table6[[#This Row],[Old Table.Column]],Cobra8.6[Table.Column],Cobra8.6[LENGTH],"",0,1)</f>
        <v>-1</v>
      </c>
      <c r="AB1203" t="s">
        <v>32</v>
      </c>
    </row>
    <row r="1204" spans="1:28" hidden="1" x14ac:dyDescent="0.2">
      <c r="A1204" t="s">
        <v>1799</v>
      </c>
      <c r="B1204" s="17" t="s">
        <v>1072</v>
      </c>
      <c r="C1204" s="17" t="s">
        <v>1907</v>
      </c>
      <c r="D1204" s="17">
        <v>60</v>
      </c>
      <c r="E1204" s="17" t="s">
        <v>36</v>
      </c>
      <c r="F1204" t="str">
        <f>VLOOKUP($E1204,'Data Type Lookup'!$A$1:$C$21,2,FALSE)</f>
        <v>NUMBER(19,0)</v>
      </c>
      <c r="G1204" s="17"/>
      <c r="H1204" s="17"/>
      <c r="I1204" s="29"/>
      <c r="J1204" s="29">
        <v>0</v>
      </c>
      <c r="K1204" s="29"/>
      <c r="L1204" s="29"/>
      <c r="M1204" s="17"/>
      <c r="N1204" s="17"/>
      <c r="O1204" s="17"/>
      <c r="P1204" s="17" t="s">
        <v>1908</v>
      </c>
      <c r="Q1204" s="17" t="str">
        <f t="shared" si="29"/>
        <v>spF8</v>
      </c>
      <c r="R1204" t="str">
        <f>VLOOKUP(E1204,'Data Type Lookup'!$A$1:$C$21,3,FALSE)</f>
        <v>Long</v>
      </c>
      <c r="S1204" s="17"/>
      <c r="W1204" t="str">
        <f t="shared" si="28"/>
        <v>SPREAD_CURVE.SP_F8</v>
      </c>
      <c r="X1204" t="e">
        <f>VLOOKUP(W1204,ColumnMapping[New Table.Column],1,)</f>
        <v>#N/A</v>
      </c>
      <c r="Y1204" t="str">
        <f>_xlfn.XLOOKUP(Table6[[#This Row],[Table.Column]],ColumnMapping[Add Column Name],ColumnMapping[Old Table.Column],"",0,1)</f>
        <v>SPREAD.SP_F8</v>
      </c>
      <c r="Z1204" t="str">
        <f>_xlfn.XLOOKUP(Table6[[#This Row],[Old Table.Column]],Cobra8.6[Table.Column],Cobra8.6[TYPE],"",0,1)</f>
        <v>INTE</v>
      </c>
      <c r="AA1204">
        <f>_xlfn.XLOOKUP(Table6[[#This Row],[Old Table.Column]],Cobra8.6[Table.Column],Cobra8.6[LENGTH],"",0,1)</f>
        <v>-1</v>
      </c>
      <c r="AB1204" t="s">
        <v>32</v>
      </c>
    </row>
    <row r="1205" spans="1:28" hidden="1" x14ac:dyDescent="0.2">
      <c r="A1205" t="s">
        <v>1799</v>
      </c>
      <c r="B1205" s="17" t="s">
        <v>1072</v>
      </c>
      <c r="C1205" s="17" t="s">
        <v>1909</v>
      </c>
      <c r="D1205" s="17">
        <v>61</v>
      </c>
      <c r="E1205" s="17" t="s">
        <v>36</v>
      </c>
      <c r="F1205" t="str">
        <f>VLOOKUP($E1205,'Data Type Lookup'!$A$1:$C$21,2,FALSE)</f>
        <v>NUMBER(19,0)</v>
      </c>
      <c r="G1205" s="17"/>
      <c r="H1205" s="17"/>
      <c r="I1205" s="29"/>
      <c r="J1205" s="29">
        <v>0</v>
      </c>
      <c r="K1205" s="29"/>
      <c r="L1205" s="29"/>
      <c r="M1205" s="17"/>
      <c r="N1205" s="17"/>
      <c r="O1205" s="17"/>
      <c r="P1205" s="17" t="s">
        <v>1910</v>
      </c>
      <c r="Q1205" s="17" t="str">
        <f t="shared" si="29"/>
        <v>spF9</v>
      </c>
      <c r="R1205" t="str">
        <f>VLOOKUP(E1205,'Data Type Lookup'!$A$1:$C$21,3,FALSE)</f>
        <v>Long</v>
      </c>
      <c r="S1205" s="17"/>
      <c r="W1205" t="str">
        <f t="shared" si="28"/>
        <v>SPREAD_CURVE.SP_F9</v>
      </c>
      <c r="X1205" t="e">
        <f>VLOOKUP(W1205,ColumnMapping[New Table.Column],1,)</f>
        <v>#N/A</v>
      </c>
      <c r="Y1205" t="str">
        <f>_xlfn.XLOOKUP(Table6[[#This Row],[Table.Column]],ColumnMapping[Add Column Name],ColumnMapping[Old Table.Column],"",0,1)</f>
        <v>SPREAD.SP_F9</v>
      </c>
      <c r="Z1205" t="str">
        <f>_xlfn.XLOOKUP(Table6[[#This Row],[Old Table.Column]],Cobra8.6[Table.Column],Cobra8.6[TYPE],"",0,1)</f>
        <v>INTE</v>
      </c>
      <c r="AA1205">
        <f>_xlfn.XLOOKUP(Table6[[#This Row],[Old Table.Column]],Cobra8.6[Table.Column],Cobra8.6[LENGTH],"",0,1)</f>
        <v>-1</v>
      </c>
      <c r="AB1205" t="s">
        <v>32</v>
      </c>
    </row>
    <row r="1206" spans="1:28" hidden="1" x14ac:dyDescent="0.2">
      <c r="A1206" t="s">
        <v>1799</v>
      </c>
      <c r="B1206" s="17" t="s">
        <v>1072</v>
      </c>
      <c r="C1206" s="17" t="s">
        <v>1911</v>
      </c>
      <c r="D1206" s="17">
        <v>62</v>
      </c>
      <c r="E1206" s="17" t="s">
        <v>36</v>
      </c>
      <c r="F1206" t="str">
        <f>VLOOKUP($E1206,'Data Type Lookup'!$A$1:$C$21,2,FALSE)</f>
        <v>NUMBER(19,0)</v>
      </c>
      <c r="G1206" s="17"/>
      <c r="H1206" s="17"/>
      <c r="I1206" s="29"/>
      <c r="J1206" s="29">
        <v>0</v>
      </c>
      <c r="K1206" s="29"/>
      <c r="L1206" s="29"/>
      <c r="M1206" s="17"/>
      <c r="N1206" s="17"/>
      <c r="O1206" s="17"/>
      <c r="P1206" s="17" t="s">
        <v>1912</v>
      </c>
      <c r="Q1206" s="17" t="str">
        <f t="shared" si="29"/>
        <v>spreadord</v>
      </c>
      <c r="R1206" t="str">
        <f>VLOOKUP(E1206,'Data Type Lookup'!$A$1:$C$21,3,FALSE)</f>
        <v>Long</v>
      </c>
      <c r="S1206" s="17"/>
      <c r="W1206" t="str">
        <f t="shared" si="28"/>
        <v>SPREAD_CURVE.SPREADORD</v>
      </c>
      <c r="X1206" t="e">
        <f>VLOOKUP(W1206,ColumnMapping[New Table.Column],1,)</f>
        <v>#N/A</v>
      </c>
      <c r="Y1206" t="str">
        <f>_xlfn.XLOOKUP(Table6[[#This Row],[Table.Column]],ColumnMapping[Add Column Name],ColumnMapping[Old Table.Column],"",0,1)</f>
        <v>SPREAD.SPREADORD</v>
      </c>
      <c r="Z1206" t="str">
        <f>_xlfn.XLOOKUP(Table6[[#This Row],[Old Table.Column]],Cobra8.6[Table.Column],Cobra8.6[TYPE],"",0,1)</f>
        <v>INTE</v>
      </c>
      <c r="AA1206">
        <f>_xlfn.XLOOKUP(Table6[[#This Row],[Old Table.Column]],Cobra8.6[Table.Column],Cobra8.6[LENGTH],"",0,1)</f>
        <v>-1</v>
      </c>
      <c r="AB1206" t="s">
        <v>32</v>
      </c>
    </row>
    <row r="1207" spans="1:28" hidden="1" x14ac:dyDescent="0.2">
      <c r="A1207" t="s">
        <v>450</v>
      </c>
      <c r="B1207" s="39" t="s">
        <v>1913</v>
      </c>
      <c r="C1207" s="17" t="s">
        <v>47</v>
      </c>
      <c r="D1207" s="39">
        <v>1</v>
      </c>
      <c r="E1207" s="39" t="s">
        <v>86</v>
      </c>
      <c r="F1207" s="39" t="s">
        <v>349</v>
      </c>
      <c r="G1207" s="39">
        <v>3</v>
      </c>
      <c r="H1207" s="39"/>
      <c r="I1207" s="47"/>
      <c r="J1207" s="47"/>
      <c r="K1207" s="47"/>
      <c r="L1207" s="47"/>
      <c r="M1207" s="39"/>
      <c r="N1207" s="39"/>
      <c r="O1207" s="39"/>
      <c r="P1207" s="39"/>
      <c r="Q1207" s="39" t="str">
        <f t="shared" si="29"/>
        <v>name</v>
      </c>
      <c r="R1207" t="str">
        <f>VLOOKUP(E1207,'Data Type Lookup'!$A$1:$C$21,3,FALSE)</f>
        <v>String</v>
      </c>
      <c r="S1207" s="39"/>
      <c r="W1207" t="str">
        <f t="shared" si="28"/>
        <v>ACCOUNTS.NAME</v>
      </c>
      <c r="X1207" t="str">
        <f>VLOOKUP(W1207,ColumnMapping[New Table.Column],1,)</f>
        <v>ACCOUNTS.NAME</v>
      </c>
      <c r="Y1207" t="str">
        <f>_xlfn.XLOOKUP(Table6[[#This Row],[Table.Column]],ColumnMapping[Add Column Name],ColumnMapping[Old Table.Column],"",0,1)</f>
        <v/>
      </c>
      <c r="Z1207" t="str">
        <f>_xlfn.XLOOKUP(Table6[[#This Row],[Old Table.Column]],Cobra8.6[Table.Column],Cobra8.6[TYPE],"",0,1)</f>
        <v/>
      </c>
      <c r="AA1207" t="str">
        <f>_xlfn.XLOOKUP(Table6[[#This Row],[Old Table.Column]],Cobra8.6[Table.Column],Cobra8.6[LENGTH],"",0,1)</f>
        <v/>
      </c>
      <c r="AB1207" s="49" t="s">
        <v>32</v>
      </c>
    </row>
    <row r="1208" spans="1:28" hidden="1" x14ac:dyDescent="0.2">
      <c r="A1208" t="s">
        <v>450</v>
      </c>
      <c r="B1208" s="39" t="s">
        <v>1913</v>
      </c>
      <c r="C1208" s="17" t="s">
        <v>15</v>
      </c>
      <c r="D1208" s="39">
        <v>2</v>
      </c>
      <c r="E1208" s="39" t="s">
        <v>86</v>
      </c>
      <c r="F1208" s="39" t="s">
        <v>349</v>
      </c>
      <c r="G1208" s="39">
        <v>254</v>
      </c>
      <c r="H1208" s="39"/>
      <c r="I1208" s="47"/>
      <c r="J1208" s="47"/>
      <c r="K1208" s="47"/>
      <c r="L1208" s="47"/>
      <c r="M1208" s="39"/>
      <c r="N1208" s="39"/>
      <c r="O1208" s="39"/>
      <c r="P1208" s="39"/>
      <c r="Q1208" s="39" t="str">
        <f t="shared" ref="Q1208:Q1211" si="30">IF(C1208="","",LOWER(LEFT(TRIM(C1208),FIND("_",TRIM(C1208)&amp;"_")-1))&amp;SUBSTITUTE(PROPER(SUBSTITUTE(MID(TRIM(C1208),FIND("_",TRIM(C1208)&amp;"_"),LEN(TRIM(C1208))),"_"," "))," ",""))</f>
        <v>description</v>
      </c>
      <c r="R1208" t="str">
        <f>VLOOKUP(E1208,'Data Type Lookup'!$A$1:$C$21,3,FALSE)</f>
        <v>String</v>
      </c>
      <c r="S1208" s="39"/>
      <c r="W1208" t="str">
        <f t="shared" si="28"/>
        <v>ACCOUNTS.DESCRIPTION</v>
      </c>
      <c r="X1208" t="str">
        <f>VLOOKUP(W1208,ColumnMapping[New Table.Column],1,)</f>
        <v>ACCOUNTS.DESCRIPTION</v>
      </c>
      <c r="Y1208" t="str">
        <f>_xlfn.XLOOKUP(Table6[[#This Row],[Table.Column]],ColumnMapping[Add Column Name],ColumnMapping[Old Table.Column],"",0,1)</f>
        <v/>
      </c>
      <c r="Z1208" t="str">
        <f>_xlfn.XLOOKUP(Table6[[#This Row],[Old Table.Column]],Cobra8.6[Table.Column],Cobra8.6[TYPE],"",0,1)</f>
        <v/>
      </c>
      <c r="AA1208" t="str">
        <f>_xlfn.XLOOKUP(Table6[[#This Row],[Old Table.Column]],Cobra8.6[Table.Column],Cobra8.6[LENGTH],"",0,1)</f>
        <v/>
      </c>
      <c r="AB1208" s="49" t="s">
        <v>32</v>
      </c>
    </row>
    <row r="1209" spans="1:28" hidden="1" x14ac:dyDescent="0.2">
      <c r="A1209" t="s">
        <v>450</v>
      </c>
      <c r="B1209" s="39" t="s">
        <v>1913</v>
      </c>
      <c r="C1209" s="17" t="s">
        <v>770</v>
      </c>
      <c r="D1209" s="39">
        <v>3</v>
      </c>
      <c r="E1209" s="39" t="s">
        <v>31</v>
      </c>
      <c r="F1209" s="39" t="s">
        <v>765</v>
      </c>
      <c r="G1209" s="39"/>
      <c r="H1209" s="39"/>
      <c r="I1209" s="47"/>
      <c r="J1209" s="47"/>
      <c r="K1209" s="47"/>
      <c r="L1209" s="47"/>
      <c r="M1209" s="39" t="s">
        <v>451</v>
      </c>
      <c r="N1209" s="39" t="s">
        <v>30</v>
      </c>
      <c r="O1209" s="39" t="s">
        <v>1914</v>
      </c>
      <c r="P1209" s="39"/>
      <c r="Q1209" s="39" t="str">
        <f t="shared" si="30"/>
        <v>projectUid</v>
      </c>
      <c r="R1209" t="str">
        <f>VLOOKUP(E1209,'Data Type Lookup'!$A$1:$C$21,3,FALSE)</f>
        <v>java.util.UUID</v>
      </c>
      <c r="S1209" s="39"/>
      <c r="W1209" t="str">
        <f t="shared" si="28"/>
        <v>ACCOUNTS.PROJECT_UID</v>
      </c>
      <c r="X1209" t="str">
        <f>VLOOKUP(W1209,ColumnMapping[New Table.Column],1,)</f>
        <v>ACCOUNTS.PROJECT_UID</v>
      </c>
      <c r="Y1209" t="str">
        <f>_xlfn.XLOOKUP(Table6[[#This Row],[Table.Column]],ColumnMapping[Add Column Name],ColumnMapping[Old Table.Column],"",0,1)</f>
        <v/>
      </c>
      <c r="Z1209" t="str">
        <f>_xlfn.XLOOKUP(Table6[[#This Row],[Old Table.Column]],Cobra8.6[Table.Column],Cobra8.6[TYPE],"",0,1)</f>
        <v/>
      </c>
      <c r="AA1209" t="str">
        <f>_xlfn.XLOOKUP(Table6[[#This Row],[Old Table.Column]],Cobra8.6[Table.Column],Cobra8.6[LENGTH],"",0,1)</f>
        <v/>
      </c>
      <c r="AB1209" s="49" t="s">
        <v>32</v>
      </c>
    </row>
    <row r="1210" spans="1:28" hidden="1" x14ac:dyDescent="0.2">
      <c r="A1210" t="s">
        <v>450</v>
      </c>
      <c r="B1210" s="39" t="s">
        <v>1913</v>
      </c>
      <c r="C1210" s="17" t="s">
        <v>1256</v>
      </c>
      <c r="D1210" s="39">
        <v>4</v>
      </c>
      <c r="E1210" s="39" t="s">
        <v>36</v>
      </c>
      <c r="F1210" s="39" t="s">
        <v>768</v>
      </c>
      <c r="G1210" s="39"/>
      <c r="H1210" s="39"/>
      <c r="I1210" s="47"/>
      <c r="J1210" s="47">
        <v>0</v>
      </c>
      <c r="K1210" s="47"/>
      <c r="L1210" s="47"/>
      <c r="M1210" s="39"/>
      <c r="N1210" s="39"/>
      <c r="O1210" s="39"/>
      <c r="P1210" s="39"/>
      <c r="Q1210" s="39" t="str">
        <f t="shared" si="30"/>
        <v>required</v>
      </c>
      <c r="R1210" t="str">
        <f>VLOOKUP(E1210,'Data Type Lookup'!$A$1:$C$21,3,FALSE)</f>
        <v>Long</v>
      </c>
      <c r="S1210" s="39"/>
      <c r="W1210" t="str">
        <f t="shared" si="28"/>
        <v>ACCOUNTS.REQUIRED</v>
      </c>
      <c r="X1210" t="str">
        <f>VLOOKUP(W1210,ColumnMapping[New Table.Column],1,)</f>
        <v>ACCOUNTS.REQUIRED</v>
      </c>
      <c r="Y1210" t="str">
        <f>_xlfn.XLOOKUP(Table6[[#This Row],[Table.Column]],ColumnMapping[Add Column Name],ColumnMapping[Old Table.Column],"",0,1)</f>
        <v/>
      </c>
      <c r="Z1210" t="str">
        <f>_xlfn.XLOOKUP(Table6[[#This Row],[Old Table.Column]],Cobra8.6[Table.Column],Cobra8.6[TYPE],"",0,1)</f>
        <v/>
      </c>
      <c r="AA1210" t="str">
        <f>_xlfn.XLOOKUP(Table6[[#This Row],[Old Table.Column]],Cobra8.6[Table.Column],Cobra8.6[LENGTH],"",0,1)</f>
        <v/>
      </c>
      <c r="AB1210" s="49" t="s">
        <v>32</v>
      </c>
    </row>
    <row r="1211" spans="1:28" hidden="1" x14ac:dyDescent="0.2">
      <c r="A1211" t="s">
        <v>450</v>
      </c>
      <c r="B1211" s="39" t="s">
        <v>1913</v>
      </c>
      <c r="C1211" s="17" t="s">
        <v>744</v>
      </c>
      <c r="D1211" s="39">
        <v>5</v>
      </c>
      <c r="E1211" s="39" t="s">
        <v>86</v>
      </c>
      <c r="F1211" s="39" t="s">
        <v>349</v>
      </c>
      <c r="G1211" s="39">
        <v>22</v>
      </c>
      <c r="H1211" s="39"/>
      <c r="I1211" s="47"/>
      <c r="J1211" s="47"/>
      <c r="K1211" s="47"/>
      <c r="L1211" s="47"/>
      <c r="M1211" s="39"/>
      <c r="N1211" s="39"/>
      <c r="O1211" s="39"/>
      <c r="P1211" s="39"/>
      <c r="Q1211" s="39" t="str">
        <f t="shared" si="30"/>
        <v>program</v>
      </c>
      <c r="R1211" t="str">
        <f>VLOOKUP(E1211,'Data Type Lookup'!$A$1:$C$21,3,FALSE)</f>
        <v>String</v>
      </c>
      <c r="S1211" s="39"/>
      <c r="W1211" t="str">
        <f t="shared" si="28"/>
        <v>ACCOUNTS.PROGRAM</v>
      </c>
      <c r="X1211" t="str">
        <f>VLOOKUP(W1211,ColumnMapping[New Table.Column],1,)</f>
        <v>ACCOUNTS.PROGRAM</v>
      </c>
      <c r="Y1211" t="str">
        <f>_xlfn.XLOOKUP(Table6[[#This Row],[Table.Column]],ColumnMapping[Add Column Name],ColumnMapping[Old Table.Column],"",0,1)</f>
        <v/>
      </c>
      <c r="Z1211" t="str">
        <f>_xlfn.XLOOKUP(Table6[[#This Row],[Old Table.Column]],Cobra8.6[Table.Column],Cobra8.6[TYPE],"",0,1)</f>
        <v/>
      </c>
      <c r="AA1211" t="str">
        <f>_xlfn.XLOOKUP(Table6[[#This Row],[Old Table.Column]],Cobra8.6[Table.Column],Cobra8.6[LENGTH],"",0,1)</f>
        <v/>
      </c>
      <c r="AB1211" s="49" t="s">
        <v>32</v>
      </c>
    </row>
    <row r="1212" spans="1:28" hidden="1" x14ac:dyDescent="0.2">
      <c r="A1212" t="s">
        <v>450</v>
      </c>
      <c r="B1212" s="39" t="s">
        <v>1913</v>
      </c>
      <c r="C1212" t="s">
        <v>30</v>
      </c>
      <c r="D1212" s="39">
        <v>6</v>
      </c>
      <c r="E1212" t="s">
        <v>31</v>
      </c>
      <c r="F1212" t="str">
        <f>VLOOKUP($E1212,'Data Type Lookup'!$A$1:$C$21,2,FALSE)</f>
        <v>RAW(16)</v>
      </c>
      <c r="I1212" s="32" t="s">
        <v>32</v>
      </c>
      <c r="K1212" s="32" t="s">
        <v>32</v>
      </c>
      <c r="P1212" t="s">
        <v>1789</v>
      </c>
      <c r="Q1212" t="s">
        <v>34</v>
      </c>
      <c r="R1212" t="str">
        <f>VLOOKUP(E1212,'Data Type Lookup'!$A$1:$C$21,3,FALSE)</f>
        <v>java.util.UUID</v>
      </c>
      <c r="S1212">
        <v>3</v>
      </c>
      <c r="W1212" t="str">
        <f t="shared" si="28"/>
        <v>ACCOUNTS.ROW_UID</v>
      </c>
      <c r="X1212" t="str">
        <f>VLOOKUP(W1212,ColumnMapping[New Table.Column],1,)</f>
        <v>ACCOUNTS.ROW_UID</v>
      </c>
      <c r="Y1212" t="str">
        <f>_xlfn.XLOOKUP(Table6[[#This Row],[Table.Column]],ColumnMapping[Add Column Name],ColumnMapping[Old Table.Column],"",0,1)</f>
        <v/>
      </c>
      <c r="Z1212" t="str">
        <f>_xlfn.XLOOKUP(Table6[[#This Row],[Old Table.Column]],Cobra8.6[Table.Column],Cobra8.6[TYPE],"",0,1)</f>
        <v/>
      </c>
      <c r="AA1212" t="str">
        <f>_xlfn.XLOOKUP(Table6[[#This Row],[Old Table.Column]],Cobra8.6[Table.Column],Cobra8.6[LENGTH],"",0,1)</f>
        <v/>
      </c>
      <c r="AB1212" s="49" t="s">
        <v>32</v>
      </c>
    </row>
    <row r="1213" spans="1:28" hidden="1" x14ac:dyDescent="0.2">
      <c r="A1213" t="s">
        <v>450</v>
      </c>
      <c r="B1213" s="39" t="s">
        <v>1913</v>
      </c>
      <c r="C1213" t="s">
        <v>35</v>
      </c>
      <c r="D1213" s="39">
        <v>7</v>
      </c>
      <c r="E1213" t="s">
        <v>36</v>
      </c>
      <c r="F1213" t="str">
        <f>VLOOKUP($E1213,'Data Type Lookup'!$A$1:$C$21,2,FALSE)</f>
        <v>NUMBER(19,0)</v>
      </c>
      <c r="I1213" s="32" t="s">
        <v>32</v>
      </c>
      <c r="J1213" s="32">
        <v>0</v>
      </c>
      <c r="P1213" t="s">
        <v>37</v>
      </c>
      <c r="Q1213" t="s">
        <v>38</v>
      </c>
      <c r="R1213" t="str">
        <f>VLOOKUP(E1213,'Data Type Lookup'!$A$1:$C$21,3,FALSE)</f>
        <v>Long</v>
      </c>
      <c r="S1213">
        <v>3</v>
      </c>
      <c r="W1213" t="str">
        <f t="shared" si="28"/>
        <v>ACCOUNTS.SEQUENCE</v>
      </c>
      <c r="X1213" t="str">
        <f>VLOOKUP(W1213,ColumnMapping[New Table.Column],1,)</f>
        <v>ACCOUNTS.SEQUENCE</v>
      </c>
      <c r="Y1213" t="str">
        <f>_xlfn.XLOOKUP(Table6[[#This Row],[Table.Column]],ColumnMapping[Add Column Name],ColumnMapping[Old Table.Column],"",0,1)</f>
        <v/>
      </c>
      <c r="Z1213" t="str">
        <f>_xlfn.XLOOKUP(Table6[[#This Row],[Old Table.Column]],Cobra8.6[Table.Column],Cobra8.6[TYPE],"",0,1)</f>
        <v/>
      </c>
      <c r="AA1213" t="str">
        <f>_xlfn.XLOOKUP(Table6[[#This Row],[Old Table.Column]],Cobra8.6[Table.Column],Cobra8.6[LENGTH],"",0,1)</f>
        <v/>
      </c>
      <c r="AB1213" s="49" t="s">
        <v>32</v>
      </c>
    </row>
    <row r="1214" spans="1:28" hidden="1" x14ac:dyDescent="0.2">
      <c r="A1214" t="s">
        <v>450</v>
      </c>
      <c r="B1214" s="39" t="s">
        <v>1913</v>
      </c>
      <c r="C1214" s="18" t="s">
        <v>61</v>
      </c>
      <c r="D1214" s="39">
        <v>8</v>
      </c>
      <c r="E1214" t="s">
        <v>31</v>
      </c>
      <c r="F1214" t="str">
        <f>VLOOKUP($E1214,'Data Type Lookup'!$A$1:$C$21,2,FALSE)</f>
        <v>RAW(16)</v>
      </c>
      <c r="I1214" s="32" t="s">
        <v>32</v>
      </c>
      <c r="P1214" t="s">
        <v>1803</v>
      </c>
      <c r="Q1214" t="s">
        <v>63</v>
      </c>
      <c r="R1214" t="str">
        <f>VLOOKUP(E1214,'Data Type Lookup'!$A$1:$C$21,3,FALSE)</f>
        <v>java.util.UUID</v>
      </c>
      <c r="S1214">
        <v>2</v>
      </c>
      <c r="W1214" t="str">
        <f t="shared" si="28"/>
        <v>ACCOUNTS.CREATED_BY_USER_UID</v>
      </c>
      <c r="X1214" t="str">
        <f>VLOOKUP(W1214,ColumnMapping[New Table.Column],1,)</f>
        <v>ACCOUNTS.CREATED_BY_USER_UID</v>
      </c>
      <c r="Y1214" t="str">
        <f>_xlfn.XLOOKUP(Table6[[#This Row],[Table.Column]],ColumnMapping[Add Column Name],ColumnMapping[Old Table.Column],"",0,1)</f>
        <v/>
      </c>
      <c r="Z1214" t="str">
        <f>_xlfn.XLOOKUP(Table6[[#This Row],[Old Table.Column]],Cobra8.6[Table.Column],Cobra8.6[TYPE],"",0,1)</f>
        <v/>
      </c>
      <c r="AA1214" t="str">
        <f>_xlfn.XLOOKUP(Table6[[#This Row],[Old Table.Column]],Cobra8.6[Table.Column],Cobra8.6[LENGTH],"",0,1)</f>
        <v/>
      </c>
      <c r="AB1214" s="49" t="s">
        <v>32</v>
      </c>
    </row>
    <row r="1215" spans="1:28" hidden="1" x14ac:dyDescent="0.2">
      <c r="A1215" t="s">
        <v>450</v>
      </c>
      <c r="B1215" s="39" t="s">
        <v>1913</v>
      </c>
      <c r="C1215" t="s">
        <v>64</v>
      </c>
      <c r="D1215" s="39">
        <v>9</v>
      </c>
      <c r="E1215" t="s">
        <v>65</v>
      </c>
      <c r="F1215" t="str">
        <f>VLOOKUP($E1215,'Data Type Lookup'!$A$1:$C$21,2,FALSE)</f>
        <v>TIMESTAMP</v>
      </c>
      <c r="I1215" s="32" t="s">
        <v>32</v>
      </c>
      <c r="P1215" t="s">
        <v>1804</v>
      </c>
      <c r="Q1215" t="s">
        <v>67</v>
      </c>
      <c r="R1215" t="str">
        <f>VLOOKUP(E1215,'Data Type Lookup'!$A$1:$C$21,3,FALSE)</f>
        <v>java.time.Instant</v>
      </c>
      <c r="S1215">
        <v>2</v>
      </c>
      <c r="W1215" t="str">
        <f t="shared" si="28"/>
        <v>ACCOUNTS.CREATED_DATE</v>
      </c>
      <c r="X1215" t="str">
        <f>VLOOKUP(W1215,ColumnMapping[New Table.Column],1,)</f>
        <v>ACCOUNTS.CREATED_DATE</v>
      </c>
      <c r="Y1215" t="str">
        <f>_xlfn.XLOOKUP(Table6[[#This Row],[Table.Column]],ColumnMapping[Add Column Name],ColumnMapping[Old Table.Column],"",0,1)</f>
        <v/>
      </c>
      <c r="Z1215" t="str">
        <f>_xlfn.XLOOKUP(Table6[[#This Row],[Old Table.Column]],Cobra8.6[Table.Column],Cobra8.6[TYPE],"",0,1)</f>
        <v/>
      </c>
      <c r="AA1215" t="str">
        <f>_xlfn.XLOOKUP(Table6[[#This Row],[Old Table.Column]],Cobra8.6[Table.Column],Cobra8.6[LENGTH],"",0,1)</f>
        <v/>
      </c>
      <c r="AB1215" s="49" t="s">
        <v>32</v>
      </c>
    </row>
    <row r="1216" spans="1:28" hidden="1" x14ac:dyDescent="0.2">
      <c r="A1216" t="s">
        <v>450</v>
      </c>
      <c r="B1216" s="39" t="s">
        <v>1913</v>
      </c>
      <c r="C1216" t="s">
        <v>68</v>
      </c>
      <c r="D1216" s="39">
        <v>10</v>
      </c>
      <c r="E1216" t="s">
        <v>31</v>
      </c>
      <c r="F1216" t="str">
        <f>VLOOKUP($E1216,'Data Type Lookup'!$A$1:$C$21,2,FALSE)</f>
        <v>RAW(16)</v>
      </c>
      <c r="I1216" s="32" t="s">
        <v>32</v>
      </c>
      <c r="P1216" t="s">
        <v>1805</v>
      </c>
      <c r="Q1216" t="s">
        <v>70</v>
      </c>
      <c r="R1216" t="str">
        <f>VLOOKUP(E1216,'Data Type Lookup'!$A$1:$C$21,3,FALSE)</f>
        <v>java.util.UUID</v>
      </c>
      <c r="S1216">
        <v>2</v>
      </c>
      <c r="W1216" t="str">
        <f t="shared" si="28"/>
        <v>ACCOUNTS.LAST_MODIFIED_BY_USER_UID</v>
      </c>
      <c r="X1216" t="str">
        <f>VLOOKUP(W1216,ColumnMapping[New Table.Column],1,)</f>
        <v>ACCOUNTS.LAST_MODIFIED_BY_USER_UID</v>
      </c>
      <c r="Y1216" t="str">
        <f>_xlfn.XLOOKUP(Table6[[#This Row],[Table.Column]],ColumnMapping[Add Column Name],ColumnMapping[Old Table.Column],"",0,1)</f>
        <v/>
      </c>
      <c r="Z1216" t="str">
        <f>_xlfn.XLOOKUP(Table6[[#This Row],[Old Table.Column]],Cobra8.6[Table.Column],Cobra8.6[TYPE],"",0,1)</f>
        <v/>
      </c>
      <c r="AA1216" t="str">
        <f>_xlfn.XLOOKUP(Table6[[#This Row],[Old Table.Column]],Cobra8.6[Table.Column],Cobra8.6[LENGTH],"",0,1)</f>
        <v/>
      </c>
      <c r="AB1216" s="49" t="s">
        <v>32</v>
      </c>
    </row>
    <row r="1217" spans="1:28" hidden="1" x14ac:dyDescent="0.2">
      <c r="A1217" t="s">
        <v>450</v>
      </c>
      <c r="B1217" s="39" t="s">
        <v>1913</v>
      </c>
      <c r="C1217" t="s">
        <v>71</v>
      </c>
      <c r="D1217" s="39">
        <v>11</v>
      </c>
      <c r="E1217" t="s">
        <v>65</v>
      </c>
      <c r="F1217" t="str">
        <f>VLOOKUP($E1217,'Data Type Lookup'!$A$1:$C$21,2,FALSE)</f>
        <v>TIMESTAMP</v>
      </c>
      <c r="I1217" s="32" t="s">
        <v>32</v>
      </c>
      <c r="P1217" t="s">
        <v>1806</v>
      </c>
      <c r="Q1217" t="s">
        <v>73</v>
      </c>
      <c r="R1217" t="str">
        <f>VLOOKUP(E1217,'Data Type Lookup'!$A$1:$C$21,3,FALSE)</f>
        <v>java.time.Instant</v>
      </c>
      <c r="S1217">
        <v>2</v>
      </c>
      <c r="W1217" t="str">
        <f t="shared" si="28"/>
        <v>ACCOUNTS.LAST_MODIFIED_DATE</v>
      </c>
      <c r="X1217" t="str">
        <f>VLOOKUP(W1217,ColumnMapping[New Table.Column],1,)</f>
        <v>ACCOUNTS.LAST_MODIFIED_DATE</v>
      </c>
      <c r="Y1217" t="str">
        <f>_xlfn.XLOOKUP(Table6[[#This Row],[Table.Column]],ColumnMapping[Add Column Name],ColumnMapping[Old Table.Column],"",0,1)</f>
        <v/>
      </c>
      <c r="Z1217" t="str">
        <f>_xlfn.XLOOKUP(Table6[[#This Row],[Old Table.Column]],Cobra8.6[Table.Column],Cobra8.6[TYPE],"",0,1)</f>
        <v/>
      </c>
      <c r="AA1217" t="str">
        <f>_xlfn.XLOOKUP(Table6[[#This Row],[Old Table.Column]],Cobra8.6[Table.Column],Cobra8.6[LENGTH],"",0,1)</f>
        <v/>
      </c>
      <c r="AB1217" s="49" t="s">
        <v>32</v>
      </c>
    </row>
    <row r="1218" spans="1:28" hidden="1" x14ac:dyDescent="0.2">
      <c r="A1218" t="s">
        <v>450</v>
      </c>
      <c r="B1218" s="39" t="s">
        <v>1915</v>
      </c>
      <c r="C1218" s="39" t="s">
        <v>1916</v>
      </c>
      <c r="D1218" s="39">
        <v>1</v>
      </c>
      <c r="E1218" s="39" t="s">
        <v>356</v>
      </c>
      <c r="F1218" s="39" t="s">
        <v>356</v>
      </c>
      <c r="G1218" s="39"/>
      <c r="H1218" s="39"/>
      <c r="I1218" s="47"/>
      <c r="J1218" s="47"/>
      <c r="K1218" s="47"/>
      <c r="L1218" s="47"/>
      <c r="M1218" s="39"/>
      <c r="N1218" s="39"/>
      <c r="O1218" s="39"/>
      <c r="P1218" s="39"/>
      <c r="Q1218" s="39" t="str">
        <f>IF(C1218="","",LOWER(LEFT(TRIM(C1218),FIND("_",TRIM(C1218)&amp;"_")-1))&amp;SUBSTITUTE(PROPER(SUBSTITUTE(MID(TRIM(C1218),FIND("_",TRIM(C1218)&amp;"_"),LEN(TRIM(C1218))),"_"," "))," ",""))</f>
        <v>bfinish</v>
      </c>
      <c r="R1218" t="str">
        <f>VLOOKUP(E1218,'Data Type Lookup'!$A$1:$C$21,3,FALSE)</f>
        <v>java.time.Instant</v>
      </c>
      <c r="S1218" s="39"/>
      <c r="W1218" t="str">
        <f t="shared" si="28"/>
        <v>CHNG_REQST.BFINISH</v>
      </c>
      <c r="X1218" t="str">
        <f>VLOOKUP(W1218,ColumnMapping[New Table.Column],1,)</f>
        <v>CHNG_REQST.BFINISH</v>
      </c>
      <c r="Y1218" t="str">
        <f>_xlfn.XLOOKUP(Table6[[#This Row],[Table.Column]],ColumnMapping[Add Column Name],ColumnMapping[Old Table.Column],"",0,1)</f>
        <v/>
      </c>
      <c r="Z1218" t="str">
        <f>_xlfn.XLOOKUP(Table6[[#This Row],[Old Table.Column]],Cobra8.6[Table.Column],Cobra8.6[TYPE],"",0,1)</f>
        <v/>
      </c>
      <c r="AA1218" t="str">
        <f>_xlfn.XLOOKUP(Table6[[#This Row],[Old Table.Column]],Cobra8.6[Table.Column],Cobra8.6[LENGTH],"",0,1)</f>
        <v/>
      </c>
    </row>
    <row r="1219" spans="1:28" hidden="1" x14ac:dyDescent="0.2">
      <c r="A1219" t="s">
        <v>450</v>
      </c>
      <c r="B1219" s="39" t="s">
        <v>1915</v>
      </c>
      <c r="C1219" s="39" t="s">
        <v>1917</v>
      </c>
      <c r="D1219" s="39">
        <v>2</v>
      </c>
      <c r="E1219" s="39" t="s">
        <v>356</v>
      </c>
      <c r="F1219" s="39" t="s">
        <v>356</v>
      </c>
      <c r="G1219" s="39"/>
      <c r="H1219" s="39"/>
      <c r="I1219" s="47"/>
      <c r="J1219" s="47"/>
      <c r="K1219" s="47"/>
      <c r="L1219" s="47"/>
      <c r="M1219" s="39"/>
      <c r="N1219" s="39"/>
      <c r="O1219" s="39"/>
      <c r="P1219" s="39"/>
      <c r="Q1219" s="39" t="str">
        <f t="shared" ref="Q1219:Q1220" si="31">IF(C1219="","",LOWER(LEFT(TRIM(C1219),FIND("_",TRIM(C1219)&amp;"_")-1))&amp;SUBSTITUTE(PROPER(SUBSTITUTE(MID(TRIM(C1219),FIND("_",TRIM(C1219)&amp;"_"),LEN(TRIM(C1219))),"_"," "))," ",""))</f>
        <v>bstart</v>
      </c>
      <c r="R1219" t="str">
        <f>VLOOKUP(E1219,'Data Type Lookup'!$A$1:$C$21,3,FALSE)</f>
        <v>java.time.Instant</v>
      </c>
      <c r="S1219" s="39"/>
      <c r="W1219" t="str">
        <f t="shared" ref="W1219:W1228" si="32">_xlfn.CONCAT(B1219,".",C1219)</f>
        <v>CHNG_REQST.BSTART</v>
      </c>
      <c r="X1219" t="str">
        <f>VLOOKUP(W1219,ColumnMapping[New Table.Column],1,)</f>
        <v>CHNG_REQST.BSTART</v>
      </c>
      <c r="Y1219" t="str">
        <f>_xlfn.XLOOKUP(Table6[[#This Row],[Table.Column]],ColumnMapping[Add Column Name],ColumnMapping[Old Table.Column],"",0,1)</f>
        <v/>
      </c>
      <c r="Z1219" t="str">
        <f>_xlfn.XLOOKUP(Table6[[#This Row],[Old Table.Column]],Cobra8.6[Table.Column],Cobra8.6[TYPE],"",0,1)</f>
        <v/>
      </c>
      <c r="AA1219" t="str">
        <f>_xlfn.XLOOKUP(Table6[[#This Row],[Old Table.Column]],Cobra8.6[Table.Column],Cobra8.6[LENGTH],"",0,1)</f>
        <v/>
      </c>
    </row>
    <row r="1220" spans="1:28" hidden="1" x14ac:dyDescent="0.2">
      <c r="A1220" t="s">
        <v>450</v>
      </c>
      <c r="B1220" s="39" t="s">
        <v>1915</v>
      </c>
      <c r="C1220" s="39" t="s">
        <v>1918</v>
      </c>
      <c r="D1220" s="39">
        <v>3</v>
      </c>
      <c r="E1220" s="39" t="s">
        <v>86</v>
      </c>
      <c r="F1220" s="39" t="s">
        <v>349</v>
      </c>
      <c r="G1220" s="39">
        <v>22</v>
      </c>
      <c r="H1220" s="39"/>
      <c r="I1220" s="47"/>
      <c r="J1220" s="47"/>
      <c r="K1220" s="47"/>
      <c r="L1220" s="47"/>
      <c r="M1220" s="39"/>
      <c r="N1220" s="39"/>
      <c r="O1220" s="39"/>
      <c r="P1220" s="39"/>
      <c r="Q1220" s="39" t="str">
        <f t="shared" si="31"/>
        <v>chngNum</v>
      </c>
      <c r="R1220" t="str">
        <f>VLOOKUP(E1220,'Data Type Lookup'!$A$1:$C$21,3,FALSE)</f>
        <v>String</v>
      </c>
      <c r="S1220" s="39"/>
      <c r="W1220" t="str">
        <f t="shared" si="32"/>
        <v>CHNG_REQST.CHNG_NUM</v>
      </c>
      <c r="X1220" t="str">
        <f>VLOOKUP(W1220,ColumnMapping[New Table.Column],1,)</f>
        <v>CHNG_REQST.CHNG_NUM</v>
      </c>
      <c r="Y1220" t="str">
        <f>_xlfn.XLOOKUP(Table6[[#This Row],[Table.Column]],ColumnMapping[Add Column Name],ColumnMapping[Old Table.Column],"",0,1)</f>
        <v/>
      </c>
      <c r="Z1220" t="str">
        <f>_xlfn.XLOOKUP(Table6[[#This Row],[Old Table.Column]],Cobra8.6[Table.Column],Cobra8.6[TYPE],"",0,1)</f>
        <v/>
      </c>
      <c r="AA1220" t="str">
        <f>_xlfn.XLOOKUP(Table6[[#This Row],[Old Table.Column]],Cobra8.6[Table.Column],Cobra8.6[LENGTH],"",0,1)</f>
        <v/>
      </c>
    </row>
    <row r="1221" spans="1:28" hidden="1" x14ac:dyDescent="0.2">
      <c r="A1221" t="s">
        <v>450</v>
      </c>
      <c r="B1221" s="39" t="s">
        <v>1915</v>
      </c>
      <c r="C1221" s="39" t="s">
        <v>71</v>
      </c>
      <c r="D1221" s="39">
        <v>4</v>
      </c>
      <c r="E1221" t="s">
        <v>65</v>
      </c>
      <c r="F1221" t="str">
        <f>VLOOKUP($E1221,'Data Type Lookup'!$A$1:$C$21,2,FALSE)</f>
        <v>TIMESTAMP</v>
      </c>
      <c r="I1221" s="32" t="s">
        <v>32</v>
      </c>
      <c r="P1221" t="s">
        <v>1633</v>
      </c>
      <c r="Q1221" t="s">
        <v>73</v>
      </c>
      <c r="R1221" t="str">
        <f>VLOOKUP(E1221,'Data Type Lookup'!$A$1:$C$21,3,FALSE)</f>
        <v>java.time.Instant</v>
      </c>
      <c r="S1221">
        <v>2</v>
      </c>
      <c r="W1221" t="str">
        <f t="shared" si="32"/>
        <v>CHNG_REQST.LAST_MODIFIED_DATE</v>
      </c>
      <c r="X1221" t="str">
        <f>VLOOKUP(W1221,ColumnMapping[New Table.Column],1,)</f>
        <v>CHNG_REQST.LAST_MODIFIED_DATE</v>
      </c>
      <c r="Y1221" t="str">
        <f>_xlfn.XLOOKUP(Table6[[#This Row],[Table.Column]],ColumnMapping[Add Column Name],ColumnMapping[Old Table.Column],"",0,1)</f>
        <v/>
      </c>
      <c r="Z1221" t="str">
        <f>_xlfn.XLOOKUP(Table6[[#This Row],[Old Table.Column]],Cobra8.6[Table.Column],Cobra8.6[TYPE],"",0,1)</f>
        <v/>
      </c>
      <c r="AA1221" t="str">
        <f>_xlfn.XLOOKUP(Table6[[#This Row],[Old Table.Column]],Cobra8.6[Table.Column],Cobra8.6[LENGTH],"",0,1)</f>
        <v/>
      </c>
    </row>
    <row r="1222" spans="1:28" hidden="1" x14ac:dyDescent="0.2">
      <c r="A1222" t="s">
        <v>450</v>
      </c>
      <c r="B1222" s="39" t="s">
        <v>1915</v>
      </c>
      <c r="C1222" s="39" t="s">
        <v>1919</v>
      </c>
      <c r="D1222" s="39">
        <v>5</v>
      </c>
      <c r="E1222" s="39" t="s">
        <v>356</v>
      </c>
      <c r="F1222" s="39" t="s">
        <v>356</v>
      </c>
      <c r="G1222" s="39"/>
      <c r="H1222" s="39"/>
      <c r="I1222" s="47"/>
      <c r="J1222" s="47"/>
      <c r="K1222" s="47"/>
      <c r="L1222" s="47"/>
      <c r="M1222" s="39"/>
      <c r="N1222" s="39"/>
      <c r="O1222" s="39"/>
      <c r="P1222" s="39"/>
      <c r="Q1222" s="39" t="str">
        <f>IF(C1222="","",LOWER(LEFT(TRIM(C1222),FIND("_",TRIM(C1222)&amp;"_")-1))&amp;SUBSTITUTE(PROPER(SUBSTITUTE(MID(TRIM(C1222),FIND("_",TRIM(C1222)&amp;"_"),LEN(TRIM(C1222))),"_"," "))," ",""))</f>
        <v>period</v>
      </c>
      <c r="R1222" t="str">
        <f>VLOOKUP(E1222,'Data Type Lookup'!$A$1:$C$21,3,FALSE)</f>
        <v>java.time.Instant</v>
      </c>
      <c r="S1222" s="39"/>
      <c r="W1222" t="str">
        <f t="shared" si="32"/>
        <v>CHNG_REQST.PERIOD</v>
      </c>
      <c r="X1222" t="str">
        <f>VLOOKUP(W1222,ColumnMapping[New Table.Column],1,)</f>
        <v>CHNG_REQST.PERIOD</v>
      </c>
      <c r="Y1222" t="str">
        <f>_xlfn.XLOOKUP(Table6[[#This Row],[Table.Column]],ColumnMapping[Add Column Name],ColumnMapping[Old Table.Column],"",0,1)</f>
        <v/>
      </c>
      <c r="Z1222" t="str">
        <f>_xlfn.XLOOKUP(Table6[[#This Row],[Old Table.Column]],Cobra8.6[Table.Column],Cobra8.6[TYPE],"",0,1)</f>
        <v/>
      </c>
      <c r="AA1222" t="str">
        <f>_xlfn.XLOOKUP(Table6[[#This Row],[Old Table.Column]],Cobra8.6[Table.Column],Cobra8.6[LENGTH],"",0,1)</f>
        <v/>
      </c>
    </row>
    <row r="1223" spans="1:28" hidden="1" x14ac:dyDescent="0.2">
      <c r="A1223" t="s">
        <v>450</v>
      </c>
      <c r="B1223" s="39" t="s">
        <v>1915</v>
      </c>
      <c r="C1223" s="39" t="s">
        <v>1920</v>
      </c>
      <c r="D1223" s="39">
        <v>6</v>
      </c>
      <c r="E1223" s="39" t="s">
        <v>86</v>
      </c>
      <c r="F1223" s="39" t="s">
        <v>349</v>
      </c>
      <c r="G1223" s="39">
        <v>2</v>
      </c>
      <c r="H1223" s="39"/>
      <c r="I1223" s="47"/>
      <c r="J1223" s="47"/>
      <c r="K1223" s="47"/>
      <c r="L1223" s="47"/>
      <c r="M1223" s="39"/>
      <c r="N1223" s="39"/>
      <c r="O1223" s="39"/>
      <c r="P1223" s="39"/>
      <c r="Q1223" s="39" t="str">
        <f t="shared" ref="Q1223:Q1227" si="33">IF(C1223="","",LOWER(LEFT(TRIM(C1223),FIND("_",TRIM(C1223)&amp;"_")-1))&amp;SUBSTITUTE(PROPER(SUBSTITUTE(MID(TRIM(C1223),FIND("_",TRIM(C1223)&amp;"_"),LEN(TRIM(C1223))),"_"," "))," ",""))</f>
        <v>reqstType</v>
      </c>
      <c r="R1223" t="str">
        <f>VLOOKUP(E1223,'Data Type Lookup'!$A$1:$C$21,3,FALSE)</f>
        <v>String</v>
      </c>
      <c r="S1223" s="39"/>
      <c r="W1223" t="str">
        <f t="shared" si="32"/>
        <v>CHNG_REQST.REQST_TYPE</v>
      </c>
      <c r="X1223" t="str">
        <f>VLOOKUP(W1223,ColumnMapping[New Table.Column],1,)</f>
        <v>CHNG_REQST.REQST_TYPE</v>
      </c>
      <c r="Y1223" t="str">
        <f>_xlfn.XLOOKUP(Table6[[#This Row],[Table.Column]],ColumnMapping[Add Column Name],ColumnMapping[Old Table.Column],"",0,1)</f>
        <v/>
      </c>
      <c r="Z1223" t="str">
        <f>_xlfn.XLOOKUP(Table6[[#This Row],[Old Table.Column]],Cobra8.6[Table.Column],Cobra8.6[TYPE],"",0,1)</f>
        <v/>
      </c>
      <c r="AA1223" t="str">
        <f>_xlfn.XLOOKUP(Table6[[#This Row],[Old Table.Column]],Cobra8.6[Table.Column],Cobra8.6[LENGTH],"",0,1)</f>
        <v/>
      </c>
    </row>
    <row r="1224" spans="1:28" hidden="1" x14ac:dyDescent="0.2">
      <c r="A1224" t="s">
        <v>450</v>
      </c>
      <c r="B1224" s="39" t="s">
        <v>1915</v>
      </c>
      <c r="C1224" s="39" t="s">
        <v>770</v>
      </c>
      <c r="D1224" s="39">
        <v>7</v>
      </c>
      <c r="E1224" s="39" t="s">
        <v>31</v>
      </c>
      <c r="F1224" s="39" t="s">
        <v>765</v>
      </c>
      <c r="G1224" s="39"/>
      <c r="H1224" s="39"/>
      <c r="I1224" s="47"/>
      <c r="J1224" s="47"/>
      <c r="K1224" s="47"/>
      <c r="L1224" s="47"/>
      <c r="M1224" s="39" t="s">
        <v>451</v>
      </c>
      <c r="N1224" s="39" t="s">
        <v>30</v>
      </c>
      <c r="O1224" s="39" t="s">
        <v>1914</v>
      </c>
      <c r="P1224" s="39"/>
      <c r="Q1224" s="39" t="str">
        <f t="shared" si="33"/>
        <v>projectUid</v>
      </c>
      <c r="R1224" t="str">
        <f>VLOOKUP(E1224,'Data Type Lookup'!$A$1:$C$21,3,FALSE)</f>
        <v>java.util.UUID</v>
      </c>
      <c r="S1224" s="39"/>
      <c r="W1224" t="str">
        <f t="shared" si="32"/>
        <v>CHNG_REQST.PROJECT_UID</v>
      </c>
      <c r="X1224" t="str">
        <f>VLOOKUP(W1224,ColumnMapping[New Table.Column],1,)</f>
        <v>CHNG_REQST.PROJECT_UID</v>
      </c>
      <c r="Y1224" t="str">
        <f>_xlfn.XLOOKUP(Table6[[#This Row],[Table.Column]],ColumnMapping[Add Column Name],ColumnMapping[Old Table.Column],"",0,1)</f>
        <v/>
      </c>
      <c r="Z1224" t="str">
        <f>_xlfn.XLOOKUP(Table6[[#This Row],[Old Table.Column]],Cobra8.6[Table.Column],Cobra8.6[TYPE],"",0,1)</f>
        <v/>
      </c>
      <c r="AA1224" t="str">
        <f>_xlfn.XLOOKUP(Table6[[#This Row],[Old Table.Column]],Cobra8.6[Table.Column],Cobra8.6[LENGTH],"",0,1)</f>
        <v/>
      </c>
    </row>
    <row r="1225" spans="1:28" hidden="1" x14ac:dyDescent="0.2">
      <c r="A1225" t="s">
        <v>450</v>
      </c>
      <c r="B1225" s="39" t="s">
        <v>1915</v>
      </c>
      <c r="C1225" s="39" t="s">
        <v>1921</v>
      </c>
      <c r="D1225" s="39">
        <v>8</v>
      </c>
      <c r="E1225" s="39" t="s">
        <v>86</v>
      </c>
      <c r="F1225" s="39" t="s">
        <v>349</v>
      </c>
      <c r="G1225" s="39">
        <v>22</v>
      </c>
      <c r="H1225" s="39"/>
      <c r="I1225" s="47"/>
      <c r="J1225" s="47"/>
      <c r="K1225" s="47"/>
      <c r="L1225" s="47"/>
      <c r="M1225" s="39"/>
      <c r="N1225" s="39"/>
      <c r="O1225" s="39"/>
      <c r="P1225" s="39"/>
      <c r="Q1225" s="39" t="str">
        <f t="shared" si="33"/>
        <v>sourceProgram</v>
      </c>
      <c r="R1225" t="str">
        <f>VLOOKUP(E1225,'Data Type Lookup'!$A$1:$C$21,3,FALSE)</f>
        <v>String</v>
      </c>
      <c r="S1225" s="39"/>
      <c r="W1225" t="str">
        <f t="shared" si="32"/>
        <v>CHNG_REQST.SOURCE_PROGRAM</v>
      </c>
      <c r="X1225" t="str">
        <f>VLOOKUP(W1225,ColumnMapping[New Table.Column],1,)</f>
        <v>CHNG_REQST.SOURCE_PROGRAM</v>
      </c>
      <c r="Y1225" t="str">
        <f>_xlfn.XLOOKUP(Table6[[#This Row],[Table.Column]],ColumnMapping[Add Column Name],ColumnMapping[Old Table.Column],"",0,1)</f>
        <v/>
      </c>
      <c r="Z1225" t="str">
        <f>_xlfn.XLOOKUP(Table6[[#This Row],[Old Table.Column]],Cobra8.6[Table.Column],Cobra8.6[TYPE],"",0,1)</f>
        <v/>
      </c>
      <c r="AA1225" t="str">
        <f>_xlfn.XLOOKUP(Table6[[#This Row],[Old Table.Column]],Cobra8.6[Table.Column],Cobra8.6[LENGTH],"",0,1)</f>
        <v/>
      </c>
    </row>
    <row r="1226" spans="1:28" hidden="1" x14ac:dyDescent="0.2">
      <c r="A1226" t="s">
        <v>450</v>
      </c>
      <c r="B1226" s="39" t="s">
        <v>1915</v>
      </c>
      <c r="C1226" s="39" t="s">
        <v>1922</v>
      </c>
      <c r="D1226" s="39">
        <v>9</v>
      </c>
      <c r="E1226" s="39" t="s">
        <v>86</v>
      </c>
      <c r="F1226" s="39" t="s">
        <v>349</v>
      </c>
      <c r="G1226" s="39">
        <v>2</v>
      </c>
      <c r="H1226" s="39"/>
      <c r="I1226" s="47"/>
      <c r="J1226" s="47"/>
      <c r="K1226" s="47"/>
      <c r="L1226" s="47"/>
      <c r="M1226" s="39"/>
      <c r="N1226" s="39"/>
      <c r="O1226" s="39"/>
      <c r="P1226" s="39"/>
      <c r="Q1226" s="39" t="str">
        <f t="shared" si="33"/>
        <v>stage</v>
      </c>
      <c r="R1226" t="str">
        <f>VLOOKUP(E1226,'Data Type Lookup'!$A$1:$C$21,3,FALSE)</f>
        <v>String</v>
      </c>
      <c r="S1226" s="39"/>
      <c r="W1226" t="str">
        <f t="shared" si="32"/>
        <v>CHNG_REQST.STAGE</v>
      </c>
      <c r="X1226" t="str">
        <f>VLOOKUP(W1226,ColumnMapping[New Table.Column],1,)</f>
        <v>CHNG_REQST.STAGE</v>
      </c>
      <c r="Y1226" t="str">
        <f>_xlfn.XLOOKUP(Table6[[#This Row],[Table.Column]],ColumnMapping[Add Column Name],ColumnMapping[Old Table.Column],"",0,1)</f>
        <v/>
      </c>
      <c r="Z1226" t="str">
        <f>_xlfn.XLOOKUP(Table6[[#This Row],[Old Table.Column]],Cobra8.6[Table.Column],Cobra8.6[TYPE],"",0,1)</f>
        <v/>
      </c>
      <c r="AA1226" t="str">
        <f>_xlfn.XLOOKUP(Table6[[#This Row],[Old Table.Column]],Cobra8.6[Table.Column],Cobra8.6[LENGTH],"",0,1)</f>
        <v/>
      </c>
    </row>
    <row r="1227" spans="1:28" hidden="1" x14ac:dyDescent="0.2">
      <c r="A1227" t="s">
        <v>450</v>
      </c>
      <c r="B1227" s="39" t="s">
        <v>1915</v>
      </c>
      <c r="C1227" s="39" t="s">
        <v>1923</v>
      </c>
      <c r="D1227" s="39">
        <v>10</v>
      </c>
      <c r="E1227" s="39" t="s">
        <v>86</v>
      </c>
      <c r="F1227" s="39" t="s">
        <v>349</v>
      </c>
      <c r="G1227" s="39">
        <v>120</v>
      </c>
      <c r="H1227" s="39"/>
      <c r="I1227" s="47"/>
      <c r="J1227" s="47"/>
      <c r="K1227" s="47"/>
      <c r="L1227" s="47"/>
      <c r="M1227" s="39"/>
      <c r="N1227" s="39"/>
      <c r="O1227" s="39"/>
      <c r="P1227" s="39"/>
      <c r="Q1227" s="39" t="str">
        <f t="shared" si="33"/>
        <v>title</v>
      </c>
      <c r="R1227" t="str">
        <f>VLOOKUP(E1227,'Data Type Lookup'!$A$1:$C$21,3,FALSE)</f>
        <v>String</v>
      </c>
      <c r="S1227" s="39"/>
      <c r="W1227" t="str">
        <f t="shared" si="32"/>
        <v>CHNG_REQST.TITLE</v>
      </c>
      <c r="X1227" t="str">
        <f>VLOOKUP(W1227,ColumnMapping[New Table.Column],1,)</f>
        <v>CHNG_REQST.TITLE</v>
      </c>
      <c r="Y1227" t="str">
        <f>_xlfn.XLOOKUP(Table6[[#This Row],[Table.Column]],ColumnMapping[Add Column Name],ColumnMapping[Old Table.Column],"",0,1)</f>
        <v/>
      </c>
      <c r="Z1227" t="str">
        <f>_xlfn.XLOOKUP(Table6[[#This Row],[Old Table.Column]],Cobra8.6[Table.Column],Cobra8.6[TYPE],"",0,1)</f>
        <v/>
      </c>
      <c r="AA1227" t="str">
        <f>_xlfn.XLOOKUP(Table6[[#This Row],[Old Table.Column]],Cobra8.6[Table.Column],Cobra8.6[LENGTH],"",0,1)</f>
        <v/>
      </c>
    </row>
    <row r="1228" spans="1:28" hidden="1" x14ac:dyDescent="0.2">
      <c r="A1228" t="s">
        <v>450</v>
      </c>
      <c r="B1228" s="39" t="s">
        <v>1915</v>
      </c>
      <c r="C1228" s="39" t="s">
        <v>68</v>
      </c>
      <c r="D1228" s="39">
        <v>11</v>
      </c>
      <c r="E1228" t="s">
        <v>31</v>
      </c>
      <c r="F1228" t="str">
        <f>VLOOKUP($E1228,'Data Type Lookup'!$A$1:$C$21,2,FALSE)</f>
        <v>RAW(16)</v>
      </c>
      <c r="I1228" s="32" t="s">
        <v>32</v>
      </c>
      <c r="P1228" t="s">
        <v>1632</v>
      </c>
      <c r="Q1228" t="s">
        <v>70</v>
      </c>
      <c r="R1228" t="str">
        <f>VLOOKUP(E1228,'Data Type Lookup'!$A$1:$C$21,3,FALSE)</f>
        <v>java.util.UUID</v>
      </c>
      <c r="S1228">
        <v>2</v>
      </c>
      <c r="W1228" t="str">
        <f t="shared" si="32"/>
        <v>CHNG_REQST.LAST_MODIFIED_BY_USER_UID</v>
      </c>
      <c r="X1228" t="str">
        <f>VLOOKUP(W1228,ColumnMapping[New Table.Column],1,)</f>
        <v>CHNG_REQST.LAST_MODIFIED_BY_USER_UID</v>
      </c>
      <c r="Y1228" t="str">
        <f>_xlfn.XLOOKUP(Table6[[#This Row],[Table.Column]],ColumnMapping[Add Column Name],ColumnMapping[Old Table.Column],"",0,1)</f>
        <v/>
      </c>
      <c r="Z1228" t="str">
        <f>_xlfn.XLOOKUP(Table6[[#This Row],[Old Table.Column]],Cobra8.6[Table.Column],Cobra8.6[TYPE],"",0,1)</f>
        <v/>
      </c>
      <c r="AA1228" t="str">
        <f>_xlfn.XLOOKUP(Table6[[#This Row],[Old Table.Column]],Cobra8.6[Table.Column],Cobra8.6[LENGTH],"",0,1)</f>
        <v/>
      </c>
    </row>
    <row r="1229" spans="1:28" hidden="1" x14ac:dyDescent="0.2">
      <c r="A1229" t="s">
        <v>450</v>
      </c>
      <c r="B1229" s="39" t="s">
        <v>1915</v>
      </c>
      <c r="C1229" s="39" t="s">
        <v>35</v>
      </c>
      <c r="D1229" s="39">
        <v>12</v>
      </c>
      <c r="E1229" t="s">
        <v>36</v>
      </c>
      <c r="F1229" t="str">
        <f>VLOOKUP($E1229,'Data Type Lookup'!$A$1:$C$21,2,FALSE)</f>
        <v>NUMBER(19,0)</v>
      </c>
      <c r="I1229" s="32" t="s">
        <v>32</v>
      </c>
      <c r="J1229" s="32">
        <v>0</v>
      </c>
      <c r="P1229" t="s">
        <v>37</v>
      </c>
      <c r="Q1229" t="s">
        <v>38</v>
      </c>
      <c r="R1229" t="str">
        <f>VLOOKUP(E1229,'Data Type Lookup'!$A$1:$C$21,3,FALSE)</f>
        <v>Long</v>
      </c>
      <c r="S1229">
        <v>3</v>
      </c>
      <c r="W1229" t="str">
        <f t="shared" ref="W1229:W1232" si="34">_xlfn.CONCAT(B1229,".",C1229)</f>
        <v>CHNG_REQST.SEQUENCE</v>
      </c>
      <c r="X1229" t="str">
        <f>VLOOKUP(W1229,ColumnMapping[New Table.Column],1,)</f>
        <v>CHNG_REQST.SEQUENCE</v>
      </c>
      <c r="Y1229" t="str">
        <f>_xlfn.XLOOKUP(Table6[[#This Row],[Table.Column]],ColumnMapping[Add Column Name],ColumnMapping[Old Table.Column],"",0,1)</f>
        <v/>
      </c>
      <c r="Z1229" t="str">
        <f>_xlfn.XLOOKUP(Table6[[#This Row],[Old Table.Column]],Cobra8.6[Table.Column],Cobra8.6[TYPE],"",0,1)</f>
        <v/>
      </c>
      <c r="AA1229" t="str">
        <f>_xlfn.XLOOKUP(Table6[[#This Row],[Old Table.Column]],Cobra8.6[Table.Column],Cobra8.6[LENGTH],"",0,1)</f>
        <v/>
      </c>
    </row>
    <row r="1230" spans="1:28" hidden="1" x14ac:dyDescent="0.2">
      <c r="A1230" t="s">
        <v>450</v>
      </c>
      <c r="B1230" s="39" t="s">
        <v>1915</v>
      </c>
      <c r="C1230" s="39" t="s">
        <v>30</v>
      </c>
      <c r="D1230" s="39">
        <v>13</v>
      </c>
      <c r="E1230" t="s">
        <v>31</v>
      </c>
      <c r="F1230" t="str">
        <f>VLOOKUP($E1230,'Data Type Lookup'!$A$1:$C$21,2,FALSE)</f>
        <v>RAW(16)</v>
      </c>
      <c r="I1230" s="32" t="s">
        <v>32</v>
      </c>
      <c r="K1230" s="32" t="s">
        <v>32</v>
      </c>
      <c r="P1230" t="s">
        <v>1789</v>
      </c>
      <c r="Q1230" t="s">
        <v>34</v>
      </c>
      <c r="R1230" t="str">
        <f>VLOOKUP(E1230,'Data Type Lookup'!$A$1:$C$21,3,FALSE)</f>
        <v>java.util.UUID</v>
      </c>
      <c r="S1230">
        <v>3</v>
      </c>
      <c r="W1230" t="str">
        <f t="shared" si="34"/>
        <v>CHNG_REQST.ROW_UID</v>
      </c>
      <c r="X1230" t="str">
        <f>VLOOKUP(W1230,ColumnMapping[New Table.Column],1,)</f>
        <v>CHNG_REQST.ROW_UID</v>
      </c>
      <c r="Y1230" t="str">
        <f>_xlfn.XLOOKUP(Table6[[#This Row],[Table.Column]],ColumnMapping[Add Column Name],ColumnMapping[Old Table.Column],"",0,1)</f>
        <v/>
      </c>
      <c r="Z1230" t="str">
        <f>_xlfn.XLOOKUP(Table6[[#This Row],[Old Table.Column]],Cobra8.6[Table.Column],Cobra8.6[TYPE],"",0,1)</f>
        <v/>
      </c>
      <c r="AA1230" t="str">
        <f>_xlfn.XLOOKUP(Table6[[#This Row],[Old Table.Column]],Cobra8.6[Table.Column],Cobra8.6[LENGTH],"",0,1)</f>
        <v/>
      </c>
    </row>
    <row r="1231" spans="1:28" hidden="1" x14ac:dyDescent="0.2">
      <c r="A1231" t="s">
        <v>450</v>
      </c>
      <c r="B1231" s="39" t="s">
        <v>1915</v>
      </c>
      <c r="C1231" s="39" t="s">
        <v>61</v>
      </c>
      <c r="D1231" s="39">
        <v>14</v>
      </c>
      <c r="E1231" t="s">
        <v>31</v>
      </c>
      <c r="F1231" t="str">
        <f>VLOOKUP($E1231,'Data Type Lookup'!$A$1:$C$21,2,FALSE)</f>
        <v>RAW(16)</v>
      </c>
      <c r="I1231" s="32" t="s">
        <v>32</v>
      </c>
      <c r="P1231" t="s">
        <v>1629</v>
      </c>
      <c r="Q1231" t="s">
        <v>63</v>
      </c>
      <c r="R1231" t="str">
        <f>VLOOKUP(E1231,'Data Type Lookup'!$A$1:$C$21,3,FALSE)</f>
        <v>java.util.UUID</v>
      </c>
      <c r="S1231">
        <v>2</v>
      </c>
      <c r="W1231" t="str">
        <f t="shared" si="34"/>
        <v>CHNG_REQST.CREATED_BY_USER_UID</v>
      </c>
      <c r="X1231" t="str">
        <f>VLOOKUP(W1231,ColumnMapping[New Table.Column],1,)</f>
        <v>CHNG_REQST.CREATED_BY_USER_UID</v>
      </c>
      <c r="Y1231" t="str">
        <f>_xlfn.XLOOKUP(Table6[[#This Row],[Table.Column]],ColumnMapping[Add Column Name],ColumnMapping[Old Table.Column],"",0,1)</f>
        <v/>
      </c>
      <c r="Z1231" t="str">
        <f>_xlfn.XLOOKUP(Table6[[#This Row],[Old Table.Column]],Cobra8.6[Table.Column],Cobra8.6[TYPE],"",0,1)</f>
        <v/>
      </c>
      <c r="AA1231" t="str">
        <f>_xlfn.XLOOKUP(Table6[[#This Row],[Old Table.Column]],Cobra8.6[Table.Column],Cobra8.6[LENGTH],"",0,1)</f>
        <v/>
      </c>
    </row>
    <row r="1232" spans="1:28" hidden="1" x14ac:dyDescent="0.2">
      <c r="A1232" t="s">
        <v>450</v>
      </c>
      <c r="B1232" s="39" t="s">
        <v>1915</v>
      </c>
      <c r="C1232" s="39" t="s">
        <v>64</v>
      </c>
      <c r="D1232" s="39">
        <v>15</v>
      </c>
      <c r="E1232" t="s">
        <v>65</v>
      </c>
      <c r="F1232" t="str">
        <f>VLOOKUP($E1232,'Data Type Lookup'!$A$1:$C$21,2,FALSE)</f>
        <v>TIMESTAMP</v>
      </c>
      <c r="I1232" s="32" t="s">
        <v>32</v>
      </c>
      <c r="P1232" t="s">
        <v>1630</v>
      </c>
      <c r="Q1232" t="s">
        <v>67</v>
      </c>
      <c r="R1232" t="str">
        <f>VLOOKUP(E1232,'Data Type Lookup'!$A$1:$C$21,3,FALSE)</f>
        <v>java.time.Instant</v>
      </c>
      <c r="S1232">
        <v>2</v>
      </c>
      <c r="W1232" t="str">
        <f t="shared" si="34"/>
        <v>CHNG_REQST.CREATED_DATE</v>
      </c>
      <c r="X1232" t="str">
        <f>VLOOKUP(W1232,ColumnMapping[New Table.Column],1,)</f>
        <v>CHNG_REQST.CREATED_DATE</v>
      </c>
      <c r="Y1232" t="str">
        <f>_xlfn.XLOOKUP(Table6[[#This Row],[Table.Column]],ColumnMapping[Add Column Name],ColumnMapping[Old Table.Column],"",0,1)</f>
        <v/>
      </c>
      <c r="Z1232" t="str">
        <f>_xlfn.XLOOKUP(Table6[[#This Row],[Old Table.Column]],Cobra8.6[Table.Column],Cobra8.6[TYPE],"",0,1)</f>
        <v/>
      </c>
      <c r="AA1232" t="str">
        <f>_xlfn.XLOOKUP(Table6[[#This Row],[Old Table.Column]],Cobra8.6[Table.Column],Cobra8.6[LENGTH],"",0,1)</f>
        <v/>
      </c>
    </row>
    <row r="1233" spans="1:27" hidden="1" x14ac:dyDescent="0.2">
      <c r="A1233" t="s">
        <v>450</v>
      </c>
      <c r="B1233" s="39" t="s">
        <v>1924</v>
      </c>
      <c r="C1233" s="39" t="s">
        <v>1918</v>
      </c>
      <c r="D1233" s="39">
        <v>1</v>
      </c>
      <c r="E1233" s="39" t="s">
        <v>86</v>
      </c>
      <c r="F1233" s="39" t="s">
        <v>349</v>
      </c>
      <c r="G1233" s="39">
        <v>22</v>
      </c>
      <c r="H1233" s="39"/>
      <c r="I1233" s="47"/>
      <c r="J1233" s="47"/>
      <c r="K1233" s="47"/>
      <c r="L1233" s="47"/>
      <c r="M1233" s="39"/>
      <c r="N1233" s="39"/>
      <c r="O1233" s="39"/>
      <c r="P1233" s="39"/>
      <c r="Q1233" s="39" t="s">
        <v>1925</v>
      </c>
      <c r="R1233" t="str">
        <f>VLOOKUP(E1233,'Data Type Lookup'!$A$1:$C$21,3,FALSE)</f>
        <v>String</v>
      </c>
      <c r="S1233" s="39"/>
      <c r="W1233" t="str">
        <f>_xlfn.CONCAT(B1233,".",C1233)</f>
        <v>CHNG_REQST_PROGRAM.CHNG_NUM</v>
      </c>
      <c r="X1233" t="str">
        <f>VLOOKUP(W1233,ColumnMapping[New Table.Column],1,)</f>
        <v>CHNG_REQST_PROGRAM.CHNG_NUM</v>
      </c>
      <c r="Y1233" t="str">
        <f>_xlfn.XLOOKUP(Table6[[#This Row],[Table.Column]],ColumnMapping[Add Column Name],ColumnMapping[Old Table.Column],"",0,1)</f>
        <v/>
      </c>
      <c r="Z1233" t="str">
        <f>_xlfn.XLOOKUP(Table6[[#This Row],[Old Table.Column]],Cobra8.6[Table.Column],Cobra8.6[TYPE],"",0,1)</f>
        <v/>
      </c>
      <c r="AA1233" t="str">
        <f>_xlfn.XLOOKUP(Table6[[#This Row],[Old Table.Column]],Cobra8.6[Table.Column],Cobra8.6[LENGTH],"",0,1)</f>
        <v/>
      </c>
    </row>
    <row r="1234" spans="1:27" hidden="1" x14ac:dyDescent="0.2">
      <c r="A1234" t="s">
        <v>450</v>
      </c>
      <c r="B1234" s="39" t="s">
        <v>1924</v>
      </c>
      <c r="C1234" s="39" t="s">
        <v>71</v>
      </c>
      <c r="D1234" s="39">
        <v>2</v>
      </c>
      <c r="E1234" t="s">
        <v>65</v>
      </c>
      <c r="F1234" t="str">
        <f>VLOOKUP($E1234,'Data Type Lookup'!$A$1:$C$21,2,FALSE)</f>
        <v>TIMESTAMP</v>
      </c>
      <c r="I1234" s="32" t="s">
        <v>32</v>
      </c>
      <c r="P1234" t="s">
        <v>1633</v>
      </c>
      <c r="Q1234" t="s">
        <v>73</v>
      </c>
      <c r="R1234" t="str">
        <f>VLOOKUP(E1234,'Data Type Lookup'!$A$1:$C$21,3,FALSE)</f>
        <v>java.time.Instant</v>
      </c>
      <c r="S1234">
        <v>2</v>
      </c>
      <c r="W1234" t="str">
        <f t="shared" ref="W1234:W1244" si="35">_xlfn.CONCAT(B1234,".",C1234)</f>
        <v>CHNG_REQST_PROGRAM.LAST_MODIFIED_DATE</v>
      </c>
      <c r="X1234" t="str">
        <f>VLOOKUP(W1234,ColumnMapping[New Table.Column],1,)</f>
        <v>CHNG_REQST_PROGRAM.LAST_MODIFIED_DATE</v>
      </c>
      <c r="Y1234" t="str">
        <f>_xlfn.XLOOKUP(Table6[[#This Row],[Table.Column]],ColumnMapping[Add Column Name],ColumnMapping[Old Table.Column],"",0,1)</f>
        <v/>
      </c>
      <c r="Z1234" t="str">
        <f>_xlfn.XLOOKUP(Table6[[#This Row],[Old Table.Column]],Cobra8.6[Table.Column],Cobra8.6[TYPE],"",0,1)</f>
        <v/>
      </c>
      <c r="AA1234" t="str">
        <f>_xlfn.XLOOKUP(Table6[[#This Row],[Old Table.Column]],Cobra8.6[Table.Column],Cobra8.6[LENGTH],"",0,1)</f>
        <v/>
      </c>
    </row>
    <row r="1235" spans="1:27" hidden="1" x14ac:dyDescent="0.2">
      <c r="A1235" t="s">
        <v>450</v>
      </c>
      <c r="B1235" s="39" t="s">
        <v>1924</v>
      </c>
      <c r="C1235" s="39" t="s">
        <v>1926</v>
      </c>
      <c r="D1235" s="39">
        <v>3</v>
      </c>
      <c r="E1235" s="39" t="s">
        <v>86</v>
      </c>
      <c r="F1235" s="39" t="s">
        <v>349</v>
      </c>
      <c r="G1235" s="39">
        <v>2</v>
      </c>
      <c r="H1235" s="39"/>
      <c r="I1235" s="47"/>
      <c r="J1235" s="47"/>
      <c r="K1235" s="47"/>
      <c r="L1235" s="47"/>
      <c r="M1235" s="39"/>
      <c r="N1235" s="39"/>
      <c r="O1235" s="39"/>
      <c r="P1235" s="39"/>
      <c r="Q1235" s="39" t="str">
        <f>IF(C1235="","",LOWER(LEFT(TRIM(C1235),FIND("_",TRIM(C1235)&amp;"_")-1))&amp;SUBSTITUTE(PROPER(SUBSTITUTE(MID(TRIM(C1235),FIND("_",TRIM(C1235)&amp;"_"),LEN(TRIM(C1235))),"_"," "))," ",""))</f>
        <v>phase</v>
      </c>
      <c r="R1235" t="str">
        <f>VLOOKUP(E1235,'Data Type Lookup'!$A$1:$C$21,3,FALSE)</f>
        <v>String</v>
      </c>
      <c r="S1235" s="39"/>
      <c r="W1235" t="str">
        <f t="shared" si="35"/>
        <v>CHNG_REQST_PROGRAM.PHASE</v>
      </c>
      <c r="X1235" t="str">
        <f>VLOOKUP(W1235,ColumnMapping[New Table.Column],1,)</f>
        <v>CHNG_REQST_PROGRAM.PHASE</v>
      </c>
      <c r="Y1235" t="str">
        <f>_xlfn.XLOOKUP(Table6[[#This Row],[Table.Column]],ColumnMapping[Add Column Name],ColumnMapping[Old Table.Column],"",0,1)</f>
        <v/>
      </c>
      <c r="Z1235" t="str">
        <f>_xlfn.XLOOKUP(Table6[[#This Row],[Old Table.Column]],Cobra8.6[Table.Column],Cobra8.6[TYPE],"",0,1)</f>
        <v/>
      </c>
      <c r="AA1235" t="str">
        <f>_xlfn.XLOOKUP(Table6[[#This Row],[Old Table.Column]],Cobra8.6[Table.Column],Cobra8.6[LENGTH],"",0,1)</f>
        <v/>
      </c>
    </row>
    <row r="1236" spans="1:27" hidden="1" x14ac:dyDescent="0.2">
      <c r="A1236" t="s">
        <v>450</v>
      </c>
      <c r="B1236" s="39" t="s">
        <v>1924</v>
      </c>
      <c r="C1236" s="39" t="s">
        <v>770</v>
      </c>
      <c r="D1236" s="39">
        <v>4</v>
      </c>
      <c r="E1236" s="39" t="s">
        <v>31</v>
      </c>
      <c r="F1236" s="39" t="s">
        <v>765</v>
      </c>
      <c r="G1236" s="39"/>
      <c r="H1236" s="39"/>
      <c r="I1236" s="47"/>
      <c r="J1236" s="47"/>
      <c r="K1236" s="47"/>
      <c r="L1236" s="47"/>
      <c r="M1236" s="39" t="s">
        <v>451</v>
      </c>
      <c r="N1236" s="39" t="s">
        <v>30</v>
      </c>
      <c r="O1236" s="39" t="s">
        <v>1914</v>
      </c>
      <c r="P1236" s="39"/>
      <c r="Q1236" s="39" t="str">
        <f t="shared" ref="Q1236:Q1237" si="36">IF(C1236="","",LOWER(LEFT(TRIM(C1236),FIND("_",TRIM(C1236)&amp;"_")-1))&amp;SUBSTITUTE(PROPER(SUBSTITUTE(MID(TRIM(C1236),FIND("_",TRIM(C1236)&amp;"_"),LEN(TRIM(C1236))),"_"," "))," ",""))</f>
        <v>projectUid</v>
      </c>
      <c r="R1236" t="str">
        <f>VLOOKUP(E1236,'Data Type Lookup'!$A$1:$C$21,3,FALSE)</f>
        <v>java.util.UUID</v>
      </c>
      <c r="S1236" s="39"/>
      <c r="W1236" t="str">
        <f t="shared" si="35"/>
        <v>CHNG_REQST_PROGRAM.PROJECT_UID</v>
      </c>
      <c r="X1236" t="str">
        <f>VLOOKUP(W1236,ColumnMapping[New Table.Column],1,)</f>
        <v>CHNG_REQST_PROGRAM.PROJECT_UID</v>
      </c>
      <c r="Y1236" t="str">
        <f>_xlfn.XLOOKUP(Table6[[#This Row],[Table.Column]],ColumnMapping[Add Column Name],ColumnMapping[Old Table.Column],"",0,1)</f>
        <v/>
      </c>
      <c r="Z1236" t="str">
        <f>_xlfn.XLOOKUP(Table6[[#This Row],[Old Table.Column]],Cobra8.6[Table.Column],Cobra8.6[TYPE],"",0,1)</f>
        <v/>
      </c>
      <c r="AA1236" t="str">
        <f>_xlfn.XLOOKUP(Table6[[#This Row],[Old Table.Column]],Cobra8.6[Table.Column],Cobra8.6[LENGTH],"",0,1)</f>
        <v/>
      </c>
    </row>
    <row r="1237" spans="1:27" hidden="1" x14ac:dyDescent="0.2">
      <c r="A1237" t="s">
        <v>450</v>
      </c>
      <c r="B1237" s="39" t="s">
        <v>1924</v>
      </c>
      <c r="C1237" s="39" t="s">
        <v>744</v>
      </c>
      <c r="D1237" s="39">
        <v>5</v>
      </c>
      <c r="E1237" s="39" t="s">
        <v>86</v>
      </c>
      <c r="F1237" s="39" t="s">
        <v>349</v>
      </c>
      <c r="G1237" s="39">
        <v>22</v>
      </c>
      <c r="H1237" s="39"/>
      <c r="I1237" s="47"/>
      <c r="J1237" s="47"/>
      <c r="K1237" s="47"/>
      <c r="L1237" s="47"/>
      <c r="M1237" s="39"/>
      <c r="N1237" s="39"/>
      <c r="O1237" s="39"/>
      <c r="P1237" s="39"/>
      <c r="Q1237" s="39" t="str">
        <f t="shared" si="36"/>
        <v>program</v>
      </c>
      <c r="R1237" t="str">
        <f>VLOOKUP(E1237,'Data Type Lookup'!$A$1:$C$21,3,FALSE)</f>
        <v>String</v>
      </c>
      <c r="S1237" s="39"/>
      <c r="W1237" t="str">
        <f t="shared" si="35"/>
        <v>CHNG_REQST_PROGRAM.PROGRAM</v>
      </c>
      <c r="X1237" t="str">
        <f>VLOOKUP(W1237,ColumnMapping[New Table.Column],1,)</f>
        <v>CHNG_REQST_PROGRAM.PROGRAM</v>
      </c>
      <c r="Y1237" t="str">
        <f>_xlfn.XLOOKUP(Table6[[#This Row],[Table.Column]],ColumnMapping[Add Column Name],ColumnMapping[Old Table.Column],"",0,1)</f>
        <v/>
      </c>
      <c r="Z1237" t="str">
        <f>_xlfn.XLOOKUP(Table6[[#This Row],[Old Table.Column]],Cobra8.6[Table.Column],Cobra8.6[TYPE],"",0,1)</f>
        <v/>
      </c>
      <c r="AA1237" t="str">
        <f>_xlfn.XLOOKUP(Table6[[#This Row],[Old Table.Column]],Cobra8.6[Table.Column],Cobra8.6[LENGTH],"",0,1)</f>
        <v/>
      </c>
    </row>
    <row r="1238" spans="1:27" hidden="1" x14ac:dyDescent="0.2">
      <c r="A1238" t="s">
        <v>450</v>
      </c>
      <c r="B1238" s="39" t="s">
        <v>1924</v>
      </c>
      <c r="C1238" s="39" t="s">
        <v>68</v>
      </c>
      <c r="D1238" s="39">
        <v>6</v>
      </c>
      <c r="E1238" t="s">
        <v>31</v>
      </c>
      <c r="F1238" t="str">
        <f>VLOOKUP($E1238,'Data Type Lookup'!$A$1:$C$21,2,FALSE)</f>
        <v>RAW(16)</v>
      </c>
      <c r="I1238" s="32" t="s">
        <v>32</v>
      </c>
      <c r="P1238" t="s">
        <v>1632</v>
      </c>
      <c r="Q1238" t="s">
        <v>70</v>
      </c>
      <c r="R1238" t="str">
        <f>VLOOKUP(E1238,'Data Type Lookup'!$A$1:$C$21,3,FALSE)</f>
        <v>java.util.UUID</v>
      </c>
      <c r="S1238">
        <v>2</v>
      </c>
      <c r="W1238" t="str">
        <f t="shared" si="35"/>
        <v>CHNG_REQST_PROGRAM.LAST_MODIFIED_BY_USER_UID</v>
      </c>
      <c r="X1238" t="str">
        <f>VLOOKUP(W1238,ColumnMapping[New Table.Column],1,)</f>
        <v>CHNG_REQST_PROGRAM.LAST_MODIFIED_BY_USER_UID</v>
      </c>
      <c r="Y1238" t="str">
        <f>_xlfn.XLOOKUP(Table6[[#This Row],[Table.Column]],ColumnMapping[Add Column Name],ColumnMapping[Old Table.Column],"",0,1)</f>
        <v/>
      </c>
      <c r="Z1238" t="str">
        <f>_xlfn.XLOOKUP(Table6[[#This Row],[Old Table.Column]],Cobra8.6[Table.Column],Cobra8.6[TYPE],"",0,1)</f>
        <v/>
      </c>
      <c r="AA1238" t="str">
        <f>_xlfn.XLOOKUP(Table6[[#This Row],[Old Table.Column]],Cobra8.6[Table.Column],Cobra8.6[LENGTH],"",0,1)</f>
        <v/>
      </c>
    </row>
    <row r="1239" spans="1:27" hidden="1" x14ac:dyDescent="0.2">
      <c r="A1239" t="s">
        <v>450</v>
      </c>
      <c r="B1239" s="39" t="s">
        <v>1924</v>
      </c>
      <c r="C1239" s="39" t="s">
        <v>35</v>
      </c>
      <c r="D1239" s="39">
        <v>7</v>
      </c>
      <c r="E1239" t="s">
        <v>36</v>
      </c>
      <c r="F1239" t="str">
        <f>VLOOKUP($E1239,'Data Type Lookup'!$A$1:$C$21,2,FALSE)</f>
        <v>NUMBER(19,0)</v>
      </c>
      <c r="I1239" s="32" t="s">
        <v>32</v>
      </c>
      <c r="J1239" s="32">
        <v>0</v>
      </c>
      <c r="P1239" t="s">
        <v>37</v>
      </c>
      <c r="Q1239" t="s">
        <v>38</v>
      </c>
      <c r="R1239" t="str">
        <f>VLOOKUP(E1239,'Data Type Lookup'!$A$1:$C$21,3,FALSE)</f>
        <v>Long</v>
      </c>
      <c r="S1239">
        <v>3</v>
      </c>
      <c r="W1239" t="str">
        <f t="shared" si="35"/>
        <v>CHNG_REQST_PROGRAM.SEQUENCE</v>
      </c>
      <c r="X1239" t="str">
        <f>VLOOKUP(W1239,ColumnMapping[New Table.Column],1,)</f>
        <v>CHNG_REQST_PROGRAM.SEQUENCE</v>
      </c>
      <c r="Y1239" t="str">
        <f>_xlfn.XLOOKUP(Table6[[#This Row],[Table.Column]],ColumnMapping[Add Column Name],ColumnMapping[Old Table.Column],"",0,1)</f>
        <v/>
      </c>
      <c r="Z1239" t="str">
        <f>_xlfn.XLOOKUP(Table6[[#This Row],[Old Table.Column]],Cobra8.6[Table.Column],Cobra8.6[TYPE],"",0,1)</f>
        <v/>
      </c>
      <c r="AA1239" t="str">
        <f>_xlfn.XLOOKUP(Table6[[#This Row],[Old Table.Column]],Cobra8.6[Table.Column],Cobra8.6[LENGTH],"",0,1)</f>
        <v/>
      </c>
    </row>
    <row r="1240" spans="1:27" hidden="1" x14ac:dyDescent="0.2">
      <c r="A1240" t="s">
        <v>450</v>
      </c>
      <c r="B1240" s="39" t="s">
        <v>1924</v>
      </c>
      <c r="C1240" s="39" t="s">
        <v>30</v>
      </c>
      <c r="D1240" s="39">
        <v>8</v>
      </c>
      <c r="E1240" t="s">
        <v>31</v>
      </c>
      <c r="F1240" t="str">
        <f>VLOOKUP($E1240,'Data Type Lookup'!$A$1:$C$21,2,FALSE)</f>
        <v>RAW(16)</v>
      </c>
      <c r="I1240" s="32" t="s">
        <v>32</v>
      </c>
      <c r="K1240" s="32" t="s">
        <v>32</v>
      </c>
      <c r="P1240" t="s">
        <v>1789</v>
      </c>
      <c r="Q1240" t="s">
        <v>34</v>
      </c>
      <c r="R1240" t="str">
        <f>VLOOKUP(E1240,'Data Type Lookup'!$A$1:$C$21,3,FALSE)</f>
        <v>java.util.UUID</v>
      </c>
      <c r="S1240">
        <v>3</v>
      </c>
      <c r="W1240" t="str">
        <f t="shared" si="35"/>
        <v>CHNG_REQST_PROGRAM.ROW_UID</v>
      </c>
      <c r="X1240" t="str">
        <f>VLOOKUP(W1240,ColumnMapping[New Table.Column],1,)</f>
        <v>CHNG_REQST_PROGRAM.ROW_UID</v>
      </c>
      <c r="Y1240" t="str">
        <f>_xlfn.XLOOKUP(Table6[[#This Row],[Table.Column]],ColumnMapping[Add Column Name],ColumnMapping[Old Table.Column],"",0,1)</f>
        <v/>
      </c>
      <c r="Z1240" t="str">
        <f>_xlfn.XLOOKUP(Table6[[#This Row],[Old Table.Column]],Cobra8.6[Table.Column],Cobra8.6[TYPE],"",0,1)</f>
        <v/>
      </c>
      <c r="AA1240" t="str">
        <f>_xlfn.XLOOKUP(Table6[[#This Row],[Old Table.Column]],Cobra8.6[Table.Column],Cobra8.6[LENGTH],"",0,1)</f>
        <v/>
      </c>
    </row>
    <row r="1241" spans="1:27" hidden="1" x14ac:dyDescent="0.2">
      <c r="A1241" t="s">
        <v>450</v>
      </c>
      <c r="B1241" s="39" t="s">
        <v>1924</v>
      </c>
      <c r="C1241" s="39" t="s">
        <v>61</v>
      </c>
      <c r="D1241" s="39">
        <v>9</v>
      </c>
      <c r="E1241" t="s">
        <v>31</v>
      </c>
      <c r="F1241" t="str">
        <f>VLOOKUP($E1241,'Data Type Lookup'!$A$1:$C$21,2,FALSE)</f>
        <v>RAW(16)</v>
      </c>
      <c r="I1241" s="32" t="s">
        <v>32</v>
      </c>
      <c r="P1241" t="s">
        <v>1629</v>
      </c>
      <c r="Q1241" t="s">
        <v>63</v>
      </c>
      <c r="R1241" t="str">
        <f>VLOOKUP(E1241,'Data Type Lookup'!$A$1:$C$21,3,FALSE)</f>
        <v>java.util.UUID</v>
      </c>
      <c r="S1241">
        <v>2</v>
      </c>
      <c r="W1241" t="str">
        <f t="shared" si="35"/>
        <v>CHNG_REQST_PROGRAM.CREATED_BY_USER_UID</v>
      </c>
      <c r="X1241" t="str">
        <f>VLOOKUP(W1241,ColumnMapping[New Table.Column],1,)</f>
        <v>CHNG_REQST_PROGRAM.CREATED_BY_USER_UID</v>
      </c>
      <c r="Y1241" t="str">
        <f>_xlfn.XLOOKUP(Table6[[#This Row],[Table.Column]],ColumnMapping[Add Column Name],ColumnMapping[Old Table.Column],"",0,1)</f>
        <v/>
      </c>
      <c r="Z1241" t="str">
        <f>_xlfn.XLOOKUP(Table6[[#This Row],[Old Table.Column]],Cobra8.6[Table.Column],Cobra8.6[TYPE],"",0,1)</f>
        <v/>
      </c>
      <c r="AA1241" t="str">
        <f>_xlfn.XLOOKUP(Table6[[#This Row],[Old Table.Column]],Cobra8.6[Table.Column],Cobra8.6[LENGTH],"",0,1)</f>
        <v/>
      </c>
    </row>
    <row r="1242" spans="1:27" hidden="1" x14ac:dyDescent="0.2">
      <c r="A1242" t="s">
        <v>450</v>
      </c>
      <c r="B1242" s="39" t="s">
        <v>1924</v>
      </c>
      <c r="C1242" s="39" t="s">
        <v>64</v>
      </c>
      <c r="D1242" s="39">
        <v>10</v>
      </c>
      <c r="E1242" t="s">
        <v>65</v>
      </c>
      <c r="F1242" t="str">
        <f>VLOOKUP($E1242,'Data Type Lookup'!$A$1:$C$21,2,FALSE)</f>
        <v>TIMESTAMP</v>
      </c>
      <c r="I1242" s="32" t="s">
        <v>32</v>
      </c>
      <c r="P1242" t="s">
        <v>1630</v>
      </c>
      <c r="Q1242" t="s">
        <v>67</v>
      </c>
      <c r="R1242" t="str">
        <f>VLOOKUP(E1242,'Data Type Lookup'!$A$1:$C$21,3,FALSE)</f>
        <v>java.time.Instant</v>
      </c>
      <c r="S1242">
        <v>2</v>
      </c>
      <c r="W1242" t="str">
        <f t="shared" si="35"/>
        <v>CHNG_REQST_PROGRAM.CREATED_DATE</v>
      </c>
      <c r="X1242" t="str">
        <f>VLOOKUP(W1242,ColumnMapping[New Table.Column],1,)</f>
        <v>CHNG_REQST_PROGRAM.CREATED_DATE</v>
      </c>
      <c r="Y1242" t="str">
        <f>_xlfn.XLOOKUP(Table6[[#This Row],[Table.Column]],ColumnMapping[Add Column Name],ColumnMapping[Old Table.Column],"",0,1)</f>
        <v/>
      </c>
      <c r="Z1242" t="str">
        <f>_xlfn.XLOOKUP(Table6[[#This Row],[Old Table.Column]],Cobra8.6[Table.Column],Cobra8.6[TYPE],"",0,1)</f>
        <v/>
      </c>
      <c r="AA1242" t="str">
        <f>_xlfn.XLOOKUP(Table6[[#This Row],[Old Table.Column]],Cobra8.6[Table.Column],Cobra8.6[LENGTH],"",0,1)</f>
        <v/>
      </c>
    </row>
    <row r="1243" spans="1:27" hidden="1" x14ac:dyDescent="0.2">
      <c r="A1243" t="s">
        <v>450</v>
      </c>
      <c r="B1243" s="39" t="s">
        <v>1927</v>
      </c>
      <c r="C1243" s="39" t="s">
        <v>1100</v>
      </c>
      <c r="D1243" s="39">
        <v>1</v>
      </c>
      <c r="E1243" s="39" t="s">
        <v>86</v>
      </c>
      <c r="F1243" s="39" t="s">
        <v>349</v>
      </c>
      <c r="G1243" s="39">
        <v>20</v>
      </c>
      <c r="H1243" s="39"/>
      <c r="I1243" s="47"/>
      <c r="J1243" s="47"/>
      <c r="K1243" s="47"/>
      <c r="L1243" s="47"/>
      <c r="M1243" s="39"/>
      <c r="N1243" s="39"/>
      <c r="O1243" s="39"/>
      <c r="P1243" s="39"/>
      <c r="Q1243" s="39" t="str">
        <f>IF(C1243="","",LOWER(LEFT(TRIM(C1243),FIND("_",TRIM(C1243)&amp;"_")-1))&amp;SUBSTITUTE(PROPER(SUBSTITUTE(MID(TRIM(C1243),FIND("_",TRIM(C1243)&amp;"_"),LEN(TRIM(C1243))),"_"," "))," ",""))</f>
        <v>class</v>
      </c>
      <c r="R1243" t="str">
        <f>VLOOKUP(E1243,'Data Type Lookup'!$A$1:$C$21,3,FALSE)</f>
        <v>String</v>
      </c>
      <c r="S1243" s="39"/>
      <c r="W1243" t="str">
        <f t="shared" si="35"/>
        <v>CLASSRANGES.CLASS</v>
      </c>
      <c r="X1243" t="str">
        <f>VLOOKUP(W1243,ColumnMapping[New Table.Column],1,)</f>
        <v>CLASSRANGES.CLASS</v>
      </c>
      <c r="Y1243" t="str">
        <f>_xlfn.XLOOKUP(Table6[[#This Row],[Table.Column]],ColumnMapping[Add Column Name],ColumnMapping[Old Table.Column],"",0,1)</f>
        <v/>
      </c>
      <c r="Z1243" t="str">
        <f>_xlfn.XLOOKUP(Table6[[#This Row],[Old Table.Column]],Cobra8.6[Table.Column],Cobra8.6[TYPE],"",0,1)</f>
        <v/>
      </c>
      <c r="AA1243" t="str">
        <f>_xlfn.XLOOKUP(Table6[[#This Row],[Old Table.Column]],Cobra8.6[Table.Column],Cobra8.6[LENGTH],"",0,1)</f>
        <v/>
      </c>
    </row>
    <row r="1244" spans="1:27" hidden="1" x14ac:dyDescent="0.2">
      <c r="A1244" t="s">
        <v>450</v>
      </c>
      <c r="B1244" s="39" t="s">
        <v>1927</v>
      </c>
      <c r="C1244" s="39" t="s">
        <v>1928</v>
      </c>
      <c r="D1244" s="39">
        <v>2</v>
      </c>
      <c r="E1244" s="39" t="s">
        <v>36</v>
      </c>
      <c r="F1244" s="39" t="s">
        <v>768</v>
      </c>
      <c r="G1244" s="39"/>
      <c r="H1244" s="39"/>
      <c r="I1244" s="47"/>
      <c r="J1244" s="47">
        <v>0</v>
      </c>
      <c r="K1244" s="47"/>
      <c r="L1244" s="47"/>
      <c r="M1244" s="39"/>
      <c r="N1244" s="39"/>
      <c r="O1244" s="39"/>
      <c r="P1244" s="39"/>
      <c r="Q1244" s="39" t="str">
        <f t="shared" ref="Q1244:Q1248" si="37">IF(C1244="","",LOWER(LEFT(TRIM(C1244),FIND("_",TRIM(C1244)&amp;"_")-1))&amp;SUBSTITUTE(PROPER(SUBSTITUTE(MID(TRIM(C1244),FIND("_",TRIM(C1244)&amp;"_"),LEN(TRIM(C1244))),"_"," "))," ",""))</f>
        <v>fieldnum</v>
      </c>
      <c r="R1244" t="str">
        <f>VLOOKUP(E1244,'Data Type Lookup'!$A$1:$C$21,3,FALSE)</f>
        <v>Long</v>
      </c>
      <c r="S1244" s="39"/>
      <c r="W1244" t="str">
        <f t="shared" si="35"/>
        <v>CLASSRANGES.FIELDNUM</v>
      </c>
      <c r="X1244" t="str">
        <f>VLOOKUP(W1244,ColumnMapping[New Table.Column],1,)</f>
        <v>CLASSRANGES.FIELDNUM</v>
      </c>
      <c r="Y1244" t="str">
        <f>_xlfn.XLOOKUP(Table6[[#This Row],[Table.Column]],ColumnMapping[Add Column Name],ColumnMapping[Old Table.Column],"",0,1)</f>
        <v/>
      </c>
      <c r="Z1244" t="str">
        <f>_xlfn.XLOOKUP(Table6[[#This Row],[Old Table.Column]],Cobra8.6[Table.Column],Cobra8.6[TYPE],"",0,1)</f>
        <v/>
      </c>
      <c r="AA1244" t="str">
        <f>_xlfn.XLOOKUP(Table6[[#This Row],[Old Table.Column]],Cobra8.6[Table.Column],Cobra8.6[LENGTH],"",0,1)</f>
        <v/>
      </c>
    </row>
    <row r="1245" spans="1:27" hidden="1" x14ac:dyDescent="0.2">
      <c r="A1245" t="s">
        <v>450</v>
      </c>
      <c r="B1245" s="39" t="s">
        <v>1927</v>
      </c>
      <c r="C1245" s="39" t="s">
        <v>744</v>
      </c>
      <c r="D1245" s="39">
        <v>3</v>
      </c>
      <c r="E1245" s="39" t="s">
        <v>86</v>
      </c>
      <c r="F1245" s="39" t="s">
        <v>349</v>
      </c>
      <c r="G1245" s="39">
        <v>22</v>
      </c>
      <c r="H1245" s="39"/>
      <c r="I1245" s="47"/>
      <c r="J1245" s="47"/>
      <c r="K1245" s="47"/>
      <c r="L1245" s="47"/>
      <c r="M1245" s="39"/>
      <c r="N1245" s="39"/>
      <c r="O1245" s="39"/>
      <c r="P1245" s="39"/>
      <c r="Q1245" s="39" t="str">
        <f t="shared" si="37"/>
        <v>program</v>
      </c>
      <c r="R1245" t="str">
        <f>VLOOKUP(E1245,'Data Type Lookup'!$A$1:$C$21,3,FALSE)</f>
        <v>String</v>
      </c>
      <c r="S1245" s="39"/>
      <c r="W1245" t="str">
        <f t="shared" ref="W1245:W1254" si="38">_xlfn.CONCAT(B1245,".",C1245)</f>
        <v>CLASSRANGES.PROGRAM</v>
      </c>
      <c r="X1245" t="str">
        <f>VLOOKUP(W1245,ColumnMapping[New Table.Column],1,)</f>
        <v>CLASSRANGES.PROGRAM</v>
      </c>
      <c r="Y1245" t="str">
        <f>_xlfn.XLOOKUP(Table6[[#This Row],[Table.Column]],ColumnMapping[Add Column Name],ColumnMapping[Old Table.Column],"",0,1)</f>
        <v/>
      </c>
      <c r="Z1245" t="str">
        <f>_xlfn.XLOOKUP(Table6[[#This Row],[Old Table.Column]],Cobra8.6[Table.Column],Cobra8.6[TYPE],"",0,1)</f>
        <v/>
      </c>
      <c r="AA1245" t="str">
        <f>_xlfn.XLOOKUP(Table6[[#This Row],[Old Table.Column]],Cobra8.6[Table.Column],Cobra8.6[LENGTH],"",0,1)</f>
        <v/>
      </c>
    </row>
    <row r="1246" spans="1:27" hidden="1" x14ac:dyDescent="0.2">
      <c r="A1246" t="s">
        <v>450</v>
      </c>
      <c r="B1246" s="39" t="s">
        <v>1927</v>
      </c>
      <c r="C1246" s="50" t="s">
        <v>770</v>
      </c>
      <c r="D1246" s="39">
        <v>4</v>
      </c>
      <c r="E1246" s="39" t="s">
        <v>31</v>
      </c>
      <c r="F1246" s="39" t="s">
        <v>765</v>
      </c>
      <c r="G1246" s="39"/>
      <c r="H1246" s="39"/>
      <c r="I1246" s="47"/>
      <c r="J1246" s="47"/>
      <c r="K1246" s="47"/>
      <c r="L1246" s="47"/>
      <c r="M1246" s="39" t="s">
        <v>451</v>
      </c>
      <c r="N1246" s="39" t="s">
        <v>30</v>
      </c>
      <c r="O1246" s="39" t="s">
        <v>1914</v>
      </c>
      <c r="P1246" s="39"/>
      <c r="Q1246" s="39" t="str">
        <f t="shared" si="37"/>
        <v>projectUid</v>
      </c>
      <c r="R1246" t="str">
        <f>VLOOKUP(E1246,'Data Type Lookup'!$A$1:$C$21,3,FALSE)</f>
        <v>java.util.UUID</v>
      </c>
      <c r="S1246" s="39"/>
      <c r="W1246" t="str">
        <f t="shared" si="38"/>
        <v>CLASSRANGES.PROJECT_UID</v>
      </c>
      <c r="X1246" t="str">
        <f>VLOOKUP(W1246,ColumnMapping[New Table.Column],1,)</f>
        <v>CLASSRANGES.PROJECT_UID</v>
      </c>
      <c r="Y1246" t="str">
        <f>_xlfn.XLOOKUP(Table6[[#This Row],[Table.Column]],ColumnMapping[Add Column Name],ColumnMapping[Old Table.Column],"",0,1)</f>
        <v/>
      </c>
      <c r="Z1246" t="str">
        <f>_xlfn.XLOOKUP(Table6[[#This Row],[Old Table.Column]],Cobra8.6[Table.Column],Cobra8.6[TYPE],"",0,1)</f>
        <v/>
      </c>
      <c r="AA1246" t="str">
        <f>_xlfn.XLOOKUP(Table6[[#This Row],[Old Table.Column]],Cobra8.6[Table.Column],Cobra8.6[LENGTH],"",0,1)</f>
        <v/>
      </c>
    </row>
    <row r="1247" spans="1:27" hidden="1" x14ac:dyDescent="0.2">
      <c r="A1247" t="s">
        <v>450</v>
      </c>
      <c r="B1247" s="39" t="s">
        <v>1927</v>
      </c>
      <c r="C1247" s="39" t="s">
        <v>1929</v>
      </c>
      <c r="D1247" s="39">
        <v>5</v>
      </c>
      <c r="E1247" s="39" t="s">
        <v>86</v>
      </c>
      <c r="F1247" s="39" t="s">
        <v>349</v>
      </c>
      <c r="G1247" s="39">
        <v>59</v>
      </c>
      <c r="H1247" s="39"/>
      <c r="I1247" s="47"/>
      <c r="J1247" s="47"/>
      <c r="K1247" s="47"/>
      <c r="L1247" s="47"/>
      <c r="M1247" s="39"/>
      <c r="N1247" s="39"/>
      <c r="O1247" s="39"/>
      <c r="P1247" s="39"/>
      <c r="Q1247" s="39" t="str">
        <f t="shared" si="37"/>
        <v>rangeKey</v>
      </c>
      <c r="R1247" t="str">
        <f>VLOOKUP(E1247,'Data Type Lookup'!$A$1:$C$21,3,FALSE)</f>
        <v>String</v>
      </c>
      <c r="S1247" s="39"/>
      <c r="W1247" t="str">
        <f t="shared" si="38"/>
        <v>CLASSRANGES.RANGE_KEY</v>
      </c>
      <c r="X1247" t="str">
        <f>VLOOKUP(W1247,ColumnMapping[New Table.Column],1,)</f>
        <v>CLASSRANGES.RANGE_KEY</v>
      </c>
      <c r="Y1247" t="str">
        <f>_xlfn.XLOOKUP(Table6[[#This Row],[Table.Column]],ColumnMapping[Add Column Name],ColumnMapping[Old Table.Column],"",0,1)</f>
        <v/>
      </c>
      <c r="Z1247" t="str">
        <f>_xlfn.XLOOKUP(Table6[[#This Row],[Old Table.Column]],Cobra8.6[Table.Column],Cobra8.6[TYPE],"",0,1)</f>
        <v/>
      </c>
      <c r="AA1247" t="str">
        <f>_xlfn.XLOOKUP(Table6[[#This Row],[Old Table.Column]],Cobra8.6[Table.Column],Cobra8.6[LENGTH],"",0,1)</f>
        <v/>
      </c>
    </row>
    <row r="1248" spans="1:27" hidden="1" x14ac:dyDescent="0.2">
      <c r="A1248" t="s">
        <v>450</v>
      </c>
      <c r="B1248" s="39" t="s">
        <v>1927</v>
      </c>
      <c r="C1248" s="39" t="s">
        <v>1930</v>
      </c>
      <c r="D1248" s="39">
        <v>6</v>
      </c>
      <c r="E1248" s="39" t="s">
        <v>86</v>
      </c>
      <c r="F1248" s="39" t="s">
        <v>349</v>
      </c>
      <c r="G1248" s="39">
        <v>100</v>
      </c>
      <c r="H1248" s="39"/>
      <c r="I1248" s="47"/>
      <c r="J1248" s="47"/>
      <c r="K1248" s="47"/>
      <c r="L1248" s="47"/>
      <c r="M1248" s="39"/>
      <c r="N1248" s="39"/>
      <c r="O1248" s="39"/>
      <c r="P1248" s="39"/>
      <c r="Q1248" s="39" t="str">
        <f t="shared" si="37"/>
        <v>rangeValue</v>
      </c>
      <c r="R1248" t="str">
        <f>VLOOKUP(E1248,'Data Type Lookup'!$A$1:$C$21,3,FALSE)</f>
        <v>String</v>
      </c>
      <c r="S1248" s="39"/>
      <c r="W1248" t="str">
        <f t="shared" si="38"/>
        <v>CLASSRANGES.RANGE_VALUE</v>
      </c>
      <c r="X1248" t="str">
        <f>VLOOKUP(W1248,ColumnMapping[New Table.Column],1,)</f>
        <v>CLASSRANGES.RANGE_VALUE</v>
      </c>
      <c r="Y1248" t="str">
        <f>_xlfn.XLOOKUP(Table6[[#This Row],[Table.Column]],ColumnMapping[Add Column Name],ColumnMapping[Old Table.Column],"",0,1)</f>
        <v/>
      </c>
      <c r="Z1248" t="str">
        <f>_xlfn.XLOOKUP(Table6[[#This Row],[Old Table.Column]],Cobra8.6[Table.Column],Cobra8.6[TYPE],"",0,1)</f>
        <v/>
      </c>
      <c r="AA1248" t="str">
        <f>_xlfn.XLOOKUP(Table6[[#This Row],[Old Table.Column]],Cobra8.6[Table.Column],Cobra8.6[LENGTH],"",0,1)</f>
        <v/>
      </c>
    </row>
    <row r="1249" spans="1:27" hidden="1" x14ac:dyDescent="0.2">
      <c r="A1249" t="s">
        <v>450</v>
      </c>
      <c r="B1249" s="39" t="s">
        <v>1927</v>
      </c>
      <c r="C1249" s="39" t="s">
        <v>30</v>
      </c>
      <c r="D1249" s="39">
        <v>7</v>
      </c>
      <c r="E1249" t="s">
        <v>31</v>
      </c>
      <c r="F1249" t="str">
        <f>VLOOKUP($E1249,'Data Type Lookup'!$A$1:$C$21,2,FALSE)</f>
        <v>RAW(16)</v>
      </c>
      <c r="I1249" s="32" t="s">
        <v>32</v>
      </c>
      <c r="K1249" s="32" t="s">
        <v>32</v>
      </c>
      <c r="P1249" t="s">
        <v>1789</v>
      </c>
      <c r="Q1249" t="s">
        <v>34</v>
      </c>
      <c r="R1249" t="str">
        <f>VLOOKUP(E1249,'Data Type Lookup'!$A$1:$C$21,3,FALSE)</f>
        <v>java.util.UUID</v>
      </c>
      <c r="S1249">
        <v>3</v>
      </c>
      <c r="W1249" t="str">
        <f t="shared" si="38"/>
        <v>CLASSRANGES.ROW_UID</v>
      </c>
      <c r="X1249" t="str">
        <f>VLOOKUP(W1249,ColumnMapping[New Table.Column],1,)</f>
        <v>CLASSRANGES.ROW_UID</v>
      </c>
      <c r="Y1249" t="str">
        <f>_xlfn.XLOOKUP(Table6[[#This Row],[Table.Column]],ColumnMapping[Add Column Name],ColumnMapping[Old Table.Column],"",0,1)</f>
        <v/>
      </c>
      <c r="Z1249" t="str">
        <f>_xlfn.XLOOKUP(Table6[[#This Row],[Old Table.Column]],Cobra8.6[Table.Column],Cobra8.6[TYPE],"",0,1)</f>
        <v/>
      </c>
      <c r="AA1249" t="str">
        <f>_xlfn.XLOOKUP(Table6[[#This Row],[Old Table.Column]],Cobra8.6[Table.Column],Cobra8.6[LENGTH],"",0,1)</f>
        <v/>
      </c>
    </row>
    <row r="1250" spans="1:27" hidden="1" x14ac:dyDescent="0.2">
      <c r="A1250" t="s">
        <v>450</v>
      </c>
      <c r="B1250" s="39" t="s">
        <v>1927</v>
      </c>
      <c r="C1250" s="39" t="s">
        <v>35</v>
      </c>
      <c r="D1250" s="39">
        <v>8</v>
      </c>
      <c r="E1250" t="s">
        <v>36</v>
      </c>
      <c r="F1250" t="str">
        <f>VLOOKUP($E1250,'Data Type Lookup'!$A$1:$C$21,2,FALSE)</f>
        <v>NUMBER(19,0)</v>
      </c>
      <c r="I1250" s="32" t="s">
        <v>32</v>
      </c>
      <c r="J1250" s="32">
        <v>0</v>
      </c>
      <c r="P1250" t="s">
        <v>37</v>
      </c>
      <c r="Q1250" t="s">
        <v>38</v>
      </c>
      <c r="R1250" t="str">
        <f>VLOOKUP(E1250,'Data Type Lookup'!$A$1:$C$21,3,FALSE)</f>
        <v>Long</v>
      </c>
      <c r="S1250">
        <v>3</v>
      </c>
      <c r="W1250" t="str">
        <f t="shared" si="38"/>
        <v>CLASSRANGES.SEQUENCE</v>
      </c>
      <c r="X1250" t="str">
        <f>VLOOKUP(W1250,ColumnMapping[New Table.Column],1,)</f>
        <v>CLASSRANGES.SEQUENCE</v>
      </c>
      <c r="Y1250" t="str">
        <f>_xlfn.XLOOKUP(Table6[[#This Row],[Table.Column]],ColumnMapping[Add Column Name],ColumnMapping[Old Table.Column],"",0,1)</f>
        <v/>
      </c>
      <c r="Z1250" t="str">
        <f>_xlfn.XLOOKUP(Table6[[#This Row],[Old Table.Column]],Cobra8.6[Table.Column],Cobra8.6[TYPE],"",0,1)</f>
        <v/>
      </c>
      <c r="AA1250" t="str">
        <f>_xlfn.XLOOKUP(Table6[[#This Row],[Old Table.Column]],Cobra8.6[Table.Column],Cobra8.6[LENGTH],"",0,1)</f>
        <v/>
      </c>
    </row>
    <row r="1251" spans="1:27" hidden="1" x14ac:dyDescent="0.2">
      <c r="A1251" t="s">
        <v>450</v>
      </c>
      <c r="B1251" s="39" t="s">
        <v>1927</v>
      </c>
      <c r="C1251" s="39" t="s">
        <v>61</v>
      </c>
      <c r="D1251" s="39">
        <v>9</v>
      </c>
      <c r="E1251" t="s">
        <v>31</v>
      </c>
      <c r="F1251" t="str">
        <f>VLOOKUP($E1251,'Data Type Lookup'!$A$1:$C$21,2,FALSE)</f>
        <v>RAW(16)</v>
      </c>
      <c r="I1251" s="32" t="s">
        <v>32</v>
      </c>
      <c r="P1251" t="s">
        <v>1629</v>
      </c>
      <c r="Q1251" t="s">
        <v>63</v>
      </c>
      <c r="R1251" t="str">
        <f>VLOOKUP(E1251,'Data Type Lookup'!$A$1:$C$21,3,FALSE)</f>
        <v>java.util.UUID</v>
      </c>
      <c r="S1251">
        <v>2</v>
      </c>
      <c r="W1251" t="str">
        <f t="shared" si="38"/>
        <v>CLASSRANGES.CREATED_BY_USER_UID</v>
      </c>
      <c r="X1251" t="str">
        <f>VLOOKUP(W1251,ColumnMapping[New Table.Column],1,)</f>
        <v>CLASSRANGES.CREATED_BY_USER_UID</v>
      </c>
      <c r="Y1251" t="str">
        <f>_xlfn.XLOOKUP(Table6[[#This Row],[Table.Column]],ColumnMapping[Add Column Name],ColumnMapping[Old Table.Column],"",0,1)</f>
        <v/>
      </c>
      <c r="Z1251" t="str">
        <f>_xlfn.XLOOKUP(Table6[[#This Row],[Old Table.Column]],Cobra8.6[Table.Column],Cobra8.6[TYPE],"",0,1)</f>
        <v/>
      </c>
      <c r="AA1251" t="str">
        <f>_xlfn.XLOOKUP(Table6[[#This Row],[Old Table.Column]],Cobra8.6[Table.Column],Cobra8.6[LENGTH],"",0,1)</f>
        <v/>
      </c>
    </row>
    <row r="1252" spans="1:27" hidden="1" x14ac:dyDescent="0.2">
      <c r="A1252" t="s">
        <v>450</v>
      </c>
      <c r="B1252" s="39" t="s">
        <v>1927</v>
      </c>
      <c r="C1252" s="39" t="s">
        <v>64</v>
      </c>
      <c r="D1252" s="39">
        <v>10</v>
      </c>
      <c r="E1252" t="s">
        <v>65</v>
      </c>
      <c r="F1252" t="str">
        <f>VLOOKUP($E1252,'Data Type Lookup'!$A$1:$C$21,2,FALSE)</f>
        <v>TIMESTAMP</v>
      </c>
      <c r="I1252" s="32" t="s">
        <v>32</v>
      </c>
      <c r="P1252" t="s">
        <v>1630</v>
      </c>
      <c r="Q1252" t="s">
        <v>67</v>
      </c>
      <c r="R1252" t="str">
        <f>VLOOKUP(E1252,'Data Type Lookup'!$A$1:$C$21,3,FALSE)</f>
        <v>java.time.Instant</v>
      </c>
      <c r="S1252">
        <v>2</v>
      </c>
      <c r="W1252" t="str">
        <f t="shared" si="38"/>
        <v>CLASSRANGES.CREATED_DATE</v>
      </c>
      <c r="X1252" t="str">
        <f>VLOOKUP(W1252,ColumnMapping[New Table.Column],1,)</f>
        <v>CLASSRANGES.CREATED_DATE</v>
      </c>
      <c r="Y1252" t="str">
        <f>_xlfn.XLOOKUP(Table6[[#This Row],[Table.Column]],ColumnMapping[Add Column Name],ColumnMapping[Old Table.Column],"",0,1)</f>
        <v/>
      </c>
      <c r="Z1252" t="str">
        <f>_xlfn.XLOOKUP(Table6[[#This Row],[Old Table.Column]],Cobra8.6[Table.Column],Cobra8.6[TYPE],"",0,1)</f>
        <v/>
      </c>
      <c r="AA1252" t="str">
        <f>_xlfn.XLOOKUP(Table6[[#This Row],[Old Table.Column]],Cobra8.6[Table.Column],Cobra8.6[LENGTH],"",0,1)</f>
        <v/>
      </c>
    </row>
    <row r="1253" spans="1:27" hidden="1" x14ac:dyDescent="0.2">
      <c r="A1253" t="s">
        <v>450</v>
      </c>
      <c r="B1253" s="39" t="s">
        <v>1927</v>
      </c>
      <c r="C1253" s="39" t="s">
        <v>68</v>
      </c>
      <c r="D1253" s="39">
        <v>11</v>
      </c>
      <c r="E1253" t="s">
        <v>31</v>
      </c>
      <c r="F1253" t="str">
        <f>VLOOKUP($E1253,'Data Type Lookup'!$A$1:$C$21,2,FALSE)</f>
        <v>RAW(16)</v>
      </c>
      <c r="I1253" s="32" t="s">
        <v>32</v>
      </c>
      <c r="P1253" t="s">
        <v>1632</v>
      </c>
      <c r="Q1253" t="s">
        <v>70</v>
      </c>
      <c r="R1253" t="str">
        <f>VLOOKUP(E1253,'Data Type Lookup'!$A$1:$C$21,3,FALSE)</f>
        <v>java.util.UUID</v>
      </c>
      <c r="S1253">
        <v>2</v>
      </c>
      <c r="W1253" t="str">
        <f t="shared" si="38"/>
        <v>CLASSRANGES.LAST_MODIFIED_BY_USER_UID</v>
      </c>
      <c r="X1253" t="str">
        <f>VLOOKUP(W1253,ColumnMapping[New Table.Column],1,)</f>
        <v>CLASSRANGES.LAST_MODIFIED_BY_USER_UID</v>
      </c>
      <c r="Y1253" t="str">
        <f>_xlfn.XLOOKUP(Table6[[#This Row],[Table.Column]],ColumnMapping[Add Column Name],ColumnMapping[Old Table.Column],"",0,1)</f>
        <v/>
      </c>
      <c r="Z1253" t="str">
        <f>_xlfn.XLOOKUP(Table6[[#This Row],[Old Table.Column]],Cobra8.6[Table.Column],Cobra8.6[TYPE],"",0,1)</f>
        <v/>
      </c>
      <c r="AA1253" t="str">
        <f>_xlfn.XLOOKUP(Table6[[#This Row],[Old Table.Column]],Cobra8.6[Table.Column],Cobra8.6[LENGTH],"",0,1)</f>
        <v/>
      </c>
    </row>
    <row r="1254" spans="1:27" hidden="1" x14ac:dyDescent="0.2">
      <c r="A1254" t="s">
        <v>450</v>
      </c>
      <c r="B1254" s="39" t="s">
        <v>1927</v>
      </c>
      <c r="C1254" s="39" t="s">
        <v>71</v>
      </c>
      <c r="D1254" s="39">
        <v>12</v>
      </c>
      <c r="E1254" t="s">
        <v>65</v>
      </c>
      <c r="F1254" t="str">
        <f>VLOOKUP($E1254,'Data Type Lookup'!$A$1:$C$21,2,FALSE)</f>
        <v>TIMESTAMP</v>
      </c>
      <c r="I1254" s="32" t="s">
        <v>32</v>
      </c>
      <c r="P1254" t="s">
        <v>1633</v>
      </c>
      <c r="Q1254" t="s">
        <v>73</v>
      </c>
      <c r="R1254" t="str">
        <f>VLOOKUP(E1254,'Data Type Lookup'!$A$1:$C$21,3,FALSE)</f>
        <v>java.time.Instant</v>
      </c>
      <c r="S1254">
        <v>2</v>
      </c>
      <c r="W1254" t="str">
        <f t="shared" si="38"/>
        <v>CLASSRANGES.LAST_MODIFIED_DATE</v>
      </c>
      <c r="X1254" t="str">
        <f>VLOOKUP(W1254,ColumnMapping[New Table.Column],1,)</f>
        <v>CLASSRANGES.LAST_MODIFIED_DATE</v>
      </c>
      <c r="Y1254" t="str">
        <f>_xlfn.XLOOKUP(Table6[[#This Row],[Table.Column]],ColumnMapping[Add Column Name],ColumnMapping[Old Table.Column],"",0,1)</f>
        <v/>
      </c>
      <c r="Z1254" t="str">
        <f>_xlfn.XLOOKUP(Table6[[#This Row],[Old Table.Column]],Cobra8.6[Table.Column],Cobra8.6[TYPE],"",0,1)</f>
        <v/>
      </c>
      <c r="AA1254" t="str">
        <f>_xlfn.XLOOKUP(Table6[[#This Row],[Old Table.Column]],Cobra8.6[Table.Column],Cobra8.6[LENGTH],"",0,1)</f>
        <v/>
      </c>
    </row>
    <row r="1255" spans="1:27" hidden="1" x14ac:dyDescent="0.2">
      <c r="A1255" t="s">
        <v>450</v>
      </c>
      <c r="B1255" s="39" t="s">
        <v>1931</v>
      </c>
      <c r="C1255" s="39" t="s">
        <v>1932</v>
      </c>
      <c r="D1255" s="39">
        <v>1</v>
      </c>
      <c r="E1255" s="39" t="s">
        <v>86</v>
      </c>
      <c r="F1255" s="39" t="s">
        <v>349</v>
      </c>
      <c r="G1255" s="39">
        <v>59</v>
      </c>
      <c r="H1255" s="39"/>
      <c r="I1255" s="47"/>
      <c r="J1255" s="47"/>
      <c r="K1255" s="47"/>
      <c r="L1255" s="47"/>
      <c r="M1255" s="39"/>
      <c r="N1255" s="39"/>
      <c r="O1255" s="39"/>
      <c r="P1255" s="39"/>
      <c r="Q1255" s="39" t="str">
        <f>IF(C1255="","",LOWER(LEFT(TRIM(C1255),FIND("_",TRIM(C1255)&amp;"_")-1))&amp;SUBSTITUTE(PROPER(SUBSTITUTE(MID(TRIM(C1255),FIND("_",TRIM(C1255)&amp;"_"),LEN(TRIM(C1255))),"_"," "))," ",""))</f>
        <v>connId</v>
      </c>
      <c r="R1255" t="str">
        <f>VLOOKUP(E1255,'Data Type Lookup'!$A$1:$C$21,3,FALSE)</f>
        <v>String</v>
      </c>
      <c r="S1255" s="39"/>
      <c r="W1255" t="str">
        <f>_xlfn.CONCAT(B1255,".",C1255)</f>
        <v>CONNECTION.CONN_ID</v>
      </c>
      <c r="X1255" t="str">
        <f>VLOOKUP(W1255,ColumnMapping[New Table.Column],1,)</f>
        <v>CONNECTION.CONN_ID</v>
      </c>
      <c r="Y1255" t="str">
        <f>_xlfn.XLOOKUP(Table6[[#This Row],[Table.Column]],ColumnMapping[Add Column Name],ColumnMapping[Old Table.Column],"",0,1)</f>
        <v/>
      </c>
      <c r="Z1255" t="str">
        <f>_xlfn.XLOOKUP(Table6[[#This Row],[Old Table.Column]],Cobra8.6[Table.Column],Cobra8.6[TYPE],"",0,1)</f>
        <v/>
      </c>
      <c r="AA1255" t="str">
        <f>_xlfn.XLOOKUP(Table6[[#This Row],[Old Table.Column]],Cobra8.6[Table.Column],Cobra8.6[LENGTH],"",0,1)</f>
        <v/>
      </c>
    </row>
    <row r="1256" spans="1:27" hidden="1" x14ac:dyDescent="0.2">
      <c r="A1256" t="s">
        <v>450</v>
      </c>
      <c r="B1256" s="39" t="s">
        <v>1931</v>
      </c>
      <c r="C1256" s="39" t="s">
        <v>1933</v>
      </c>
      <c r="D1256" s="39">
        <v>2</v>
      </c>
      <c r="E1256" s="39" t="s">
        <v>86</v>
      </c>
      <c r="F1256" s="39" t="s">
        <v>349</v>
      </c>
      <c r="G1256" s="39">
        <v>10</v>
      </c>
      <c r="H1256" s="39"/>
      <c r="I1256" s="47"/>
      <c r="J1256" s="47"/>
      <c r="K1256" s="47"/>
      <c r="L1256" s="47"/>
      <c r="M1256" s="39"/>
      <c r="N1256" s="39"/>
      <c r="O1256" s="39"/>
      <c r="P1256" s="39"/>
      <c r="Q1256" s="39" t="str">
        <f t="shared" ref="Q1256:Q1259" si="39">IF(C1256="","",LOWER(LEFT(TRIM(C1256),FIND("_",TRIM(C1256)&amp;"_")-1))&amp;SUBSTITUTE(PROPER(SUBSTITUTE(MID(TRIM(C1256),FIND("_",TRIM(C1256)&amp;"_"),LEN(TRIM(C1256))),"_"," "))," ",""))</f>
        <v>connType</v>
      </c>
      <c r="R1256" t="str">
        <f>VLOOKUP(E1256,'Data Type Lookup'!$A$1:$C$21,3,FALSE)</f>
        <v>String</v>
      </c>
      <c r="S1256" s="39"/>
      <c r="W1256" t="str">
        <f t="shared" ref="W1256:W1268" si="40">_xlfn.CONCAT(B1256,".",C1256)</f>
        <v>CONNECTION.CONN_TYPE</v>
      </c>
      <c r="X1256" t="str">
        <f>VLOOKUP(W1256,ColumnMapping[New Table.Column],1,)</f>
        <v>CONNECTION.CONN_TYPE</v>
      </c>
      <c r="Y1256" t="str">
        <f>_xlfn.XLOOKUP(Table6[[#This Row],[Table.Column]],ColumnMapping[Add Column Name],ColumnMapping[Old Table.Column],"",0,1)</f>
        <v/>
      </c>
      <c r="Z1256" t="str">
        <f>_xlfn.XLOOKUP(Table6[[#This Row],[Old Table.Column]],Cobra8.6[Table.Column],Cobra8.6[TYPE],"",0,1)</f>
        <v/>
      </c>
      <c r="AA1256" t="str">
        <f>_xlfn.XLOOKUP(Table6[[#This Row],[Old Table.Column]],Cobra8.6[Table.Column],Cobra8.6[LENGTH],"",0,1)</f>
        <v/>
      </c>
    </row>
    <row r="1257" spans="1:27" hidden="1" x14ac:dyDescent="0.2">
      <c r="A1257" t="s">
        <v>450</v>
      </c>
      <c r="B1257" s="39" t="s">
        <v>1931</v>
      </c>
      <c r="C1257" s="39" t="s">
        <v>270</v>
      </c>
      <c r="D1257" s="39">
        <v>3</v>
      </c>
      <c r="E1257" s="39" t="s">
        <v>1934</v>
      </c>
      <c r="F1257" s="39" t="s">
        <v>679</v>
      </c>
      <c r="G1257" s="39"/>
      <c r="H1257" s="39"/>
      <c r="I1257" s="47"/>
      <c r="J1257" s="47"/>
      <c r="K1257" s="47"/>
      <c r="L1257" s="47"/>
      <c r="M1257" s="39"/>
      <c r="N1257" s="39"/>
      <c r="O1257" s="39"/>
      <c r="P1257" s="39"/>
      <c r="Q1257" s="39" t="str">
        <f t="shared" si="39"/>
        <v>data</v>
      </c>
      <c r="R1257" t="s">
        <v>681</v>
      </c>
      <c r="S1257" s="39"/>
      <c r="W1257" t="str">
        <f t="shared" si="40"/>
        <v>CONNECTION.DATA</v>
      </c>
      <c r="X1257" t="str">
        <f>VLOOKUP(W1257,ColumnMapping[New Table.Column],1,)</f>
        <v>CONNECTION.DATA</v>
      </c>
      <c r="Y1257" t="str">
        <f>_xlfn.XLOOKUP(Table6[[#This Row],[Table.Column]],ColumnMapping[Add Column Name],ColumnMapping[Old Table.Column],"",0,1)</f>
        <v/>
      </c>
      <c r="Z1257" t="str">
        <f>_xlfn.XLOOKUP(Table6[[#This Row],[Old Table.Column]],Cobra8.6[Table.Column],Cobra8.6[TYPE],"",0,1)</f>
        <v/>
      </c>
      <c r="AA1257" t="str">
        <f>_xlfn.XLOOKUP(Table6[[#This Row],[Old Table.Column]],Cobra8.6[Table.Column],Cobra8.6[LENGTH],"",0,1)</f>
        <v/>
      </c>
    </row>
    <row r="1258" spans="1:27" hidden="1" x14ac:dyDescent="0.2">
      <c r="A1258" t="s">
        <v>450</v>
      </c>
      <c r="B1258" s="39" t="s">
        <v>1931</v>
      </c>
      <c r="C1258" s="39" t="s">
        <v>15</v>
      </c>
      <c r="D1258" s="39">
        <v>4</v>
      </c>
      <c r="E1258" s="39" t="s">
        <v>86</v>
      </c>
      <c r="F1258" s="39" t="s">
        <v>349</v>
      </c>
      <c r="G1258" s="39">
        <v>254</v>
      </c>
      <c r="H1258" s="39"/>
      <c r="I1258" s="47"/>
      <c r="J1258" s="47"/>
      <c r="K1258" s="47"/>
      <c r="L1258" s="47"/>
      <c r="M1258" s="39"/>
      <c r="N1258" s="39"/>
      <c r="O1258" s="39"/>
      <c r="P1258" s="39"/>
      <c r="Q1258" s="39" t="str">
        <f t="shared" si="39"/>
        <v>description</v>
      </c>
      <c r="R1258" t="str">
        <f>VLOOKUP(E1258,'Data Type Lookup'!$A$1:$C$21,3,FALSE)</f>
        <v>String</v>
      </c>
      <c r="S1258" s="39"/>
      <c r="W1258" t="str">
        <f t="shared" si="40"/>
        <v>CONNECTION.DESCRIPTION</v>
      </c>
      <c r="X1258" t="str">
        <f>VLOOKUP(W1258,ColumnMapping[New Table.Column],1,)</f>
        <v>CONNECTION.DESCRIPTION</v>
      </c>
      <c r="Y1258" t="str">
        <f>_xlfn.XLOOKUP(Table6[[#This Row],[Table.Column]],ColumnMapping[Add Column Name],ColumnMapping[Old Table.Column],"",0,1)</f>
        <v/>
      </c>
      <c r="Z1258" t="str">
        <f>_xlfn.XLOOKUP(Table6[[#This Row],[Old Table.Column]],Cobra8.6[Table.Column],Cobra8.6[TYPE],"",0,1)</f>
        <v/>
      </c>
      <c r="AA1258" t="str">
        <f>_xlfn.XLOOKUP(Table6[[#This Row],[Old Table.Column]],Cobra8.6[Table.Column],Cobra8.6[LENGTH],"",0,1)</f>
        <v/>
      </c>
    </row>
    <row r="1259" spans="1:27" hidden="1" x14ac:dyDescent="0.2">
      <c r="A1259" t="s">
        <v>450</v>
      </c>
      <c r="B1259" s="39" t="s">
        <v>1931</v>
      </c>
      <c r="C1259" s="39" t="s">
        <v>1935</v>
      </c>
      <c r="D1259" s="39">
        <v>5</v>
      </c>
      <c r="E1259" s="39" t="s">
        <v>86</v>
      </c>
      <c r="F1259" s="39" t="s">
        <v>349</v>
      </c>
      <c r="G1259" s="39">
        <v>20</v>
      </c>
      <c r="H1259" s="39"/>
      <c r="I1259" s="47"/>
      <c r="J1259" s="47"/>
      <c r="K1259" s="47"/>
      <c r="L1259" s="47"/>
      <c r="M1259" s="39"/>
      <c r="N1259" s="39"/>
      <c r="O1259" s="39"/>
      <c r="P1259" s="39"/>
      <c r="Q1259" s="39" t="str">
        <f t="shared" si="39"/>
        <v>grpId</v>
      </c>
      <c r="R1259" t="str">
        <f>VLOOKUP(E1259,'Data Type Lookup'!$A$1:$C$21,3,FALSE)</f>
        <v>String</v>
      </c>
      <c r="S1259" s="39"/>
      <c r="W1259" t="str">
        <f t="shared" si="40"/>
        <v>CONNECTION.GRP_ID</v>
      </c>
      <c r="X1259" t="str">
        <f>VLOOKUP(W1259,ColumnMapping[New Table.Column],1,)</f>
        <v>CONNECTION.GRP_ID</v>
      </c>
      <c r="Y1259" t="str">
        <f>_xlfn.XLOOKUP(Table6[[#This Row],[Table.Column]],ColumnMapping[Add Column Name],ColumnMapping[Old Table.Column],"",0,1)</f>
        <v/>
      </c>
      <c r="Z1259" t="str">
        <f>_xlfn.XLOOKUP(Table6[[#This Row],[Old Table.Column]],Cobra8.6[Table.Column],Cobra8.6[TYPE],"",0,1)</f>
        <v/>
      </c>
      <c r="AA1259" t="str">
        <f>_xlfn.XLOOKUP(Table6[[#This Row],[Old Table.Column]],Cobra8.6[Table.Column],Cobra8.6[LENGTH],"",0,1)</f>
        <v/>
      </c>
    </row>
    <row r="1260" spans="1:27" hidden="1" x14ac:dyDescent="0.2">
      <c r="A1260" t="s">
        <v>450</v>
      </c>
      <c r="B1260" s="39" t="s">
        <v>1931</v>
      </c>
      <c r="C1260" s="39" t="s">
        <v>71</v>
      </c>
      <c r="D1260" s="39">
        <v>6</v>
      </c>
      <c r="E1260" t="s">
        <v>65</v>
      </c>
      <c r="F1260" t="str">
        <f>VLOOKUP($E1260,'Data Type Lookup'!$A$1:$C$21,2,FALSE)</f>
        <v>TIMESTAMP</v>
      </c>
      <c r="I1260" s="32" t="s">
        <v>32</v>
      </c>
      <c r="P1260" t="s">
        <v>1633</v>
      </c>
      <c r="Q1260" t="s">
        <v>73</v>
      </c>
      <c r="R1260" t="str">
        <f>VLOOKUP(E1260,'Data Type Lookup'!$A$1:$C$21,3,FALSE)</f>
        <v>java.time.Instant</v>
      </c>
      <c r="S1260">
        <v>2</v>
      </c>
      <c r="W1260" t="str">
        <f t="shared" si="40"/>
        <v>CONNECTION.LAST_MODIFIED_DATE</v>
      </c>
      <c r="X1260" t="str">
        <f>VLOOKUP(W1260,ColumnMapping[New Table.Column],1,)</f>
        <v>CONNECTION.LAST_MODIFIED_DATE</v>
      </c>
      <c r="Y1260" t="str">
        <f>_xlfn.XLOOKUP(Table6[[#This Row],[Table.Column]],ColumnMapping[Add Column Name],ColumnMapping[Old Table.Column],"",0,1)</f>
        <v/>
      </c>
      <c r="Z1260" t="str">
        <f>_xlfn.XLOOKUP(Table6[[#This Row],[Old Table.Column]],Cobra8.6[Table.Column],Cobra8.6[TYPE],"",0,1)</f>
        <v/>
      </c>
      <c r="AA1260" t="str">
        <f>_xlfn.XLOOKUP(Table6[[#This Row],[Old Table.Column]],Cobra8.6[Table.Column],Cobra8.6[LENGTH],"",0,1)</f>
        <v/>
      </c>
    </row>
    <row r="1261" spans="1:27" hidden="1" x14ac:dyDescent="0.2">
      <c r="A1261" t="s">
        <v>450</v>
      </c>
      <c r="B1261" s="39" t="s">
        <v>1931</v>
      </c>
      <c r="C1261" s="39" t="s">
        <v>1936</v>
      </c>
      <c r="D1261" s="39">
        <v>7</v>
      </c>
      <c r="E1261" s="39" t="s">
        <v>86</v>
      </c>
      <c r="F1261" s="39" t="s">
        <v>349</v>
      </c>
      <c r="G1261" s="39">
        <v>20</v>
      </c>
      <c r="H1261" s="39"/>
      <c r="I1261" s="47"/>
      <c r="J1261" s="47"/>
      <c r="K1261" s="47"/>
      <c r="L1261" s="47"/>
      <c r="M1261" s="39"/>
      <c r="N1261" s="39"/>
      <c r="O1261" s="39"/>
      <c r="P1261" s="39"/>
      <c r="Q1261" s="39" t="s">
        <v>1937</v>
      </c>
      <c r="R1261" t="str">
        <f>VLOOKUP(E1261,'Data Type Lookup'!$A$1:$C$21,3,FALSE)</f>
        <v>String</v>
      </c>
      <c r="S1261" s="39"/>
      <c r="W1261" t="str">
        <f t="shared" si="40"/>
        <v>CONNECTION.OWNER_ID</v>
      </c>
      <c r="X1261" t="str">
        <f>VLOOKUP(W1261,ColumnMapping[New Table.Column],1,)</f>
        <v>CONNECTION.OWNER_ID</v>
      </c>
      <c r="Y1261" t="str">
        <f>_xlfn.XLOOKUP(Table6[[#This Row],[Table.Column]],ColumnMapping[Add Column Name],ColumnMapping[Old Table.Column],"",0,1)</f>
        <v/>
      </c>
      <c r="Z1261" t="str">
        <f>_xlfn.XLOOKUP(Table6[[#This Row],[Old Table.Column]],Cobra8.6[Table.Column],Cobra8.6[TYPE],"",0,1)</f>
        <v/>
      </c>
      <c r="AA1261" t="str">
        <f>_xlfn.XLOOKUP(Table6[[#This Row],[Old Table.Column]],Cobra8.6[Table.Column],Cobra8.6[LENGTH],"",0,1)</f>
        <v/>
      </c>
    </row>
    <row r="1262" spans="1:27" hidden="1" x14ac:dyDescent="0.2">
      <c r="A1262" t="s">
        <v>450</v>
      </c>
      <c r="B1262" s="39" t="s">
        <v>1931</v>
      </c>
      <c r="C1262" s="39" t="s">
        <v>1312</v>
      </c>
      <c r="D1262" s="39">
        <v>8</v>
      </c>
      <c r="E1262" s="39" t="s">
        <v>36</v>
      </c>
      <c r="F1262" t="str">
        <f>VLOOKUP($E1262,'Data Type Lookup'!$A$1:$C$21,2,FALSE)</f>
        <v>NUMBER(19,0)</v>
      </c>
      <c r="G1262" s="39"/>
      <c r="H1262" s="39"/>
      <c r="I1262" s="47"/>
      <c r="J1262" s="47">
        <v>0</v>
      </c>
      <c r="K1262" s="47"/>
      <c r="L1262" s="47"/>
      <c r="M1262" s="39"/>
      <c r="N1262" s="39"/>
      <c r="O1262" s="39"/>
      <c r="P1262" s="39"/>
      <c r="Q1262" s="39" t="s">
        <v>1938</v>
      </c>
      <c r="R1262" t="str">
        <f>VLOOKUP(E1262,'Data Type Lookup'!$A$1:$C$21,3,FALSE)</f>
        <v>Long</v>
      </c>
      <c r="S1262" s="39"/>
      <c r="W1262" t="str">
        <f t="shared" si="40"/>
        <v>CONNECTION.READONLY</v>
      </c>
      <c r="X1262" t="str">
        <f>VLOOKUP(W1262,ColumnMapping[New Table.Column],1,)</f>
        <v>CONNECTION.READONLY</v>
      </c>
      <c r="Y1262" t="str">
        <f>_xlfn.XLOOKUP(Table6[[#This Row],[Table.Column]],ColumnMapping[Add Column Name],ColumnMapping[Old Table.Column],"",0,1)</f>
        <v/>
      </c>
      <c r="Z1262" t="str">
        <f>_xlfn.XLOOKUP(Table6[[#This Row],[Old Table.Column]],Cobra8.6[Table.Column],Cobra8.6[TYPE],"",0,1)</f>
        <v/>
      </c>
      <c r="AA1262" t="str">
        <f>_xlfn.XLOOKUP(Table6[[#This Row],[Old Table.Column]],Cobra8.6[Table.Column],Cobra8.6[LENGTH],"",0,1)</f>
        <v/>
      </c>
    </row>
    <row r="1263" spans="1:27" hidden="1" x14ac:dyDescent="0.2">
      <c r="A1263" t="s">
        <v>450</v>
      </c>
      <c r="B1263" s="39" t="s">
        <v>1931</v>
      </c>
      <c r="C1263" s="39" t="s">
        <v>35</v>
      </c>
      <c r="D1263" s="39">
        <v>9</v>
      </c>
      <c r="E1263" t="s">
        <v>36</v>
      </c>
      <c r="F1263" t="str">
        <f>VLOOKUP($E1263,'Data Type Lookup'!$A$1:$C$21,2,FALSE)</f>
        <v>NUMBER(19,0)</v>
      </c>
      <c r="I1263" s="32" t="s">
        <v>32</v>
      </c>
      <c r="J1263" s="32">
        <v>0</v>
      </c>
      <c r="P1263" t="s">
        <v>37</v>
      </c>
      <c r="Q1263" t="s">
        <v>38</v>
      </c>
      <c r="R1263" t="str">
        <f>VLOOKUP(E1263,'Data Type Lookup'!$A$1:$C$21,3,FALSE)</f>
        <v>Long</v>
      </c>
      <c r="S1263">
        <v>3</v>
      </c>
      <c r="W1263" t="str">
        <f t="shared" si="40"/>
        <v>CONNECTION.SEQUENCE</v>
      </c>
      <c r="X1263" t="str">
        <f>VLOOKUP(W1263,ColumnMapping[New Table.Column],1,)</f>
        <v>CONNECTION.SEQUENCE</v>
      </c>
      <c r="Y1263" t="str">
        <f>_xlfn.XLOOKUP(Table6[[#This Row],[Table.Column]],ColumnMapping[Add Column Name],ColumnMapping[Old Table.Column],"",0,1)</f>
        <v/>
      </c>
      <c r="Z1263" t="str">
        <f>_xlfn.XLOOKUP(Table6[[#This Row],[Old Table.Column]],Cobra8.6[Table.Column],Cobra8.6[TYPE],"",0,1)</f>
        <v/>
      </c>
      <c r="AA1263" t="str">
        <f>_xlfn.XLOOKUP(Table6[[#This Row],[Old Table.Column]],Cobra8.6[Table.Column],Cobra8.6[LENGTH],"",0,1)</f>
        <v/>
      </c>
    </row>
    <row r="1264" spans="1:27" hidden="1" x14ac:dyDescent="0.2">
      <c r="A1264" t="s">
        <v>450</v>
      </c>
      <c r="B1264" s="39" t="s">
        <v>1931</v>
      </c>
      <c r="C1264" s="39" t="s">
        <v>1939</v>
      </c>
      <c r="D1264" s="39">
        <v>10</v>
      </c>
      <c r="E1264" s="39" t="s">
        <v>36</v>
      </c>
      <c r="F1264" t="str">
        <f>VLOOKUP($E1264,'Data Type Lookup'!$A$1:$C$21,2,FALSE)</f>
        <v>NUMBER(19,0)</v>
      </c>
      <c r="G1264" s="39"/>
      <c r="H1264" s="39"/>
      <c r="I1264" s="47"/>
      <c r="J1264" s="47">
        <v>0</v>
      </c>
      <c r="K1264" s="47"/>
      <c r="L1264" s="47"/>
      <c r="M1264" s="39"/>
      <c r="N1264" s="39"/>
      <c r="O1264" s="39"/>
      <c r="P1264" s="39"/>
      <c r="Q1264" s="39" t="s">
        <v>1940</v>
      </c>
      <c r="R1264" t="str">
        <f>VLOOKUP(E1264,'Data Type Lookup'!$A$1:$C$21,3,FALSE)</f>
        <v>Long</v>
      </c>
      <c r="S1264" s="39"/>
      <c r="W1264" t="str">
        <f t="shared" si="40"/>
        <v>CONNECTION.SHARED</v>
      </c>
      <c r="X1264" t="str">
        <f>VLOOKUP(W1264,ColumnMapping[New Table.Column],1,)</f>
        <v>CONNECTION.SHARED</v>
      </c>
      <c r="Y1264" t="str">
        <f>_xlfn.XLOOKUP(Table6[[#This Row],[Table.Column]],ColumnMapping[Add Column Name],ColumnMapping[Old Table.Column],"",0,1)</f>
        <v/>
      </c>
      <c r="Z1264" t="str">
        <f>_xlfn.XLOOKUP(Table6[[#This Row],[Old Table.Column]],Cobra8.6[Table.Column],Cobra8.6[TYPE],"",0,1)</f>
        <v/>
      </c>
      <c r="AA1264" t="str">
        <f>_xlfn.XLOOKUP(Table6[[#This Row],[Old Table.Column]],Cobra8.6[Table.Column],Cobra8.6[LENGTH],"",0,1)</f>
        <v/>
      </c>
    </row>
    <row r="1265" spans="1:27" hidden="1" x14ac:dyDescent="0.2">
      <c r="A1265" t="s">
        <v>450</v>
      </c>
      <c r="B1265" s="39" t="s">
        <v>1931</v>
      </c>
      <c r="C1265" s="39" t="s">
        <v>68</v>
      </c>
      <c r="D1265" s="39">
        <v>11</v>
      </c>
      <c r="E1265" t="s">
        <v>31</v>
      </c>
      <c r="F1265" t="str">
        <f>VLOOKUP($E1265,'Data Type Lookup'!$A$1:$C$21,2,FALSE)</f>
        <v>RAW(16)</v>
      </c>
      <c r="I1265" s="32" t="s">
        <v>32</v>
      </c>
      <c r="P1265" t="s">
        <v>1632</v>
      </c>
      <c r="Q1265" t="s">
        <v>70</v>
      </c>
      <c r="R1265" t="str">
        <f>VLOOKUP(E1265,'Data Type Lookup'!$A$1:$C$21,3,FALSE)</f>
        <v>java.util.UUID</v>
      </c>
      <c r="S1265">
        <v>2</v>
      </c>
      <c r="W1265" t="str">
        <f t="shared" si="40"/>
        <v>CONNECTION.LAST_MODIFIED_BY_USER_UID</v>
      </c>
      <c r="X1265" t="str">
        <f>VLOOKUP(W1265,ColumnMapping[New Table.Column],1,)</f>
        <v>CONNECTION.LAST_MODIFIED_BY_USER_UID</v>
      </c>
      <c r="Y1265" t="str">
        <f>_xlfn.XLOOKUP(Table6[[#This Row],[Table.Column]],ColumnMapping[Add Column Name],ColumnMapping[Old Table.Column],"",0,1)</f>
        <v/>
      </c>
      <c r="Z1265" t="str">
        <f>_xlfn.XLOOKUP(Table6[[#This Row],[Old Table.Column]],Cobra8.6[Table.Column],Cobra8.6[TYPE],"",0,1)</f>
        <v/>
      </c>
      <c r="AA1265" t="str">
        <f>_xlfn.XLOOKUP(Table6[[#This Row],[Old Table.Column]],Cobra8.6[Table.Column],Cobra8.6[LENGTH],"",0,1)</f>
        <v/>
      </c>
    </row>
    <row r="1266" spans="1:27" hidden="1" x14ac:dyDescent="0.2">
      <c r="A1266" t="s">
        <v>450</v>
      </c>
      <c r="B1266" s="39" t="s">
        <v>1931</v>
      </c>
      <c r="C1266" s="39" t="s">
        <v>30</v>
      </c>
      <c r="D1266" s="39">
        <v>12</v>
      </c>
      <c r="E1266" t="s">
        <v>31</v>
      </c>
      <c r="F1266" t="str">
        <f>VLOOKUP($E1266,'Data Type Lookup'!$A$1:$C$21,2,FALSE)</f>
        <v>RAW(16)</v>
      </c>
      <c r="I1266" s="32" t="s">
        <v>32</v>
      </c>
      <c r="K1266" s="32" t="s">
        <v>32</v>
      </c>
      <c r="P1266" t="s">
        <v>1789</v>
      </c>
      <c r="Q1266" t="s">
        <v>34</v>
      </c>
      <c r="R1266" t="str">
        <f>VLOOKUP(E1266,'Data Type Lookup'!$A$1:$C$21,3,FALSE)</f>
        <v>java.util.UUID</v>
      </c>
      <c r="S1266">
        <v>3</v>
      </c>
      <c r="W1266" t="str">
        <f t="shared" si="40"/>
        <v>CONNECTION.ROW_UID</v>
      </c>
      <c r="X1266" t="str">
        <f>VLOOKUP(W1266,ColumnMapping[New Table.Column],1,)</f>
        <v>CONNECTION.ROW_UID</v>
      </c>
      <c r="Y1266" t="str">
        <f>_xlfn.XLOOKUP(Table6[[#This Row],[Table.Column]],ColumnMapping[Add Column Name],ColumnMapping[Old Table.Column],"",0,1)</f>
        <v/>
      </c>
      <c r="Z1266" t="str">
        <f>_xlfn.XLOOKUP(Table6[[#This Row],[Old Table.Column]],Cobra8.6[Table.Column],Cobra8.6[TYPE],"",0,1)</f>
        <v/>
      </c>
      <c r="AA1266" t="str">
        <f>_xlfn.XLOOKUP(Table6[[#This Row],[Old Table.Column]],Cobra8.6[Table.Column],Cobra8.6[LENGTH],"",0,1)</f>
        <v/>
      </c>
    </row>
    <row r="1267" spans="1:27" hidden="1" x14ac:dyDescent="0.2">
      <c r="A1267" t="s">
        <v>450</v>
      </c>
      <c r="B1267" s="39" t="s">
        <v>1931</v>
      </c>
      <c r="C1267" s="39" t="s">
        <v>61</v>
      </c>
      <c r="D1267" s="39">
        <v>13</v>
      </c>
      <c r="E1267" t="s">
        <v>31</v>
      </c>
      <c r="F1267" t="str">
        <f>VLOOKUP($E1267,'Data Type Lookup'!$A$1:$C$21,2,FALSE)</f>
        <v>RAW(16)</v>
      </c>
      <c r="I1267" s="32" t="s">
        <v>32</v>
      </c>
      <c r="P1267" t="s">
        <v>1629</v>
      </c>
      <c r="Q1267" t="s">
        <v>63</v>
      </c>
      <c r="R1267" t="str">
        <f>VLOOKUP(E1267,'Data Type Lookup'!$A$1:$C$21,3,FALSE)</f>
        <v>java.util.UUID</v>
      </c>
      <c r="S1267">
        <v>2</v>
      </c>
      <c r="W1267" t="str">
        <f t="shared" si="40"/>
        <v>CONNECTION.CREATED_BY_USER_UID</v>
      </c>
      <c r="X1267" t="str">
        <f>VLOOKUP(W1267,ColumnMapping[New Table.Column],1,)</f>
        <v>CONNECTION.CREATED_BY_USER_UID</v>
      </c>
      <c r="Y1267" t="str">
        <f>_xlfn.XLOOKUP(Table6[[#This Row],[Table.Column]],ColumnMapping[Add Column Name],ColumnMapping[Old Table.Column],"",0,1)</f>
        <v/>
      </c>
      <c r="Z1267" t="str">
        <f>_xlfn.XLOOKUP(Table6[[#This Row],[Old Table.Column]],Cobra8.6[Table.Column],Cobra8.6[TYPE],"",0,1)</f>
        <v/>
      </c>
      <c r="AA1267" t="str">
        <f>_xlfn.XLOOKUP(Table6[[#This Row],[Old Table.Column]],Cobra8.6[Table.Column],Cobra8.6[LENGTH],"",0,1)</f>
        <v/>
      </c>
    </row>
    <row r="1268" spans="1:27" hidden="1" x14ac:dyDescent="0.2">
      <c r="A1268" t="s">
        <v>450</v>
      </c>
      <c r="B1268" s="39" t="s">
        <v>1931</v>
      </c>
      <c r="C1268" s="39" t="s">
        <v>64</v>
      </c>
      <c r="D1268" s="39">
        <v>14</v>
      </c>
      <c r="E1268" t="s">
        <v>65</v>
      </c>
      <c r="F1268" t="str">
        <f>VLOOKUP($E1268,'Data Type Lookup'!$A$1:$C$21,2,FALSE)</f>
        <v>TIMESTAMP</v>
      </c>
      <c r="I1268" s="32" t="s">
        <v>32</v>
      </c>
      <c r="P1268" t="s">
        <v>1630</v>
      </c>
      <c r="Q1268" t="s">
        <v>67</v>
      </c>
      <c r="R1268" t="str">
        <f>VLOOKUP(E1268,'Data Type Lookup'!$A$1:$C$21,3,FALSE)</f>
        <v>java.time.Instant</v>
      </c>
      <c r="S1268">
        <v>2</v>
      </c>
      <c r="W1268" t="str">
        <f t="shared" si="40"/>
        <v>CONNECTION.CREATED_DATE</v>
      </c>
      <c r="X1268" t="str">
        <f>VLOOKUP(W1268,ColumnMapping[New Table.Column],1,)</f>
        <v>CONNECTION.CREATED_DATE</v>
      </c>
      <c r="Y1268" t="str">
        <f>_xlfn.XLOOKUP(Table6[[#This Row],[Table.Column]],ColumnMapping[Add Column Name],ColumnMapping[Old Table.Column],"",0,1)</f>
        <v/>
      </c>
      <c r="Z1268" t="str">
        <f>_xlfn.XLOOKUP(Table6[[#This Row],[Old Table.Column]],Cobra8.6[Table.Column],Cobra8.6[TYPE],"",0,1)</f>
        <v/>
      </c>
      <c r="AA1268" t="str">
        <f>_xlfn.XLOOKUP(Table6[[#This Row],[Old Table.Column]],Cobra8.6[Table.Column],Cobra8.6[LENGTH],"",0,1)</f>
        <v/>
      </c>
    </row>
    <row r="1269" spans="1:27" hidden="1" x14ac:dyDescent="0.2">
      <c r="A1269" t="s">
        <v>450</v>
      </c>
      <c r="B1269" s="39" t="s">
        <v>1941</v>
      </c>
      <c r="C1269" s="39" t="s">
        <v>1100</v>
      </c>
      <c r="D1269" s="39">
        <v>1</v>
      </c>
      <c r="E1269" s="39" t="s">
        <v>86</v>
      </c>
      <c r="F1269" s="39" t="s">
        <v>349</v>
      </c>
      <c r="G1269" s="39">
        <v>20</v>
      </c>
      <c r="H1269" s="39"/>
      <c r="I1269" s="47"/>
      <c r="J1269" s="47"/>
      <c r="K1269" s="47"/>
      <c r="L1269" s="47"/>
      <c r="M1269" s="39"/>
      <c r="N1269" s="39"/>
      <c r="O1269" s="39"/>
      <c r="P1269" s="39"/>
      <c r="Q1269" s="39" t="str">
        <f>IF(C1269="","",LOWER(LEFT(TRIM(C1269),FIND("_",TRIM(C1269)&amp;"_")-1))&amp;SUBSTITUTE(PROPER(SUBSTITUTE(MID(TRIM(C1269),FIND("_",TRIM(C1269)&amp;"_"),LEN(TRIM(C1269))),"_"," "))," ",""))</f>
        <v>class</v>
      </c>
      <c r="R1269" t="str">
        <f>VLOOKUP(E1269,'Data Type Lookup'!$A$1:$C$21,3,FALSE)</f>
        <v>String</v>
      </c>
      <c r="S1269" s="39"/>
      <c r="W1269" t="str">
        <f>_xlfn.CONCAT(B1269,".",C1269)</f>
        <v>COSTDETL.CLASS</v>
      </c>
      <c r="X1269" t="str">
        <f>VLOOKUP(W1269,ColumnMapping[New Table.Column],1,)</f>
        <v>COSTDETL.CLASS</v>
      </c>
      <c r="Y1269" t="str">
        <f>_xlfn.XLOOKUP(Table6[[#This Row],[Table.Column]],ColumnMapping[Add Column Name],ColumnMapping[Old Table.Column],"",0,1)</f>
        <v/>
      </c>
      <c r="Z1269" t="str">
        <f>_xlfn.XLOOKUP(Table6[[#This Row],[Old Table.Column]],Cobra8.6[Table.Column],Cobra8.6[TYPE],"",0,1)</f>
        <v/>
      </c>
      <c r="AA1269" t="str">
        <f>_xlfn.XLOOKUP(Table6[[#This Row],[Old Table.Column]],Cobra8.6[Table.Column],Cobra8.6[LENGTH],"",0,1)</f>
        <v/>
      </c>
    </row>
    <row r="1270" spans="1:27" hidden="1" x14ac:dyDescent="0.2">
      <c r="A1270" t="s">
        <v>450</v>
      </c>
      <c r="B1270" s="39" t="s">
        <v>1941</v>
      </c>
      <c r="C1270" s="39" t="s">
        <v>1942</v>
      </c>
      <c r="D1270" s="39">
        <v>2</v>
      </c>
      <c r="E1270" s="39" t="s">
        <v>86</v>
      </c>
      <c r="F1270" s="39" t="s">
        <v>349</v>
      </c>
      <c r="G1270" s="39">
        <v>20</v>
      </c>
      <c r="H1270" s="39"/>
      <c r="I1270" s="47"/>
      <c r="J1270" s="47"/>
      <c r="K1270" s="47"/>
      <c r="L1270" s="47"/>
      <c r="M1270" s="39"/>
      <c r="N1270" s="39"/>
      <c r="O1270" s="39"/>
      <c r="P1270" s="39"/>
      <c r="Q1270" s="39" t="str">
        <f t="shared" ref="Q1270:Q1272" si="41">IF(C1270="","",LOWER(LEFT(TRIM(C1270),FIND("_",TRIM(C1270)&amp;"_")-1))&amp;SUBSTITUTE(PROPER(SUBSTITUTE(MID(TRIM(C1270),FIND("_",TRIM(C1270)&amp;"_"),LEN(TRIM(C1270))),"_"," "))," ",""))</f>
        <v>costset</v>
      </c>
      <c r="R1270" t="str">
        <f>VLOOKUP(E1270,'Data Type Lookup'!$A$1:$C$21,3,FALSE)</f>
        <v>String</v>
      </c>
      <c r="S1270" s="39"/>
      <c r="W1270" t="str">
        <f t="shared" ref="W1270:W1278" si="42">_xlfn.CONCAT(B1270,".",C1270)</f>
        <v>COSTDETL.COSTSET</v>
      </c>
      <c r="X1270" t="str">
        <f>VLOOKUP(W1270,ColumnMapping[New Table.Column],1,)</f>
        <v>COSTDETL.COSTSET</v>
      </c>
      <c r="Y1270" t="str">
        <f>_xlfn.XLOOKUP(Table6[[#This Row],[Table.Column]],ColumnMapping[Add Column Name],ColumnMapping[Old Table.Column],"",0,1)</f>
        <v/>
      </c>
      <c r="Z1270" t="str">
        <f>_xlfn.XLOOKUP(Table6[[#This Row],[Old Table.Column]],Cobra8.6[Table.Column],Cobra8.6[TYPE],"",0,1)</f>
        <v/>
      </c>
      <c r="AA1270" t="str">
        <f>_xlfn.XLOOKUP(Table6[[#This Row],[Old Table.Column]],Cobra8.6[Table.Column],Cobra8.6[LENGTH],"",0,1)</f>
        <v/>
      </c>
    </row>
    <row r="1271" spans="1:27" hidden="1" x14ac:dyDescent="0.2">
      <c r="A1271" t="s">
        <v>450</v>
      </c>
      <c r="B1271" s="39" t="s">
        <v>1941</v>
      </c>
      <c r="C1271" s="39" t="s">
        <v>1943</v>
      </c>
      <c r="D1271" s="39">
        <v>3</v>
      </c>
      <c r="E1271" s="39" t="s">
        <v>86</v>
      </c>
      <c r="F1271" s="39" t="s">
        <v>349</v>
      </c>
      <c r="G1271" s="39">
        <v>22</v>
      </c>
      <c r="H1271" s="39"/>
      <c r="I1271" s="47"/>
      <c r="J1271" s="47"/>
      <c r="K1271" s="47"/>
      <c r="L1271" s="47"/>
      <c r="M1271" s="39"/>
      <c r="N1271" s="39"/>
      <c r="O1271" s="39"/>
      <c r="P1271" s="39"/>
      <c r="Q1271" s="39" t="str">
        <f t="shared" si="41"/>
        <v>instance</v>
      </c>
      <c r="R1271" t="str">
        <f>VLOOKUP(E1271,'Data Type Lookup'!$A$1:$C$21,3,FALSE)</f>
        <v>String</v>
      </c>
      <c r="S1271" s="39"/>
      <c r="W1271" t="str">
        <f t="shared" si="42"/>
        <v>COSTDETL.INSTANCE</v>
      </c>
      <c r="X1271" t="str">
        <f>VLOOKUP(W1271,ColumnMapping[New Table.Column],1,)</f>
        <v>COSTDETL.INSTANCE</v>
      </c>
      <c r="Y1271" t="str">
        <f>_xlfn.XLOOKUP(Table6[[#This Row],[Table.Column]],ColumnMapping[Add Column Name],ColumnMapping[Old Table.Column],"",0,1)</f>
        <v/>
      </c>
      <c r="Z1271" t="str">
        <f>_xlfn.XLOOKUP(Table6[[#This Row],[Old Table.Column]],Cobra8.6[Table.Column],Cobra8.6[TYPE],"",0,1)</f>
        <v/>
      </c>
      <c r="AA1271" t="str">
        <f>_xlfn.XLOOKUP(Table6[[#This Row],[Old Table.Column]],Cobra8.6[Table.Column],Cobra8.6[LENGTH],"",0,1)</f>
        <v/>
      </c>
    </row>
    <row r="1272" spans="1:27" hidden="1" x14ac:dyDescent="0.2">
      <c r="A1272" t="s">
        <v>450</v>
      </c>
      <c r="B1272" s="39" t="s">
        <v>1941</v>
      </c>
      <c r="C1272" s="39" t="s">
        <v>1944</v>
      </c>
      <c r="D1272" s="39">
        <v>4</v>
      </c>
      <c r="E1272" s="39" t="s">
        <v>36</v>
      </c>
      <c r="F1272" s="39" t="s">
        <v>768</v>
      </c>
      <c r="G1272" s="39"/>
      <c r="H1272" s="39"/>
      <c r="I1272" s="47"/>
      <c r="J1272" s="47">
        <v>0</v>
      </c>
      <c r="K1272" s="47"/>
      <c r="L1272" s="47"/>
      <c r="M1272" s="39"/>
      <c r="N1272" s="39"/>
      <c r="O1272" s="39"/>
      <c r="P1272" s="39"/>
      <c r="Q1272" s="39" t="str">
        <f t="shared" si="41"/>
        <v>ord</v>
      </c>
      <c r="R1272" t="str">
        <f>VLOOKUP(E1272,'Data Type Lookup'!$A$1:$C$21,3,FALSE)</f>
        <v>Long</v>
      </c>
      <c r="S1272" s="39"/>
      <c r="W1272" t="str">
        <f t="shared" si="42"/>
        <v>COSTDETL.ORD</v>
      </c>
      <c r="X1272" t="str">
        <f>VLOOKUP(W1272,ColumnMapping[New Table.Column],1,)</f>
        <v>COSTDETL.ORD</v>
      </c>
      <c r="Y1272" t="str">
        <f>_xlfn.XLOOKUP(Table6[[#This Row],[Table.Column]],ColumnMapping[Add Column Name],ColumnMapping[Old Table.Column],"",0,1)</f>
        <v/>
      </c>
      <c r="Z1272" t="str">
        <f>_xlfn.XLOOKUP(Table6[[#This Row],[Old Table.Column]],Cobra8.6[Table.Column],Cobra8.6[TYPE],"",0,1)</f>
        <v/>
      </c>
      <c r="AA1272" t="str">
        <f>_xlfn.XLOOKUP(Table6[[#This Row],[Old Table.Column]],Cobra8.6[Table.Column],Cobra8.6[LENGTH],"",0,1)</f>
        <v/>
      </c>
    </row>
    <row r="1273" spans="1:27" hidden="1" x14ac:dyDescent="0.2">
      <c r="A1273" t="s">
        <v>450</v>
      </c>
      <c r="B1273" s="39" t="s">
        <v>1941</v>
      </c>
      <c r="C1273" s="39" t="s">
        <v>30</v>
      </c>
      <c r="D1273" s="39">
        <v>5</v>
      </c>
      <c r="E1273" t="s">
        <v>31</v>
      </c>
      <c r="F1273" t="str">
        <f>VLOOKUP($E1273,'Data Type Lookup'!$A$1:$C$21,2,FALSE)</f>
        <v>RAW(16)</v>
      </c>
      <c r="I1273" s="32" t="s">
        <v>32</v>
      </c>
      <c r="K1273" s="32" t="s">
        <v>32</v>
      </c>
      <c r="P1273" t="s">
        <v>1789</v>
      </c>
      <c r="Q1273" t="s">
        <v>34</v>
      </c>
      <c r="R1273" t="str">
        <f>VLOOKUP(E1273,'Data Type Lookup'!$A$1:$C$21,3,FALSE)</f>
        <v>java.util.UUID</v>
      </c>
      <c r="S1273">
        <v>3</v>
      </c>
      <c r="W1273" t="str">
        <f t="shared" si="42"/>
        <v>COSTDETL.ROW_UID</v>
      </c>
      <c r="X1273" t="str">
        <f>VLOOKUP(W1273,ColumnMapping[New Table.Column],1,)</f>
        <v>COSTDETL.ROW_UID</v>
      </c>
      <c r="Y1273" t="str">
        <f>_xlfn.XLOOKUP(Table6[[#This Row],[Table.Column]],ColumnMapping[Add Column Name],ColumnMapping[Old Table.Column],"",0,1)</f>
        <v/>
      </c>
      <c r="Z1273" t="str">
        <f>_xlfn.XLOOKUP(Table6[[#This Row],[Old Table.Column]],Cobra8.6[Table.Column],Cobra8.6[TYPE],"",0,1)</f>
        <v/>
      </c>
      <c r="AA1273" t="str">
        <f>_xlfn.XLOOKUP(Table6[[#This Row],[Old Table.Column]],Cobra8.6[Table.Column],Cobra8.6[LENGTH],"",0,1)</f>
        <v/>
      </c>
    </row>
    <row r="1274" spans="1:27" hidden="1" x14ac:dyDescent="0.2">
      <c r="A1274" t="s">
        <v>450</v>
      </c>
      <c r="B1274" s="39" t="s">
        <v>1941</v>
      </c>
      <c r="C1274" s="39" t="s">
        <v>35</v>
      </c>
      <c r="D1274" s="39">
        <v>6</v>
      </c>
      <c r="E1274" t="s">
        <v>36</v>
      </c>
      <c r="F1274" t="str">
        <f>VLOOKUP($E1274,'Data Type Lookup'!$A$1:$C$21,2,FALSE)</f>
        <v>NUMBER(19,0)</v>
      </c>
      <c r="I1274" s="32" t="s">
        <v>32</v>
      </c>
      <c r="J1274" s="32">
        <v>0</v>
      </c>
      <c r="P1274" t="s">
        <v>37</v>
      </c>
      <c r="Q1274" t="s">
        <v>38</v>
      </c>
      <c r="R1274" t="str">
        <f>VLOOKUP(E1274,'Data Type Lookup'!$A$1:$C$21,3,FALSE)</f>
        <v>Long</v>
      </c>
      <c r="S1274">
        <v>3</v>
      </c>
      <c r="W1274" t="str">
        <f t="shared" si="42"/>
        <v>COSTDETL.SEQUENCE</v>
      </c>
      <c r="X1274" t="str">
        <f>VLOOKUP(W1274,ColumnMapping[New Table.Column],1,)</f>
        <v>COSTDETL.SEQUENCE</v>
      </c>
      <c r="Y1274" t="str">
        <f>_xlfn.XLOOKUP(Table6[[#This Row],[Table.Column]],ColumnMapping[Add Column Name],ColumnMapping[Old Table.Column],"",0,1)</f>
        <v/>
      </c>
      <c r="Z1274" t="str">
        <f>_xlfn.XLOOKUP(Table6[[#This Row],[Old Table.Column]],Cobra8.6[Table.Column],Cobra8.6[TYPE],"",0,1)</f>
        <v/>
      </c>
      <c r="AA1274" t="str">
        <f>_xlfn.XLOOKUP(Table6[[#This Row],[Old Table.Column]],Cobra8.6[Table.Column],Cobra8.6[LENGTH],"",0,1)</f>
        <v/>
      </c>
    </row>
    <row r="1275" spans="1:27" hidden="1" x14ac:dyDescent="0.2">
      <c r="A1275" t="s">
        <v>450</v>
      </c>
      <c r="B1275" s="39" t="s">
        <v>1941</v>
      </c>
      <c r="C1275" s="39" t="s">
        <v>71</v>
      </c>
      <c r="D1275" s="39">
        <v>7</v>
      </c>
      <c r="E1275" t="s">
        <v>65</v>
      </c>
      <c r="F1275" t="str">
        <f>VLOOKUP($E1275,'Data Type Lookup'!$A$1:$C$21,2,FALSE)</f>
        <v>TIMESTAMP</v>
      </c>
      <c r="I1275" s="32" t="s">
        <v>32</v>
      </c>
      <c r="P1275" t="s">
        <v>1633</v>
      </c>
      <c r="Q1275" t="s">
        <v>73</v>
      </c>
      <c r="R1275" t="str">
        <f>VLOOKUP(E1275,'Data Type Lookup'!$A$1:$C$21,3,FALSE)</f>
        <v>java.time.Instant</v>
      </c>
      <c r="S1275">
        <v>2</v>
      </c>
      <c r="W1275" t="str">
        <f t="shared" si="42"/>
        <v>COSTDETL.LAST_MODIFIED_DATE</v>
      </c>
      <c r="X1275" t="str">
        <f>VLOOKUP(W1275,ColumnMapping[New Table.Column],1,)</f>
        <v>COSTDETL.LAST_MODIFIED_DATE</v>
      </c>
      <c r="Y1275" t="str">
        <f>_xlfn.XLOOKUP(Table6[[#This Row],[Table.Column]],ColumnMapping[Add Column Name],ColumnMapping[Old Table.Column],"",0,1)</f>
        <v/>
      </c>
      <c r="Z1275" t="str">
        <f>_xlfn.XLOOKUP(Table6[[#This Row],[Old Table.Column]],Cobra8.6[Table.Column],Cobra8.6[TYPE],"",0,1)</f>
        <v/>
      </c>
      <c r="AA1275" t="str">
        <f>_xlfn.XLOOKUP(Table6[[#This Row],[Old Table.Column]],Cobra8.6[Table.Column],Cobra8.6[LENGTH],"",0,1)</f>
        <v/>
      </c>
    </row>
    <row r="1276" spans="1:27" hidden="1" x14ac:dyDescent="0.2">
      <c r="A1276" t="s">
        <v>450</v>
      </c>
      <c r="B1276" s="39" t="s">
        <v>1941</v>
      </c>
      <c r="C1276" s="39" t="s">
        <v>68</v>
      </c>
      <c r="D1276" s="39">
        <v>8</v>
      </c>
      <c r="E1276" t="s">
        <v>31</v>
      </c>
      <c r="F1276" t="str">
        <f>VLOOKUP($E1276,'Data Type Lookup'!$A$1:$C$21,2,FALSE)</f>
        <v>RAW(16)</v>
      </c>
      <c r="I1276" s="32" t="s">
        <v>32</v>
      </c>
      <c r="P1276" t="s">
        <v>1632</v>
      </c>
      <c r="Q1276" t="s">
        <v>70</v>
      </c>
      <c r="R1276" t="str">
        <f>VLOOKUP(E1276,'Data Type Lookup'!$A$1:$C$21,3,FALSE)</f>
        <v>java.util.UUID</v>
      </c>
      <c r="S1276">
        <v>2</v>
      </c>
      <c r="W1276" t="str">
        <f t="shared" si="42"/>
        <v>COSTDETL.LAST_MODIFIED_BY_USER_UID</v>
      </c>
      <c r="X1276" t="str">
        <f>VLOOKUP(W1276,ColumnMapping[New Table.Column],1,)</f>
        <v>COSTDETL.LAST_MODIFIED_BY_USER_UID</v>
      </c>
      <c r="Y1276" t="str">
        <f>_xlfn.XLOOKUP(Table6[[#This Row],[Table.Column]],ColumnMapping[Add Column Name],ColumnMapping[Old Table.Column],"",0,1)</f>
        <v/>
      </c>
      <c r="Z1276" t="str">
        <f>_xlfn.XLOOKUP(Table6[[#This Row],[Old Table.Column]],Cobra8.6[Table.Column],Cobra8.6[TYPE],"",0,1)</f>
        <v/>
      </c>
      <c r="AA1276" t="str">
        <f>_xlfn.XLOOKUP(Table6[[#This Row],[Old Table.Column]],Cobra8.6[Table.Column],Cobra8.6[LENGTH],"",0,1)</f>
        <v/>
      </c>
    </row>
    <row r="1277" spans="1:27" hidden="1" x14ac:dyDescent="0.2">
      <c r="A1277" t="s">
        <v>450</v>
      </c>
      <c r="B1277" s="39" t="s">
        <v>1941</v>
      </c>
      <c r="C1277" s="39" t="s">
        <v>61</v>
      </c>
      <c r="D1277" s="39">
        <v>9</v>
      </c>
      <c r="E1277" t="s">
        <v>31</v>
      </c>
      <c r="F1277" t="str">
        <f>VLOOKUP($E1277,'Data Type Lookup'!$A$1:$C$21,2,FALSE)</f>
        <v>RAW(16)</v>
      </c>
      <c r="I1277" s="32" t="s">
        <v>32</v>
      </c>
      <c r="P1277" t="s">
        <v>1629</v>
      </c>
      <c r="Q1277" t="s">
        <v>63</v>
      </c>
      <c r="R1277" t="str">
        <f>VLOOKUP(E1277,'Data Type Lookup'!$A$1:$C$21,3,FALSE)</f>
        <v>java.util.UUID</v>
      </c>
      <c r="S1277">
        <v>2</v>
      </c>
      <c r="W1277" t="str">
        <f t="shared" si="42"/>
        <v>COSTDETL.CREATED_BY_USER_UID</v>
      </c>
      <c r="X1277" t="str">
        <f>VLOOKUP(W1277,ColumnMapping[New Table.Column],1,)</f>
        <v>COSTDETL.CREATED_BY_USER_UID</v>
      </c>
      <c r="Y1277" t="str">
        <f>_xlfn.XLOOKUP(Table6[[#This Row],[Table.Column]],ColumnMapping[Add Column Name],ColumnMapping[Old Table.Column],"",0,1)</f>
        <v/>
      </c>
      <c r="Z1277" t="str">
        <f>_xlfn.XLOOKUP(Table6[[#This Row],[Old Table.Column]],Cobra8.6[Table.Column],Cobra8.6[TYPE],"",0,1)</f>
        <v/>
      </c>
      <c r="AA1277" t="str">
        <f>_xlfn.XLOOKUP(Table6[[#This Row],[Old Table.Column]],Cobra8.6[Table.Column],Cobra8.6[LENGTH],"",0,1)</f>
        <v/>
      </c>
    </row>
    <row r="1278" spans="1:27" hidden="1" x14ac:dyDescent="0.2">
      <c r="A1278" t="s">
        <v>450</v>
      </c>
      <c r="B1278" s="39" t="s">
        <v>1941</v>
      </c>
      <c r="C1278" s="39" t="s">
        <v>64</v>
      </c>
      <c r="D1278" s="39">
        <v>10</v>
      </c>
      <c r="E1278" t="s">
        <v>65</v>
      </c>
      <c r="F1278" t="str">
        <f>VLOOKUP($E1278,'Data Type Lookup'!$A$1:$C$21,2,FALSE)</f>
        <v>TIMESTAMP</v>
      </c>
      <c r="I1278" s="32" t="s">
        <v>32</v>
      </c>
      <c r="P1278" t="s">
        <v>1630</v>
      </c>
      <c r="Q1278" t="s">
        <v>67</v>
      </c>
      <c r="R1278" t="str">
        <f>VLOOKUP(E1278,'Data Type Lookup'!$A$1:$C$21,3,FALSE)</f>
        <v>java.time.Instant</v>
      </c>
      <c r="S1278">
        <v>2</v>
      </c>
      <c r="W1278" t="str">
        <f t="shared" si="42"/>
        <v>COSTDETL.CREATED_DATE</v>
      </c>
      <c r="X1278" t="str">
        <f>VLOOKUP(W1278,ColumnMapping[New Table.Column],1,)</f>
        <v>COSTDETL.CREATED_DATE</v>
      </c>
      <c r="Y1278" t="str">
        <f>_xlfn.XLOOKUP(Table6[[#This Row],[Table.Column]],ColumnMapping[Add Column Name],ColumnMapping[Old Table.Column],"",0,1)</f>
        <v/>
      </c>
      <c r="Z1278" t="str">
        <f>_xlfn.XLOOKUP(Table6[[#This Row],[Old Table.Column]],Cobra8.6[Table.Column],Cobra8.6[TYPE],"",0,1)</f>
        <v/>
      </c>
      <c r="AA1278" t="str">
        <f>_xlfn.XLOOKUP(Table6[[#This Row],[Old Table.Column]],Cobra8.6[Table.Column],Cobra8.6[LENGTH],"",0,1)</f>
        <v/>
      </c>
    </row>
    <row r="1279" spans="1:27" hidden="1" x14ac:dyDescent="0.2">
      <c r="A1279" t="s">
        <v>450</v>
      </c>
      <c r="B1279" s="39" t="s">
        <v>1945</v>
      </c>
      <c r="C1279" s="39" t="s">
        <v>1916</v>
      </c>
      <c r="D1279" s="39">
        <v>1</v>
      </c>
      <c r="E1279" s="39" t="s">
        <v>356</v>
      </c>
      <c r="F1279" s="39" t="s">
        <v>356</v>
      </c>
      <c r="G1279" s="39"/>
      <c r="H1279" s="39"/>
      <c r="I1279" s="47"/>
      <c r="J1279" s="47"/>
      <c r="K1279" s="47"/>
      <c r="L1279" s="47"/>
      <c r="M1279" s="39"/>
      <c r="N1279" s="39"/>
      <c r="O1279" s="39"/>
      <c r="P1279" s="39"/>
      <c r="Q1279" s="39" t="str">
        <f>IF(C1279="","",LOWER(LEFT(TRIM(C1279),FIND("_",TRIM(C1279)&amp;"_")-1))&amp;SUBSTITUTE(PROPER(SUBSTITUTE(MID(TRIM(C1279),FIND("_",TRIM(C1279)&amp;"_"),LEN(TRIM(C1279))),"_"," "))," ",""))</f>
        <v>bfinish</v>
      </c>
      <c r="R1279" t="str">
        <f>VLOOKUP(E1279,'Data Type Lookup'!$A$1:$C$21,3,FALSE)</f>
        <v>java.time.Instant</v>
      </c>
      <c r="S1279" s="39"/>
      <c r="W1279" t="str">
        <f>_xlfn.CONCAT(B1279,".",C1279)</f>
        <v>LINK.BFINISH</v>
      </c>
      <c r="X1279" t="str">
        <f>VLOOKUP(W1279,ColumnMapping[New Table.Column],1,)</f>
        <v>LINK.BFINISH</v>
      </c>
      <c r="Y1279" t="str">
        <f>_xlfn.XLOOKUP(Table6[[#This Row],[Table.Column]],ColumnMapping[Add Column Name],ColumnMapping[Old Table.Column],"",0,1)</f>
        <v/>
      </c>
      <c r="Z1279" t="str">
        <f>_xlfn.XLOOKUP(Table6[[#This Row],[Old Table.Column]],Cobra8.6[Table.Column],Cobra8.6[TYPE],"",0,1)</f>
        <v/>
      </c>
      <c r="AA1279" t="str">
        <f>_xlfn.XLOOKUP(Table6[[#This Row],[Old Table.Column]],Cobra8.6[Table.Column],Cobra8.6[LENGTH],"",0,1)</f>
        <v/>
      </c>
    </row>
    <row r="1280" spans="1:27" hidden="1" x14ac:dyDescent="0.2">
      <c r="A1280" t="s">
        <v>450</v>
      </c>
      <c r="B1280" s="39" t="s">
        <v>1945</v>
      </c>
      <c r="C1280" s="39" t="s">
        <v>1917</v>
      </c>
      <c r="D1280" s="39">
        <v>2</v>
      </c>
      <c r="E1280" s="39" t="s">
        <v>356</v>
      </c>
      <c r="F1280" s="39" t="s">
        <v>356</v>
      </c>
      <c r="G1280" s="39"/>
      <c r="H1280" s="39"/>
      <c r="I1280" s="47"/>
      <c r="J1280" s="47"/>
      <c r="K1280" s="47"/>
      <c r="L1280" s="47"/>
      <c r="M1280" s="39"/>
      <c r="N1280" s="39"/>
      <c r="O1280" s="39"/>
      <c r="P1280" s="39"/>
      <c r="Q1280" s="39" t="str">
        <f t="shared" ref="Q1280:Q1291" si="43">IF(C1280="","",LOWER(LEFT(TRIM(C1280),FIND("_",TRIM(C1280)&amp;"_")-1))&amp;SUBSTITUTE(PROPER(SUBSTITUTE(MID(TRIM(C1280),FIND("_",TRIM(C1280)&amp;"_"),LEN(TRIM(C1280))),"_"," "))," ",""))</f>
        <v>bstart</v>
      </c>
      <c r="R1280" t="str">
        <f>VLOOKUP(E1280,'Data Type Lookup'!$A$1:$C$21,3,FALSE)</f>
        <v>java.time.Instant</v>
      </c>
      <c r="S1280" s="39"/>
      <c r="W1280" t="str">
        <f t="shared" ref="W1280:W1313" si="44">_xlfn.CONCAT(B1280,".",C1280)</f>
        <v>LINK.BSTART</v>
      </c>
      <c r="X1280" t="str">
        <f>VLOOKUP(W1280,ColumnMapping[New Table.Column],1,)</f>
        <v>LINK.BSTART</v>
      </c>
      <c r="Y1280" t="str">
        <f>_xlfn.XLOOKUP(Table6[[#This Row],[Table.Column]],ColumnMapping[Add Column Name],ColumnMapping[Old Table.Column],"",0,1)</f>
        <v/>
      </c>
      <c r="Z1280" t="str">
        <f>_xlfn.XLOOKUP(Table6[[#This Row],[Old Table.Column]],Cobra8.6[Table.Column],Cobra8.6[TYPE],"",0,1)</f>
        <v/>
      </c>
      <c r="AA1280" t="str">
        <f>_xlfn.XLOOKUP(Table6[[#This Row],[Old Table.Column]],Cobra8.6[Table.Column],Cobra8.6[LENGTH],"",0,1)</f>
        <v/>
      </c>
    </row>
    <row r="1281" spans="1:27" hidden="1" x14ac:dyDescent="0.2">
      <c r="A1281" t="s">
        <v>450</v>
      </c>
      <c r="B1281" s="39" t="s">
        <v>1945</v>
      </c>
      <c r="C1281" s="39" t="s">
        <v>1003</v>
      </c>
      <c r="D1281" s="39">
        <v>3</v>
      </c>
      <c r="E1281" s="39" t="s">
        <v>86</v>
      </c>
      <c r="F1281" s="39" t="s">
        <v>349</v>
      </c>
      <c r="G1281" s="39">
        <v>59</v>
      </c>
      <c r="H1281" s="39"/>
      <c r="I1281" s="47"/>
      <c r="J1281" s="47"/>
      <c r="K1281" s="47"/>
      <c r="L1281" s="47"/>
      <c r="M1281" s="39"/>
      <c r="N1281" s="39"/>
      <c r="O1281" s="39"/>
      <c r="P1281" s="39"/>
      <c r="Q1281" s="39" t="str">
        <f t="shared" si="43"/>
        <v>ca1</v>
      </c>
      <c r="R1281" t="str">
        <f>VLOOKUP(E1281,'Data Type Lookup'!$A$1:$C$21,3,FALSE)</f>
        <v>String</v>
      </c>
      <c r="S1281" s="39"/>
      <c r="W1281" t="str">
        <f t="shared" si="44"/>
        <v>LINK.CA1</v>
      </c>
      <c r="X1281" t="str">
        <f>VLOOKUP(W1281,ColumnMapping[New Table.Column],1,)</f>
        <v>LINK.CA1</v>
      </c>
      <c r="Y1281" t="str">
        <f>_xlfn.XLOOKUP(Table6[[#This Row],[Table.Column]],ColumnMapping[Add Column Name],ColumnMapping[Old Table.Column],"",0,1)</f>
        <v/>
      </c>
      <c r="Z1281" t="str">
        <f>_xlfn.XLOOKUP(Table6[[#This Row],[Old Table.Column]],Cobra8.6[Table.Column],Cobra8.6[TYPE],"",0,1)</f>
        <v/>
      </c>
      <c r="AA1281" t="str">
        <f>_xlfn.XLOOKUP(Table6[[#This Row],[Old Table.Column]],Cobra8.6[Table.Column],Cobra8.6[LENGTH],"",0,1)</f>
        <v/>
      </c>
    </row>
    <row r="1282" spans="1:27" hidden="1" x14ac:dyDescent="0.2">
      <c r="A1282" t="s">
        <v>450</v>
      </c>
      <c r="B1282" s="39" t="s">
        <v>1945</v>
      </c>
      <c r="C1282" s="39" t="s">
        <v>1005</v>
      </c>
      <c r="D1282" s="39">
        <v>4</v>
      </c>
      <c r="E1282" s="39" t="s">
        <v>86</v>
      </c>
      <c r="F1282" s="39" t="s">
        <v>349</v>
      </c>
      <c r="G1282" s="39">
        <v>59</v>
      </c>
      <c r="H1282" s="39"/>
      <c r="I1282" s="47"/>
      <c r="J1282" s="47"/>
      <c r="K1282" s="47"/>
      <c r="L1282" s="47"/>
      <c r="M1282" s="39"/>
      <c r="N1282" s="39"/>
      <c r="O1282" s="39"/>
      <c r="P1282" s="39"/>
      <c r="Q1282" s="39" t="str">
        <f t="shared" si="43"/>
        <v>ca2</v>
      </c>
      <c r="R1282" t="str">
        <f>VLOOKUP(E1282,'Data Type Lookup'!$A$1:$C$21,3,FALSE)</f>
        <v>String</v>
      </c>
      <c r="S1282" s="39"/>
      <c r="W1282" t="str">
        <f t="shared" si="44"/>
        <v>LINK.CA2</v>
      </c>
      <c r="X1282" t="str">
        <f>VLOOKUP(W1282,ColumnMapping[New Table.Column],1,)</f>
        <v>LINK.CA2</v>
      </c>
      <c r="Y1282" t="str">
        <f>_xlfn.XLOOKUP(Table6[[#This Row],[Table.Column]],ColumnMapping[Add Column Name],ColumnMapping[Old Table.Column],"",0,1)</f>
        <v/>
      </c>
      <c r="Z1282" t="str">
        <f>_xlfn.XLOOKUP(Table6[[#This Row],[Old Table.Column]],Cobra8.6[Table.Column],Cobra8.6[TYPE],"",0,1)</f>
        <v/>
      </c>
      <c r="AA1282" t="str">
        <f>_xlfn.XLOOKUP(Table6[[#This Row],[Old Table.Column]],Cobra8.6[Table.Column],Cobra8.6[LENGTH],"",0,1)</f>
        <v/>
      </c>
    </row>
    <row r="1283" spans="1:27" hidden="1" x14ac:dyDescent="0.2">
      <c r="A1283" t="s">
        <v>450</v>
      </c>
      <c r="B1283" s="39" t="s">
        <v>1945</v>
      </c>
      <c r="C1283" s="39" t="s">
        <v>1007</v>
      </c>
      <c r="D1283" s="39">
        <v>5</v>
      </c>
      <c r="E1283" s="39" t="s">
        <v>86</v>
      </c>
      <c r="F1283" s="39" t="s">
        <v>349</v>
      </c>
      <c r="G1283" s="39">
        <v>59</v>
      </c>
      <c r="H1283" s="39"/>
      <c r="I1283" s="47"/>
      <c r="J1283" s="47"/>
      <c r="K1283" s="47"/>
      <c r="L1283" s="47"/>
      <c r="M1283" s="39"/>
      <c r="N1283" s="39"/>
      <c r="O1283" s="39"/>
      <c r="P1283" s="39"/>
      <c r="Q1283" s="39" t="str">
        <f t="shared" si="43"/>
        <v>ca3</v>
      </c>
      <c r="R1283" t="str">
        <f>VLOOKUP(E1283,'Data Type Lookup'!$A$1:$C$21,3,FALSE)</f>
        <v>String</v>
      </c>
      <c r="S1283" s="39"/>
      <c r="W1283" t="str">
        <f t="shared" si="44"/>
        <v>LINK.CA3</v>
      </c>
      <c r="X1283" t="str">
        <f>VLOOKUP(W1283,ColumnMapping[New Table.Column],1,)</f>
        <v>LINK.CA3</v>
      </c>
      <c r="Y1283" t="str">
        <f>_xlfn.XLOOKUP(Table6[[#This Row],[Table.Column]],ColumnMapping[Add Column Name],ColumnMapping[Old Table.Column],"",0,1)</f>
        <v/>
      </c>
      <c r="Z1283" t="str">
        <f>_xlfn.XLOOKUP(Table6[[#This Row],[Old Table.Column]],Cobra8.6[Table.Column],Cobra8.6[TYPE],"",0,1)</f>
        <v/>
      </c>
      <c r="AA1283" t="str">
        <f>_xlfn.XLOOKUP(Table6[[#This Row],[Old Table.Column]],Cobra8.6[Table.Column],Cobra8.6[LENGTH],"",0,1)</f>
        <v/>
      </c>
    </row>
    <row r="1284" spans="1:27" hidden="1" x14ac:dyDescent="0.2">
      <c r="A1284" t="s">
        <v>450</v>
      </c>
      <c r="B1284" s="39" t="s">
        <v>1945</v>
      </c>
      <c r="C1284" s="39" t="s">
        <v>1009</v>
      </c>
      <c r="D1284" s="39">
        <v>6</v>
      </c>
      <c r="E1284" s="39" t="s">
        <v>36</v>
      </c>
      <c r="F1284" s="39" t="s">
        <v>768</v>
      </c>
      <c r="G1284" s="39"/>
      <c r="H1284" s="39"/>
      <c r="I1284" s="47"/>
      <c r="J1284" s="47">
        <v>0</v>
      </c>
      <c r="K1284" s="47"/>
      <c r="L1284" s="47"/>
      <c r="M1284" s="39"/>
      <c r="N1284" s="39"/>
      <c r="O1284" s="39"/>
      <c r="P1284" s="39"/>
      <c r="Q1284" s="39" t="str">
        <f t="shared" si="43"/>
        <v>cawpid</v>
      </c>
      <c r="R1284" t="str">
        <f>VLOOKUP(E1284,'Data Type Lookup'!$A$1:$C$21,3,FALSE)</f>
        <v>Long</v>
      </c>
      <c r="S1284" s="39"/>
      <c r="W1284" t="str">
        <f t="shared" si="44"/>
        <v>LINK.CAWPID</v>
      </c>
      <c r="X1284" t="str">
        <f>VLOOKUP(W1284,ColumnMapping[New Table.Column],1,)</f>
        <v>LINK.CAWPID</v>
      </c>
      <c r="Y1284" t="str">
        <f>_xlfn.XLOOKUP(Table6[[#This Row],[Table.Column]],ColumnMapping[Add Column Name],ColumnMapping[Old Table.Column],"",0,1)</f>
        <v/>
      </c>
      <c r="Z1284" t="str">
        <f>_xlfn.XLOOKUP(Table6[[#This Row],[Old Table.Column]],Cobra8.6[Table.Column],Cobra8.6[TYPE],"",0,1)</f>
        <v/>
      </c>
      <c r="AA1284" t="str">
        <f>_xlfn.XLOOKUP(Table6[[#This Row],[Old Table.Column]],Cobra8.6[Table.Column],Cobra8.6[LENGTH],"",0,1)</f>
        <v/>
      </c>
    </row>
    <row r="1285" spans="1:27" hidden="1" x14ac:dyDescent="0.2">
      <c r="A1285" t="s">
        <v>450</v>
      </c>
      <c r="B1285" s="39" t="s">
        <v>1945</v>
      </c>
      <c r="C1285" s="39" t="s">
        <v>833</v>
      </c>
      <c r="D1285" s="39">
        <v>7</v>
      </c>
      <c r="E1285" s="39" t="s">
        <v>31</v>
      </c>
      <c r="F1285" s="39" t="s">
        <v>765</v>
      </c>
      <c r="G1285" s="39"/>
      <c r="H1285" s="39"/>
      <c r="I1285" s="47"/>
      <c r="J1285" s="47"/>
      <c r="K1285" s="47"/>
      <c r="L1285" s="47"/>
      <c r="M1285" s="39" t="s">
        <v>879</v>
      </c>
      <c r="N1285" s="39" t="s">
        <v>30</v>
      </c>
      <c r="O1285" s="39" t="s">
        <v>1914</v>
      </c>
      <c r="P1285" s="39"/>
      <c r="Q1285" s="39" t="str">
        <f t="shared" si="43"/>
        <v>projectCawpUid</v>
      </c>
      <c r="R1285" t="str">
        <f>VLOOKUP(E1285,'Data Type Lookup'!$A$1:$C$21,3,FALSE)</f>
        <v>java.util.UUID</v>
      </c>
      <c r="S1285" s="39"/>
      <c r="W1285" t="str">
        <f t="shared" si="44"/>
        <v>LINK.PROJECT_CAWP_UID</v>
      </c>
      <c r="X1285" t="str">
        <f>VLOOKUP(W1285,ColumnMapping[New Table.Column],1,)</f>
        <v>LINK.PROJECT_CAWP_UID</v>
      </c>
      <c r="Y1285" t="str">
        <f>_xlfn.XLOOKUP(Table6[[#This Row],[Table.Column]],ColumnMapping[Add Column Name],ColumnMapping[Old Table.Column],"",0,1)</f>
        <v/>
      </c>
      <c r="Z1285" t="str">
        <f>_xlfn.XLOOKUP(Table6[[#This Row],[Old Table.Column]],Cobra8.6[Table.Column],Cobra8.6[TYPE],"",0,1)</f>
        <v/>
      </c>
      <c r="AA1285" t="str">
        <f>_xlfn.XLOOKUP(Table6[[#This Row],[Old Table.Column]],Cobra8.6[Table.Column],Cobra8.6[LENGTH],"",0,1)</f>
        <v/>
      </c>
    </row>
    <row r="1286" spans="1:27" hidden="1" x14ac:dyDescent="0.2">
      <c r="A1286" t="s">
        <v>450</v>
      </c>
      <c r="B1286" s="39" t="s">
        <v>1945</v>
      </c>
      <c r="C1286" s="39" t="s">
        <v>1100</v>
      </c>
      <c r="D1286" s="39">
        <v>8</v>
      </c>
      <c r="E1286" s="39" t="s">
        <v>86</v>
      </c>
      <c r="F1286" s="39" t="s">
        <v>349</v>
      </c>
      <c r="G1286" s="39">
        <v>20</v>
      </c>
      <c r="H1286" s="39"/>
      <c r="I1286" s="47"/>
      <c r="J1286" s="47"/>
      <c r="K1286" s="47"/>
      <c r="L1286" s="47"/>
      <c r="M1286" s="39"/>
      <c r="N1286" s="39"/>
      <c r="O1286" s="39"/>
      <c r="P1286" s="39"/>
      <c r="Q1286" s="39" t="str">
        <f t="shared" si="43"/>
        <v>class</v>
      </c>
      <c r="R1286" t="str">
        <f>VLOOKUP(E1286,'Data Type Lookup'!$A$1:$C$21,3,FALSE)</f>
        <v>String</v>
      </c>
      <c r="S1286" s="39"/>
      <c r="W1286" t="str">
        <f t="shared" si="44"/>
        <v>LINK.CLASS</v>
      </c>
      <c r="X1286" t="str">
        <f>VLOOKUP(W1286,ColumnMapping[New Table.Column],1,)</f>
        <v>LINK.CLASS</v>
      </c>
      <c r="Y1286" t="str">
        <f>_xlfn.XLOOKUP(Table6[[#This Row],[Table.Column]],ColumnMapping[Add Column Name],ColumnMapping[Old Table.Column],"",0,1)</f>
        <v/>
      </c>
      <c r="Z1286" t="str">
        <f>_xlfn.XLOOKUP(Table6[[#This Row],[Old Table.Column]],Cobra8.6[Table.Column],Cobra8.6[TYPE],"",0,1)</f>
        <v/>
      </c>
      <c r="AA1286" t="str">
        <f>_xlfn.XLOOKUP(Table6[[#This Row],[Old Table.Column]],Cobra8.6[Table.Column],Cobra8.6[LENGTH],"",0,1)</f>
        <v/>
      </c>
    </row>
    <row r="1287" spans="1:27" hidden="1" x14ac:dyDescent="0.2">
      <c r="A1287" t="s">
        <v>450</v>
      </c>
      <c r="B1287" s="39" t="s">
        <v>1945</v>
      </c>
      <c r="C1287" s="39" t="s">
        <v>15</v>
      </c>
      <c r="D1287" s="39">
        <v>9</v>
      </c>
      <c r="E1287" s="39" t="s">
        <v>86</v>
      </c>
      <c r="F1287" s="39" t="s">
        <v>349</v>
      </c>
      <c r="G1287" s="39">
        <v>254</v>
      </c>
      <c r="H1287" s="39"/>
      <c r="I1287" s="47"/>
      <c r="J1287" s="47"/>
      <c r="K1287" s="47"/>
      <c r="L1287" s="47"/>
      <c r="M1287" s="39"/>
      <c r="N1287" s="39"/>
      <c r="O1287" s="39"/>
      <c r="P1287" s="39"/>
      <c r="Q1287" s="39" t="str">
        <f t="shared" si="43"/>
        <v>description</v>
      </c>
      <c r="R1287" t="str">
        <f>VLOOKUP(E1287,'Data Type Lookup'!$A$1:$C$21,3,FALSE)</f>
        <v>String</v>
      </c>
      <c r="S1287" s="39"/>
      <c r="W1287" t="str">
        <f t="shared" si="44"/>
        <v>LINK.DESCRIPTION</v>
      </c>
      <c r="X1287" t="str">
        <f>VLOOKUP(W1287,ColumnMapping[New Table.Column],1,)</f>
        <v>LINK.DESCRIPTION</v>
      </c>
      <c r="Y1287" t="str">
        <f>_xlfn.XLOOKUP(Table6[[#This Row],[Table.Column]],ColumnMapping[Add Column Name],ColumnMapping[Old Table.Column],"",0,1)</f>
        <v/>
      </c>
      <c r="Z1287" t="str">
        <f>_xlfn.XLOOKUP(Table6[[#This Row],[Old Table.Column]],Cobra8.6[Table.Column],Cobra8.6[TYPE],"",0,1)</f>
        <v/>
      </c>
      <c r="AA1287" t="str">
        <f>_xlfn.XLOOKUP(Table6[[#This Row],[Old Table.Column]],Cobra8.6[Table.Column],Cobra8.6[LENGTH],"",0,1)</f>
        <v/>
      </c>
    </row>
    <row r="1288" spans="1:27" hidden="1" x14ac:dyDescent="0.2">
      <c r="A1288" t="s">
        <v>450</v>
      </c>
      <c r="B1288" s="39" t="s">
        <v>1945</v>
      </c>
      <c r="C1288" s="39" t="s">
        <v>1946</v>
      </c>
      <c r="D1288" s="39">
        <v>10</v>
      </c>
      <c r="E1288" s="39" t="s">
        <v>356</v>
      </c>
      <c r="F1288" s="39" t="s">
        <v>356</v>
      </c>
      <c r="G1288" s="39"/>
      <c r="H1288" s="39"/>
      <c r="I1288" s="47"/>
      <c r="J1288" s="47"/>
      <c r="K1288" s="47"/>
      <c r="L1288" s="47"/>
      <c r="M1288" s="39"/>
      <c r="N1288" s="39"/>
      <c r="O1288" s="39"/>
      <c r="P1288" s="39"/>
      <c r="Q1288" s="39" t="str">
        <f t="shared" si="43"/>
        <v>efdate</v>
      </c>
      <c r="R1288" t="str">
        <f>VLOOKUP(E1288,'Data Type Lookup'!$A$1:$C$21,3,FALSE)</f>
        <v>java.time.Instant</v>
      </c>
      <c r="S1288" s="39"/>
      <c r="W1288" t="str">
        <f t="shared" si="44"/>
        <v>LINK.EFDATE</v>
      </c>
      <c r="X1288" t="str">
        <f>VLOOKUP(W1288,ColumnMapping[New Table.Column],1,)</f>
        <v>LINK.EFDATE</v>
      </c>
      <c r="Y1288" t="str">
        <f>_xlfn.XLOOKUP(Table6[[#This Row],[Table.Column]],ColumnMapping[Add Column Name],ColumnMapping[Old Table.Column],"",0,1)</f>
        <v/>
      </c>
      <c r="Z1288" t="str">
        <f>_xlfn.XLOOKUP(Table6[[#This Row],[Old Table.Column]],Cobra8.6[Table.Column],Cobra8.6[TYPE],"",0,1)</f>
        <v/>
      </c>
      <c r="AA1288" t="str">
        <f>_xlfn.XLOOKUP(Table6[[#This Row],[Old Table.Column]],Cobra8.6[Table.Column],Cobra8.6[LENGTH],"",0,1)</f>
        <v/>
      </c>
    </row>
    <row r="1289" spans="1:27" hidden="1" x14ac:dyDescent="0.2">
      <c r="A1289" t="s">
        <v>450</v>
      </c>
      <c r="B1289" s="39" t="s">
        <v>1945</v>
      </c>
      <c r="C1289" s="39" t="s">
        <v>1947</v>
      </c>
      <c r="D1289" s="39">
        <v>11</v>
      </c>
      <c r="E1289" s="39" t="s">
        <v>356</v>
      </c>
      <c r="F1289" s="39" t="s">
        <v>356</v>
      </c>
      <c r="G1289" s="39"/>
      <c r="H1289" s="39"/>
      <c r="I1289" s="47"/>
      <c r="J1289" s="47"/>
      <c r="K1289" s="47"/>
      <c r="L1289" s="47"/>
      <c r="M1289" s="39"/>
      <c r="N1289" s="39"/>
      <c r="O1289" s="39"/>
      <c r="P1289" s="39"/>
      <c r="Q1289" s="39" t="str">
        <f t="shared" si="43"/>
        <v>esdate</v>
      </c>
      <c r="R1289" t="str">
        <f>VLOOKUP(E1289,'Data Type Lookup'!$A$1:$C$21,3,FALSE)</f>
        <v>java.time.Instant</v>
      </c>
      <c r="S1289" s="39"/>
      <c r="W1289" t="str">
        <f t="shared" si="44"/>
        <v>LINK.ESDATE</v>
      </c>
      <c r="X1289" t="str">
        <f>VLOOKUP(W1289,ColumnMapping[New Table.Column],1,)</f>
        <v>LINK.ESDATE</v>
      </c>
      <c r="Y1289" t="str">
        <f>_xlfn.XLOOKUP(Table6[[#This Row],[Table.Column]],ColumnMapping[Add Column Name],ColumnMapping[Old Table.Column],"",0,1)</f>
        <v/>
      </c>
      <c r="Z1289" t="str">
        <f>_xlfn.XLOOKUP(Table6[[#This Row],[Old Table.Column]],Cobra8.6[Table.Column],Cobra8.6[TYPE],"",0,1)</f>
        <v/>
      </c>
      <c r="AA1289" t="str">
        <f>_xlfn.XLOOKUP(Table6[[#This Row],[Old Table.Column]],Cobra8.6[Table.Column],Cobra8.6[LENGTH],"",0,1)</f>
        <v/>
      </c>
    </row>
    <row r="1290" spans="1:27" hidden="1" x14ac:dyDescent="0.2">
      <c r="A1290" t="s">
        <v>450</v>
      </c>
      <c r="B1290" s="39" t="s">
        <v>1945</v>
      </c>
      <c r="C1290" s="39" t="s">
        <v>1948</v>
      </c>
      <c r="D1290" s="39">
        <v>12</v>
      </c>
      <c r="E1290" s="39" t="s">
        <v>86</v>
      </c>
      <c r="F1290" s="39" t="s">
        <v>349</v>
      </c>
      <c r="G1290" s="39">
        <v>20</v>
      </c>
      <c r="H1290" s="39"/>
      <c r="I1290" s="47"/>
      <c r="J1290" s="47"/>
      <c r="K1290" s="47"/>
      <c r="L1290" s="47"/>
      <c r="M1290" s="39"/>
      <c r="N1290" s="39"/>
      <c r="O1290" s="39"/>
      <c r="P1290" s="39"/>
      <c r="Q1290" s="39" t="str">
        <f t="shared" si="43"/>
        <v>fcstclass</v>
      </c>
      <c r="R1290" t="str">
        <f>VLOOKUP(E1290,'Data Type Lookup'!$A$1:$C$21,3,FALSE)</f>
        <v>String</v>
      </c>
      <c r="S1290" s="39"/>
      <c r="W1290" t="str">
        <f t="shared" si="44"/>
        <v>LINK.FCSTCLASS</v>
      </c>
      <c r="X1290" t="str">
        <f>VLOOKUP(W1290,ColumnMapping[New Table.Column],1,)</f>
        <v>LINK.FCSTCLASS</v>
      </c>
      <c r="Y1290" t="str">
        <f>_xlfn.XLOOKUP(Table6[[#This Row],[Table.Column]],ColumnMapping[Add Column Name],ColumnMapping[Old Table.Column],"",0,1)</f>
        <v/>
      </c>
      <c r="Z1290" t="str">
        <f>_xlfn.XLOOKUP(Table6[[#This Row],[Old Table.Column]],Cobra8.6[Table.Column],Cobra8.6[TYPE],"",0,1)</f>
        <v/>
      </c>
      <c r="AA1290" t="str">
        <f>_xlfn.XLOOKUP(Table6[[#This Row],[Old Table.Column]],Cobra8.6[Table.Column],Cobra8.6[LENGTH],"",0,1)</f>
        <v/>
      </c>
    </row>
    <row r="1291" spans="1:27" hidden="1" x14ac:dyDescent="0.2">
      <c r="A1291" t="s">
        <v>450</v>
      </c>
      <c r="B1291" s="39" t="s">
        <v>1945</v>
      </c>
      <c r="C1291" s="39" t="s">
        <v>1949</v>
      </c>
      <c r="D1291" s="39">
        <v>13</v>
      </c>
      <c r="E1291" s="39" t="s">
        <v>86</v>
      </c>
      <c r="F1291" s="39" t="s">
        <v>349</v>
      </c>
      <c r="G1291" s="39">
        <v>59</v>
      </c>
      <c r="H1291" s="39"/>
      <c r="I1291" s="47"/>
      <c r="J1291" s="47"/>
      <c r="K1291" s="47"/>
      <c r="L1291" s="47"/>
      <c r="M1291" s="39"/>
      <c r="N1291" s="39"/>
      <c r="O1291" s="39"/>
      <c r="P1291" s="39"/>
      <c r="Q1291" s="39" t="str">
        <f t="shared" si="43"/>
        <v>fullid</v>
      </c>
      <c r="R1291" t="str">
        <f>VLOOKUP(E1291,'Data Type Lookup'!$A$1:$C$21,3,FALSE)</f>
        <v>String</v>
      </c>
      <c r="S1291" s="39"/>
      <c r="W1291" t="str">
        <f t="shared" si="44"/>
        <v>LINK.FULLID</v>
      </c>
      <c r="X1291" t="str">
        <f>VLOOKUP(W1291,ColumnMapping[New Table.Column],1,)</f>
        <v>LINK.FULLID</v>
      </c>
      <c r="Y1291" t="str">
        <f>_xlfn.XLOOKUP(Table6[[#This Row],[Table.Column]],ColumnMapping[Add Column Name],ColumnMapping[Old Table.Column],"",0,1)</f>
        <v/>
      </c>
      <c r="Z1291" t="str">
        <f>_xlfn.XLOOKUP(Table6[[#This Row],[Old Table.Column]],Cobra8.6[Table.Column],Cobra8.6[TYPE],"",0,1)</f>
        <v/>
      </c>
      <c r="AA1291" t="str">
        <f>_xlfn.XLOOKUP(Table6[[#This Row],[Old Table.Column]],Cobra8.6[Table.Column],Cobra8.6[LENGTH],"",0,1)</f>
        <v/>
      </c>
    </row>
    <row r="1292" spans="1:27" hidden="1" x14ac:dyDescent="0.2">
      <c r="A1292" t="s">
        <v>450</v>
      </c>
      <c r="B1292" s="39" t="s">
        <v>1945</v>
      </c>
      <c r="C1292" s="39" t="s">
        <v>30</v>
      </c>
      <c r="D1292" s="39">
        <v>14</v>
      </c>
      <c r="E1292" t="s">
        <v>31</v>
      </c>
      <c r="F1292" t="str">
        <f>VLOOKUP($E1292,'Data Type Lookup'!$A$1:$C$21,2,FALSE)</f>
        <v>RAW(16)</v>
      </c>
      <c r="I1292" s="32" t="s">
        <v>32</v>
      </c>
      <c r="K1292" s="32" t="s">
        <v>32</v>
      </c>
      <c r="P1292" t="s">
        <v>1789</v>
      </c>
      <c r="Q1292" t="s">
        <v>34</v>
      </c>
      <c r="R1292" t="str">
        <f>VLOOKUP(E1292,'Data Type Lookup'!$A$1:$C$21,3,FALSE)</f>
        <v>java.util.UUID</v>
      </c>
      <c r="S1292">
        <v>3</v>
      </c>
      <c r="W1292" t="str">
        <f t="shared" si="44"/>
        <v>LINK.ROW_UID</v>
      </c>
      <c r="X1292" t="str">
        <f>VLOOKUP(W1292,ColumnMapping[New Table.Column],1,)</f>
        <v>LINK.ROW_UID</v>
      </c>
      <c r="Y1292" t="str">
        <f>_xlfn.XLOOKUP(Table6[[#This Row],[Table.Column]],ColumnMapping[Add Column Name],ColumnMapping[Old Table.Column],"",0,1)</f>
        <v/>
      </c>
      <c r="Z1292" t="str">
        <f>_xlfn.XLOOKUP(Table6[[#This Row],[Old Table.Column]],Cobra8.6[Table.Column],Cobra8.6[TYPE],"",0,1)</f>
        <v/>
      </c>
      <c r="AA1292" t="str">
        <f>_xlfn.XLOOKUP(Table6[[#This Row],[Old Table.Column]],Cobra8.6[Table.Column],Cobra8.6[LENGTH],"",0,1)</f>
        <v/>
      </c>
    </row>
    <row r="1293" spans="1:27" hidden="1" x14ac:dyDescent="0.2">
      <c r="A1293" t="s">
        <v>450</v>
      </c>
      <c r="B1293" s="39" t="s">
        <v>1945</v>
      </c>
      <c r="C1293" s="39" t="s">
        <v>1950</v>
      </c>
      <c r="D1293" s="39">
        <v>15</v>
      </c>
      <c r="E1293" s="39" t="s">
        <v>356</v>
      </c>
      <c r="F1293" s="39" t="s">
        <v>356</v>
      </c>
      <c r="G1293" s="39"/>
      <c r="H1293" s="39"/>
      <c r="I1293" s="47"/>
      <c r="J1293" s="47"/>
      <c r="K1293" s="47"/>
      <c r="L1293" s="47"/>
      <c r="M1293" s="39"/>
      <c r="N1293" s="39"/>
      <c r="O1293" s="39"/>
      <c r="P1293" s="39"/>
      <c r="Q1293" s="39" t="str">
        <f>IF(C1293="","",LOWER(LEFT(TRIM(C1293),FIND("_",TRIM(C1293)&amp;"_")-1))&amp;SUBSTITUTE(PROPER(SUBSTITUTE(MID(TRIM(C1293),FIND("_",TRIM(C1293)&amp;"_"),LEN(TRIM(C1293))),"_"," "))," ",""))</f>
        <v>lfdate</v>
      </c>
      <c r="R1293" t="str">
        <f>VLOOKUP(E1293,'Data Type Lookup'!$A$1:$C$21,3,FALSE)</f>
        <v>java.time.Instant</v>
      </c>
      <c r="S1293" s="39"/>
      <c r="W1293" t="str">
        <f t="shared" si="44"/>
        <v>LINK.LFDATE</v>
      </c>
      <c r="X1293" t="str">
        <f>VLOOKUP(W1293,ColumnMapping[New Table.Column],1,)</f>
        <v>LINK.LFDATE</v>
      </c>
      <c r="Y1293" t="str">
        <f>_xlfn.XLOOKUP(Table6[[#This Row],[Table.Column]],ColumnMapping[Add Column Name],ColumnMapping[Old Table.Column],"",0,1)</f>
        <v/>
      </c>
      <c r="Z1293" t="str">
        <f>_xlfn.XLOOKUP(Table6[[#This Row],[Old Table.Column]],Cobra8.6[Table.Column],Cobra8.6[TYPE],"",0,1)</f>
        <v/>
      </c>
      <c r="AA1293" t="str">
        <f>_xlfn.XLOOKUP(Table6[[#This Row],[Old Table.Column]],Cobra8.6[Table.Column],Cobra8.6[LENGTH],"",0,1)</f>
        <v/>
      </c>
    </row>
    <row r="1294" spans="1:27" hidden="1" x14ac:dyDescent="0.2">
      <c r="A1294" t="s">
        <v>450</v>
      </c>
      <c r="B1294" s="39" t="s">
        <v>1945</v>
      </c>
      <c r="C1294" s="39" t="s">
        <v>1951</v>
      </c>
      <c r="D1294" s="39">
        <v>16</v>
      </c>
      <c r="E1294" s="39" t="s">
        <v>356</v>
      </c>
      <c r="F1294" s="39" t="s">
        <v>356</v>
      </c>
      <c r="G1294" s="39"/>
      <c r="H1294" s="39"/>
      <c r="I1294" s="47"/>
      <c r="J1294" s="47"/>
      <c r="K1294" s="47"/>
      <c r="L1294" s="47"/>
      <c r="M1294" s="39"/>
      <c r="N1294" s="39"/>
      <c r="O1294" s="39"/>
      <c r="P1294" s="39"/>
      <c r="Q1294" s="39" t="str">
        <f t="shared" ref="Q1294:Q1308" si="45">IF(C1294="","",LOWER(LEFT(TRIM(C1294),FIND("_",TRIM(C1294)&amp;"_")-1))&amp;SUBSTITUTE(PROPER(SUBSTITUTE(MID(TRIM(C1294),FIND("_",TRIM(C1294)&amp;"_"),LEN(TRIM(C1294))),"_"," "))," ",""))</f>
        <v>lsdate</v>
      </c>
      <c r="R1294" t="str">
        <f>VLOOKUP(E1294,'Data Type Lookup'!$A$1:$C$21,3,FALSE)</f>
        <v>java.time.Instant</v>
      </c>
      <c r="S1294" s="39"/>
      <c r="W1294" t="str">
        <f t="shared" si="44"/>
        <v>LINK.LSDATE</v>
      </c>
      <c r="X1294" t="str">
        <f>VLOOKUP(W1294,ColumnMapping[New Table.Column],1,)</f>
        <v>LINK.LSDATE</v>
      </c>
      <c r="Y1294" t="str">
        <f>_xlfn.XLOOKUP(Table6[[#This Row],[Table.Column]],ColumnMapping[Add Column Name],ColumnMapping[Old Table.Column],"",0,1)</f>
        <v/>
      </c>
      <c r="Z1294" t="str">
        <f>_xlfn.XLOOKUP(Table6[[#This Row],[Old Table.Column]],Cobra8.6[Table.Column],Cobra8.6[TYPE],"",0,1)</f>
        <v/>
      </c>
      <c r="AA1294" t="str">
        <f>_xlfn.XLOOKUP(Table6[[#This Row],[Old Table.Column]],Cobra8.6[Table.Column],Cobra8.6[LENGTH],"",0,1)</f>
        <v/>
      </c>
    </row>
    <row r="1295" spans="1:27" hidden="1" x14ac:dyDescent="0.2">
      <c r="A1295" t="s">
        <v>450</v>
      </c>
      <c r="B1295" s="39" t="s">
        <v>1945</v>
      </c>
      <c r="C1295" s="39" t="s">
        <v>1952</v>
      </c>
      <c r="D1295" s="39">
        <v>17</v>
      </c>
      <c r="E1295" s="39" t="s">
        <v>86</v>
      </c>
      <c r="F1295" s="39" t="s">
        <v>349</v>
      </c>
      <c r="G1295" s="39">
        <v>59</v>
      </c>
      <c r="H1295" s="39"/>
      <c r="I1295" s="47"/>
      <c r="J1295" s="47"/>
      <c r="K1295" s="47"/>
      <c r="L1295" s="47"/>
      <c r="M1295" s="39"/>
      <c r="N1295" s="39"/>
      <c r="O1295" s="39"/>
      <c r="P1295" s="39"/>
      <c r="Q1295" s="39" t="str">
        <f t="shared" si="45"/>
        <v>msNo</v>
      </c>
      <c r="R1295" t="str">
        <f>VLOOKUP(E1295,'Data Type Lookup'!$A$1:$C$21,3,FALSE)</f>
        <v>String</v>
      </c>
      <c r="S1295" s="39"/>
      <c r="W1295" t="str">
        <f t="shared" si="44"/>
        <v>LINK.MS_NO</v>
      </c>
      <c r="X1295" t="str">
        <f>VLOOKUP(W1295,ColumnMapping[New Table.Column],1,)</f>
        <v>LINK.MS_NO</v>
      </c>
      <c r="Y1295" t="str">
        <f>_xlfn.XLOOKUP(Table6[[#This Row],[Table.Column]],ColumnMapping[Add Column Name],ColumnMapping[Old Table.Column],"",0,1)</f>
        <v/>
      </c>
      <c r="Z1295" t="str">
        <f>_xlfn.XLOOKUP(Table6[[#This Row],[Old Table.Column]],Cobra8.6[Table.Column],Cobra8.6[TYPE],"",0,1)</f>
        <v/>
      </c>
      <c r="AA1295" t="str">
        <f>_xlfn.XLOOKUP(Table6[[#This Row],[Old Table.Column]],Cobra8.6[Table.Column],Cobra8.6[LENGTH],"",0,1)</f>
        <v/>
      </c>
    </row>
    <row r="1296" spans="1:27" hidden="1" x14ac:dyDescent="0.2">
      <c r="A1296" t="s">
        <v>450</v>
      </c>
      <c r="B1296" s="39" t="s">
        <v>1945</v>
      </c>
      <c r="C1296" s="39" t="s">
        <v>1953</v>
      </c>
      <c r="D1296" s="39">
        <v>18</v>
      </c>
      <c r="E1296" s="39" t="s">
        <v>161</v>
      </c>
      <c r="F1296" s="39" t="s">
        <v>795</v>
      </c>
      <c r="G1296" s="39"/>
      <c r="H1296" s="39"/>
      <c r="I1296" s="47"/>
      <c r="J1296" s="47">
        <v>0</v>
      </c>
      <c r="K1296" s="47"/>
      <c r="L1296" s="47"/>
      <c r="M1296" s="39"/>
      <c r="N1296" s="39"/>
      <c r="O1296" s="39"/>
      <c r="P1296" s="39"/>
      <c r="Q1296" s="39" t="str">
        <f t="shared" si="45"/>
        <v>msweight</v>
      </c>
      <c r="R1296" t="str">
        <f>VLOOKUP(E1296,'Data Type Lookup'!$A$1:$C$21,3,FALSE)</f>
        <v>java.math.BigDecimal</v>
      </c>
      <c r="S1296" s="39"/>
      <c r="W1296" t="str">
        <f t="shared" si="44"/>
        <v>LINK.MSWEIGHT</v>
      </c>
      <c r="X1296" t="str">
        <f>VLOOKUP(W1296,ColumnMapping[New Table.Column],1,)</f>
        <v>LINK.MSWEIGHT</v>
      </c>
      <c r="Y1296" t="str">
        <f>_xlfn.XLOOKUP(Table6[[#This Row],[Table.Column]],ColumnMapping[Add Column Name],ColumnMapping[Old Table.Column],"",0,1)</f>
        <v/>
      </c>
      <c r="Z1296" t="str">
        <f>_xlfn.XLOOKUP(Table6[[#This Row],[Old Table.Column]],Cobra8.6[Table.Column],Cobra8.6[TYPE],"",0,1)</f>
        <v/>
      </c>
      <c r="AA1296" t="str">
        <f>_xlfn.XLOOKUP(Table6[[#This Row],[Old Table.Column]],Cobra8.6[Table.Column],Cobra8.6[LENGTH],"",0,1)</f>
        <v/>
      </c>
    </row>
    <row r="1297" spans="1:27" hidden="1" x14ac:dyDescent="0.2">
      <c r="A1297" t="s">
        <v>450</v>
      </c>
      <c r="B1297" s="39" t="s">
        <v>1945</v>
      </c>
      <c r="C1297" s="39" t="s">
        <v>1954</v>
      </c>
      <c r="D1297" s="39">
        <v>19</v>
      </c>
      <c r="E1297" s="39" t="s">
        <v>356</v>
      </c>
      <c r="F1297" s="39" t="s">
        <v>356</v>
      </c>
      <c r="G1297" s="39"/>
      <c r="H1297" s="39"/>
      <c r="I1297" s="47"/>
      <c r="J1297" s="47"/>
      <c r="K1297" s="47"/>
      <c r="L1297" s="47"/>
      <c r="M1297" s="39"/>
      <c r="N1297" s="39"/>
      <c r="O1297" s="39"/>
      <c r="P1297" s="39"/>
      <c r="Q1297" s="39" t="str">
        <f t="shared" si="45"/>
        <v>pfinish</v>
      </c>
      <c r="R1297" t="str">
        <f>VLOOKUP(E1297,'Data Type Lookup'!$A$1:$C$21,3,FALSE)</f>
        <v>java.time.Instant</v>
      </c>
      <c r="S1297" s="39"/>
      <c r="W1297" t="str">
        <f t="shared" si="44"/>
        <v>LINK.PFINISH</v>
      </c>
      <c r="X1297" t="str">
        <f>VLOOKUP(W1297,ColumnMapping[New Table.Column],1,)</f>
        <v>LINK.PFINISH</v>
      </c>
      <c r="Y1297" t="str">
        <f>_xlfn.XLOOKUP(Table6[[#This Row],[Table.Column]],ColumnMapping[Add Column Name],ColumnMapping[Old Table.Column],"",0,1)</f>
        <v/>
      </c>
      <c r="Z1297" t="str">
        <f>_xlfn.XLOOKUP(Table6[[#This Row],[Old Table.Column]],Cobra8.6[Table.Column],Cobra8.6[TYPE],"",0,1)</f>
        <v/>
      </c>
      <c r="AA1297" t="str">
        <f>_xlfn.XLOOKUP(Table6[[#This Row],[Old Table.Column]],Cobra8.6[Table.Column],Cobra8.6[LENGTH],"",0,1)</f>
        <v/>
      </c>
    </row>
    <row r="1298" spans="1:27" hidden="1" x14ac:dyDescent="0.2">
      <c r="A1298" t="s">
        <v>450</v>
      </c>
      <c r="B1298" s="39" t="s">
        <v>1945</v>
      </c>
      <c r="C1298" s="39" t="s">
        <v>1242</v>
      </c>
      <c r="D1298" s="39">
        <v>20</v>
      </c>
      <c r="E1298" s="39" t="s">
        <v>86</v>
      </c>
      <c r="F1298" s="39" t="s">
        <v>349</v>
      </c>
      <c r="G1298" s="39">
        <v>1</v>
      </c>
      <c r="H1298" s="39"/>
      <c r="I1298" s="47"/>
      <c r="J1298" s="47"/>
      <c r="K1298" s="47"/>
      <c r="L1298" s="47"/>
      <c r="M1298" s="39"/>
      <c r="N1298" s="39"/>
      <c r="O1298" s="39"/>
      <c r="P1298" s="39"/>
      <c r="Q1298" s="39" t="str">
        <f t="shared" si="45"/>
        <v>pmt</v>
      </c>
      <c r="R1298" t="str">
        <f>VLOOKUP(E1298,'Data Type Lookup'!$A$1:$C$21,3,FALSE)</f>
        <v>String</v>
      </c>
      <c r="S1298" s="39"/>
      <c r="W1298" t="str">
        <f t="shared" si="44"/>
        <v>LINK.PMT</v>
      </c>
      <c r="X1298" t="str">
        <f>VLOOKUP(W1298,ColumnMapping[New Table.Column],1,)</f>
        <v>LINK.PMT</v>
      </c>
      <c r="Y1298" t="str">
        <f>_xlfn.XLOOKUP(Table6[[#This Row],[Table.Column]],ColumnMapping[Add Column Name],ColumnMapping[Old Table.Column],"",0,1)</f>
        <v/>
      </c>
      <c r="Z1298" t="str">
        <f>_xlfn.XLOOKUP(Table6[[#This Row],[Old Table.Column]],Cobra8.6[Table.Column],Cobra8.6[TYPE],"",0,1)</f>
        <v/>
      </c>
      <c r="AA1298" t="str">
        <f>_xlfn.XLOOKUP(Table6[[#This Row],[Old Table.Column]],Cobra8.6[Table.Column],Cobra8.6[LENGTH],"",0,1)</f>
        <v/>
      </c>
    </row>
    <row r="1299" spans="1:27" hidden="1" x14ac:dyDescent="0.2">
      <c r="A1299" t="s">
        <v>450</v>
      </c>
      <c r="B1299" s="39" t="s">
        <v>1945</v>
      </c>
      <c r="C1299" s="39" t="s">
        <v>1955</v>
      </c>
      <c r="D1299" s="39">
        <v>21</v>
      </c>
      <c r="E1299" s="39" t="s">
        <v>86</v>
      </c>
      <c r="F1299" s="39" t="s">
        <v>349</v>
      </c>
      <c r="G1299" s="39">
        <v>15</v>
      </c>
      <c r="H1299" s="39"/>
      <c r="I1299" s="47"/>
      <c r="J1299" s="47"/>
      <c r="K1299" s="47"/>
      <c r="L1299" s="47"/>
      <c r="M1299" s="39"/>
      <c r="N1299" s="39"/>
      <c r="O1299" s="39"/>
      <c r="P1299" s="39"/>
      <c r="Q1299" s="39" t="str">
        <f t="shared" si="45"/>
        <v>prjname</v>
      </c>
      <c r="R1299" t="str">
        <f>VLOOKUP(E1299,'Data Type Lookup'!$A$1:$C$21,3,FALSE)</f>
        <v>String</v>
      </c>
      <c r="S1299" s="39"/>
      <c r="W1299" t="str">
        <f t="shared" si="44"/>
        <v>LINK.PRJNAME</v>
      </c>
      <c r="X1299" t="str">
        <f>VLOOKUP(W1299,ColumnMapping[New Table.Column],1,)</f>
        <v>LINK.PRJNAME</v>
      </c>
      <c r="Y1299" t="str">
        <f>_xlfn.XLOOKUP(Table6[[#This Row],[Table.Column]],ColumnMapping[Add Column Name],ColumnMapping[Old Table.Column],"",0,1)</f>
        <v/>
      </c>
      <c r="Z1299" t="str">
        <f>_xlfn.XLOOKUP(Table6[[#This Row],[Old Table.Column]],Cobra8.6[Table.Column],Cobra8.6[TYPE],"",0,1)</f>
        <v/>
      </c>
      <c r="AA1299" t="str">
        <f>_xlfn.XLOOKUP(Table6[[#This Row],[Old Table.Column]],Cobra8.6[Table.Column],Cobra8.6[LENGTH],"",0,1)</f>
        <v/>
      </c>
    </row>
    <row r="1300" spans="1:27" hidden="1" x14ac:dyDescent="0.2">
      <c r="A1300" t="s">
        <v>450</v>
      </c>
      <c r="B1300" s="39" t="s">
        <v>1945</v>
      </c>
      <c r="C1300" s="39" t="s">
        <v>744</v>
      </c>
      <c r="D1300" s="39">
        <v>22</v>
      </c>
      <c r="E1300" s="39" t="s">
        <v>86</v>
      </c>
      <c r="F1300" s="39" t="s">
        <v>349</v>
      </c>
      <c r="G1300" s="39">
        <v>22</v>
      </c>
      <c r="H1300" s="39"/>
      <c r="I1300" s="47"/>
      <c r="J1300" s="47"/>
      <c r="K1300" s="47"/>
      <c r="L1300" s="47"/>
      <c r="M1300" s="39"/>
      <c r="N1300" s="39"/>
      <c r="O1300" s="39"/>
      <c r="P1300" s="39"/>
      <c r="Q1300" s="39" t="str">
        <f t="shared" si="45"/>
        <v>program</v>
      </c>
      <c r="R1300" t="str">
        <f>VLOOKUP(E1300,'Data Type Lookup'!$A$1:$C$21,3,FALSE)</f>
        <v>String</v>
      </c>
      <c r="S1300" s="39"/>
      <c r="W1300" t="str">
        <f t="shared" si="44"/>
        <v>LINK.PROGRAM</v>
      </c>
      <c r="X1300" t="str">
        <f>VLOOKUP(W1300,ColumnMapping[New Table.Column],1,)</f>
        <v>LINK.PROGRAM</v>
      </c>
      <c r="Y1300" t="str">
        <f>_xlfn.XLOOKUP(Table6[[#This Row],[Table.Column]],ColumnMapping[Add Column Name],ColumnMapping[Old Table.Column],"",0,1)</f>
        <v/>
      </c>
      <c r="Z1300" t="str">
        <f>_xlfn.XLOOKUP(Table6[[#This Row],[Old Table.Column]],Cobra8.6[Table.Column],Cobra8.6[TYPE],"",0,1)</f>
        <v/>
      </c>
      <c r="AA1300" t="str">
        <f>_xlfn.XLOOKUP(Table6[[#This Row],[Old Table.Column]],Cobra8.6[Table.Column],Cobra8.6[LENGTH],"",0,1)</f>
        <v/>
      </c>
    </row>
    <row r="1301" spans="1:27" hidden="1" x14ac:dyDescent="0.2">
      <c r="A1301" t="s">
        <v>450</v>
      </c>
      <c r="B1301" s="39" t="s">
        <v>1945</v>
      </c>
      <c r="C1301" s="39" t="s">
        <v>770</v>
      </c>
      <c r="D1301" s="39">
        <v>23</v>
      </c>
      <c r="E1301" s="39" t="s">
        <v>31</v>
      </c>
      <c r="F1301" s="39" t="s">
        <v>765</v>
      </c>
      <c r="G1301" s="39"/>
      <c r="H1301" s="39"/>
      <c r="I1301" s="47"/>
      <c r="J1301" s="47"/>
      <c r="K1301" s="47"/>
      <c r="L1301" s="47"/>
      <c r="M1301" s="39" t="s">
        <v>451</v>
      </c>
      <c r="N1301" s="39" t="s">
        <v>30</v>
      </c>
      <c r="O1301" s="39" t="s">
        <v>1914</v>
      </c>
      <c r="P1301" s="39"/>
      <c r="Q1301" s="39" t="str">
        <f t="shared" si="45"/>
        <v>projectUid</v>
      </c>
      <c r="R1301" t="str">
        <f>VLOOKUP(E1301,'Data Type Lookup'!$A$1:$C$21,3,FALSE)</f>
        <v>java.util.UUID</v>
      </c>
      <c r="S1301" s="39"/>
      <c r="W1301" t="str">
        <f t="shared" si="44"/>
        <v>LINK.PROJECT_UID</v>
      </c>
      <c r="X1301" t="str">
        <f>VLOOKUP(W1301,ColumnMapping[New Table.Column],1,)</f>
        <v>LINK.PROJECT_UID</v>
      </c>
      <c r="Y1301" t="str">
        <f>_xlfn.XLOOKUP(Table6[[#This Row],[Table.Column]],ColumnMapping[Add Column Name],ColumnMapping[Old Table.Column],"",0,1)</f>
        <v/>
      </c>
      <c r="Z1301" t="str">
        <f>_xlfn.XLOOKUP(Table6[[#This Row],[Old Table.Column]],Cobra8.6[Table.Column],Cobra8.6[TYPE],"",0,1)</f>
        <v/>
      </c>
      <c r="AA1301" t="str">
        <f>_xlfn.XLOOKUP(Table6[[#This Row],[Old Table.Column]],Cobra8.6[Table.Column],Cobra8.6[LENGTH],"",0,1)</f>
        <v/>
      </c>
    </row>
    <row r="1302" spans="1:27" hidden="1" x14ac:dyDescent="0.2">
      <c r="A1302" t="s">
        <v>450</v>
      </c>
      <c r="B1302" s="39" t="s">
        <v>1945</v>
      </c>
      <c r="C1302" s="39" t="s">
        <v>1956</v>
      </c>
      <c r="D1302" s="39">
        <v>24</v>
      </c>
      <c r="E1302" s="39" t="s">
        <v>356</v>
      </c>
      <c r="F1302" s="39" t="s">
        <v>356</v>
      </c>
      <c r="G1302" s="39"/>
      <c r="H1302" s="39"/>
      <c r="I1302" s="47"/>
      <c r="J1302" s="47"/>
      <c r="K1302" s="47"/>
      <c r="L1302" s="47"/>
      <c r="M1302" s="39"/>
      <c r="N1302" s="39"/>
      <c r="O1302" s="39"/>
      <c r="P1302" s="39"/>
      <c r="Q1302" s="39" t="str">
        <f t="shared" si="45"/>
        <v>pstart</v>
      </c>
      <c r="R1302" t="str">
        <f>VLOOKUP(E1302,'Data Type Lookup'!$A$1:$C$21,3,FALSE)</f>
        <v>java.time.Instant</v>
      </c>
      <c r="S1302" s="39"/>
      <c r="W1302" t="str">
        <f t="shared" si="44"/>
        <v>LINK.PSTART</v>
      </c>
      <c r="X1302" t="str">
        <f>VLOOKUP(W1302,ColumnMapping[New Table.Column],1,)</f>
        <v>LINK.PSTART</v>
      </c>
      <c r="Y1302" t="str">
        <f>_xlfn.XLOOKUP(Table6[[#This Row],[Table.Column]],ColumnMapping[Add Column Name],ColumnMapping[Old Table.Column],"",0,1)</f>
        <v/>
      </c>
      <c r="Z1302" t="str">
        <f>_xlfn.XLOOKUP(Table6[[#This Row],[Old Table.Column]],Cobra8.6[Table.Column],Cobra8.6[TYPE],"",0,1)</f>
        <v/>
      </c>
      <c r="AA1302" t="str">
        <f>_xlfn.XLOOKUP(Table6[[#This Row],[Old Table.Column]],Cobra8.6[Table.Column],Cobra8.6[LENGTH],"",0,1)</f>
        <v/>
      </c>
    </row>
    <row r="1303" spans="1:27" hidden="1" x14ac:dyDescent="0.2">
      <c r="A1303" t="s">
        <v>450</v>
      </c>
      <c r="B1303" s="39" t="s">
        <v>1945</v>
      </c>
      <c r="C1303" s="39" t="s">
        <v>1957</v>
      </c>
      <c r="D1303" s="39">
        <v>25</v>
      </c>
      <c r="E1303" s="39" t="s">
        <v>356</v>
      </c>
      <c r="F1303" s="39" t="s">
        <v>356</v>
      </c>
      <c r="G1303" s="39"/>
      <c r="H1303" s="39"/>
      <c r="I1303" s="47"/>
      <c r="J1303" s="47"/>
      <c r="K1303" s="47"/>
      <c r="L1303" s="47"/>
      <c r="M1303" s="39"/>
      <c r="N1303" s="39"/>
      <c r="O1303" s="39"/>
      <c r="P1303" s="39"/>
      <c r="Q1303" s="39" t="str">
        <f t="shared" si="45"/>
        <v>sfdate</v>
      </c>
      <c r="R1303" t="str">
        <f>VLOOKUP(E1303,'Data Type Lookup'!$A$1:$C$21,3,FALSE)</f>
        <v>java.time.Instant</v>
      </c>
      <c r="S1303" s="39"/>
      <c r="W1303" t="str">
        <f t="shared" si="44"/>
        <v>LINK.SFDATE</v>
      </c>
      <c r="X1303" t="str">
        <f>VLOOKUP(W1303,ColumnMapping[New Table.Column],1,)</f>
        <v>LINK.SFDATE</v>
      </c>
      <c r="Y1303" t="str">
        <f>_xlfn.XLOOKUP(Table6[[#This Row],[Table.Column]],ColumnMapping[Add Column Name],ColumnMapping[Old Table.Column],"",0,1)</f>
        <v/>
      </c>
      <c r="Z1303" t="str">
        <f>_xlfn.XLOOKUP(Table6[[#This Row],[Old Table.Column]],Cobra8.6[Table.Column],Cobra8.6[TYPE],"",0,1)</f>
        <v/>
      </c>
      <c r="AA1303" t="str">
        <f>_xlfn.XLOOKUP(Table6[[#This Row],[Old Table.Column]],Cobra8.6[Table.Column],Cobra8.6[LENGTH],"",0,1)</f>
        <v/>
      </c>
    </row>
    <row r="1304" spans="1:27" hidden="1" x14ac:dyDescent="0.2">
      <c r="A1304" t="s">
        <v>450</v>
      </c>
      <c r="B1304" s="39" t="s">
        <v>1945</v>
      </c>
      <c r="C1304" s="39" t="s">
        <v>1958</v>
      </c>
      <c r="D1304" s="39">
        <v>26</v>
      </c>
      <c r="E1304" s="39" t="s">
        <v>356</v>
      </c>
      <c r="F1304" s="39" t="s">
        <v>356</v>
      </c>
      <c r="G1304" s="39"/>
      <c r="H1304" s="39"/>
      <c r="I1304" s="47"/>
      <c r="J1304" s="47"/>
      <c r="K1304" s="47"/>
      <c r="L1304" s="47"/>
      <c r="M1304" s="39"/>
      <c r="N1304" s="39"/>
      <c r="O1304" s="39"/>
      <c r="P1304" s="39"/>
      <c r="Q1304" s="39" t="str">
        <f t="shared" si="45"/>
        <v>ssdate</v>
      </c>
      <c r="R1304" t="str">
        <f>VLOOKUP(E1304,'Data Type Lookup'!$A$1:$C$21,3,FALSE)</f>
        <v>java.time.Instant</v>
      </c>
      <c r="S1304" s="39"/>
      <c r="W1304" t="str">
        <f t="shared" si="44"/>
        <v>LINK.SSDATE</v>
      </c>
      <c r="X1304" t="str">
        <f>VLOOKUP(W1304,ColumnMapping[New Table.Column],1,)</f>
        <v>LINK.SSDATE</v>
      </c>
      <c r="Y1304" t="str">
        <f>_xlfn.XLOOKUP(Table6[[#This Row],[Table.Column]],ColumnMapping[Add Column Name],ColumnMapping[Old Table.Column],"",0,1)</f>
        <v/>
      </c>
      <c r="Z1304" t="str">
        <f>_xlfn.XLOOKUP(Table6[[#This Row],[Old Table.Column]],Cobra8.6[Table.Column],Cobra8.6[TYPE],"",0,1)</f>
        <v/>
      </c>
      <c r="AA1304" t="str">
        <f>_xlfn.XLOOKUP(Table6[[#This Row],[Old Table.Column]],Cobra8.6[Table.Column],Cobra8.6[LENGTH],"",0,1)</f>
        <v/>
      </c>
    </row>
    <row r="1305" spans="1:27" hidden="1" x14ac:dyDescent="0.2">
      <c r="A1305" t="s">
        <v>450</v>
      </c>
      <c r="B1305" s="39" t="s">
        <v>1945</v>
      </c>
      <c r="C1305" s="39" t="s">
        <v>1394</v>
      </c>
      <c r="D1305" s="39">
        <v>27</v>
      </c>
      <c r="E1305" s="39" t="s">
        <v>36</v>
      </c>
      <c r="F1305" s="39" t="s">
        <v>768</v>
      </c>
      <c r="G1305" s="39"/>
      <c r="H1305" s="39"/>
      <c r="I1305" s="47"/>
      <c r="J1305" s="47">
        <v>0</v>
      </c>
      <c r="K1305" s="47"/>
      <c r="L1305" s="47"/>
      <c r="M1305" s="39"/>
      <c r="N1305" s="39"/>
      <c r="O1305" s="39"/>
      <c r="P1305" s="39"/>
      <c r="Q1305" s="39" t="str">
        <f t="shared" si="45"/>
        <v>startpc</v>
      </c>
      <c r="R1305" t="str">
        <f>VLOOKUP(E1305,'Data Type Lookup'!$A$1:$C$21,3,FALSE)</f>
        <v>Long</v>
      </c>
      <c r="S1305" s="39"/>
      <c r="W1305" t="str">
        <f t="shared" si="44"/>
        <v>LINK.STARTPC</v>
      </c>
      <c r="X1305" t="str">
        <f>VLOOKUP(W1305,ColumnMapping[New Table.Column],1,)</f>
        <v>LINK.STARTPC</v>
      </c>
      <c r="Y1305" t="str">
        <f>_xlfn.XLOOKUP(Table6[[#This Row],[Table.Column]],ColumnMapping[Add Column Name],ColumnMapping[Old Table.Column],"",0,1)</f>
        <v/>
      </c>
      <c r="Z1305" t="str">
        <f>_xlfn.XLOOKUP(Table6[[#This Row],[Old Table.Column]],Cobra8.6[Table.Column],Cobra8.6[TYPE],"",0,1)</f>
        <v/>
      </c>
      <c r="AA1305" t="str">
        <f>_xlfn.XLOOKUP(Table6[[#This Row],[Old Table.Column]],Cobra8.6[Table.Column],Cobra8.6[LENGTH],"",0,1)</f>
        <v/>
      </c>
    </row>
    <row r="1306" spans="1:27" hidden="1" x14ac:dyDescent="0.2">
      <c r="A1306" t="s">
        <v>450</v>
      </c>
      <c r="B1306" s="39" t="s">
        <v>1945</v>
      </c>
      <c r="C1306" s="39" t="s">
        <v>1396</v>
      </c>
      <c r="D1306" s="39">
        <v>28</v>
      </c>
      <c r="E1306" s="39" t="s">
        <v>36</v>
      </c>
      <c r="F1306" s="39" t="s">
        <v>768</v>
      </c>
      <c r="G1306" s="39"/>
      <c r="H1306" s="39"/>
      <c r="I1306" s="47"/>
      <c r="J1306" s="47">
        <v>0</v>
      </c>
      <c r="K1306" s="47"/>
      <c r="L1306" s="47"/>
      <c r="M1306" s="39"/>
      <c r="N1306" s="39"/>
      <c r="O1306" s="39"/>
      <c r="P1306" s="39"/>
      <c r="Q1306" s="39" t="str">
        <f t="shared" si="45"/>
        <v>unitstodo</v>
      </c>
      <c r="R1306" t="str">
        <f>VLOOKUP(E1306,'Data Type Lookup'!$A$1:$C$21,3,FALSE)</f>
        <v>Long</v>
      </c>
      <c r="S1306" s="39"/>
      <c r="W1306" t="str">
        <f t="shared" si="44"/>
        <v>LINK.UNITSTODO</v>
      </c>
      <c r="X1306" t="str">
        <f>VLOOKUP(W1306,ColumnMapping[New Table.Column],1,)</f>
        <v>LINK.UNITSTODO</v>
      </c>
      <c r="Y1306" t="str">
        <f>_xlfn.XLOOKUP(Table6[[#This Row],[Table.Column]],ColumnMapping[Add Column Name],ColumnMapping[Old Table.Column],"",0,1)</f>
        <v/>
      </c>
      <c r="Z1306" t="str">
        <f>_xlfn.XLOOKUP(Table6[[#This Row],[Old Table.Column]],Cobra8.6[Table.Column],Cobra8.6[TYPE],"",0,1)</f>
        <v/>
      </c>
      <c r="AA1306" t="str">
        <f>_xlfn.XLOOKUP(Table6[[#This Row],[Old Table.Column]],Cobra8.6[Table.Column],Cobra8.6[LENGTH],"",0,1)</f>
        <v/>
      </c>
    </row>
    <row r="1307" spans="1:27" hidden="1" x14ac:dyDescent="0.2">
      <c r="A1307" t="s">
        <v>450</v>
      </c>
      <c r="B1307" s="39" t="s">
        <v>1945</v>
      </c>
      <c r="C1307" s="39" t="s">
        <v>1959</v>
      </c>
      <c r="D1307" s="39">
        <v>29</v>
      </c>
      <c r="E1307" s="39" t="s">
        <v>86</v>
      </c>
      <c r="F1307" s="39" t="s">
        <v>349</v>
      </c>
      <c r="G1307" s="39">
        <v>1</v>
      </c>
      <c r="H1307" s="39"/>
      <c r="I1307" s="47"/>
      <c r="J1307" s="47"/>
      <c r="K1307" s="47"/>
      <c r="L1307" s="47"/>
      <c r="M1307" s="39"/>
      <c r="N1307" s="39"/>
      <c r="O1307" s="39"/>
      <c r="P1307" s="39"/>
      <c r="Q1307" s="39" t="str">
        <f t="shared" si="45"/>
        <v>valid</v>
      </c>
      <c r="R1307" t="str">
        <f>VLOOKUP(E1307,'Data Type Lookup'!$A$1:$C$21,3,FALSE)</f>
        <v>String</v>
      </c>
      <c r="S1307" s="39"/>
      <c r="W1307" t="str">
        <f t="shared" si="44"/>
        <v>LINK.VALID</v>
      </c>
      <c r="X1307" t="str">
        <f>VLOOKUP(W1307,ColumnMapping[New Table.Column],1,)</f>
        <v>LINK.VALID</v>
      </c>
      <c r="Y1307" t="str">
        <f>_xlfn.XLOOKUP(Table6[[#This Row],[Table.Column]],ColumnMapping[Add Column Name],ColumnMapping[Old Table.Column],"",0,1)</f>
        <v/>
      </c>
      <c r="Z1307" t="str">
        <f>_xlfn.XLOOKUP(Table6[[#This Row],[Old Table.Column]],Cobra8.6[Table.Column],Cobra8.6[TYPE],"",0,1)</f>
        <v/>
      </c>
      <c r="AA1307" t="str">
        <f>_xlfn.XLOOKUP(Table6[[#This Row],[Old Table.Column]],Cobra8.6[Table.Column],Cobra8.6[LENGTH],"",0,1)</f>
        <v/>
      </c>
    </row>
    <row r="1308" spans="1:27" hidden="1" x14ac:dyDescent="0.2">
      <c r="A1308" t="s">
        <v>450</v>
      </c>
      <c r="B1308" s="39" t="s">
        <v>1945</v>
      </c>
      <c r="C1308" s="39" t="s">
        <v>1398</v>
      </c>
      <c r="D1308" s="39">
        <v>30</v>
      </c>
      <c r="E1308" s="39" t="s">
        <v>86</v>
      </c>
      <c r="F1308" s="39" t="s">
        <v>349</v>
      </c>
      <c r="G1308" s="39">
        <v>59</v>
      </c>
      <c r="H1308" s="39"/>
      <c r="I1308" s="47"/>
      <c r="J1308" s="47"/>
      <c r="K1308" s="47"/>
      <c r="L1308" s="47"/>
      <c r="M1308" s="39"/>
      <c r="N1308" s="39"/>
      <c r="O1308" s="39"/>
      <c r="P1308" s="39"/>
      <c r="Q1308" s="39" t="str">
        <f t="shared" si="45"/>
        <v>wp</v>
      </c>
      <c r="R1308" t="str">
        <f>VLOOKUP(E1308,'Data Type Lookup'!$A$1:$C$21,3,FALSE)</f>
        <v>String</v>
      </c>
      <c r="S1308" s="39"/>
      <c r="W1308" t="str">
        <f t="shared" si="44"/>
        <v>LINK.WP</v>
      </c>
      <c r="X1308" t="str">
        <f>VLOOKUP(W1308,ColumnMapping[New Table.Column],1,)</f>
        <v>LINK.WP</v>
      </c>
      <c r="Y1308" t="str">
        <f>_xlfn.XLOOKUP(Table6[[#This Row],[Table.Column]],ColumnMapping[Add Column Name],ColumnMapping[Old Table.Column],"",0,1)</f>
        <v/>
      </c>
      <c r="Z1308" t="str">
        <f>_xlfn.XLOOKUP(Table6[[#This Row],[Old Table.Column]],Cobra8.6[Table.Column],Cobra8.6[TYPE],"",0,1)</f>
        <v/>
      </c>
      <c r="AA1308" t="str">
        <f>_xlfn.XLOOKUP(Table6[[#This Row],[Old Table.Column]],Cobra8.6[Table.Column],Cobra8.6[LENGTH],"",0,1)</f>
        <v/>
      </c>
    </row>
    <row r="1309" spans="1:27" hidden="1" x14ac:dyDescent="0.2">
      <c r="A1309" t="s">
        <v>450</v>
      </c>
      <c r="B1309" s="39" t="s">
        <v>1945</v>
      </c>
      <c r="C1309" s="39" t="s">
        <v>35</v>
      </c>
      <c r="D1309" s="39">
        <v>31</v>
      </c>
      <c r="E1309" t="s">
        <v>36</v>
      </c>
      <c r="F1309" t="str">
        <f>VLOOKUP($E1309,'Data Type Lookup'!$A$1:$C$21,2,FALSE)</f>
        <v>NUMBER(19,0)</v>
      </c>
      <c r="I1309" s="32" t="s">
        <v>32</v>
      </c>
      <c r="J1309" s="32">
        <v>0</v>
      </c>
      <c r="P1309" t="s">
        <v>37</v>
      </c>
      <c r="Q1309" t="s">
        <v>38</v>
      </c>
      <c r="R1309" t="str">
        <f>VLOOKUP(E1309,'Data Type Lookup'!$A$1:$C$21,3,FALSE)</f>
        <v>Long</v>
      </c>
      <c r="S1309">
        <v>3</v>
      </c>
      <c r="W1309" t="str">
        <f t="shared" si="44"/>
        <v>LINK.SEQUENCE</v>
      </c>
      <c r="X1309" t="str">
        <f>VLOOKUP(W1309,ColumnMapping[New Table.Column],1,)</f>
        <v>LINK.SEQUENCE</v>
      </c>
      <c r="Y1309" t="str">
        <f>_xlfn.XLOOKUP(Table6[[#This Row],[Table.Column]],ColumnMapping[Add Column Name],ColumnMapping[Old Table.Column],"",0,1)</f>
        <v/>
      </c>
      <c r="Z1309" t="str">
        <f>_xlfn.XLOOKUP(Table6[[#This Row],[Old Table.Column]],Cobra8.6[Table.Column],Cobra8.6[TYPE],"",0,1)</f>
        <v/>
      </c>
      <c r="AA1309" t="str">
        <f>_xlfn.XLOOKUP(Table6[[#This Row],[Old Table.Column]],Cobra8.6[Table.Column],Cobra8.6[LENGTH],"",0,1)</f>
        <v/>
      </c>
    </row>
    <row r="1310" spans="1:27" hidden="1" x14ac:dyDescent="0.2">
      <c r="A1310" t="s">
        <v>450</v>
      </c>
      <c r="B1310" s="39" t="s">
        <v>1945</v>
      </c>
      <c r="C1310" s="39" t="s">
        <v>71</v>
      </c>
      <c r="D1310" s="39">
        <v>32</v>
      </c>
      <c r="E1310" t="s">
        <v>65</v>
      </c>
      <c r="F1310" t="str">
        <f>VLOOKUP($E1310,'Data Type Lookup'!$A$1:$C$21,2,FALSE)</f>
        <v>TIMESTAMP</v>
      </c>
      <c r="I1310" s="32" t="s">
        <v>32</v>
      </c>
      <c r="P1310" t="s">
        <v>1633</v>
      </c>
      <c r="Q1310" t="s">
        <v>73</v>
      </c>
      <c r="R1310" t="str">
        <f>VLOOKUP(E1310,'Data Type Lookup'!$A$1:$C$21,3,FALSE)</f>
        <v>java.time.Instant</v>
      </c>
      <c r="S1310">
        <v>2</v>
      </c>
      <c r="W1310" t="str">
        <f t="shared" si="44"/>
        <v>LINK.LAST_MODIFIED_DATE</v>
      </c>
      <c r="X1310" t="str">
        <f>VLOOKUP(W1310,ColumnMapping[New Table.Column],1,)</f>
        <v>LINK.LAST_MODIFIED_DATE</v>
      </c>
      <c r="Y1310" t="str">
        <f>_xlfn.XLOOKUP(Table6[[#This Row],[Table.Column]],ColumnMapping[Add Column Name],ColumnMapping[Old Table.Column],"",0,1)</f>
        <v/>
      </c>
      <c r="Z1310" t="str">
        <f>_xlfn.XLOOKUP(Table6[[#This Row],[Old Table.Column]],Cobra8.6[Table.Column],Cobra8.6[TYPE],"",0,1)</f>
        <v/>
      </c>
      <c r="AA1310" t="str">
        <f>_xlfn.XLOOKUP(Table6[[#This Row],[Old Table.Column]],Cobra8.6[Table.Column],Cobra8.6[LENGTH],"",0,1)</f>
        <v/>
      </c>
    </row>
    <row r="1311" spans="1:27" hidden="1" x14ac:dyDescent="0.2">
      <c r="A1311" t="s">
        <v>450</v>
      </c>
      <c r="B1311" s="39" t="s">
        <v>1945</v>
      </c>
      <c r="C1311" s="39" t="s">
        <v>68</v>
      </c>
      <c r="D1311" s="39">
        <v>33</v>
      </c>
      <c r="E1311" t="s">
        <v>31</v>
      </c>
      <c r="F1311" t="str">
        <f>VLOOKUP($E1311,'Data Type Lookup'!$A$1:$C$21,2,FALSE)</f>
        <v>RAW(16)</v>
      </c>
      <c r="I1311" s="32" t="s">
        <v>32</v>
      </c>
      <c r="P1311" t="s">
        <v>1632</v>
      </c>
      <c r="Q1311" t="s">
        <v>70</v>
      </c>
      <c r="R1311" t="str">
        <f>VLOOKUP(E1311,'Data Type Lookup'!$A$1:$C$21,3,FALSE)</f>
        <v>java.util.UUID</v>
      </c>
      <c r="S1311">
        <v>2</v>
      </c>
      <c r="W1311" t="str">
        <f t="shared" si="44"/>
        <v>LINK.LAST_MODIFIED_BY_USER_UID</v>
      </c>
      <c r="X1311" t="str">
        <f>VLOOKUP(W1311,ColumnMapping[New Table.Column],1,)</f>
        <v>LINK.LAST_MODIFIED_BY_USER_UID</v>
      </c>
      <c r="Y1311" t="str">
        <f>_xlfn.XLOOKUP(Table6[[#This Row],[Table.Column]],ColumnMapping[Add Column Name],ColumnMapping[Old Table.Column],"",0,1)</f>
        <v/>
      </c>
      <c r="Z1311" t="str">
        <f>_xlfn.XLOOKUP(Table6[[#This Row],[Old Table.Column]],Cobra8.6[Table.Column],Cobra8.6[TYPE],"",0,1)</f>
        <v/>
      </c>
      <c r="AA1311" t="str">
        <f>_xlfn.XLOOKUP(Table6[[#This Row],[Old Table.Column]],Cobra8.6[Table.Column],Cobra8.6[LENGTH],"",0,1)</f>
        <v/>
      </c>
    </row>
    <row r="1312" spans="1:27" hidden="1" x14ac:dyDescent="0.2">
      <c r="A1312" t="s">
        <v>450</v>
      </c>
      <c r="B1312" s="39" t="s">
        <v>1945</v>
      </c>
      <c r="C1312" s="39" t="s">
        <v>61</v>
      </c>
      <c r="D1312" s="39">
        <v>34</v>
      </c>
      <c r="E1312" t="s">
        <v>31</v>
      </c>
      <c r="F1312" t="str">
        <f>VLOOKUP($E1312,'Data Type Lookup'!$A$1:$C$21,2,FALSE)</f>
        <v>RAW(16)</v>
      </c>
      <c r="I1312" s="32" t="s">
        <v>32</v>
      </c>
      <c r="P1312" t="s">
        <v>1629</v>
      </c>
      <c r="Q1312" t="s">
        <v>63</v>
      </c>
      <c r="R1312" t="str">
        <f>VLOOKUP(E1312,'Data Type Lookup'!$A$1:$C$21,3,FALSE)</f>
        <v>java.util.UUID</v>
      </c>
      <c r="S1312">
        <v>2</v>
      </c>
      <c r="W1312" t="str">
        <f t="shared" si="44"/>
        <v>LINK.CREATED_BY_USER_UID</v>
      </c>
      <c r="X1312" t="str">
        <f>VLOOKUP(W1312,ColumnMapping[New Table.Column],1,)</f>
        <v>LINK.CREATED_BY_USER_UID</v>
      </c>
      <c r="Y1312" t="str">
        <f>_xlfn.XLOOKUP(Table6[[#This Row],[Table.Column]],ColumnMapping[Add Column Name],ColumnMapping[Old Table.Column],"",0,1)</f>
        <v/>
      </c>
      <c r="Z1312" t="str">
        <f>_xlfn.XLOOKUP(Table6[[#This Row],[Old Table.Column]],Cobra8.6[Table.Column],Cobra8.6[TYPE],"",0,1)</f>
        <v/>
      </c>
      <c r="AA1312" t="str">
        <f>_xlfn.XLOOKUP(Table6[[#This Row],[Old Table.Column]],Cobra8.6[Table.Column],Cobra8.6[LENGTH],"",0,1)</f>
        <v/>
      </c>
    </row>
    <row r="1313" spans="1:27" hidden="1" x14ac:dyDescent="0.2">
      <c r="A1313" t="s">
        <v>450</v>
      </c>
      <c r="B1313" s="39" t="s">
        <v>1945</v>
      </c>
      <c r="C1313" s="39" t="s">
        <v>64</v>
      </c>
      <c r="D1313" s="39">
        <v>35</v>
      </c>
      <c r="E1313" t="s">
        <v>65</v>
      </c>
      <c r="F1313" t="str">
        <f>VLOOKUP($E1313,'Data Type Lookup'!$A$1:$C$21,2,FALSE)</f>
        <v>TIMESTAMP</v>
      </c>
      <c r="I1313" s="32" t="s">
        <v>32</v>
      </c>
      <c r="P1313" t="s">
        <v>1630</v>
      </c>
      <c r="Q1313" t="s">
        <v>67</v>
      </c>
      <c r="R1313" t="str">
        <f>VLOOKUP(E1313,'Data Type Lookup'!$A$1:$C$21,3,FALSE)</f>
        <v>java.time.Instant</v>
      </c>
      <c r="S1313">
        <v>2</v>
      </c>
      <c r="W1313" t="str">
        <f t="shared" si="44"/>
        <v>LINK.CREATED_DATE</v>
      </c>
      <c r="X1313" t="str">
        <f>VLOOKUP(W1313,ColumnMapping[New Table.Column],1,)</f>
        <v>LINK.CREATED_DATE</v>
      </c>
      <c r="Y1313" t="str">
        <f>_xlfn.XLOOKUP(Table6[[#This Row],[Table.Column]],ColumnMapping[Add Column Name],ColumnMapping[Old Table.Column],"",0,1)</f>
        <v/>
      </c>
      <c r="Z1313" t="str">
        <f>_xlfn.XLOOKUP(Table6[[#This Row],[Old Table.Column]],Cobra8.6[Table.Column],Cobra8.6[TYPE],"",0,1)</f>
        <v/>
      </c>
      <c r="AA1313" t="str">
        <f>_xlfn.XLOOKUP(Table6[[#This Row],[Old Table.Column]],Cobra8.6[Table.Column],Cobra8.6[LENGTH],"",0,1)</f>
        <v/>
      </c>
    </row>
    <row r="1314" spans="1:27" hidden="1" x14ac:dyDescent="0.2">
      <c r="A1314" t="s">
        <v>450</v>
      </c>
      <c r="B1314" s="39" t="s">
        <v>1960</v>
      </c>
      <c r="C1314" s="39" t="s">
        <v>1961</v>
      </c>
      <c r="D1314" s="39">
        <v>1</v>
      </c>
      <c r="E1314" s="39" t="s">
        <v>86</v>
      </c>
      <c r="F1314" s="39" t="s">
        <v>349</v>
      </c>
      <c r="G1314" s="39">
        <v>30</v>
      </c>
      <c r="H1314" s="39"/>
      <c r="I1314" s="47"/>
      <c r="J1314" s="47"/>
      <c r="K1314" s="47"/>
      <c r="L1314" s="47"/>
      <c r="M1314" s="39"/>
      <c r="N1314" s="39"/>
      <c r="O1314" s="39"/>
      <c r="P1314" s="39"/>
      <c r="Q1314" s="39" t="str">
        <f>IF(C1314="","",LOWER(LEFT(TRIM(C1314),FIND("_",TRIM(C1314)&amp;"_")-1))&amp;SUBSTITUTE(PROPER(SUBSTITUTE(MID(TRIM(C1314),FIND("_",TRIM(C1314)&amp;"_"),LEN(TRIM(C1314))),"_"," "))," ",""))</f>
        <v>context</v>
      </c>
      <c r="R1314" t="str">
        <f>VLOOKUP(E1314,'Data Type Lookup'!$A$1:$C$21,3,FALSE)</f>
        <v>String</v>
      </c>
      <c r="S1314" s="39"/>
      <c r="W1314" t="str">
        <f>_xlfn.CONCAT(B1314,".",C1314)</f>
        <v>PROCESSLOG.CONTEXT</v>
      </c>
      <c r="X1314" t="str">
        <f>VLOOKUP(W1314,ColumnMapping[New Table.Column],1,)</f>
        <v>PROCESSLOG.CONTEXT</v>
      </c>
      <c r="Y1314" t="str">
        <f>_xlfn.XLOOKUP(Table6[[#This Row],[Table.Column]],ColumnMapping[Add Column Name],ColumnMapping[Old Table.Column],"",0,1)</f>
        <v/>
      </c>
      <c r="Z1314" t="str">
        <f>_xlfn.XLOOKUP(Table6[[#This Row],[Old Table.Column]],Cobra8.6[Table.Column],Cobra8.6[TYPE],"",0,1)</f>
        <v/>
      </c>
      <c r="AA1314" t="str">
        <f>_xlfn.XLOOKUP(Table6[[#This Row],[Old Table.Column]],Cobra8.6[Table.Column],Cobra8.6[LENGTH],"",0,1)</f>
        <v/>
      </c>
    </row>
    <row r="1315" spans="1:27" hidden="1" x14ac:dyDescent="0.2">
      <c r="A1315" t="s">
        <v>450</v>
      </c>
      <c r="B1315" s="39" t="s">
        <v>1960</v>
      </c>
      <c r="C1315" s="39" t="s">
        <v>270</v>
      </c>
      <c r="D1315" s="39">
        <v>2</v>
      </c>
      <c r="E1315" s="39" t="s">
        <v>1934</v>
      </c>
      <c r="F1315" s="39" t="s">
        <v>679</v>
      </c>
      <c r="G1315" s="39"/>
      <c r="H1315" s="39"/>
      <c r="I1315" s="47"/>
      <c r="J1315" s="47"/>
      <c r="K1315" s="47"/>
      <c r="L1315" s="47"/>
      <c r="M1315" s="39"/>
      <c r="N1315" s="39"/>
      <c r="O1315" s="39"/>
      <c r="P1315" s="39"/>
      <c r="Q1315" s="39" t="str">
        <f t="shared" ref="Q1315:Q1318" si="46">IF(C1315="","",LOWER(LEFT(TRIM(C1315),FIND("_",TRIM(C1315)&amp;"_")-1))&amp;SUBSTITUTE(PROPER(SUBSTITUTE(MID(TRIM(C1315),FIND("_",TRIM(C1315)&amp;"_"),LEN(TRIM(C1315))),"_"," "))," ",""))</f>
        <v>data</v>
      </c>
      <c r="R1315" t="s">
        <v>681</v>
      </c>
      <c r="S1315" s="39"/>
      <c r="W1315" t="str">
        <f t="shared" ref="W1315:W1330" si="47">_xlfn.CONCAT(B1315,".",C1315)</f>
        <v>PROCESSLOG.DATA</v>
      </c>
      <c r="X1315" t="str">
        <f>VLOOKUP(W1315,ColumnMapping[New Table.Column],1,)</f>
        <v>PROCESSLOG.DATA</v>
      </c>
      <c r="Y1315" t="str">
        <f>_xlfn.XLOOKUP(Table6[[#This Row],[Table.Column]],ColumnMapping[Add Column Name],ColumnMapping[Old Table.Column],"",0,1)</f>
        <v/>
      </c>
      <c r="Z1315" t="str">
        <f>_xlfn.XLOOKUP(Table6[[#This Row],[Old Table.Column]],Cobra8.6[Table.Column],Cobra8.6[TYPE],"",0,1)</f>
        <v/>
      </c>
      <c r="AA1315" t="str">
        <f>_xlfn.XLOOKUP(Table6[[#This Row],[Old Table.Column]],Cobra8.6[Table.Column],Cobra8.6[LENGTH],"",0,1)</f>
        <v/>
      </c>
    </row>
    <row r="1316" spans="1:27" hidden="1" x14ac:dyDescent="0.2">
      <c r="A1316" t="s">
        <v>450</v>
      </c>
      <c r="B1316" s="39" t="s">
        <v>1960</v>
      </c>
      <c r="C1316" s="39" t="s">
        <v>1962</v>
      </c>
      <c r="D1316" s="39">
        <v>3</v>
      </c>
      <c r="E1316" s="39" t="s">
        <v>86</v>
      </c>
      <c r="F1316" s="39" t="s">
        <v>349</v>
      </c>
      <c r="G1316" s="39">
        <v>20</v>
      </c>
      <c r="H1316" s="39"/>
      <c r="I1316" s="47"/>
      <c r="J1316" s="47"/>
      <c r="K1316" s="47"/>
      <c r="L1316" s="47"/>
      <c r="M1316" s="39"/>
      <c r="N1316" s="39"/>
      <c r="O1316" s="39"/>
      <c r="P1316" s="39"/>
      <c r="Q1316" s="39" t="str">
        <f t="shared" si="46"/>
        <v>dirId</v>
      </c>
      <c r="R1316" t="str">
        <f>VLOOKUP(E1316,'Data Type Lookup'!$A$1:$C$21,3,FALSE)</f>
        <v>String</v>
      </c>
      <c r="S1316" s="39"/>
      <c r="W1316" t="str">
        <f t="shared" si="47"/>
        <v>PROCESSLOG.DIR_ID</v>
      </c>
      <c r="X1316" t="str">
        <f>VLOOKUP(W1316,ColumnMapping[New Table.Column],1,)</f>
        <v>PROCESSLOG.DIR_ID</v>
      </c>
      <c r="Y1316" t="str">
        <f>_xlfn.XLOOKUP(Table6[[#This Row],[Table.Column]],ColumnMapping[Add Column Name],ColumnMapping[Old Table.Column],"",0,1)</f>
        <v/>
      </c>
      <c r="Z1316" t="str">
        <f>_xlfn.XLOOKUP(Table6[[#This Row],[Old Table.Column]],Cobra8.6[Table.Column],Cobra8.6[TYPE],"",0,1)</f>
        <v/>
      </c>
      <c r="AA1316" t="str">
        <f>_xlfn.XLOOKUP(Table6[[#This Row],[Old Table.Column]],Cobra8.6[Table.Column],Cobra8.6[LENGTH],"",0,1)</f>
        <v/>
      </c>
    </row>
    <row r="1317" spans="1:27" hidden="1" x14ac:dyDescent="0.2">
      <c r="A1317" t="s">
        <v>450</v>
      </c>
      <c r="B1317" s="39" t="s">
        <v>1960</v>
      </c>
      <c r="C1317" s="39" t="s">
        <v>1963</v>
      </c>
      <c r="D1317" s="39">
        <v>4</v>
      </c>
      <c r="E1317" s="39" t="s">
        <v>36</v>
      </c>
      <c r="F1317" s="39" t="s">
        <v>768</v>
      </c>
      <c r="G1317" s="39"/>
      <c r="H1317" s="39"/>
      <c r="I1317" s="47"/>
      <c r="J1317" s="47">
        <v>0</v>
      </c>
      <c r="K1317" s="47"/>
      <c r="L1317" s="47"/>
      <c r="M1317" s="39"/>
      <c r="N1317" s="39"/>
      <c r="O1317" s="39"/>
      <c r="P1317" s="39"/>
      <c r="Q1317" s="39" t="str">
        <f t="shared" si="46"/>
        <v>errorcount</v>
      </c>
      <c r="R1317" t="str">
        <f>VLOOKUP(E1317,'Data Type Lookup'!$A$1:$C$21,3,FALSE)</f>
        <v>Long</v>
      </c>
      <c r="S1317" s="39"/>
      <c r="W1317" t="str">
        <f t="shared" si="47"/>
        <v>PROCESSLOG.ERRORCOUNT</v>
      </c>
      <c r="X1317" t="str">
        <f>VLOOKUP(W1317,ColumnMapping[New Table.Column],1,)</f>
        <v>PROCESSLOG.ERRORCOUNT</v>
      </c>
      <c r="Y1317" t="str">
        <f>_xlfn.XLOOKUP(Table6[[#This Row],[Table.Column]],ColumnMapping[Add Column Name],ColumnMapping[Old Table.Column],"",0,1)</f>
        <v/>
      </c>
      <c r="Z1317" t="str">
        <f>_xlfn.XLOOKUP(Table6[[#This Row],[Old Table.Column]],Cobra8.6[Table.Column],Cobra8.6[TYPE],"",0,1)</f>
        <v/>
      </c>
      <c r="AA1317" t="str">
        <f>_xlfn.XLOOKUP(Table6[[#This Row],[Old Table.Column]],Cobra8.6[Table.Column],Cobra8.6[LENGTH],"",0,1)</f>
        <v/>
      </c>
    </row>
    <row r="1318" spans="1:27" hidden="1" x14ac:dyDescent="0.2">
      <c r="A1318" t="s">
        <v>450</v>
      </c>
      <c r="B1318" s="39" t="s">
        <v>1960</v>
      </c>
      <c r="C1318" s="39" t="s">
        <v>1964</v>
      </c>
      <c r="D1318" s="39">
        <v>5</v>
      </c>
      <c r="E1318" s="39" t="s">
        <v>65</v>
      </c>
      <c r="F1318" s="39" t="s">
        <v>65</v>
      </c>
      <c r="G1318" s="39"/>
      <c r="H1318" s="39"/>
      <c r="I1318" s="47"/>
      <c r="J1318" s="47"/>
      <c r="K1318" s="47"/>
      <c r="L1318" s="47"/>
      <c r="M1318" s="39"/>
      <c r="N1318" s="39"/>
      <c r="O1318" s="39"/>
      <c r="P1318" s="39"/>
      <c r="Q1318" s="39" t="str">
        <f t="shared" si="46"/>
        <v>finishtime</v>
      </c>
      <c r="R1318" t="str">
        <f>VLOOKUP(E1318,'Data Type Lookup'!$A$1:$C$21,3,FALSE)</f>
        <v>java.time.Instant</v>
      </c>
      <c r="S1318" s="39"/>
      <c r="W1318" t="str">
        <f t="shared" si="47"/>
        <v>PROCESSLOG.FINISHTIME</v>
      </c>
      <c r="X1318" t="str">
        <f>VLOOKUP(W1318,ColumnMapping[New Table.Column],1,)</f>
        <v>PROCESSLOG.FINISHTIME</v>
      </c>
      <c r="Y1318" t="str">
        <f>_xlfn.XLOOKUP(Table6[[#This Row],[Table.Column]],ColumnMapping[Add Column Name],ColumnMapping[Old Table.Column],"",0,1)</f>
        <v/>
      </c>
      <c r="Z1318" t="str">
        <f>_xlfn.XLOOKUP(Table6[[#This Row],[Old Table.Column]],Cobra8.6[Table.Column],Cobra8.6[TYPE],"",0,1)</f>
        <v/>
      </c>
      <c r="AA1318" t="str">
        <f>_xlfn.XLOOKUP(Table6[[#This Row],[Old Table.Column]],Cobra8.6[Table.Column],Cobra8.6[LENGTH],"",0,1)</f>
        <v/>
      </c>
    </row>
    <row r="1319" spans="1:27" hidden="1" x14ac:dyDescent="0.2">
      <c r="A1319" t="s">
        <v>450</v>
      </c>
      <c r="B1319" s="39" t="s">
        <v>1960</v>
      </c>
      <c r="C1319" s="39" t="s">
        <v>71</v>
      </c>
      <c r="D1319" s="39">
        <v>6</v>
      </c>
      <c r="E1319" t="s">
        <v>65</v>
      </c>
      <c r="F1319" t="str">
        <f>VLOOKUP($E1319,'Data Type Lookup'!$A$1:$C$21,2,FALSE)</f>
        <v>TIMESTAMP</v>
      </c>
      <c r="I1319" s="32" t="s">
        <v>32</v>
      </c>
      <c r="P1319" t="s">
        <v>1633</v>
      </c>
      <c r="Q1319" t="s">
        <v>73</v>
      </c>
      <c r="R1319" t="str">
        <f>VLOOKUP(E1319,'Data Type Lookup'!$A$1:$C$21,3,FALSE)</f>
        <v>java.time.Instant</v>
      </c>
      <c r="S1319">
        <v>2</v>
      </c>
      <c r="W1319" t="str">
        <f t="shared" si="47"/>
        <v>PROCESSLOG.LAST_MODIFIED_DATE</v>
      </c>
      <c r="X1319" t="str">
        <f>VLOOKUP(W1319,ColumnMapping[New Table.Column],1,)</f>
        <v>PROCESSLOG.LAST_MODIFIED_DATE</v>
      </c>
      <c r="Y1319" t="str">
        <f>_xlfn.XLOOKUP(Table6[[#This Row],[Table.Column]],ColumnMapping[Add Column Name],ColumnMapping[Old Table.Column],"",0,1)</f>
        <v/>
      </c>
      <c r="Z1319" t="str">
        <f>_xlfn.XLOOKUP(Table6[[#This Row],[Old Table.Column]],Cobra8.6[Table.Column],Cobra8.6[TYPE],"",0,1)</f>
        <v/>
      </c>
      <c r="AA1319" t="str">
        <f>_xlfn.XLOOKUP(Table6[[#This Row],[Old Table.Column]],Cobra8.6[Table.Column],Cobra8.6[LENGTH],"",0,1)</f>
        <v/>
      </c>
    </row>
    <row r="1320" spans="1:27" hidden="1" x14ac:dyDescent="0.2">
      <c r="A1320" t="s">
        <v>450</v>
      </c>
      <c r="B1320" s="39" t="s">
        <v>1960</v>
      </c>
      <c r="C1320" s="39" t="s">
        <v>1965</v>
      </c>
      <c r="D1320" s="39">
        <v>7</v>
      </c>
      <c r="E1320" s="39" t="s">
        <v>86</v>
      </c>
      <c r="F1320" s="39" t="s">
        <v>349</v>
      </c>
      <c r="G1320" s="39">
        <v>59</v>
      </c>
      <c r="H1320" s="39"/>
      <c r="I1320" s="47"/>
      <c r="J1320" s="47"/>
      <c r="K1320" s="47"/>
      <c r="L1320" s="47"/>
      <c r="M1320" s="39"/>
      <c r="N1320" s="39"/>
      <c r="O1320" s="39"/>
      <c r="P1320" s="39"/>
      <c r="Q1320" s="39" t="str">
        <f>IF(C1320="","",LOWER(LEFT(TRIM(C1320),FIND("_",TRIM(C1320)&amp;"_")-1))&amp;SUBSTITUTE(PROPER(SUBSTITUTE(MID(TRIM(C1320),FIND("_",TRIM(C1320)&amp;"_"),LEN(TRIM(C1320))),"_"," "))," ",""))</f>
        <v>processId</v>
      </c>
      <c r="R1320" t="str">
        <f>VLOOKUP(E1320,'Data Type Lookup'!$A$1:$C$21,3,FALSE)</f>
        <v>String</v>
      </c>
      <c r="S1320" s="39"/>
      <c r="W1320" t="str">
        <f t="shared" si="47"/>
        <v>PROCESSLOG.PROCESS_ID</v>
      </c>
      <c r="X1320" t="str">
        <f>VLOOKUP(W1320,ColumnMapping[New Table.Column],1,)</f>
        <v>PROCESSLOG.PROCESS_ID</v>
      </c>
      <c r="Y1320" t="str">
        <f>_xlfn.XLOOKUP(Table6[[#This Row],[Table.Column]],ColumnMapping[Add Column Name],ColumnMapping[Old Table.Column],"",0,1)</f>
        <v/>
      </c>
      <c r="Z1320" t="str">
        <f>_xlfn.XLOOKUP(Table6[[#This Row],[Old Table.Column]],Cobra8.6[Table.Column],Cobra8.6[TYPE],"",0,1)</f>
        <v/>
      </c>
      <c r="AA1320" t="str">
        <f>_xlfn.XLOOKUP(Table6[[#This Row],[Old Table.Column]],Cobra8.6[Table.Column],Cobra8.6[LENGTH],"",0,1)</f>
        <v/>
      </c>
    </row>
    <row r="1321" spans="1:27" hidden="1" x14ac:dyDescent="0.2">
      <c r="A1321" t="s">
        <v>450</v>
      </c>
      <c r="B1321" s="39" t="s">
        <v>1960</v>
      </c>
      <c r="C1321" s="39" t="s">
        <v>1966</v>
      </c>
      <c r="D1321" s="39">
        <v>8</v>
      </c>
      <c r="E1321" s="39" t="s">
        <v>36</v>
      </c>
      <c r="F1321" s="39" t="s">
        <v>768</v>
      </c>
      <c r="G1321" s="39"/>
      <c r="H1321" s="39"/>
      <c r="I1321" s="47"/>
      <c r="J1321" s="47">
        <v>0</v>
      </c>
      <c r="K1321" s="47"/>
      <c r="L1321" s="47"/>
      <c r="M1321" s="39"/>
      <c r="N1321" s="39"/>
      <c r="O1321" s="39"/>
      <c r="P1321" s="39"/>
      <c r="Q1321" s="39" t="str">
        <f t="shared" ref="Q1321:Q1322" si="48">IF(C1321="","",LOWER(LEFT(TRIM(C1321),FIND("_",TRIM(C1321)&amp;"_")-1))&amp;SUBSTITUTE(PROPER(SUBSTITUTE(MID(TRIM(C1321),FIND("_",TRIM(C1321)&amp;"_"),LEN(TRIM(C1321))),"_"," "))," ",""))</f>
        <v>progressPct</v>
      </c>
      <c r="R1321" t="str">
        <f>VLOOKUP(E1321,'Data Type Lookup'!$A$1:$C$21,3,FALSE)</f>
        <v>Long</v>
      </c>
      <c r="S1321" s="39"/>
      <c r="W1321" t="str">
        <f t="shared" si="47"/>
        <v>PROCESSLOG.PROGRESS_PCT</v>
      </c>
      <c r="X1321" t="str">
        <f>VLOOKUP(W1321,ColumnMapping[New Table.Column],1,)</f>
        <v>PROCESSLOG.PROGRESS_PCT</v>
      </c>
      <c r="Y1321" t="str">
        <f>_xlfn.XLOOKUP(Table6[[#This Row],[Table.Column]],ColumnMapping[Add Column Name],ColumnMapping[Old Table.Column],"",0,1)</f>
        <v/>
      </c>
      <c r="Z1321" t="str">
        <f>_xlfn.XLOOKUP(Table6[[#This Row],[Old Table.Column]],Cobra8.6[Table.Column],Cobra8.6[TYPE],"",0,1)</f>
        <v/>
      </c>
      <c r="AA1321" t="str">
        <f>_xlfn.XLOOKUP(Table6[[#This Row],[Old Table.Column]],Cobra8.6[Table.Column],Cobra8.6[LENGTH],"",0,1)</f>
        <v/>
      </c>
    </row>
    <row r="1322" spans="1:27" hidden="1" x14ac:dyDescent="0.2">
      <c r="A1322" t="s">
        <v>450</v>
      </c>
      <c r="B1322" s="39" t="s">
        <v>1960</v>
      </c>
      <c r="C1322" s="39" t="s">
        <v>1967</v>
      </c>
      <c r="D1322" s="39">
        <v>9</v>
      </c>
      <c r="E1322" s="39" t="s">
        <v>86</v>
      </c>
      <c r="F1322" s="39" t="s">
        <v>349</v>
      </c>
      <c r="G1322" s="39">
        <v>254</v>
      </c>
      <c r="H1322" s="39"/>
      <c r="I1322" s="47"/>
      <c r="J1322" s="47"/>
      <c r="K1322" s="47"/>
      <c r="L1322" s="47"/>
      <c r="M1322" s="39"/>
      <c r="N1322" s="39"/>
      <c r="O1322" s="39"/>
      <c r="P1322" s="39"/>
      <c r="Q1322" s="39" t="str">
        <f t="shared" si="48"/>
        <v>progressText</v>
      </c>
      <c r="R1322" t="str">
        <f>VLOOKUP(E1322,'Data Type Lookup'!$A$1:$C$21,3,FALSE)</f>
        <v>String</v>
      </c>
      <c r="S1322" s="39"/>
      <c r="W1322" t="str">
        <f t="shared" si="47"/>
        <v>PROCESSLOG.PROGRESS_TEXT</v>
      </c>
      <c r="X1322" t="str">
        <f>VLOOKUP(W1322,ColumnMapping[New Table.Column],1,)</f>
        <v>PROCESSLOG.PROGRESS_TEXT</v>
      </c>
      <c r="Y1322" t="str">
        <f>_xlfn.XLOOKUP(Table6[[#This Row],[Table.Column]],ColumnMapping[Add Column Name],ColumnMapping[Old Table.Column],"",0,1)</f>
        <v/>
      </c>
      <c r="Z1322" t="str">
        <f>_xlfn.XLOOKUP(Table6[[#This Row],[Old Table.Column]],Cobra8.6[Table.Column],Cobra8.6[TYPE],"",0,1)</f>
        <v/>
      </c>
      <c r="AA1322" t="str">
        <f>_xlfn.XLOOKUP(Table6[[#This Row],[Old Table.Column]],Cobra8.6[Table.Column],Cobra8.6[LENGTH],"",0,1)</f>
        <v/>
      </c>
    </row>
    <row r="1323" spans="1:27" hidden="1" x14ac:dyDescent="0.2">
      <c r="A1323" t="s">
        <v>450</v>
      </c>
      <c r="B1323" s="39" t="s">
        <v>1960</v>
      </c>
      <c r="C1323" s="39" t="s">
        <v>30</v>
      </c>
      <c r="D1323" s="39">
        <v>10</v>
      </c>
      <c r="E1323" t="s">
        <v>31</v>
      </c>
      <c r="F1323" t="str">
        <f>VLOOKUP($E1323,'Data Type Lookup'!$A$1:$C$21,2,FALSE)</f>
        <v>RAW(16)</v>
      </c>
      <c r="I1323" s="32" t="s">
        <v>32</v>
      </c>
      <c r="K1323" s="32" t="s">
        <v>32</v>
      </c>
      <c r="P1323" t="s">
        <v>1789</v>
      </c>
      <c r="Q1323" t="s">
        <v>34</v>
      </c>
      <c r="R1323" t="str">
        <f>VLOOKUP(E1323,'Data Type Lookup'!$A$1:$C$21,3,FALSE)</f>
        <v>java.util.UUID</v>
      </c>
      <c r="S1323">
        <v>3</v>
      </c>
      <c r="W1323" t="str">
        <f t="shared" si="47"/>
        <v>PROCESSLOG.ROW_UID</v>
      </c>
      <c r="X1323" t="str">
        <f>VLOOKUP(W1323,ColumnMapping[New Table.Column],1,)</f>
        <v>PROCESSLOG.ROW_UID</v>
      </c>
      <c r="Y1323" t="str">
        <f>_xlfn.XLOOKUP(Table6[[#This Row],[Table.Column]],ColumnMapping[Add Column Name],ColumnMapping[Old Table.Column],"",0,1)</f>
        <v/>
      </c>
      <c r="Z1323" t="str">
        <f>_xlfn.XLOOKUP(Table6[[#This Row],[Old Table.Column]],Cobra8.6[Table.Column],Cobra8.6[TYPE],"",0,1)</f>
        <v/>
      </c>
      <c r="AA1323" t="str">
        <f>_xlfn.XLOOKUP(Table6[[#This Row],[Old Table.Column]],Cobra8.6[Table.Column],Cobra8.6[LENGTH],"",0,1)</f>
        <v/>
      </c>
    </row>
    <row r="1324" spans="1:27" hidden="1" x14ac:dyDescent="0.2">
      <c r="A1324" t="s">
        <v>450</v>
      </c>
      <c r="B1324" s="39" t="s">
        <v>1960</v>
      </c>
      <c r="C1324" s="39" t="s">
        <v>1968</v>
      </c>
      <c r="D1324" s="39">
        <v>11</v>
      </c>
      <c r="E1324" s="39" t="s">
        <v>65</v>
      </c>
      <c r="F1324" s="39" t="s">
        <v>65</v>
      </c>
      <c r="G1324" s="39"/>
      <c r="H1324" s="39"/>
      <c r="I1324" s="47"/>
      <c r="J1324" s="47"/>
      <c r="K1324" s="47"/>
      <c r="L1324" s="47"/>
      <c r="M1324" s="39"/>
      <c r="N1324" s="39"/>
      <c r="O1324" s="39"/>
      <c r="P1324" s="39"/>
      <c r="Q1324" s="39" t="s">
        <v>1969</v>
      </c>
      <c r="R1324" t="str">
        <f>VLOOKUP(E1324,'Data Type Lookup'!$A$1:$C$21,3,FALSE)</f>
        <v>java.time.Instant</v>
      </c>
      <c r="S1324" s="39"/>
      <c r="W1324" t="str">
        <f t="shared" si="47"/>
        <v>PROCESSLOG.STARTTIME</v>
      </c>
      <c r="X1324" t="str">
        <f>VLOOKUP(W1324,ColumnMapping[New Table.Column],1,)</f>
        <v>PROCESSLOG.STARTTIME</v>
      </c>
      <c r="Y1324" t="str">
        <f>_xlfn.XLOOKUP(Table6[[#This Row],[Table.Column]],ColumnMapping[Add Column Name],ColumnMapping[Old Table.Column],"",0,1)</f>
        <v/>
      </c>
      <c r="Z1324" t="str">
        <f>_xlfn.XLOOKUP(Table6[[#This Row],[Old Table.Column]],Cobra8.6[Table.Column],Cobra8.6[TYPE],"",0,1)</f>
        <v/>
      </c>
      <c r="AA1324" t="str">
        <f>_xlfn.XLOOKUP(Table6[[#This Row],[Old Table.Column]],Cobra8.6[Table.Column],Cobra8.6[LENGTH],"",0,1)</f>
        <v/>
      </c>
    </row>
    <row r="1325" spans="1:27" hidden="1" x14ac:dyDescent="0.2">
      <c r="A1325" t="s">
        <v>450</v>
      </c>
      <c r="B1325" s="39" t="s">
        <v>1960</v>
      </c>
      <c r="C1325" s="39" t="s">
        <v>1970</v>
      </c>
      <c r="D1325" s="39">
        <v>12</v>
      </c>
      <c r="E1325" s="39" t="s">
        <v>36</v>
      </c>
      <c r="F1325" s="39" t="s">
        <v>768</v>
      </c>
      <c r="G1325" s="39"/>
      <c r="H1325" s="39"/>
      <c r="I1325" s="47"/>
      <c r="J1325" s="47">
        <v>0</v>
      </c>
      <c r="K1325" s="47"/>
      <c r="L1325" s="47"/>
      <c r="M1325" s="39"/>
      <c r="N1325" s="39"/>
      <c r="O1325" s="39"/>
      <c r="P1325" s="39"/>
      <c r="Q1325" s="39" t="s">
        <v>1971</v>
      </c>
      <c r="R1325" t="str">
        <f>VLOOKUP(E1325,'Data Type Lookup'!$A$1:$C$21,3,FALSE)</f>
        <v>Long</v>
      </c>
      <c r="S1325" s="39"/>
      <c r="W1325" t="str">
        <f t="shared" si="47"/>
        <v>PROCESSLOG.USR_ABORT</v>
      </c>
      <c r="X1325" t="str">
        <f>VLOOKUP(W1325,ColumnMapping[New Table.Column],1,)</f>
        <v>PROCESSLOG.USR_ABORT</v>
      </c>
      <c r="Y1325" t="str">
        <f>_xlfn.XLOOKUP(Table6[[#This Row],[Table.Column]],ColumnMapping[Add Column Name],ColumnMapping[Old Table.Column],"",0,1)</f>
        <v/>
      </c>
      <c r="Z1325" t="str">
        <f>_xlfn.XLOOKUP(Table6[[#This Row],[Old Table.Column]],Cobra8.6[Table.Column],Cobra8.6[TYPE],"",0,1)</f>
        <v/>
      </c>
      <c r="AA1325" t="str">
        <f>_xlfn.XLOOKUP(Table6[[#This Row],[Old Table.Column]],Cobra8.6[Table.Column],Cobra8.6[LENGTH],"",0,1)</f>
        <v/>
      </c>
    </row>
    <row r="1326" spans="1:27" hidden="1" x14ac:dyDescent="0.2">
      <c r="A1326" t="s">
        <v>450</v>
      </c>
      <c r="B1326" s="39" t="s">
        <v>1960</v>
      </c>
      <c r="C1326" s="39" t="s">
        <v>68</v>
      </c>
      <c r="D1326" s="39">
        <v>13</v>
      </c>
      <c r="E1326" t="s">
        <v>31</v>
      </c>
      <c r="F1326" t="str">
        <f>VLOOKUP($E1326,'Data Type Lookup'!$A$1:$C$21,2,FALSE)</f>
        <v>RAW(16)</v>
      </c>
      <c r="I1326" s="32" t="s">
        <v>32</v>
      </c>
      <c r="P1326" t="s">
        <v>1632</v>
      </c>
      <c r="Q1326" t="s">
        <v>70</v>
      </c>
      <c r="R1326" t="str">
        <f>VLOOKUP(E1326,'Data Type Lookup'!$A$1:$C$21,3,FALSE)</f>
        <v>java.util.UUID</v>
      </c>
      <c r="S1326">
        <v>2</v>
      </c>
      <c r="W1326" t="str">
        <f t="shared" si="47"/>
        <v>PROCESSLOG.LAST_MODIFIED_BY_USER_UID</v>
      </c>
      <c r="X1326" t="str">
        <f>VLOOKUP(W1326,ColumnMapping[New Table.Column],1,)</f>
        <v>PROCESSLOG.LAST_MODIFIED_BY_USER_UID</v>
      </c>
      <c r="Y1326" t="str">
        <f>_xlfn.XLOOKUP(Table6[[#This Row],[Table.Column]],ColumnMapping[Add Column Name],ColumnMapping[Old Table.Column],"",0,1)</f>
        <v/>
      </c>
      <c r="Z1326" t="str">
        <f>_xlfn.XLOOKUP(Table6[[#This Row],[Old Table.Column]],Cobra8.6[Table.Column],Cobra8.6[TYPE],"",0,1)</f>
        <v/>
      </c>
      <c r="AA1326" t="str">
        <f>_xlfn.XLOOKUP(Table6[[#This Row],[Old Table.Column]],Cobra8.6[Table.Column],Cobra8.6[LENGTH],"",0,1)</f>
        <v/>
      </c>
    </row>
    <row r="1327" spans="1:27" hidden="1" x14ac:dyDescent="0.2">
      <c r="A1327" t="s">
        <v>450</v>
      </c>
      <c r="B1327" s="39" t="s">
        <v>1960</v>
      </c>
      <c r="C1327" s="39" t="s">
        <v>1972</v>
      </c>
      <c r="D1327" s="39">
        <v>14</v>
      </c>
      <c r="E1327" s="39" t="s">
        <v>36</v>
      </c>
      <c r="F1327" s="39" t="s">
        <v>768</v>
      </c>
      <c r="G1327" s="39"/>
      <c r="H1327" s="39"/>
      <c r="I1327" s="47"/>
      <c r="J1327" s="47">
        <v>0</v>
      </c>
      <c r="K1327" s="47"/>
      <c r="L1327" s="47"/>
      <c r="M1327" s="39"/>
      <c r="N1327" s="39"/>
      <c r="O1327" s="39"/>
      <c r="P1327" s="39"/>
      <c r="Q1327" s="39" t="s">
        <v>1973</v>
      </c>
      <c r="R1327" t="str">
        <f>VLOOKUP(E1327,'Data Type Lookup'!$A$1:$C$21,3,FALSE)</f>
        <v>Long</v>
      </c>
      <c r="S1327" s="39"/>
      <c r="W1327" t="str">
        <f t="shared" si="47"/>
        <v>PROCESSLOG.WARNINGCOUNT</v>
      </c>
      <c r="X1327" t="str">
        <f>VLOOKUP(W1327,ColumnMapping[New Table.Column],1,)</f>
        <v>PROCESSLOG.WARNINGCOUNT</v>
      </c>
      <c r="Y1327" t="str">
        <f>_xlfn.XLOOKUP(Table6[[#This Row],[Table.Column]],ColumnMapping[Add Column Name],ColumnMapping[Old Table.Column],"",0,1)</f>
        <v/>
      </c>
      <c r="Z1327" t="str">
        <f>_xlfn.XLOOKUP(Table6[[#This Row],[Old Table.Column]],Cobra8.6[Table.Column],Cobra8.6[TYPE],"",0,1)</f>
        <v/>
      </c>
      <c r="AA1327" t="str">
        <f>_xlfn.XLOOKUP(Table6[[#This Row],[Old Table.Column]],Cobra8.6[Table.Column],Cobra8.6[LENGTH],"",0,1)</f>
        <v/>
      </c>
    </row>
    <row r="1328" spans="1:27" hidden="1" x14ac:dyDescent="0.2">
      <c r="A1328" t="s">
        <v>450</v>
      </c>
      <c r="B1328" s="39" t="s">
        <v>1960</v>
      </c>
      <c r="C1328" s="39" t="s">
        <v>35</v>
      </c>
      <c r="D1328" s="39">
        <v>15</v>
      </c>
      <c r="E1328" t="s">
        <v>36</v>
      </c>
      <c r="F1328" t="str">
        <f>VLOOKUP($E1328,'Data Type Lookup'!$A$1:$C$21,2,FALSE)</f>
        <v>NUMBER(19,0)</v>
      </c>
      <c r="I1328" s="32" t="s">
        <v>32</v>
      </c>
      <c r="J1328" s="32">
        <v>0</v>
      </c>
      <c r="P1328" t="s">
        <v>37</v>
      </c>
      <c r="Q1328" t="s">
        <v>38</v>
      </c>
      <c r="R1328" t="str">
        <f>VLOOKUP(E1328,'Data Type Lookup'!$A$1:$C$21,3,FALSE)</f>
        <v>Long</v>
      </c>
      <c r="S1328">
        <v>3</v>
      </c>
      <c r="W1328" t="str">
        <f t="shared" si="47"/>
        <v>PROCESSLOG.SEQUENCE</v>
      </c>
      <c r="X1328" t="str">
        <f>VLOOKUP(W1328,ColumnMapping[New Table.Column],1,)</f>
        <v>PROCESSLOG.SEQUENCE</v>
      </c>
      <c r="Y1328" t="str">
        <f>_xlfn.XLOOKUP(Table6[[#This Row],[Table.Column]],ColumnMapping[Add Column Name],ColumnMapping[Old Table.Column],"",0,1)</f>
        <v/>
      </c>
      <c r="Z1328" t="str">
        <f>_xlfn.XLOOKUP(Table6[[#This Row],[Old Table.Column]],Cobra8.6[Table.Column],Cobra8.6[TYPE],"",0,1)</f>
        <v/>
      </c>
      <c r="AA1328" t="str">
        <f>_xlfn.XLOOKUP(Table6[[#This Row],[Old Table.Column]],Cobra8.6[Table.Column],Cobra8.6[LENGTH],"",0,1)</f>
        <v/>
      </c>
    </row>
    <row r="1329" spans="1:27" hidden="1" x14ac:dyDescent="0.2">
      <c r="A1329" t="s">
        <v>450</v>
      </c>
      <c r="B1329" s="39" t="s">
        <v>1960</v>
      </c>
      <c r="C1329" s="39" t="s">
        <v>61</v>
      </c>
      <c r="D1329" s="39">
        <v>16</v>
      </c>
      <c r="E1329" t="s">
        <v>31</v>
      </c>
      <c r="F1329" t="str">
        <f>VLOOKUP($E1329,'Data Type Lookup'!$A$1:$C$21,2,FALSE)</f>
        <v>RAW(16)</v>
      </c>
      <c r="I1329" s="32" t="s">
        <v>32</v>
      </c>
      <c r="P1329" t="s">
        <v>1629</v>
      </c>
      <c r="Q1329" t="s">
        <v>63</v>
      </c>
      <c r="R1329" t="str">
        <f>VLOOKUP(E1329,'Data Type Lookup'!$A$1:$C$21,3,FALSE)</f>
        <v>java.util.UUID</v>
      </c>
      <c r="S1329">
        <v>2</v>
      </c>
      <c r="W1329" t="str">
        <f t="shared" si="47"/>
        <v>PROCESSLOG.CREATED_BY_USER_UID</v>
      </c>
      <c r="X1329" t="str">
        <f>VLOOKUP(W1329,ColumnMapping[New Table.Column],1,)</f>
        <v>PROCESSLOG.CREATED_BY_USER_UID</v>
      </c>
      <c r="Y1329" t="str">
        <f>_xlfn.XLOOKUP(Table6[[#This Row],[Table.Column]],ColumnMapping[Add Column Name],ColumnMapping[Old Table.Column],"",0,1)</f>
        <v/>
      </c>
      <c r="Z1329" t="str">
        <f>_xlfn.XLOOKUP(Table6[[#This Row],[Old Table.Column]],Cobra8.6[Table.Column],Cobra8.6[TYPE],"",0,1)</f>
        <v/>
      </c>
      <c r="AA1329" t="str">
        <f>_xlfn.XLOOKUP(Table6[[#This Row],[Old Table.Column]],Cobra8.6[Table.Column],Cobra8.6[LENGTH],"",0,1)</f>
        <v/>
      </c>
    </row>
    <row r="1330" spans="1:27" hidden="1" x14ac:dyDescent="0.2">
      <c r="A1330" t="s">
        <v>450</v>
      </c>
      <c r="B1330" s="39" t="s">
        <v>1960</v>
      </c>
      <c r="C1330" s="39" t="s">
        <v>64</v>
      </c>
      <c r="D1330" s="39">
        <v>17</v>
      </c>
      <c r="E1330" t="s">
        <v>65</v>
      </c>
      <c r="F1330" t="str">
        <f>VLOOKUP($E1330,'Data Type Lookup'!$A$1:$C$21,2,FALSE)</f>
        <v>TIMESTAMP</v>
      </c>
      <c r="I1330" s="32" t="s">
        <v>32</v>
      </c>
      <c r="P1330" t="s">
        <v>1630</v>
      </c>
      <c r="Q1330" t="s">
        <v>67</v>
      </c>
      <c r="R1330" t="str">
        <f>VLOOKUP(E1330,'Data Type Lookup'!$A$1:$C$21,3,FALSE)</f>
        <v>java.time.Instant</v>
      </c>
      <c r="S1330">
        <v>2</v>
      </c>
      <c r="W1330" t="str">
        <f t="shared" si="47"/>
        <v>PROCESSLOG.CREATED_DATE</v>
      </c>
      <c r="X1330" t="str">
        <f>VLOOKUP(W1330,ColumnMapping[New Table.Column],1,)</f>
        <v>PROCESSLOG.CREATED_DATE</v>
      </c>
      <c r="Y1330" t="str">
        <f>_xlfn.XLOOKUP(Table6[[#This Row],[Table.Column]],ColumnMapping[Add Column Name],ColumnMapping[Old Table.Column],"",0,1)</f>
        <v/>
      </c>
      <c r="Z1330" t="str">
        <f>_xlfn.XLOOKUP(Table6[[#This Row],[Old Table.Column]],Cobra8.6[Table.Column],Cobra8.6[TYPE],"",0,1)</f>
        <v/>
      </c>
      <c r="AA1330" t="str">
        <f>_xlfn.XLOOKUP(Table6[[#This Row],[Old Table.Column]],Cobra8.6[Table.Column],Cobra8.6[LENGTH],"",0,1)</f>
        <v/>
      </c>
    </row>
    <row r="1331" spans="1:27" hidden="1" x14ac:dyDescent="0.2">
      <c r="A1331" t="s">
        <v>450</v>
      </c>
      <c r="B1331" s="39" t="s">
        <v>1974</v>
      </c>
      <c r="C1331" s="39" t="s">
        <v>1975</v>
      </c>
      <c r="D1331" s="39">
        <v>1</v>
      </c>
      <c r="E1331" s="39" t="s">
        <v>86</v>
      </c>
      <c r="F1331" s="39" t="s">
        <v>349</v>
      </c>
      <c r="G1331" s="39">
        <v>22</v>
      </c>
      <c r="H1331" s="39"/>
      <c r="I1331" s="47"/>
      <c r="J1331" s="47"/>
      <c r="K1331" s="47"/>
      <c r="L1331" s="47"/>
      <c r="M1331" s="39"/>
      <c r="N1331" s="39"/>
      <c r="O1331" s="39"/>
      <c r="P1331" s="39"/>
      <c r="Q1331" s="39" t="s">
        <v>1976</v>
      </c>
      <c r="R1331" t="str">
        <f>VLOOKUP(E1331,'Data Type Lookup'!$A$1:$C$21,3,FALSE)</f>
        <v>String</v>
      </c>
      <c r="S1331" s="39"/>
      <c r="W1331" t="str">
        <f>_xlfn.CONCAT(B1331,".",C1331)</f>
        <v>PROCESSLOGLINK.BATCH_UID</v>
      </c>
      <c r="X1331" t="str">
        <f>VLOOKUP(W1331,ColumnMapping[New Table.Column],1,)</f>
        <v>PROCESSLOGLINK.BATCH_UID</v>
      </c>
      <c r="Y1331" t="str">
        <f>_xlfn.XLOOKUP(Table6[[#This Row],[Table.Column]],ColumnMapping[Add Column Name],ColumnMapping[Old Table.Column],"",0,1)</f>
        <v/>
      </c>
      <c r="Z1331" t="str">
        <f>_xlfn.XLOOKUP(Table6[[#This Row],[Old Table.Column]],Cobra8.6[Table.Column],Cobra8.6[TYPE],"",0,1)</f>
        <v/>
      </c>
      <c r="AA1331" t="str">
        <f>_xlfn.XLOOKUP(Table6[[#This Row],[Old Table.Column]],Cobra8.6[Table.Column],Cobra8.6[LENGTH],"",0,1)</f>
        <v/>
      </c>
    </row>
    <row r="1332" spans="1:27" hidden="1" x14ac:dyDescent="0.2">
      <c r="A1332" t="s">
        <v>450</v>
      </c>
      <c r="B1332" s="39" t="s">
        <v>1974</v>
      </c>
      <c r="C1332" s="39" t="s">
        <v>1977</v>
      </c>
      <c r="D1332" s="39">
        <v>2</v>
      </c>
      <c r="E1332" s="39" t="s">
        <v>31</v>
      </c>
      <c r="F1332" s="39" t="s">
        <v>765</v>
      </c>
      <c r="G1332" s="39"/>
      <c r="H1332" s="39"/>
      <c r="I1332" s="47"/>
      <c r="J1332" s="47"/>
      <c r="K1332" s="47"/>
      <c r="L1332" s="47"/>
      <c r="M1332" s="39" t="s">
        <v>1960</v>
      </c>
      <c r="N1332" s="39" t="s">
        <v>30</v>
      </c>
      <c r="O1332" s="39" t="s">
        <v>1914</v>
      </c>
      <c r="P1332" s="39"/>
      <c r="Q1332" s="39" t="s">
        <v>1978</v>
      </c>
      <c r="R1332" t="str">
        <f>VLOOKUP(E1332,'Data Type Lookup'!$A$1:$C$21,3,FALSE)</f>
        <v>java.util.UUID</v>
      </c>
      <c r="S1332" s="39"/>
      <c r="W1332" t="str">
        <f t="shared" ref="W1332:W1338" si="49">_xlfn.CONCAT(B1332,".",C1332)</f>
        <v>PROCESSLOGLINK.PROCESSLOG_UID</v>
      </c>
      <c r="X1332" t="str">
        <f>VLOOKUP(W1332,ColumnMapping[New Table.Column],1,)</f>
        <v>PROCESSLOGLINK.PROCESSLOG_UID</v>
      </c>
      <c r="Y1332" t="str">
        <f>_xlfn.XLOOKUP(Table6[[#This Row],[Table.Column]],ColumnMapping[Add Column Name],ColumnMapping[Old Table.Column],"",0,1)</f>
        <v/>
      </c>
      <c r="Z1332" t="str">
        <f>_xlfn.XLOOKUP(Table6[[#This Row],[Old Table.Column]],Cobra8.6[Table.Column],Cobra8.6[TYPE],"",0,1)</f>
        <v/>
      </c>
      <c r="AA1332" t="str">
        <f>_xlfn.XLOOKUP(Table6[[#This Row],[Old Table.Column]],Cobra8.6[Table.Column],Cobra8.6[LENGTH],"",0,1)</f>
        <v/>
      </c>
    </row>
    <row r="1333" spans="1:27" hidden="1" x14ac:dyDescent="0.2">
      <c r="A1333" t="s">
        <v>450</v>
      </c>
      <c r="B1333" s="39" t="s">
        <v>1974</v>
      </c>
      <c r="C1333" s="39" t="s">
        <v>30</v>
      </c>
      <c r="D1333" s="39">
        <v>3</v>
      </c>
      <c r="E1333" t="s">
        <v>31</v>
      </c>
      <c r="F1333" t="str">
        <f>VLOOKUP($E1333,'Data Type Lookup'!$A$1:$C$21,2,FALSE)</f>
        <v>RAW(16)</v>
      </c>
      <c r="I1333" s="32" t="s">
        <v>32</v>
      </c>
      <c r="K1333" s="32" t="s">
        <v>32</v>
      </c>
      <c r="P1333" t="s">
        <v>1789</v>
      </c>
      <c r="Q1333" t="s">
        <v>34</v>
      </c>
      <c r="R1333" t="str">
        <f>VLOOKUP(E1333,'Data Type Lookup'!$A$1:$C$21,3,FALSE)</f>
        <v>java.util.UUID</v>
      </c>
      <c r="S1333">
        <v>3</v>
      </c>
      <c r="W1333" t="str">
        <f t="shared" si="49"/>
        <v>PROCESSLOGLINK.ROW_UID</v>
      </c>
      <c r="X1333" t="str">
        <f>VLOOKUP(W1333,ColumnMapping[New Table.Column],1,)</f>
        <v>PROCESSLOGLINK.ROW_UID</v>
      </c>
      <c r="Y1333" t="str">
        <f>_xlfn.XLOOKUP(Table6[[#This Row],[Table.Column]],ColumnMapping[Add Column Name],ColumnMapping[Old Table.Column],"",0,1)</f>
        <v/>
      </c>
      <c r="Z1333" t="str">
        <f>_xlfn.XLOOKUP(Table6[[#This Row],[Old Table.Column]],Cobra8.6[Table.Column],Cobra8.6[TYPE],"",0,1)</f>
        <v/>
      </c>
      <c r="AA1333" t="str">
        <f>_xlfn.XLOOKUP(Table6[[#This Row],[Old Table.Column]],Cobra8.6[Table.Column],Cobra8.6[LENGTH],"",0,1)</f>
        <v/>
      </c>
    </row>
    <row r="1334" spans="1:27" hidden="1" x14ac:dyDescent="0.2">
      <c r="A1334" t="s">
        <v>450</v>
      </c>
      <c r="B1334" s="39" t="s">
        <v>1974</v>
      </c>
      <c r="C1334" s="39" t="s">
        <v>35</v>
      </c>
      <c r="D1334" s="39">
        <v>4</v>
      </c>
      <c r="E1334" t="s">
        <v>36</v>
      </c>
      <c r="F1334" t="str">
        <f>VLOOKUP($E1334,'Data Type Lookup'!$A$1:$C$21,2,FALSE)</f>
        <v>NUMBER(19,0)</v>
      </c>
      <c r="I1334" s="32" t="s">
        <v>32</v>
      </c>
      <c r="J1334" s="32">
        <v>0</v>
      </c>
      <c r="P1334" t="s">
        <v>37</v>
      </c>
      <c r="Q1334" t="s">
        <v>38</v>
      </c>
      <c r="R1334" t="str">
        <f>VLOOKUP(E1334,'Data Type Lookup'!$A$1:$C$21,3,FALSE)</f>
        <v>Long</v>
      </c>
      <c r="S1334">
        <v>3</v>
      </c>
      <c r="W1334" t="str">
        <f t="shared" si="49"/>
        <v>PROCESSLOGLINK.SEQUENCE</v>
      </c>
      <c r="X1334" t="str">
        <f>VLOOKUP(W1334,ColumnMapping[New Table.Column],1,)</f>
        <v>PROCESSLOGLINK.SEQUENCE</v>
      </c>
      <c r="Y1334" t="str">
        <f>_xlfn.XLOOKUP(Table6[[#This Row],[Table.Column]],ColumnMapping[Add Column Name],ColumnMapping[Old Table.Column],"",0,1)</f>
        <v/>
      </c>
      <c r="Z1334" t="str">
        <f>_xlfn.XLOOKUP(Table6[[#This Row],[Old Table.Column]],Cobra8.6[Table.Column],Cobra8.6[TYPE],"",0,1)</f>
        <v/>
      </c>
      <c r="AA1334" t="str">
        <f>_xlfn.XLOOKUP(Table6[[#This Row],[Old Table.Column]],Cobra8.6[Table.Column],Cobra8.6[LENGTH],"",0,1)</f>
        <v/>
      </c>
    </row>
    <row r="1335" spans="1:27" hidden="1" x14ac:dyDescent="0.2">
      <c r="A1335" t="s">
        <v>450</v>
      </c>
      <c r="B1335" s="39" t="s">
        <v>1974</v>
      </c>
      <c r="C1335" s="39" t="s">
        <v>61</v>
      </c>
      <c r="D1335" s="39">
        <v>5</v>
      </c>
      <c r="E1335" t="s">
        <v>31</v>
      </c>
      <c r="F1335" t="str">
        <f>VLOOKUP($E1335,'Data Type Lookup'!$A$1:$C$21,2,FALSE)</f>
        <v>RAW(16)</v>
      </c>
      <c r="I1335" s="32" t="s">
        <v>32</v>
      </c>
      <c r="P1335" t="s">
        <v>1629</v>
      </c>
      <c r="Q1335" t="s">
        <v>63</v>
      </c>
      <c r="R1335" t="str">
        <f>VLOOKUP(E1335,'Data Type Lookup'!$A$1:$C$21,3,FALSE)</f>
        <v>java.util.UUID</v>
      </c>
      <c r="S1335">
        <v>2</v>
      </c>
      <c r="W1335" t="str">
        <f t="shared" si="49"/>
        <v>PROCESSLOGLINK.CREATED_BY_USER_UID</v>
      </c>
      <c r="X1335" t="str">
        <f>VLOOKUP(W1335,ColumnMapping[New Table.Column],1,)</f>
        <v>PROCESSLOGLINK.CREATED_BY_USER_UID</v>
      </c>
      <c r="Y1335" t="str">
        <f>_xlfn.XLOOKUP(Table6[[#This Row],[Table.Column]],ColumnMapping[Add Column Name],ColumnMapping[Old Table.Column],"",0,1)</f>
        <v/>
      </c>
      <c r="Z1335" t="str">
        <f>_xlfn.XLOOKUP(Table6[[#This Row],[Old Table.Column]],Cobra8.6[Table.Column],Cobra8.6[TYPE],"",0,1)</f>
        <v/>
      </c>
      <c r="AA1335" t="str">
        <f>_xlfn.XLOOKUP(Table6[[#This Row],[Old Table.Column]],Cobra8.6[Table.Column],Cobra8.6[LENGTH],"",0,1)</f>
        <v/>
      </c>
    </row>
    <row r="1336" spans="1:27" hidden="1" x14ac:dyDescent="0.2">
      <c r="A1336" t="s">
        <v>450</v>
      </c>
      <c r="B1336" s="39" t="s">
        <v>1974</v>
      </c>
      <c r="C1336" s="39" t="s">
        <v>64</v>
      </c>
      <c r="D1336" s="39">
        <v>6</v>
      </c>
      <c r="E1336" t="s">
        <v>65</v>
      </c>
      <c r="F1336" t="str">
        <f>VLOOKUP($E1336,'Data Type Lookup'!$A$1:$C$21,2,FALSE)</f>
        <v>TIMESTAMP</v>
      </c>
      <c r="I1336" s="32" t="s">
        <v>32</v>
      </c>
      <c r="P1336" t="s">
        <v>1630</v>
      </c>
      <c r="Q1336" t="s">
        <v>67</v>
      </c>
      <c r="R1336" t="str">
        <f>VLOOKUP(E1336,'Data Type Lookup'!$A$1:$C$21,3,FALSE)</f>
        <v>java.time.Instant</v>
      </c>
      <c r="S1336">
        <v>2</v>
      </c>
      <c r="W1336" t="str">
        <f t="shared" si="49"/>
        <v>PROCESSLOGLINK.CREATED_DATE</v>
      </c>
      <c r="X1336" t="str">
        <f>VLOOKUP(W1336,ColumnMapping[New Table.Column],1,)</f>
        <v>PROCESSLOGLINK.CREATED_DATE</v>
      </c>
      <c r="Y1336" t="str">
        <f>_xlfn.XLOOKUP(Table6[[#This Row],[Table.Column]],ColumnMapping[Add Column Name],ColumnMapping[Old Table.Column],"",0,1)</f>
        <v/>
      </c>
      <c r="Z1336" t="str">
        <f>_xlfn.XLOOKUP(Table6[[#This Row],[Old Table.Column]],Cobra8.6[Table.Column],Cobra8.6[TYPE],"",0,1)</f>
        <v/>
      </c>
      <c r="AA1336" t="str">
        <f>_xlfn.XLOOKUP(Table6[[#This Row],[Old Table.Column]],Cobra8.6[Table.Column],Cobra8.6[LENGTH],"",0,1)</f>
        <v/>
      </c>
    </row>
    <row r="1337" spans="1:27" hidden="1" x14ac:dyDescent="0.2">
      <c r="A1337" t="s">
        <v>450</v>
      </c>
      <c r="B1337" s="39" t="s">
        <v>1974</v>
      </c>
      <c r="C1337" s="39" t="s">
        <v>68</v>
      </c>
      <c r="D1337" s="39">
        <v>7</v>
      </c>
      <c r="E1337" t="s">
        <v>31</v>
      </c>
      <c r="F1337" t="str">
        <f>VLOOKUP($E1337,'Data Type Lookup'!$A$1:$C$21,2,FALSE)</f>
        <v>RAW(16)</v>
      </c>
      <c r="I1337" s="32" t="s">
        <v>32</v>
      </c>
      <c r="P1337" t="s">
        <v>1632</v>
      </c>
      <c r="Q1337" t="s">
        <v>70</v>
      </c>
      <c r="R1337" t="str">
        <f>VLOOKUP(E1337,'Data Type Lookup'!$A$1:$C$21,3,FALSE)</f>
        <v>java.util.UUID</v>
      </c>
      <c r="S1337">
        <v>2</v>
      </c>
      <c r="W1337" t="str">
        <f t="shared" si="49"/>
        <v>PROCESSLOGLINK.LAST_MODIFIED_BY_USER_UID</v>
      </c>
      <c r="X1337" t="str">
        <f>VLOOKUP(W1337,ColumnMapping[New Table.Column],1,)</f>
        <v>PROCESSLOGLINK.LAST_MODIFIED_BY_USER_UID</v>
      </c>
      <c r="Y1337" t="str">
        <f>_xlfn.XLOOKUP(Table6[[#This Row],[Table.Column]],ColumnMapping[Add Column Name],ColumnMapping[Old Table.Column],"",0,1)</f>
        <v/>
      </c>
      <c r="Z1337" t="str">
        <f>_xlfn.XLOOKUP(Table6[[#This Row],[Old Table.Column]],Cobra8.6[Table.Column],Cobra8.6[TYPE],"",0,1)</f>
        <v/>
      </c>
      <c r="AA1337" t="str">
        <f>_xlfn.XLOOKUP(Table6[[#This Row],[Old Table.Column]],Cobra8.6[Table.Column],Cobra8.6[LENGTH],"",0,1)</f>
        <v/>
      </c>
    </row>
    <row r="1338" spans="1:27" hidden="1" x14ac:dyDescent="0.2">
      <c r="A1338" t="s">
        <v>450</v>
      </c>
      <c r="B1338" s="39" t="s">
        <v>1974</v>
      </c>
      <c r="C1338" s="39" t="s">
        <v>71</v>
      </c>
      <c r="D1338" s="39">
        <v>8</v>
      </c>
      <c r="E1338" t="s">
        <v>65</v>
      </c>
      <c r="F1338" t="str">
        <f>VLOOKUP($E1338,'Data Type Lookup'!$A$1:$C$21,2,FALSE)</f>
        <v>TIMESTAMP</v>
      </c>
      <c r="I1338" s="32" t="s">
        <v>32</v>
      </c>
      <c r="P1338" t="s">
        <v>1633</v>
      </c>
      <c r="Q1338" t="s">
        <v>73</v>
      </c>
      <c r="R1338" t="str">
        <f>VLOOKUP(E1338,'Data Type Lookup'!$A$1:$C$21,3,FALSE)</f>
        <v>java.time.Instant</v>
      </c>
      <c r="S1338">
        <v>2</v>
      </c>
      <c r="W1338" t="str">
        <f t="shared" si="49"/>
        <v>PROCESSLOGLINK.LAST_MODIFIED_DATE</v>
      </c>
      <c r="X1338" t="str">
        <f>VLOOKUP(W1338,ColumnMapping[New Table.Column],1,)</f>
        <v>PROCESSLOGLINK.LAST_MODIFIED_DATE</v>
      </c>
      <c r="Y1338" t="str">
        <f>_xlfn.XLOOKUP(Table6[[#This Row],[Table.Column]],ColumnMapping[Add Column Name],ColumnMapping[Old Table.Column],"",0,1)</f>
        <v/>
      </c>
      <c r="Z1338" t="str">
        <f>_xlfn.XLOOKUP(Table6[[#This Row],[Old Table.Column]],Cobra8.6[Table.Column],Cobra8.6[TYPE],"",0,1)</f>
        <v/>
      </c>
      <c r="AA1338" t="str">
        <f>_xlfn.XLOOKUP(Table6[[#This Row],[Old Table.Column]],Cobra8.6[Table.Column],Cobra8.6[LENGTH],"",0,1)</f>
        <v/>
      </c>
    </row>
    <row r="1339" spans="1:27" hidden="1" x14ac:dyDescent="0.2">
      <c r="A1339" t="s">
        <v>450</v>
      </c>
      <c r="B1339" s="39" t="s">
        <v>1979</v>
      </c>
      <c r="C1339" s="39" t="s">
        <v>299</v>
      </c>
      <c r="D1339" s="39">
        <v>1</v>
      </c>
      <c r="E1339" s="39" t="s">
        <v>161</v>
      </c>
      <c r="F1339" s="39" t="s">
        <v>795</v>
      </c>
      <c r="G1339" s="39"/>
      <c r="H1339" s="39"/>
      <c r="I1339" s="47"/>
      <c r="J1339" s="47">
        <v>0</v>
      </c>
      <c r="K1339" s="47"/>
      <c r="L1339" s="47"/>
      <c r="M1339" s="39"/>
      <c r="N1339" s="39"/>
      <c r="O1339" s="39"/>
      <c r="P1339" s="39"/>
      <c r="Q1339" s="39" t="s">
        <v>370</v>
      </c>
      <c r="R1339" t="str">
        <f>VLOOKUP(E1339,'Data Type Lookup'!$A$1:$C$21,3,FALSE)</f>
        <v>java.math.BigDecimal</v>
      </c>
      <c r="S1339" s="39"/>
      <c r="W1339" t="str">
        <f>_xlfn.CONCAT(B1339,".",C1339)</f>
        <v>RCUTOFF.HOURS</v>
      </c>
      <c r="X1339" t="str">
        <f>VLOOKUP(W1339,ColumnMapping[New Table.Column],1,)</f>
        <v>RCUTOFF.HOURS</v>
      </c>
      <c r="Y1339" t="str">
        <f>_xlfn.XLOOKUP(Table6[[#This Row],[Table.Column]],ColumnMapping[Add Column Name],ColumnMapping[Old Table.Column],"",0,1)</f>
        <v/>
      </c>
      <c r="Z1339" t="str">
        <f>_xlfn.XLOOKUP(Table6[[#This Row],[Old Table.Column]],Cobra8.6[Table.Column],Cobra8.6[TYPE],"",0,1)</f>
        <v/>
      </c>
      <c r="AA1339" t="str">
        <f>_xlfn.XLOOKUP(Table6[[#This Row],[Old Table.Column]],Cobra8.6[Table.Column],Cobra8.6[LENGTH],"",0,1)</f>
        <v/>
      </c>
    </row>
    <row r="1340" spans="1:27" hidden="1" x14ac:dyDescent="0.2">
      <c r="A1340" t="s">
        <v>450</v>
      </c>
      <c r="B1340" s="39" t="s">
        <v>1979</v>
      </c>
      <c r="C1340" s="39" t="s">
        <v>1943</v>
      </c>
      <c r="D1340" s="39">
        <v>2</v>
      </c>
      <c r="E1340" s="39" t="s">
        <v>86</v>
      </c>
      <c r="F1340" s="39" t="s">
        <v>349</v>
      </c>
      <c r="G1340" s="39">
        <v>22</v>
      </c>
      <c r="H1340" s="39"/>
      <c r="I1340" s="47"/>
      <c r="J1340" s="47"/>
      <c r="K1340" s="47"/>
      <c r="L1340" s="47"/>
      <c r="M1340" s="39"/>
      <c r="N1340" s="39"/>
      <c r="O1340" s="39"/>
      <c r="P1340" s="39"/>
      <c r="Q1340" s="39" t="s">
        <v>1980</v>
      </c>
      <c r="R1340" t="str">
        <f>VLOOKUP(E1340,'Data Type Lookup'!$A$1:$C$21,3,FALSE)</f>
        <v>String</v>
      </c>
      <c r="S1340" s="39"/>
      <c r="W1340" t="str">
        <f t="shared" ref="W1340:W1348" si="50">_xlfn.CONCAT(B1340,".",C1340)</f>
        <v>RCUTOFF.INSTANCE</v>
      </c>
      <c r="X1340" t="str">
        <f>VLOOKUP(W1340,ColumnMapping[New Table.Column],1,)</f>
        <v>RCUTOFF.INSTANCE</v>
      </c>
      <c r="Y1340" t="str">
        <f>_xlfn.XLOOKUP(Table6[[#This Row],[Table.Column]],ColumnMapping[Add Column Name],ColumnMapping[Old Table.Column],"",0,1)</f>
        <v/>
      </c>
      <c r="Z1340" t="str">
        <f>_xlfn.XLOOKUP(Table6[[#This Row],[Old Table.Column]],Cobra8.6[Table.Column],Cobra8.6[TYPE],"",0,1)</f>
        <v/>
      </c>
      <c r="AA1340" t="str">
        <f>_xlfn.XLOOKUP(Table6[[#This Row],[Old Table.Column]],Cobra8.6[Table.Column],Cobra8.6[LENGTH],"",0,1)</f>
        <v/>
      </c>
    </row>
    <row r="1341" spans="1:27" hidden="1" x14ac:dyDescent="0.2">
      <c r="A1341" t="s">
        <v>450</v>
      </c>
      <c r="B1341" s="39" t="s">
        <v>1979</v>
      </c>
      <c r="C1341" s="39" t="s">
        <v>1981</v>
      </c>
      <c r="D1341" s="39">
        <v>3</v>
      </c>
      <c r="E1341" s="39" t="s">
        <v>356</v>
      </c>
      <c r="F1341" s="39" t="s">
        <v>356</v>
      </c>
      <c r="G1341" s="39"/>
      <c r="H1341" s="39"/>
      <c r="I1341" s="47"/>
      <c r="J1341" s="47"/>
      <c r="K1341" s="47"/>
      <c r="L1341" s="47"/>
      <c r="M1341" s="39"/>
      <c r="N1341" s="39"/>
      <c r="O1341" s="39"/>
      <c r="P1341" s="39"/>
      <c r="Q1341" s="39" t="s">
        <v>1982</v>
      </c>
      <c r="R1341" t="str">
        <f>VLOOKUP(E1341,'Data Type Lookup'!$A$1:$C$21,3,FALSE)</f>
        <v>java.time.Instant</v>
      </c>
      <c r="S1341" s="39"/>
      <c r="W1341" t="str">
        <f t="shared" si="50"/>
        <v>RCUTOFF.PD_FINISH</v>
      </c>
      <c r="X1341" t="str">
        <f>VLOOKUP(W1341,ColumnMapping[New Table.Column],1,)</f>
        <v>RCUTOFF.PD_FINISH</v>
      </c>
      <c r="Y1341" t="str">
        <f>_xlfn.XLOOKUP(Table6[[#This Row],[Table.Column]],ColumnMapping[Add Column Name],ColumnMapping[Old Table.Column],"",0,1)</f>
        <v/>
      </c>
      <c r="Z1341" t="str">
        <f>_xlfn.XLOOKUP(Table6[[#This Row],[Old Table.Column]],Cobra8.6[Table.Column],Cobra8.6[TYPE],"",0,1)</f>
        <v/>
      </c>
      <c r="AA1341" t="str">
        <f>_xlfn.XLOOKUP(Table6[[#This Row],[Old Table.Column]],Cobra8.6[Table.Column],Cobra8.6[LENGTH],"",0,1)</f>
        <v/>
      </c>
    </row>
    <row r="1342" spans="1:27" hidden="1" x14ac:dyDescent="0.2">
      <c r="A1342" t="s">
        <v>450</v>
      </c>
      <c r="B1342" s="39" t="s">
        <v>1979</v>
      </c>
      <c r="C1342" s="39" t="s">
        <v>1983</v>
      </c>
      <c r="D1342" s="39">
        <v>4</v>
      </c>
      <c r="E1342" s="39" t="s">
        <v>356</v>
      </c>
      <c r="F1342" s="39" t="s">
        <v>356</v>
      </c>
      <c r="G1342" s="39"/>
      <c r="H1342" s="39"/>
      <c r="I1342" s="47"/>
      <c r="J1342" s="47"/>
      <c r="K1342" s="47"/>
      <c r="L1342" s="47"/>
      <c r="M1342" s="39"/>
      <c r="N1342" s="39"/>
      <c r="O1342" s="39"/>
      <c r="P1342" s="39"/>
      <c r="Q1342" s="39" t="s">
        <v>1984</v>
      </c>
      <c r="R1342" t="str">
        <f>VLOOKUP(E1342,'Data Type Lookup'!$A$1:$C$21,3,FALSE)</f>
        <v>java.time.Instant</v>
      </c>
      <c r="S1342" s="39"/>
      <c r="W1342" t="str">
        <f t="shared" si="50"/>
        <v>RCUTOFF.PD_START</v>
      </c>
      <c r="X1342" t="str">
        <f>VLOOKUP(W1342,ColumnMapping[New Table.Column],1,)</f>
        <v>RCUTOFF.PD_START</v>
      </c>
      <c r="Y1342" t="str">
        <f>_xlfn.XLOOKUP(Table6[[#This Row],[Table.Column]],ColumnMapping[Add Column Name],ColumnMapping[Old Table.Column],"",0,1)</f>
        <v/>
      </c>
      <c r="Z1342" t="str">
        <f>_xlfn.XLOOKUP(Table6[[#This Row],[Old Table.Column]],Cobra8.6[Table.Column],Cobra8.6[TYPE],"",0,1)</f>
        <v/>
      </c>
      <c r="AA1342" t="str">
        <f>_xlfn.XLOOKUP(Table6[[#This Row],[Old Table.Column]],Cobra8.6[Table.Column],Cobra8.6[LENGTH],"",0,1)</f>
        <v/>
      </c>
    </row>
    <row r="1343" spans="1:27" hidden="1" x14ac:dyDescent="0.2">
      <c r="A1343" t="s">
        <v>450</v>
      </c>
      <c r="B1343" s="39" t="s">
        <v>1979</v>
      </c>
      <c r="C1343" s="39" t="s">
        <v>30</v>
      </c>
      <c r="D1343" s="39">
        <v>5</v>
      </c>
      <c r="E1343" t="s">
        <v>31</v>
      </c>
      <c r="F1343" t="str">
        <f>VLOOKUP($E1343,'Data Type Lookup'!$A$1:$C$21,2,FALSE)</f>
        <v>RAW(16)</v>
      </c>
      <c r="I1343" s="32" t="s">
        <v>32</v>
      </c>
      <c r="K1343" s="32" t="s">
        <v>32</v>
      </c>
      <c r="P1343" t="s">
        <v>1789</v>
      </c>
      <c r="Q1343" t="s">
        <v>34</v>
      </c>
      <c r="R1343" t="str">
        <f>VLOOKUP(E1343,'Data Type Lookup'!$A$1:$C$21,3,FALSE)</f>
        <v>java.util.UUID</v>
      </c>
      <c r="S1343">
        <v>3</v>
      </c>
      <c r="W1343" t="str">
        <f t="shared" si="50"/>
        <v>RCUTOFF.ROW_UID</v>
      </c>
      <c r="X1343" t="str">
        <f>VLOOKUP(W1343,ColumnMapping[New Table.Column],1,)</f>
        <v>RCUTOFF.ROW_UID</v>
      </c>
      <c r="Y1343" t="str">
        <f>_xlfn.XLOOKUP(Table6[[#This Row],[Table.Column]],ColumnMapping[Add Column Name],ColumnMapping[Old Table.Column],"",0,1)</f>
        <v/>
      </c>
      <c r="Z1343" t="str">
        <f>_xlfn.XLOOKUP(Table6[[#This Row],[Old Table.Column]],Cobra8.6[Table.Column],Cobra8.6[TYPE],"",0,1)</f>
        <v/>
      </c>
      <c r="AA1343" t="str">
        <f>_xlfn.XLOOKUP(Table6[[#This Row],[Old Table.Column]],Cobra8.6[Table.Column],Cobra8.6[LENGTH],"",0,1)</f>
        <v/>
      </c>
    </row>
    <row r="1344" spans="1:27" hidden="1" x14ac:dyDescent="0.2">
      <c r="A1344" t="s">
        <v>450</v>
      </c>
      <c r="B1344" s="39" t="s">
        <v>1979</v>
      </c>
      <c r="C1344" s="39" t="s">
        <v>35</v>
      </c>
      <c r="D1344" s="39">
        <v>6</v>
      </c>
      <c r="E1344" t="s">
        <v>36</v>
      </c>
      <c r="F1344" t="str">
        <f>VLOOKUP($E1344,'Data Type Lookup'!$A$1:$C$21,2,FALSE)</f>
        <v>NUMBER(19,0)</v>
      </c>
      <c r="I1344" s="32" t="s">
        <v>32</v>
      </c>
      <c r="J1344" s="32">
        <v>0</v>
      </c>
      <c r="P1344" t="s">
        <v>37</v>
      </c>
      <c r="Q1344" t="s">
        <v>38</v>
      </c>
      <c r="R1344" t="str">
        <f>VLOOKUP(E1344,'Data Type Lookup'!$A$1:$C$21,3,FALSE)</f>
        <v>Long</v>
      </c>
      <c r="S1344">
        <v>3</v>
      </c>
      <c r="W1344" t="str">
        <f t="shared" si="50"/>
        <v>RCUTOFF.SEQUENCE</v>
      </c>
      <c r="X1344" t="str">
        <f>VLOOKUP(W1344,ColumnMapping[New Table.Column],1,)</f>
        <v>RCUTOFF.SEQUENCE</v>
      </c>
      <c r="Y1344" t="str">
        <f>_xlfn.XLOOKUP(Table6[[#This Row],[Table.Column]],ColumnMapping[Add Column Name],ColumnMapping[Old Table.Column],"",0,1)</f>
        <v/>
      </c>
      <c r="Z1344" t="str">
        <f>_xlfn.XLOOKUP(Table6[[#This Row],[Old Table.Column]],Cobra8.6[Table.Column],Cobra8.6[TYPE],"",0,1)</f>
        <v/>
      </c>
      <c r="AA1344" t="str">
        <f>_xlfn.XLOOKUP(Table6[[#This Row],[Old Table.Column]],Cobra8.6[Table.Column],Cobra8.6[LENGTH],"",0,1)</f>
        <v/>
      </c>
    </row>
    <row r="1345" spans="1:27" hidden="1" x14ac:dyDescent="0.2">
      <c r="A1345" t="s">
        <v>450</v>
      </c>
      <c r="B1345" s="39" t="s">
        <v>1979</v>
      </c>
      <c r="C1345" s="39" t="s">
        <v>61</v>
      </c>
      <c r="D1345" s="39">
        <v>7</v>
      </c>
      <c r="E1345" t="s">
        <v>31</v>
      </c>
      <c r="F1345" t="str">
        <f>VLOOKUP($E1345,'Data Type Lookup'!$A$1:$C$21,2,FALSE)</f>
        <v>RAW(16)</v>
      </c>
      <c r="I1345" s="32" t="s">
        <v>32</v>
      </c>
      <c r="P1345" t="s">
        <v>1629</v>
      </c>
      <c r="Q1345" t="s">
        <v>63</v>
      </c>
      <c r="R1345" t="str">
        <f>VLOOKUP(E1345,'Data Type Lookup'!$A$1:$C$21,3,FALSE)</f>
        <v>java.util.UUID</v>
      </c>
      <c r="S1345">
        <v>2</v>
      </c>
      <c r="W1345" t="str">
        <f t="shared" si="50"/>
        <v>RCUTOFF.CREATED_BY_USER_UID</v>
      </c>
      <c r="X1345" t="str">
        <f>VLOOKUP(W1345,ColumnMapping[New Table.Column],1,)</f>
        <v>RCUTOFF.CREATED_BY_USER_UID</v>
      </c>
      <c r="Y1345" t="str">
        <f>_xlfn.XLOOKUP(Table6[[#This Row],[Table.Column]],ColumnMapping[Add Column Name],ColumnMapping[Old Table.Column],"",0,1)</f>
        <v/>
      </c>
      <c r="Z1345" t="str">
        <f>_xlfn.XLOOKUP(Table6[[#This Row],[Old Table.Column]],Cobra8.6[Table.Column],Cobra8.6[TYPE],"",0,1)</f>
        <v/>
      </c>
      <c r="AA1345" t="str">
        <f>_xlfn.XLOOKUP(Table6[[#This Row],[Old Table.Column]],Cobra8.6[Table.Column],Cobra8.6[LENGTH],"",0,1)</f>
        <v/>
      </c>
    </row>
    <row r="1346" spans="1:27" hidden="1" x14ac:dyDescent="0.2">
      <c r="A1346" t="s">
        <v>450</v>
      </c>
      <c r="B1346" s="39" t="s">
        <v>1979</v>
      </c>
      <c r="C1346" s="39" t="s">
        <v>64</v>
      </c>
      <c r="D1346" s="39">
        <v>8</v>
      </c>
      <c r="E1346" t="s">
        <v>65</v>
      </c>
      <c r="F1346" t="str">
        <f>VLOOKUP($E1346,'Data Type Lookup'!$A$1:$C$21,2,FALSE)</f>
        <v>TIMESTAMP</v>
      </c>
      <c r="I1346" s="32" t="s">
        <v>32</v>
      </c>
      <c r="P1346" t="s">
        <v>1630</v>
      </c>
      <c r="Q1346" t="s">
        <v>67</v>
      </c>
      <c r="R1346" t="str">
        <f>VLOOKUP(E1346,'Data Type Lookup'!$A$1:$C$21,3,FALSE)</f>
        <v>java.time.Instant</v>
      </c>
      <c r="S1346">
        <v>2</v>
      </c>
      <c r="W1346" t="str">
        <f t="shared" si="50"/>
        <v>RCUTOFF.CREATED_DATE</v>
      </c>
      <c r="X1346" t="str">
        <f>VLOOKUP(W1346,ColumnMapping[New Table.Column],1,)</f>
        <v>RCUTOFF.CREATED_DATE</v>
      </c>
      <c r="Y1346" t="str">
        <f>_xlfn.XLOOKUP(Table6[[#This Row],[Table.Column]],ColumnMapping[Add Column Name],ColumnMapping[Old Table.Column],"",0,1)</f>
        <v/>
      </c>
      <c r="Z1346" t="str">
        <f>_xlfn.XLOOKUP(Table6[[#This Row],[Old Table.Column]],Cobra8.6[Table.Column],Cobra8.6[TYPE],"",0,1)</f>
        <v/>
      </c>
      <c r="AA1346" t="str">
        <f>_xlfn.XLOOKUP(Table6[[#This Row],[Old Table.Column]],Cobra8.6[Table.Column],Cobra8.6[LENGTH],"",0,1)</f>
        <v/>
      </c>
    </row>
    <row r="1347" spans="1:27" hidden="1" x14ac:dyDescent="0.2">
      <c r="A1347" t="s">
        <v>450</v>
      </c>
      <c r="B1347" s="39" t="s">
        <v>1979</v>
      </c>
      <c r="C1347" s="39" t="s">
        <v>68</v>
      </c>
      <c r="D1347" s="39">
        <v>9</v>
      </c>
      <c r="E1347" t="s">
        <v>31</v>
      </c>
      <c r="F1347" t="str">
        <f>VLOOKUP($E1347,'Data Type Lookup'!$A$1:$C$21,2,FALSE)</f>
        <v>RAW(16)</v>
      </c>
      <c r="I1347" s="32" t="s">
        <v>32</v>
      </c>
      <c r="P1347" t="s">
        <v>1632</v>
      </c>
      <c r="Q1347" t="s">
        <v>70</v>
      </c>
      <c r="R1347" t="str">
        <f>VLOOKUP(E1347,'Data Type Lookup'!$A$1:$C$21,3,FALSE)</f>
        <v>java.util.UUID</v>
      </c>
      <c r="S1347">
        <v>2</v>
      </c>
      <c r="W1347" t="str">
        <f t="shared" si="50"/>
        <v>RCUTOFF.LAST_MODIFIED_BY_USER_UID</v>
      </c>
      <c r="X1347" t="str">
        <f>VLOOKUP(W1347,ColumnMapping[New Table.Column],1,)</f>
        <v>RCUTOFF.LAST_MODIFIED_BY_USER_UID</v>
      </c>
      <c r="Y1347" t="str">
        <f>_xlfn.XLOOKUP(Table6[[#This Row],[Table.Column]],ColumnMapping[Add Column Name],ColumnMapping[Old Table.Column],"",0,1)</f>
        <v/>
      </c>
      <c r="Z1347" t="str">
        <f>_xlfn.XLOOKUP(Table6[[#This Row],[Old Table.Column]],Cobra8.6[Table.Column],Cobra8.6[TYPE],"",0,1)</f>
        <v/>
      </c>
      <c r="AA1347" t="str">
        <f>_xlfn.XLOOKUP(Table6[[#This Row],[Old Table.Column]],Cobra8.6[Table.Column],Cobra8.6[LENGTH],"",0,1)</f>
        <v/>
      </c>
    </row>
    <row r="1348" spans="1:27" hidden="1" x14ac:dyDescent="0.2">
      <c r="A1348" t="s">
        <v>450</v>
      </c>
      <c r="B1348" s="39" t="s">
        <v>1979</v>
      </c>
      <c r="C1348" s="39" t="s">
        <v>71</v>
      </c>
      <c r="D1348" s="39">
        <v>10</v>
      </c>
      <c r="E1348" t="s">
        <v>65</v>
      </c>
      <c r="F1348" t="str">
        <f>VLOOKUP($E1348,'Data Type Lookup'!$A$1:$C$21,2,FALSE)</f>
        <v>TIMESTAMP</v>
      </c>
      <c r="I1348" s="32" t="s">
        <v>32</v>
      </c>
      <c r="P1348" t="s">
        <v>1633</v>
      </c>
      <c r="Q1348" t="s">
        <v>73</v>
      </c>
      <c r="R1348" t="str">
        <f>VLOOKUP(E1348,'Data Type Lookup'!$A$1:$C$21,3,FALSE)</f>
        <v>java.time.Instant</v>
      </c>
      <c r="S1348">
        <v>2</v>
      </c>
      <c r="W1348" t="str">
        <f t="shared" si="50"/>
        <v>RCUTOFF.LAST_MODIFIED_DATE</v>
      </c>
      <c r="X1348" t="str">
        <f>VLOOKUP(W1348,ColumnMapping[New Table.Column],1,)</f>
        <v>RCUTOFF.LAST_MODIFIED_DATE</v>
      </c>
      <c r="Y1348" t="str">
        <f>_xlfn.XLOOKUP(Table6[[#This Row],[Table.Column]],ColumnMapping[Add Column Name],ColumnMapping[Old Table.Column],"",0,1)</f>
        <v/>
      </c>
      <c r="Z1348" t="str">
        <f>_xlfn.XLOOKUP(Table6[[#This Row],[Old Table.Column]],Cobra8.6[Table.Column],Cobra8.6[TYPE],"",0,1)</f>
        <v/>
      </c>
      <c r="AA1348" t="str">
        <f>_xlfn.XLOOKUP(Table6[[#This Row],[Old Table.Column]],Cobra8.6[Table.Column],Cobra8.6[LENGTH],"",0,1)</f>
        <v/>
      </c>
    </row>
    <row r="1349" spans="1:27" hidden="1" x14ac:dyDescent="0.2">
      <c r="A1349" t="s">
        <v>450</v>
      </c>
      <c r="B1349" s="39" t="s">
        <v>1985</v>
      </c>
      <c r="C1349" s="39" t="s">
        <v>1009</v>
      </c>
      <c r="D1349" s="39">
        <v>1</v>
      </c>
      <c r="E1349" s="39" t="s">
        <v>36</v>
      </c>
      <c r="F1349" s="39" t="s">
        <v>768</v>
      </c>
      <c r="G1349" s="39"/>
      <c r="H1349" s="39"/>
      <c r="I1349" s="47"/>
      <c r="J1349" s="47">
        <v>0</v>
      </c>
      <c r="K1349" s="47"/>
      <c r="L1349" s="47"/>
      <c r="M1349" s="39"/>
      <c r="N1349" s="39"/>
      <c r="O1349" s="39"/>
      <c r="P1349" s="39"/>
      <c r="Q1349" s="39" t="s">
        <v>1415</v>
      </c>
      <c r="R1349" t="str">
        <f>VLOOKUP(E1349,'Data Type Lookup'!$A$1:$C$21,3,FALSE)</f>
        <v>Long</v>
      </c>
      <c r="S1349" s="39"/>
      <c r="W1349" t="str">
        <f>_xlfn.CONCAT(B1349,".",C1349)</f>
        <v>TEMP_CAWPID.CAWPID</v>
      </c>
      <c r="X1349" t="str">
        <f>VLOOKUP(W1349,ColumnMapping[New Table.Column],1,)</f>
        <v>TEMP_CAWPID.CAWPID</v>
      </c>
      <c r="Y1349" t="str">
        <f>_xlfn.XLOOKUP(Table6[[#This Row],[Table.Column]],ColumnMapping[Add Column Name],ColumnMapping[Old Table.Column],"",0,1)</f>
        <v/>
      </c>
      <c r="Z1349" t="str">
        <f>_xlfn.XLOOKUP(Table6[[#This Row],[Old Table.Column]],Cobra8.6[Table.Column],Cobra8.6[TYPE],"",0,1)</f>
        <v/>
      </c>
      <c r="AA1349" t="str">
        <f>_xlfn.XLOOKUP(Table6[[#This Row],[Old Table.Column]],Cobra8.6[Table.Column],Cobra8.6[LENGTH],"",0,1)</f>
        <v/>
      </c>
    </row>
    <row r="1350" spans="1:27" hidden="1" x14ac:dyDescent="0.2">
      <c r="A1350" t="s">
        <v>450</v>
      </c>
      <c r="B1350" s="39" t="s">
        <v>1985</v>
      </c>
      <c r="C1350" s="39" t="s">
        <v>833</v>
      </c>
      <c r="D1350" s="39">
        <v>2</v>
      </c>
      <c r="E1350" s="39" t="s">
        <v>31</v>
      </c>
      <c r="F1350" s="39" t="s">
        <v>765</v>
      </c>
      <c r="G1350" s="39"/>
      <c r="H1350" s="39"/>
      <c r="I1350" s="47"/>
      <c r="J1350" s="47"/>
      <c r="K1350" s="47"/>
      <c r="L1350" s="47"/>
      <c r="M1350" s="39" t="s">
        <v>879</v>
      </c>
      <c r="N1350" s="39" t="s">
        <v>30</v>
      </c>
      <c r="O1350" s="39" t="s">
        <v>1914</v>
      </c>
      <c r="P1350" s="39"/>
      <c r="Q1350" s="39" t="s">
        <v>1986</v>
      </c>
      <c r="R1350" t="str">
        <f>VLOOKUP(E1350,'Data Type Lookup'!$A$1:$C$21,3,FALSE)</f>
        <v>java.util.UUID</v>
      </c>
      <c r="S1350" s="39"/>
      <c r="W1350" t="str">
        <f t="shared" ref="W1350:W1359" si="51">_xlfn.CONCAT(B1350,".",C1350)</f>
        <v>TEMP_CAWPID.PROJECT_CAWP_UID</v>
      </c>
      <c r="X1350" t="str">
        <f>VLOOKUP(W1350,ColumnMapping[New Table.Column],1,)</f>
        <v>TEMP_CAWPID.PROJECT_CAWP_UID</v>
      </c>
      <c r="Y1350" t="str">
        <f>_xlfn.XLOOKUP(Table6[[#This Row],[Table.Column]],ColumnMapping[Add Column Name],ColumnMapping[Old Table.Column],"",0,1)</f>
        <v/>
      </c>
      <c r="Z1350" t="str">
        <f>_xlfn.XLOOKUP(Table6[[#This Row],[Old Table.Column]],Cobra8.6[Table.Column],Cobra8.6[TYPE],"",0,1)</f>
        <v/>
      </c>
      <c r="AA1350" t="str">
        <f>_xlfn.XLOOKUP(Table6[[#This Row],[Old Table.Column]],Cobra8.6[Table.Column],Cobra8.6[LENGTH],"",0,1)</f>
        <v/>
      </c>
    </row>
    <row r="1351" spans="1:27" hidden="1" x14ac:dyDescent="0.2">
      <c r="A1351" t="s">
        <v>450</v>
      </c>
      <c r="B1351" s="39" t="s">
        <v>1985</v>
      </c>
      <c r="C1351" s="39" t="s">
        <v>1943</v>
      </c>
      <c r="D1351" s="39">
        <v>3</v>
      </c>
      <c r="E1351" s="39" t="s">
        <v>86</v>
      </c>
      <c r="F1351" s="39" t="s">
        <v>349</v>
      </c>
      <c r="G1351" s="39">
        <v>22</v>
      </c>
      <c r="H1351" s="39"/>
      <c r="I1351" s="47"/>
      <c r="J1351" s="47"/>
      <c r="K1351" s="47"/>
      <c r="L1351" s="47"/>
      <c r="M1351" s="39"/>
      <c r="N1351" s="39"/>
      <c r="O1351" s="39"/>
      <c r="P1351" s="39"/>
      <c r="Q1351" s="39" t="s">
        <v>1980</v>
      </c>
      <c r="R1351" t="str">
        <f>VLOOKUP(E1351,'Data Type Lookup'!$A$1:$C$21,3,FALSE)</f>
        <v>String</v>
      </c>
      <c r="S1351" s="39"/>
      <c r="W1351" t="str">
        <f t="shared" si="51"/>
        <v>TEMP_CAWPID.INSTANCE</v>
      </c>
      <c r="X1351" t="str">
        <f>VLOOKUP(W1351,ColumnMapping[New Table.Column],1,)</f>
        <v>TEMP_CAWPID.INSTANCE</v>
      </c>
      <c r="Y1351" t="str">
        <f>_xlfn.XLOOKUP(Table6[[#This Row],[Table.Column]],ColumnMapping[Add Column Name],ColumnMapping[Old Table.Column],"",0,1)</f>
        <v/>
      </c>
      <c r="Z1351" t="str">
        <f>_xlfn.XLOOKUP(Table6[[#This Row],[Old Table.Column]],Cobra8.6[Table.Column],Cobra8.6[TYPE],"",0,1)</f>
        <v/>
      </c>
      <c r="AA1351" t="str">
        <f>_xlfn.XLOOKUP(Table6[[#This Row],[Old Table.Column]],Cobra8.6[Table.Column],Cobra8.6[LENGTH],"",0,1)</f>
        <v/>
      </c>
    </row>
    <row r="1352" spans="1:27" hidden="1" x14ac:dyDescent="0.2">
      <c r="A1352" t="s">
        <v>450</v>
      </c>
      <c r="B1352" s="39" t="s">
        <v>1985</v>
      </c>
      <c r="C1352" s="39" t="s">
        <v>744</v>
      </c>
      <c r="D1352" s="39">
        <v>4</v>
      </c>
      <c r="E1352" s="39" t="s">
        <v>86</v>
      </c>
      <c r="F1352" s="39" t="s">
        <v>349</v>
      </c>
      <c r="G1352" s="39">
        <v>22</v>
      </c>
      <c r="H1352" s="39"/>
      <c r="I1352" s="47"/>
      <c r="J1352" s="47"/>
      <c r="K1352" s="47"/>
      <c r="L1352" s="47"/>
      <c r="M1352" s="39"/>
      <c r="N1352" s="39"/>
      <c r="O1352" s="39"/>
      <c r="P1352" s="39"/>
      <c r="Q1352" s="39" t="s">
        <v>814</v>
      </c>
      <c r="R1352" t="str">
        <f>VLOOKUP(E1352,'Data Type Lookup'!$A$1:$C$21,3,FALSE)</f>
        <v>String</v>
      </c>
      <c r="S1352" s="39"/>
      <c r="W1352" t="str">
        <f t="shared" si="51"/>
        <v>TEMP_CAWPID.PROGRAM</v>
      </c>
      <c r="X1352" t="str">
        <f>VLOOKUP(W1352,ColumnMapping[New Table.Column],1,)</f>
        <v>TEMP_CAWPID.PROGRAM</v>
      </c>
      <c r="Y1352" t="str">
        <f>_xlfn.XLOOKUP(Table6[[#This Row],[Table.Column]],ColumnMapping[Add Column Name],ColumnMapping[Old Table.Column],"",0,1)</f>
        <v/>
      </c>
      <c r="Z1352" t="str">
        <f>_xlfn.XLOOKUP(Table6[[#This Row],[Old Table.Column]],Cobra8.6[Table.Column],Cobra8.6[TYPE],"",0,1)</f>
        <v/>
      </c>
      <c r="AA1352" t="str">
        <f>_xlfn.XLOOKUP(Table6[[#This Row],[Old Table.Column]],Cobra8.6[Table.Column],Cobra8.6[LENGTH],"",0,1)</f>
        <v/>
      </c>
    </row>
    <row r="1353" spans="1:27" hidden="1" x14ac:dyDescent="0.2">
      <c r="A1353" t="s">
        <v>450</v>
      </c>
      <c r="B1353" s="39" t="s">
        <v>1985</v>
      </c>
      <c r="C1353" s="39" t="s">
        <v>770</v>
      </c>
      <c r="D1353" s="39">
        <v>5</v>
      </c>
      <c r="E1353" s="39" t="s">
        <v>31</v>
      </c>
      <c r="F1353" s="39" t="s">
        <v>765</v>
      </c>
      <c r="G1353" s="39"/>
      <c r="H1353" s="39"/>
      <c r="I1353" s="47"/>
      <c r="J1353" s="47"/>
      <c r="K1353" s="47"/>
      <c r="L1353" s="47"/>
      <c r="M1353" s="39" t="s">
        <v>451</v>
      </c>
      <c r="N1353" s="39" t="s">
        <v>30</v>
      </c>
      <c r="O1353" s="39" t="s">
        <v>1914</v>
      </c>
      <c r="P1353" s="39"/>
      <c r="Q1353" s="39" t="s">
        <v>1987</v>
      </c>
      <c r="R1353" t="str">
        <f>VLOOKUP(E1353,'Data Type Lookup'!$A$1:$C$21,3,FALSE)</f>
        <v>java.util.UUID</v>
      </c>
      <c r="S1353" s="39"/>
      <c r="W1353" t="str">
        <f t="shared" si="51"/>
        <v>TEMP_CAWPID.PROJECT_UID</v>
      </c>
      <c r="X1353" t="str">
        <f>VLOOKUP(W1353,ColumnMapping[New Table.Column],1,)</f>
        <v>TEMP_CAWPID.PROJECT_UID</v>
      </c>
      <c r="Y1353" t="str">
        <f>_xlfn.XLOOKUP(Table6[[#This Row],[Table.Column]],ColumnMapping[Add Column Name],ColumnMapping[Old Table.Column],"",0,1)</f>
        <v/>
      </c>
      <c r="Z1353" t="str">
        <f>_xlfn.XLOOKUP(Table6[[#This Row],[Old Table.Column]],Cobra8.6[Table.Column],Cobra8.6[TYPE],"",0,1)</f>
        <v/>
      </c>
      <c r="AA1353" t="str">
        <f>_xlfn.XLOOKUP(Table6[[#This Row],[Old Table.Column]],Cobra8.6[Table.Column],Cobra8.6[LENGTH],"",0,1)</f>
        <v/>
      </c>
    </row>
    <row r="1354" spans="1:27" hidden="1" x14ac:dyDescent="0.2">
      <c r="A1354" t="s">
        <v>450</v>
      </c>
      <c r="B1354" s="39" t="s">
        <v>1985</v>
      </c>
      <c r="C1354" s="39" t="s">
        <v>30</v>
      </c>
      <c r="D1354" s="39">
        <v>6</v>
      </c>
      <c r="E1354" t="s">
        <v>31</v>
      </c>
      <c r="F1354" t="str">
        <f>VLOOKUP($E1354,'Data Type Lookup'!$A$1:$C$21,2,FALSE)</f>
        <v>RAW(16)</v>
      </c>
      <c r="I1354" s="32" t="s">
        <v>32</v>
      </c>
      <c r="K1354" s="32" t="s">
        <v>32</v>
      </c>
      <c r="P1354" t="s">
        <v>1789</v>
      </c>
      <c r="Q1354" t="s">
        <v>34</v>
      </c>
      <c r="R1354" t="str">
        <f>VLOOKUP(E1354,'Data Type Lookup'!$A$1:$C$21,3,FALSE)</f>
        <v>java.util.UUID</v>
      </c>
      <c r="S1354">
        <v>3</v>
      </c>
      <c r="W1354" t="str">
        <f t="shared" si="51"/>
        <v>TEMP_CAWPID.ROW_UID</v>
      </c>
      <c r="X1354" t="str">
        <f>VLOOKUP(W1354,ColumnMapping[New Table.Column],1,)</f>
        <v>TEMP_CAWPID.ROW_UID</v>
      </c>
      <c r="Y1354" t="str">
        <f>_xlfn.XLOOKUP(Table6[[#This Row],[Table.Column]],ColumnMapping[Add Column Name],ColumnMapping[Old Table.Column],"",0,1)</f>
        <v/>
      </c>
      <c r="Z1354" t="str">
        <f>_xlfn.XLOOKUP(Table6[[#This Row],[Old Table.Column]],Cobra8.6[Table.Column],Cobra8.6[TYPE],"",0,1)</f>
        <v/>
      </c>
      <c r="AA1354" t="str">
        <f>_xlfn.XLOOKUP(Table6[[#This Row],[Old Table.Column]],Cobra8.6[Table.Column],Cobra8.6[LENGTH],"",0,1)</f>
        <v/>
      </c>
    </row>
    <row r="1355" spans="1:27" hidden="1" x14ac:dyDescent="0.2">
      <c r="A1355" t="s">
        <v>450</v>
      </c>
      <c r="B1355" s="39" t="s">
        <v>1985</v>
      </c>
      <c r="C1355" s="39" t="s">
        <v>35</v>
      </c>
      <c r="D1355" s="39">
        <v>7</v>
      </c>
      <c r="E1355" t="s">
        <v>36</v>
      </c>
      <c r="F1355" t="str">
        <f>VLOOKUP($E1355,'Data Type Lookup'!$A$1:$C$21,2,FALSE)</f>
        <v>NUMBER(19,0)</v>
      </c>
      <c r="I1355" s="32" t="s">
        <v>32</v>
      </c>
      <c r="J1355" s="32">
        <v>0</v>
      </c>
      <c r="P1355" t="s">
        <v>37</v>
      </c>
      <c r="Q1355" t="s">
        <v>38</v>
      </c>
      <c r="R1355" t="str">
        <f>VLOOKUP(E1355,'Data Type Lookup'!$A$1:$C$21,3,FALSE)</f>
        <v>Long</v>
      </c>
      <c r="S1355">
        <v>3</v>
      </c>
      <c r="W1355" t="str">
        <f t="shared" si="51"/>
        <v>TEMP_CAWPID.SEQUENCE</v>
      </c>
      <c r="X1355" t="str">
        <f>VLOOKUP(W1355,ColumnMapping[New Table.Column],1,)</f>
        <v>TEMP_CAWPID.SEQUENCE</v>
      </c>
      <c r="Y1355" t="str">
        <f>_xlfn.XLOOKUP(Table6[[#This Row],[Table.Column]],ColumnMapping[Add Column Name],ColumnMapping[Old Table.Column],"",0,1)</f>
        <v/>
      </c>
      <c r="Z1355" t="str">
        <f>_xlfn.XLOOKUP(Table6[[#This Row],[Old Table.Column]],Cobra8.6[Table.Column],Cobra8.6[TYPE],"",0,1)</f>
        <v/>
      </c>
      <c r="AA1355" t="str">
        <f>_xlfn.XLOOKUP(Table6[[#This Row],[Old Table.Column]],Cobra8.6[Table.Column],Cobra8.6[LENGTH],"",0,1)</f>
        <v/>
      </c>
    </row>
    <row r="1356" spans="1:27" hidden="1" x14ac:dyDescent="0.2">
      <c r="A1356" t="s">
        <v>450</v>
      </c>
      <c r="B1356" s="39" t="s">
        <v>1985</v>
      </c>
      <c r="C1356" s="39" t="s">
        <v>61</v>
      </c>
      <c r="D1356" s="39">
        <v>8</v>
      </c>
      <c r="E1356" t="s">
        <v>31</v>
      </c>
      <c r="F1356" t="str">
        <f>VLOOKUP($E1356,'Data Type Lookup'!$A$1:$C$21,2,FALSE)</f>
        <v>RAW(16)</v>
      </c>
      <c r="I1356" s="32" t="s">
        <v>32</v>
      </c>
      <c r="P1356" t="s">
        <v>1629</v>
      </c>
      <c r="Q1356" t="s">
        <v>63</v>
      </c>
      <c r="R1356" t="str">
        <f>VLOOKUP(E1356,'Data Type Lookup'!$A$1:$C$21,3,FALSE)</f>
        <v>java.util.UUID</v>
      </c>
      <c r="S1356">
        <v>2</v>
      </c>
      <c r="W1356" t="str">
        <f t="shared" si="51"/>
        <v>TEMP_CAWPID.CREATED_BY_USER_UID</v>
      </c>
      <c r="X1356" t="str">
        <f>VLOOKUP(W1356,ColumnMapping[New Table.Column],1,)</f>
        <v>TEMP_CAWPID.CREATED_BY_USER_UID</v>
      </c>
      <c r="Y1356" t="str">
        <f>_xlfn.XLOOKUP(Table6[[#This Row],[Table.Column]],ColumnMapping[Add Column Name],ColumnMapping[Old Table.Column],"",0,1)</f>
        <v/>
      </c>
      <c r="Z1356" t="str">
        <f>_xlfn.XLOOKUP(Table6[[#This Row],[Old Table.Column]],Cobra8.6[Table.Column],Cobra8.6[TYPE],"",0,1)</f>
        <v/>
      </c>
      <c r="AA1356" t="str">
        <f>_xlfn.XLOOKUP(Table6[[#This Row],[Old Table.Column]],Cobra8.6[Table.Column],Cobra8.6[LENGTH],"",0,1)</f>
        <v/>
      </c>
    </row>
    <row r="1357" spans="1:27" hidden="1" x14ac:dyDescent="0.2">
      <c r="A1357" t="s">
        <v>450</v>
      </c>
      <c r="B1357" s="39" t="s">
        <v>1985</v>
      </c>
      <c r="C1357" s="39" t="s">
        <v>64</v>
      </c>
      <c r="D1357" s="39">
        <v>9</v>
      </c>
      <c r="E1357" t="s">
        <v>65</v>
      </c>
      <c r="F1357" t="str">
        <f>VLOOKUP($E1357,'Data Type Lookup'!$A$1:$C$21,2,FALSE)</f>
        <v>TIMESTAMP</v>
      </c>
      <c r="I1357" s="32" t="s">
        <v>32</v>
      </c>
      <c r="P1357" t="s">
        <v>1630</v>
      </c>
      <c r="Q1357" t="s">
        <v>67</v>
      </c>
      <c r="R1357" t="str">
        <f>VLOOKUP(E1357,'Data Type Lookup'!$A$1:$C$21,3,FALSE)</f>
        <v>java.time.Instant</v>
      </c>
      <c r="S1357">
        <v>2</v>
      </c>
      <c r="W1357" t="str">
        <f t="shared" si="51"/>
        <v>TEMP_CAWPID.CREATED_DATE</v>
      </c>
      <c r="X1357" t="str">
        <f>VLOOKUP(W1357,ColumnMapping[New Table.Column],1,)</f>
        <v>TEMP_CAWPID.CREATED_DATE</v>
      </c>
      <c r="Y1357" t="str">
        <f>_xlfn.XLOOKUP(Table6[[#This Row],[Table.Column]],ColumnMapping[Add Column Name],ColumnMapping[Old Table.Column],"",0,1)</f>
        <v/>
      </c>
      <c r="Z1357" t="str">
        <f>_xlfn.XLOOKUP(Table6[[#This Row],[Old Table.Column]],Cobra8.6[Table.Column],Cobra8.6[TYPE],"",0,1)</f>
        <v/>
      </c>
      <c r="AA1357" t="str">
        <f>_xlfn.XLOOKUP(Table6[[#This Row],[Old Table.Column]],Cobra8.6[Table.Column],Cobra8.6[LENGTH],"",0,1)</f>
        <v/>
      </c>
    </row>
    <row r="1358" spans="1:27" hidden="1" x14ac:dyDescent="0.2">
      <c r="A1358" t="s">
        <v>450</v>
      </c>
      <c r="B1358" s="39" t="s">
        <v>1985</v>
      </c>
      <c r="C1358" s="39" t="s">
        <v>68</v>
      </c>
      <c r="D1358" s="39">
        <v>10</v>
      </c>
      <c r="E1358" t="s">
        <v>31</v>
      </c>
      <c r="F1358" t="str">
        <f>VLOOKUP($E1358,'Data Type Lookup'!$A$1:$C$21,2,FALSE)</f>
        <v>RAW(16)</v>
      </c>
      <c r="I1358" s="32" t="s">
        <v>32</v>
      </c>
      <c r="P1358" t="s">
        <v>1632</v>
      </c>
      <c r="Q1358" t="s">
        <v>70</v>
      </c>
      <c r="R1358" t="str">
        <f>VLOOKUP(E1358,'Data Type Lookup'!$A$1:$C$21,3,FALSE)</f>
        <v>java.util.UUID</v>
      </c>
      <c r="S1358">
        <v>2</v>
      </c>
      <c r="W1358" t="str">
        <f t="shared" si="51"/>
        <v>TEMP_CAWPID.LAST_MODIFIED_BY_USER_UID</v>
      </c>
      <c r="X1358" t="str">
        <f>VLOOKUP(W1358,ColumnMapping[New Table.Column],1,)</f>
        <v>TEMP_CAWPID.LAST_MODIFIED_BY_USER_UID</v>
      </c>
      <c r="Y1358" t="str">
        <f>_xlfn.XLOOKUP(Table6[[#This Row],[Table.Column]],ColumnMapping[Add Column Name],ColumnMapping[Old Table.Column],"",0,1)</f>
        <v/>
      </c>
      <c r="Z1358" t="str">
        <f>_xlfn.XLOOKUP(Table6[[#This Row],[Old Table.Column]],Cobra8.6[Table.Column],Cobra8.6[TYPE],"",0,1)</f>
        <v/>
      </c>
      <c r="AA1358" t="str">
        <f>_xlfn.XLOOKUP(Table6[[#This Row],[Old Table.Column]],Cobra8.6[Table.Column],Cobra8.6[LENGTH],"",0,1)</f>
        <v/>
      </c>
    </row>
    <row r="1359" spans="1:27" hidden="1" x14ac:dyDescent="0.2">
      <c r="A1359" t="s">
        <v>450</v>
      </c>
      <c r="B1359" s="39" t="s">
        <v>1985</v>
      </c>
      <c r="C1359" s="39" t="s">
        <v>71</v>
      </c>
      <c r="D1359" s="39">
        <v>11</v>
      </c>
      <c r="E1359" t="s">
        <v>65</v>
      </c>
      <c r="F1359" t="str">
        <f>VLOOKUP($E1359,'Data Type Lookup'!$A$1:$C$21,2,FALSE)</f>
        <v>TIMESTAMP</v>
      </c>
      <c r="I1359" s="32" t="s">
        <v>32</v>
      </c>
      <c r="P1359" t="s">
        <v>1633</v>
      </c>
      <c r="Q1359" t="s">
        <v>73</v>
      </c>
      <c r="R1359" t="str">
        <f>VLOOKUP(E1359,'Data Type Lookup'!$A$1:$C$21,3,FALSE)</f>
        <v>java.time.Instant</v>
      </c>
      <c r="S1359">
        <v>2</v>
      </c>
      <c r="W1359" t="str">
        <f t="shared" si="51"/>
        <v>TEMP_CAWPID.LAST_MODIFIED_DATE</v>
      </c>
      <c r="X1359" t="str">
        <f>VLOOKUP(W1359,ColumnMapping[New Table.Column],1,)</f>
        <v>TEMP_CAWPID.LAST_MODIFIED_DATE</v>
      </c>
      <c r="Y1359" t="str">
        <f>_xlfn.XLOOKUP(Table6[[#This Row],[Table.Column]],ColumnMapping[Add Column Name],ColumnMapping[Old Table.Column],"",0,1)</f>
        <v/>
      </c>
      <c r="Z1359" t="str">
        <f>_xlfn.XLOOKUP(Table6[[#This Row],[Old Table.Column]],Cobra8.6[Table.Column],Cobra8.6[TYPE],"",0,1)</f>
        <v/>
      </c>
      <c r="AA1359" t="str">
        <f>_xlfn.XLOOKUP(Table6[[#This Row],[Old Table.Column]],Cobra8.6[Table.Column],Cobra8.6[LENGTH],"",0,1)</f>
        <v/>
      </c>
    </row>
    <row r="1360" spans="1:27" hidden="1" x14ac:dyDescent="0.2">
      <c r="A1360" t="s">
        <v>450</v>
      </c>
      <c r="B1360" s="39" t="s">
        <v>1988</v>
      </c>
      <c r="C1360" s="39" t="s">
        <v>1989</v>
      </c>
      <c r="D1360" s="39">
        <v>1</v>
      </c>
      <c r="E1360" s="39" t="s">
        <v>86</v>
      </c>
      <c r="F1360" s="39" t="s">
        <v>349</v>
      </c>
      <c r="G1360" s="39">
        <v>255</v>
      </c>
      <c r="H1360" s="39"/>
      <c r="I1360" s="47"/>
      <c r="J1360" s="47"/>
      <c r="K1360" s="47"/>
      <c r="L1360" s="47"/>
      <c r="M1360" s="39"/>
      <c r="N1360" s="39"/>
      <c r="O1360" s="39"/>
      <c r="P1360" s="39"/>
      <c r="Q1360" s="39" t="s">
        <v>1990</v>
      </c>
      <c r="R1360" t="str">
        <f>VLOOKUP(E1360,'Data Type Lookup'!$A$1:$C$21,3,FALSE)</f>
        <v>String</v>
      </c>
      <c r="S1360" s="39"/>
      <c r="W1360" t="str">
        <f t="shared" ref="W1360:W1367" si="52">_xlfn.CONCAT(B1360,".",C1360)</f>
        <v>TEMP_CHAR.CHAR_VAL</v>
      </c>
      <c r="X1360" t="str">
        <f>VLOOKUP(W1360,ColumnMapping[New Table.Column],1,)</f>
        <v>TEMP_CHAR.CHAR_VAL</v>
      </c>
      <c r="Y1360" t="str">
        <f>_xlfn.XLOOKUP(Table6[[#This Row],[Table.Column]],ColumnMapping[Add Column Name],ColumnMapping[Old Table.Column],"",0,1)</f>
        <v/>
      </c>
      <c r="Z1360" t="str">
        <f>_xlfn.XLOOKUP(Table6[[#This Row],[Old Table.Column]],Cobra8.6[Table.Column],Cobra8.6[TYPE],"",0,1)</f>
        <v/>
      </c>
      <c r="AA1360" t="str">
        <f>_xlfn.XLOOKUP(Table6[[#This Row],[Old Table.Column]],Cobra8.6[Table.Column],Cobra8.6[LENGTH],"",0,1)</f>
        <v/>
      </c>
    </row>
    <row r="1361" spans="1:27" hidden="1" x14ac:dyDescent="0.2">
      <c r="A1361" t="s">
        <v>450</v>
      </c>
      <c r="B1361" s="39" t="s">
        <v>1988</v>
      </c>
      <c r="C1361" s="39" t="s">
        <v>1943</v>
      </c>
      <c r="D1361" s="39">
        <v>2</v>
      </c>
      <c r="E1361" s="39" t="s">
        <v>86</v>
      </c>
      <c r="F1361" s="39" t="s">
        <v>349</v>
      </c>
      <c r="G1361" s="39">
        <v>22</v>
      </c>
      <c r="H1361" s="39"/>
      <c r="I1361" s="47"/>
      <c r="J1361" s="47"/>
      <c r="K1361" s="47"/>
      <c r="L1361" s="47"/>
      <c r="M1361" s="39"/>
      <c r="N1361" s="39"/>
      <c r="O1361" s="39"/>
      <c r="P1361" s="39"/>
      <c r="Q1361" s="39" t="s">
        <v>1980</v>
      </c>
      <c r="R1361" t="str">
        <f>VLOOKUP(E1361,'Data Type Lookup'!$A$1:$C$21,3,FALSE)</f>
        <v>String</v>
      </c>
      <c r="S1361" s="39"/>
      <c r="W1361" t="str">
        <f t="shared" si="52"/>
        <v>TEMP_CHAR.INSTANCE</v>
      </c>
      <c r="X1361" t="str">
        <f>VLOOKUP(W1361,ColumnMapping[New Table.Column],1,)</f>
        <v>TEMP_CHAR.INSTANCE</v>
      </c>
      <c r="Y1361" t="str">
        <f>_xlfn.XLOOKUP(Table6[[#This Row],[Table.Column]],ColumnMapping[Add Column Name],ColumnMapping[Old Table.Column],"",0,1)</f>
        <v/>
      </c>
      <c r="Z1361" t="str">
        <f>_xlfn.XLOOKUP(Table6[[#This Row],[Old Table.Column]],Cobra8.6[Table.Column],Cobra8.6[TYPE],"",0,1)</f>
        <v/>
      </c>
      <c r="AA1361" t="str">
        <f>_xlfn.XLOOKUP(Table6[[#This Row],[Old Table.Column]],Cobra8.6[Table.Column],Cobra8.6[LENGTH],"",0,1)</f>
        <v/>
      </c>
    </row>
    <row r="1362" spans="1:27" hidden="1" x14ac:dyDescent="0.2">
      <c r="A1362" t="s">
        <v>450</v>
      </c>
      <c r="B1362" s="39" t="s">
        <v>1988</v>
      </c>
      <c r="C1362" s="39" t="s">
        <v>64</v>
      </c>
      <c r="D1362" s="39">
        <v>3</v>
      </c>
      <c r="E1362" t="s">
        <v>65</v>
      </c>
      <c r="F1362" t="str">
        <f>VLOOKUP($E1362,'Data Type Lookup'!$A$1:$C$21,2,FALSE)</f>
        <v>TIMESTAMP</v>
      </c>
      <c r="I1362" s="32" t="s">
        <v>32</v>
      </c>
      <c r="P1362" t="s">
        <v>1630</v>
      </c>
      <c r="Q1362" t="s">
        <v>67</v>
      </c>
      <c r="R1362" t="str">
        <f>VLOOKUP(E1362,'Data Type Lookup'!$A$1:$C$21,3,FALSE)</f>
        <v>java.time.Instant</v>
      </c>
      <c r="S1362">
        <v>2</v>
      </c>
      <c r="W1362" t="str">
        <f t="shared" si="52"/>
        <v>TEMP_CHAR.CREATED_DATE</v>
      </c>
      <c r="X1362" t="str">
        <f>VLOOKUP(W1362,ColumnMapping[New Table.Column],1,)</f>
        <v>TEMP_CHAR.CREATED_DATE</v>
      </c>
      <c r="Y1362" t="str">
        <f>_xlfn.XLOOKUP(Table6[[#This Row],[Table.Column]],ColumnMapping[Add Column Name],ColumnMapping[Old Table.Column],"",0,1)</f>
        <v/>
      </c>
      <c r="Z1362" t="str">
        <f>_xlfn.XLOOKUP(Table6[[#This Row],[Old Table.Column]],Cobra8.6[Table.Column],Cobra8.6[TYPE],"",0,1)</f>
        <v/>
      </c>
      <c r="AA1362" t="str">
        <f>_xlfn.XLOOKUP(Table6[[#This Row],[Old Table.Column]],Cobra8.6[Table.Column],Cobra8.6[LENGTH],"",0,1)</f>
        <v/>
      </c>
    </row>
    <row r="1363" spans="1:27" hidden="1" x14ac:dyDescent="0.2">
      <c r="A1363" t="s">
        <v>450</v>
      </c>
      <c r="B1363" s="39" t="s">
        <v>1988</v>
      </c>
      <c r="C1363" s="39" t="s">
        <v>30</v>
      </c>
      <c r="D1363" s="39">
        <v>4</v>
      </c>
      <c r="E1363" t="s">
        <v>31</v>
      </c>
      <c r="F1363" t="str">
        <f>VLOOKUP($E1363,'Data Type Lookup'!$A$1:$C$21,2,FALSE)</f>
        <v>RAW(16)</v>
      </c>
      <c r="I1363" s="32" t="s">
        <v>32</v>
      </c>
      <c r="K1363" s="32" t="s">
        <v>32</v>
      </c>
      <c r="P1363" t="s">
        <v>1789</v>
      </c>
      <c r="Q1363" t="s">
        <v>34</v>
      </c>
      <c r="R1363" t="str">
        <f>VLOOKUP(E1363,'Data Type Lookup'!$A$1:$C$21,3,FALSE)</f>
        <v>java.util.UUID</v>
      </c>
      <c r="S1363">
        <v>3</v>
      </c>
      <c r="W1363" t="str">
        <f t="shared" si="52"/>
        <v>TEMP_CHAR.ROW_UID</v>
      </c>
      <c r="X1363" t="str">
        <f>VLOOKUP(W1363,ColumnMapping[New Table.Column],1,)</f>
        <v>TEMP_CHAR.ROW_UID</v>
      </c>
      <c r="Y1363" t="str">
        <f>_xlfn.XLOOKUP(Table6[[#This Row],[Table.Column]],ColumnMapping[Add Column Name],ColumnMapping[Old Table.Column],"",0,1)</f>
        <v/>
      </c>
      <c r="Z1363" t="str">
        <f>_xlfn.XLOOKUP(Table6[[#This Row],[Old Table.Column]],Cobra8.6[Table.Column],Cobra8.6[TYPE],"",0,1)</f>
        <v/>
      </c>
      <c r="AA1363" t="str">
        <f>_xlfn.XLOOKUP(Table6[[#This Row],[Old Table.Column]],Cobra8.6[Table.Column],Cobra8.6[LENGTH],"",0,1)</f>
        <v/>
      </c>
    </row>
    <row r="1364" spans="1:27" hidden="1" x14ac:dyDescent="0.2">
      <c r="A1364" t="s">
        <v>450</v>
      </c>
      <c r="B1364" s="39" t="s">
        <v>1988</v>
      </c>
      <c r="C1364" s="39" t="s">
        <v>35</v>
      </c>
      <c r="D1364" s="39">
        <v>5</v>
      </c>
      <c r="E1364" t="s">
        <v>36</v>
      </c>
      <c r="F1364" t="str">
        <f>VLOOKUP($E1364,'Data Type Lookup'!$A$1:$C$21,2,FALSE)</f>
        <v>NUMBER(19,0)</v>
      </c>
      <c r="I1364" s="32" t="s">
        <v>32</v>
      </c>
      <c r="J1364" s="32">
        <v>0</v>
      </c>
      <c r="P1364" t="s">
        <v>37</v>
      </c>
      <c r="Q1364" t="s">
        <v>38</v>
      </c>
      <c r="R1364" t="str">
        <f>VLOOKUP(E1364,'Data Type Lookup'!$A$1:$C$21,3,FALSE)</f>
        <v>Long</v>
      </c>
      <c r="S1364">
        <v>3</v>
      </c>
      <c r="W1364" t="str">
        <f t="shared" si="52"/>
        <v>TEMP_CHAR.SEQUENCE</v>
      </c>
      <c r="X1364" t="str">
        <f>VLOOKUP(W1364,ColumnMapping[New Table.Column],1,)</f>
        <v>TEMP_CHAR.SEQUENCE</v>
      </c>
      <c r="Y1364" t="str">
        <f>_xlfn.XLOOKUP(Table6[[#This Row],[Table.Column]],ColumnMapping[Add Column Name],ColumnMapping[Old Table.Column],"",0,1)</f>
        <v/>
      </c>
      <c r="Z1364" t="str">
        <f>_xlfn.XLOOKUP(Table6[[#This Row],[Old Table.Column]],Cobra8.6[Table.Column],Cobra8.6[TYPE],"",0,1)</f>
        <v/>
      </c>
      <c r="AA1364" t="str">
        <f>_xlfn.XLOOKUP(Table6[[#This Row],[Old Table.Column]],Cobra8.6[Table.Column],Cobra8.6[LENGTH],"",0,1)</f>
        <v/>
      </c>
    </row>
    <row r="1365" spans="1:27" hidden="1" x14ac:dyDescent="0.2">
      <c r="A1365" t="s">
        <v>450</v>
      </c>
      <c r="B1365" s="39" t="s">
        <v>1988</v>
      </c>
      <c r="C1365" s="39" t="s">
        <v>61</v>
      </c>
      <c r="D1365" s="39">
        <v>6</v>
      </c>
      <c r="E1365" t="s">
        <v>31</v>
      </c>
      <c r="F1365" t="str">
        <f>VLOOKUP($E1365,'Data Type Lookup'!$A$1:$C$21,2,FALSE)</f>
        <v>RAW(16)</v>
      </c>
      <c r="I1365" s="32" t="s">
        <v>32</v>
      </c>
      <c r="P1365" t="s">
        <v>1629</v>
      </c>
      <c r="Q1365" t="s">
        <v>63</v>
      </c>
      <c r="R1365" t="str">
        <f>VLOOKUP(E1365,'Data Type Lookup'!$A$1:$C$21,3,FALSE)</f>
        <v>java.util.UUID</v>
      </c>
      <c r="S1365">
        <v>2</v>
      </c>
      <c r="W1365" t="str">
        <f t="shared" si="52"/>
        <v>TEMP_CHAR.CREATED_BY_USER_UID</v>
      </c>
      <c r="X1365" t="str">
        <f>VLOOKUP(W1365,ColumnMapping[New Table.Column],1,)</f>
        <v>TEMP_CHAR.CREATED_BY_USER_UID</v>
      </c>
      <c r="Y1365" t="str">
        <f>_xlfn.XLOOKUP(Table6[[#This Row],[Table.Column]],ColumnMapping[Add Column Name],ColumnMapping[Old Table.Column],"",0,1)</f>
        <v/>
      </c>
      <c r="Z1365" t="str">
        <f>_xlfn.XLOOKUP(Table6[[#This Row],[Old Table.Column]],Cobra8.6[Table.Column],Cobra8.6[TYPE],"",0,1)</f>
        <v/>
      </c>
      <c r="AA1365" t="str">
        <f>_xlfn.XLOOKUP(Table6[[#This Row],[Old Table.Column]],Cobra8.6[Table.Column],Cobra8.6[LENGTH],"",0,1)</f>
        <v/>
      </c>
    </row>
    <row r="1366" spans="1:27" hidden="1" x14ac:dyDescent="0.2">
      <c r="A1366" t="s">
        <v>450</v>
      </c>
      <c r="B1366" s="39" t="s">
        <v>1988</v>
      </c>
      <c r="C1366" s="39" t="s">
        <v>68</v>
      </c>
      <c r="D1366" s="39">
        <v>7</v>
      </c>
      <c r="E1366" t="s">
        <v>31</v>
      </c>
      <c r="F1366" t="str">
        <f>VLOOKUP($E1366,'Data Type Lookup'!$A$1:$C$21,2,FALSE)</f>
        <v>RAW(16)</v>
      </c>
      <c r="I1366" s="32" t="s">
        <v>32</v>
      </c>
      <c r="P1366" t="s">
        <v>1632</v>
      </c>
      <c r="Q1366" t="s">
        <v>70</v>
      </c>
      <c r="R1366" t="str">
        <f>VLOOKUP(E1366,'Data Type Lookup'!$A$1:$C$21,3,FALSE)</f>
        <v>java.util.UUID</v>
      </c>
      <c r="S1366">
        <v>2</v>
      </c>
      <c r="W1366" t="str">
        <f t="shared" si="52"/>
        <v>TEMP_CHAR.LAST_MODIFIED_BY_USER_UID</v>
      </c>
      <c r="X1366" t="str">
        <f>VLOOKUP(W1366,ColumnMapping[New Table.Column],1,)</f>
        <v>TEMP_CHAR.LAST_MODIFIED_BY_USER_UID</v>
      </c>
      <c r="Y1366" t="str">
        <f>_xlfn.XLOOKUP(Table6[[#This Row],[Table.Column]],ColumnMapping[Add Column Name],ColumnMapping[Old Table.Column],"",0,1)</f>
        <v/>
      </c>
      <c r="Z1366" t="str">
        <f>_xlfn.XLOOKUP(Table6[[#This Row],[Old Table.Column]],Cobra8.6[Table.Column],Cobra8.6[TYPE],"",0,1)</f>
        <v/>
      </c>
      <c r="AA1366" t="str">
        <f>_xlfn.XLOOKUP(Table6[[#This Row],[Old Table.Column]],Cobra8.6[Table.Column],Cobra8.6[LENGTH],"",0,1)</f>
        <v/>
      </c>
    </row>
    <row r="1367" spans="1:27" hidden="1" x14ac:dyDescent="0.2">
      <c r="A1367" t="s">
        <v>450</v>
      </c>
      <c r="B1367" s="39" t="s">
        <v>1988</v>
      </c>
      <c r="C1367" s="39" t="s">
        <v>71</v>
      </c>
      <c r="D1367" s="39">
        <v>8</v>
      </c>
      <c r="E1367" t="s">
        <v>65</v>
      </c>
      <c r="F1367" t="str">
        <f>VLOOKUP($E1367,'Data Type Lookup'!$A$1:$C$21,2,FALSE)</f>
        <v>TIMESTAMP</v>
      </c>
      <c r="I1367" s="32" t="s">
        <v>32</v>
      </c>
      <c r="P1367" t="s">
        <v>1633</v>
      </c>
      <c r="Q1367" t="s">
        <v>73</v>
      </c>
      <c r="R1367" t="str">
        <f>VLOOKUP(E1367,'Data Type Lookup'!$A$1:$C$21,3,FALSE)</f>
        <v>java.time.Instant</v>
      </c>
      <c r="S1367">
        <v>2</v>
      </c>
      <c r="W1367" t="str">
        <f t="shared" si="52"/>
        <v>TEMP_CHAR.LAST_MODIFIED_DATE</v>
      </c>
      <c r="X1367" t="str">
        <f>VLOOKUP(W1367,ColumnMapping[New Table.Column],1,)</f>
        <v>TEMP_CHAR.LAST_MODIFIED_DATE</v>
      </c>
      <c r="Y1367" t="str">
        <f>_xlfn.XLOOKUP(Table6[[#This Row],[Table.Column]],ColumnMapping[Add Column Name],ColumnMapping[Old Table.Column],"",0,1)</f>
        <v/>
      </c>
      <c r="Z1367" t="str">
        <f>_xlfn.XLOOKUP(Table6[[#This Row],[Old Table.Column]],Cobra8.6[Table.Column],Cobra8.6[TYPE],"",0,1)</f>
        <v/>
      </c>
      <c r="AA1367" t="str">
        <f>_xlfn.XLOOKUP(Table6[[#This Row],[Old Table.Column]],Cobra8.6[Table.Column],Cobra8.6[LENGTH],"",0,1)</f>
        <v/>
      </c>
    </row>
    <row r="1368" spans="1:27" hidden="1" x14ac:dyDescent="0.2">
      <c r="A1368" t="s">
        <v>450</v>
      </c>
      <c r="B1368" s="39" t="s">
        <v>1991</v>
      </c>
      <c r="C1368" s="39" t="s">
        <v>1962</v>
      </c>
      <c r="D1368" s="39">
        <v>1</v>
      </c>
      <c r="E1368" s="39" t="s">
        <v>86</v>
      </c>
      <c r="F1368" s="39" t="s">
        <v>349</v>
      </c>
      <c r="G1368" s="39">
        <v>22</v>
      </c>
      <c r="H1368" s="39"/>
      <c r="I1368" s="47"/>
      <c r="J1368" s="47"/>
      <c r="K1368" s="47"/>
      <c r="L1368" s="47"/>
      <c r="M1368" s="39"/>
      <c r="N1368" s="39"/>
      <c r="O1368" s="39"/>
      <c r="P1368" s="39"/>
      <c r="Q1368" s="39" t="s">
        <v>1992</v>
      </c>
      <c r="R1368" t="str">
        <f>VLOOKUP(E1368,'Data Type Lookup'!$A$1:$C$21,3,FALSE)</f>
        <v>String</v>
      </c>
      <c r="S1368" s="39"/>
      <c r="W1368" t="str">
        <f t="shared" ref="W1368:W1375" si="53">_xlfn.CONCAT(B1368,".",C1368)</f>
        <v>TEMP_DIR.DIR_ID</v>
      </c>
      <c r="X1368" t="str">
        <f>VLOOKUP(W1368,ColumnMapping[New Table.Column],1,)</f>
        <v>TEMP_DIR.DIR_ID</v>
      </c>
      <c r="Y1368" t="str">
        <f>_xlfn.XLOOKUP(Table6[[#This Row],[Table.Column]],ColumnMapping[Add Column Name],ColumnMapping[Old Table.Column],"",0,1)</f>
        <v/>
      </c>
      <c r="Z1368" t="str">
        <f>_xlfn.XLOOKUP(Table6[[#This Row],[Old Table.Column]],Cobra8.6[Table.Column],Cobra8.6[TYPE],"",0,1)</f>
        <v/>
      </c>
      <c r="AA1368" t="str">
        <f>_xlfn.XLOOKUP(Table6[[#This Row],[Old Table.Column]],Cobra8.6[Table.Column],Cobra8.6[LENGTH],"",0,1)</f>
        <v/>
      </c>
    </row>
    <row r="1369" spans="1:27" hidden="1" x14ac:dyDescent="0.2">
      <c r="A1369" t="s">
        <v>450</v>
      </c>
      <c r="B1369" s="39" t="s">
        <v>1991</v>
      </c>
      <c r="C1369" s="39" t="s">
        <v>1943</v>
      </c>
      <c r="D1369" s="39">
        <v>2</v>
      </c>
      <c r="E1369" s="39" t="s">
        <v>86</v>
      </c>
      <c r="F1369" s="39" t="s">
        <v>349</v>
      </c>
      <c r="G1369" s="39">
        <v>22</v>
      </c>
      <c r="H1369" s="39"/>
      <c r="I1369" s="47"/>
      <c r="J1369" s="47"/>
      <c r="K1369" s="47"/>
      <c r="L1369" s="47"/>
      <c r="M1369" s="39"/>
      <c r="N1369" s="39"/>
      <c r="O1369" s="39"/>
      <c r="P1369" s="39"/>
      <c r="Q1369" s="39" t="s">
        <v>1980</v>
      </c>
      <c r="R1369" t="str">
        <f>VLOOKUP(E1369,'Data Type Lookup'!$A$1:$C$21,3,FALSE)</f>
        <v>String</v>
      </c>
      <c r="S1369" s="39"/>
      <c r="W1369" t="str">
        <f t="shared" si="53"/>
        <v>TEMP_DIR.INSTANCE</v>
      </c>
      <c r="X1369" t="str">
        <f>VLOOKUP(W1369,ColumnMapping[New Table.Column],1,)</f>
        <v>TEMP_DIR.INSTANCE</v>
      </c>
      <c r="Y1369" t="str">
        <f>_xlfn.XLOOKUP(Table6[[#This Row],[Table.Column]],ColumnMapping[Add Column Name],ColumnMapping[Old Table.Column],"",0,1)</f>
        <v/>
      </c>
      <c r="Z1369" t="str">
        <f>_xlfn.XLOOKUP(Table6[[#This Row],[Old Table.Column]],Cobra8.6[Table.Column],Cobra8.6[TYPE],"",0,1)</f>
        <v/>
      </c>
      <c r="AA1369" t="str">
        <f>_xlfn.XLOOKUP(Table6[[#This Row],[Old Table.Column]],Cobra8.6[Table.Column],Cobra8.6[LENGTH],"",0,1)</f>
        <v/>
      </c>
    </row>
    <row r="1370" spans="1:27" hidden="1" x14ac:dyDescent="0.2">
      <c r="A1370" t="s">
        <v>450</v>
      </c>
      <c r="B1370" s="39" t="s">
        <v>1991</v>
      </c>
      <c r="C1370" s="39" t="s">
        <v>64</v>
      </c>
      <c r="D1370" s="39">
        <v>3</v>
      </c>
      <c r="E1370" t="s">
        <v>65</v>
      </c>
      <c r="F1370" t="str">
        <f>VLOOKUP($E1370,'Data Type Lookup'!$A$1:$C$21,2,FALSE)</f>
        <v>TIMESTAMP</v>
      </c>
      <c r="I1370" s="32" t="s">
        <v>32</v>
      </c>
      <c r="P1370" t="s">
        <v>1630</v>
      </c>
      <c r="Q1370" t="s">
        <v>67</v>
      </c>
      <c r="R1370" t="str">
        <f>VLOOKUP(E1370,'Data Type Lookup'!$A$1:$C$21,3,FALSE)</f>
        <v>java.time.Instant</v>
      </c>
      <c r="S1370">
        <v>2</v>
      </c>
      <c r="W1370" t="str">
        <f t="shared" si="53"/>
        <v>TEMP_DIR.CREATED_DATE</v>
      </c>
      <c r="X1370" t="str">
        <f>VLOOKUP(W1370,ColumnMapping[New Table.Column],1,)</f>
        <v>TEMP_DIR.CREATED_DATE</v>
      </c>
      <c r="Y1370" t="str">
        <f>_xlfn.XLOOKUP(Table6[[#This Row],[Table.Column]],ColumnMapping[Add Column Name],ColumnMapping[Old Table.Column],"",0,1)</f>
        <v/>
      </c>
      <c r="Z1370" t="str">
        <f>_xlfn.XLOOKUP(Table6[[#This Row],[Old Table.Column]],Cobra8.6[Table.Column],Cobra8.6[TYPE],"",0,1)</f>
        <v/>
      </c>
      <c r="AA1370" t="str">
        <f>_xlfn.XLOOKUP(Table6[[#This Row],[Old Table.Column]],Cobra8.6[Table.Column],Cobra8.6[LENGTH],"",0,1)</f>
        <v/>
      </c>
    </row>
    <row r="1371" spans="1:27" hidden="1" x14ac:dyDescent="0.2">
      <c r="A1371" t="s">
        <v>450</v>
      </c>
      <c r="B1371" s="39" t="s">
        <v>1991</v>
      </c>
      <c r="C1371" s="39" t="s">
        <v>30</v>
      </c>
      <c r="D1371" s="39">
        <v>4</v>
      </c>
      <c r="E1371" t="s">
        <v>31</v>
      </c>
      <c r="F1371" t="str">
        <f>VLOOKUP($E1371,'Data Type Lookup'!$A$1:$C$21,2,FALSE)</f>
        <v>RAW(16)</v>
      </c>
      <c r="I1371" s="32" t="s">
        <v>32</v>
      </c>
      <c r="K1371" s="32" t="s">
        <v>32</v>
      </c>
      <c r="P1371" t="s">
        <v>1789</v>
      </c>
      <c r="Q1371" t="s">
        <v>34</v>
      </c>
      <c r="R1371" t="str">
        <f>VLOOKUP(E1371,'Data Type Lookup'!$A$1:$C$21,3,FALSE)</f>
        <v>java.util.UUID</v>
      </c>
      <c r="S1371">
        <v>3</v>
      </c>
      <c r="W1371" t="str">
        <f t="shared" si="53"/>
        <v>TEMP_DIR.ROW_UID</v>
      </c>
      <c r="X1371" t="str">
        <f>VLOOKUP(W1371,ColumnMapping[New Table.Column],1,)</f>
        <v>TEMP_DIR.ROW_UID</v>
      </c>
      <c r="Y1371" t="str">
        <f>_xlfn.XLOOKUP(Table6[[#This Row],[Table.Column]],ColumnMapping[Add Column Name],ColumnMapping[Old Table.Column],"",0,1)</f>
        <v/>
      </c>
      <c r="Z1371" t="str">
        <f>_xlfn.XLOOKUP(Table6[[#This Row],[Old Table.Column]],Cobra8.6[Table.Column],Cobra8.6[TYPE],"",0,1)</f>
        <v/>
      </c>
      <c r="AA1371" t="str">
        <f>_xlfn.XLOOKUP(Table6[[#This Row],[Old Table.Column]],Cobra8.6[Table.Column],Cobra8.6[LENGTH],"",0,1)</f>
        <v/>
      </c>
    </row>
    <row r="1372" spans="1:27" hidden="1" x14ac:dyDescent="0.2">
      <c r="A1372" t="s">
        <v>450</v>
      </c>
      <c r="B1372" s="39" t="s">
        <v>1991</v>
      </c>
      <c r="C1372" s="39" t="s">
        <v>35</v>
      </c>
      <c r="D1372" s="39">
        <v>5</v>
      </c>
      <c r="E1372" t="s">
        <v>36</v>
      </c>
      <c r="F1372" t="str">
        <f>VLOOKUP($E1372,'Data Type Lookup'!$A$1:$C$21,2,FALSE)</f>
        <v>NUMBER(19,0)</v>
      </c>
      <c r="I1372" s="32" t="s">
        <v>32</v>
      </c>
      <c r="J1372" s="32">
        <v>0</v>
      </c>
      <c r="P1372" t="s">
        <v>37</v>
      </c>
      <c r="Q1372" t="s">
        <v>38</v>
      </c>
      <c r="R1372" t="str">
        <f>VLOOKUP(E1372,'Data Type Lookup'!$A$1:$C$21,3,FALSE)</f>
        <v>Long</v>
      </c>
      <c r="S1372">
        <v>3</v>
      </c>
      <c r="W1372" t="str">
        <f t="shared" si="53"/>
        <v>TEMP_DIR.SEQUENCE</v>
      </c>
      <c r="X1372" t="str">
        <f>VLOOKUP(W1372,ColumnMapping[New Table.Column],1,)</f>
        <v>TEMP_DIR.SEQUENCE</v>
      </c>
      <c r="Y1372" t="str">
        <f>_xlfn.XLOOKUP(Table6[[#This Row],[Table.Column]],ColumnMapping[Add Column Name],ColumnMapping[Old Table.Column],"",0,1)</f>
        <v/>
      </c>
      <c r="Z1372" t="str">
        <f>_xlfn.XLOOKUP(Table6[[#This Row],[Old Table.Column]],Cobra8.6[Table.Column],Cobra8.6[TYPE],"",0,1)</f>
        <v/>
      </c>
      <c r="AA1372" t="str">
        <f>_xlfn.XLOOKUP(Table6[[#This Row],[Old Table.Column]],Cobra8.6[Table.Column],Cobra8.6[LENGTH],"",0,1)</f>
        <v/>
      </c>
    </row>
    <row r="1373" spans="1:27" hidden="1" x14ac:dyDescent="0.2">
      <c r="A1373" t="s">
        <v>450</v>
      </c>
      <c r="B1373" s="39" t="s">
        <v>1991</v>
      </c>
      <c r="C1373" s="39" t="s">
        <v>61</v>
      </c>
      <c r="D1373" s="39">
        <v>6</v>
      </c>
      <c r="E1373" t="s">
        <v>31</v>
      </c>
      <c r="F1373" t="str">
        <f>VLOOKUP($E1373,'Data Type Lookup'!$A$1:$C$21,2,FALSE)</f>
        <v>RAW(16)</v>
      </c>
      <c r="I1373" s="32" t="s">
        <v>32</v>
      </c>
      <c r="P1373" t="s">
        <v>1629</v>
      </c>
      <c r="Q1373" t="s">
        <v>63</v>
      </c>
      <c r="R1373" t="str">
        <f>VLOOKUP(E1373,'Data Type Lookup'!$A$1:$C$21,3,FALSE)</f>
        <v>java.util.UUID</v>
      </c>
      <c r="S1373">
        <v>2</v>
      </c>
      <c r="W1373" t="str">
        <f t="shared" si="53"/>
        <v>TEMP_DIR.CREATED_BY_USER_UID</v>
      </c>
      <c r="X1373" t="str">
        <f>VLOOKUP(W1373,ColumnMapping[New Table.Column],1,)</f>
        <v>TEMP_DIR.CREATED_BY_USER_UID</v>
      </c>
      <c r="Y1373" t="str">
        <f>_xlfn.XLOOKUP(Table6[[#This Row],[Table.Column]],ColumnMapping[Add Column Name],ColumnMapping[Old Table.Column],"",0,1)</f>
        <v/>
      </c>
      <c r="Z1373" t="str">
        <f>_xlfn.XLOOKUP(Table6[[#This Row],[Old Table.Column]],Cobra8.6[Table.Column],Cobra8.6[TYPE],"",0,1)</f>
        <v/>
      </c>
      <c r="AA1373" t="str">
        <f>_xlfn.XLOOKUP(Table6[[#This Row],[Old Table.Column]],Cobra8.6[Table.Column],Cobra8.6[LENGTH],"",0,1)</f>
        <v/>
      </c>
    </row>
    <row r="1374" spans="1:27" hidden="1" x14ac:dyDescent="0.2">
      <c r="A1374" t="s">
        <v>450</v>
      </c>
      <c r="B1374" s="39" t="s">
        <v>1991</v>
      </c>
      <c r="C1374" s="39" t="s">
        <v>68</v>
      </c>
      <c r="D1374" s="39">
        <v>7</v>
      </c>
      <c r="E1374" t="s">
        <v>31</v>
      </c>
      <c r="F1374" t="str">
        <f>VLOOKUP($E1374,'Data Type Lookup'!$A$1:$C$21,2,FALSE)</f>
        <v>RAW(16)</v>
      </c>
      <c r="I1374" s="32" t="s">
        <v>32</v>
      </c>
      <c r="P1374" t="s">
        <v>1632</v>
      </c>
      <c r="Q1374" t="s">
        <v>70</v>
      </c>
      <c r="R1374" t="str">
        <f>VLOOKUP(E1374,'Data Type Lookup'!$A$1:$C$21,3,FALSE)</f>
        <v>java.util.UUID</v>
      </c>
      <c r="S1374">
        <v>2</v>
      </c>
      <c r="W1374" t="str">
        <f t="shared" si="53"/>
        <v>TEMP_DIR.LAST_MODIFIED_BY_USER_UID</v>
      </c>
      <c r="X1374" t="str">
        <f>VLOOKUP(W1374,ColumnMapping[New Table.Column],1,)</f>
        <v>TEMP_DIR.LAST_MODIFIED_BY_USER_UID</v>
      </c>
      <c r="Y1374" t="str">
        <f>_xlfn.XLOOKUP(Table6[[#This Row],[Table.Column]],ColumnMapping[Add Column Name],ColumnMapping[Old Table.Column],"",0,1)</f>
        <v/>
      </c>
      <c r="Z1374" t="str">
        <f>_xlfn.XLOOKUP(Table6[[#This Row],[Old Table.Column]],Cobra8.6[Table.Column],Cobra8.6[TYPE],"",0,1)</f>
        <v/>
      </c>
      <c r="AA1374" t="str">
        <f>_xlfn.XLOOKUP(Table6[[#This Row],[Old Table.Column]],Cobra8.6[Table.Column],Cobra8.6[LENGTH],"",0,1)</f>
        <v/>
      </c>
    </row>
    <row r="1375" spans="1:27" hidden="1" x14ac:dyDescent="0.2">
      <c r="A1375" t="s">
        <v>450</v>
      </c>
      <c r="B1375" s="39" t="s">
        <v>1991</v>
      </c>
      <c r="C1375" s="39" t="s">
        <v>71</v>
      </c>
      <c r="D1375" s="39">
        <v>8</v>
      </c>
      <c r="E1375" t="s">
        <v>65</v>
      </c>
      <c r="F1375" t="str">
        <f>VLOOKUP($E1375,'Data Type Lookup'!$A$1:$C$21,2,FALSE)</f>
        <v>TIMESTAMP</v>
      </c>
      <c r="I1375" s="32" t="s">
        <v>32</v>
      </c>
      <c r="P1375" t="s">
        <v>1633</v>
      </c>
      <c r="Q1375" t="s">
        <v>73</v>
      </c>
      <c r="R1375" t="str">
        <f>VLOOKUP(E1375,'Data Type Lookup'!$A$1:$C$21,3,FALSE)</f>
        <v>java.time.Instant</v>
      </c>
      <c r="S1375">
        <v>2</v>
      </c>
      <c r="W1375" t="str">
        <f t="shared" si="53"/>
        <v>TEMP_DIR.LAST_MODIFIED_DATE</v>
      </c>
      <c r="X1375" t="str">
        <f>VLOOKUP(W1375,ColumnMapping[New Table.Column],1,)</f>
        <v>TEMP_DIR.LAST_MODIFIED_DATE</v>
      </c>
      <c r="Y1375" t="str">
        <f>_xlfn.XLOOKUP(Table6[[#This Row],[Table.Column]],ColumnMapping[Add Column Name],ColumnMapping[Old Table.Column],"",0,1)</f>
        <v/>
      </c>
      <c r="Z1375" t="str">
        <f>_xlfn.XLOOKUP(Table6[[#This Row],[Old Table.Column]],Cobra8.6[Table.Column],Cobra8.6[TYPE],"",0,1)</f>
        <v/>
      </c>
      <c r="AA1375" t="str">
        <f>_xlfn.XLOOKUP(Table6[[#This Row],[Old Table.Column]],Cobra8.6[Table.Column],Cobra8.6[LENGTH],"",0,1)</f>
        <v/>
      </c>
    </row>
    <row r="1376" spans="1:27" hidden="1" x14ac:dyDescent="0.2">
      <c r="A1376" t="s">
        <v>450</v>
      </c>
      <c r="B1376" s="39" t="s">
        <v>1993</v>
      </c>
      <c r="C1376" s="39" t="s">
        <v>1961</v>
      </c>
      <c r="D1376" s="39">
        <v>1</v>
      </c>
      <c r="E1376" s="39" t="s">
        <v>86</v>
      </c>
      <c r="F1376" s="39" t="s">
        <v>349</v>
      </c>
      <c r="G1376" s="39">
        <v>22</v>
      </c>
      <c r="H1376" s="39"/>
      <c r="I1376" s="47"/>
      <c r="J1376" s="47"/>
      <c r="K1376" s="47"/>
      <c r="L1376" s="47"/>
      <c r="M1376" s="39"/>
      <c r="N1376" s="39"/>
      <c r="O1376" s="39"/>
      <c r="P1376" s="39"/>
      <c r="Q1376" s="39" t="s">
        <v>1994</v>
      </c>
      <c r="R1376" t="str">
        <f>VLOOKUP(E1376,'Data Type Lookup'!$A$1:$C$21,3,FALSE)</f>
        <v>String</v>
      </c>
      <c r="S1376" s="39"/>
      <c r="W1376" t="str">
        <f>_xlfn.CONCAT(B1376,".",C1376)</f>
        <v>WST_LCK.CONTEXT</v>
      </c>
      <c r="X1376" t="str">
        <f>VLOOKUP(W1376,ColumnMapping[New Table.Column],1,)</f>
        <v>WST_LCK.CONTEXT</v>
      </c>
      <c r="Y1376" t="str">
        <f>_xlfn.XLOOKUP(Table6[[#This Row],[Table.Column]],ColumnMapping[Add Column Name],ColumnMapping[Old Table.Column],"",0,1)</f>
        <v/>
      </c>
      <c r="Z1376" t="str">
        <f>_xlfn.XLOOKUP(Table6[[#This Row],[Old Table.Column]],Cobra8.6[Table.Column],Cobra8.6[TYPE],"",0,1)</f>
        <v/>
      </c>
      <c r="AA1376" t="str">
        <f>_xlfn.XLOOKUP(Table6[[#This Row],[Old Table.Column]],Cobra8.6[Table.Column],Cobra8.6[LENGTH],"",0,1)</f>
        <v/>
      </c>
    </row>
    <row r="1377" spans="1:27" hidden="1" x14ac:dyDescent="0.2">
      <c r="A1377" t="s">
        <v>450</v>
      </c>
      <c r="B1377" s="39" t="s">
        <v>1993</v>
      </c>
      <c r="C1377" s="39" t="s">
        <v>1995</v>
      </c>
      <c r="D1377" s="39">
        <v>2</v>
      </c>
      <c r="E1377" s="39" t="s">
        <v>86</v>
      </c>
      <c r="F1377" s="39" t="s">
        <v>349</v>
      </c>
      <c r="G1377" s="39">
        <v>200</v>
      </c>
      <c r="H1377" s="39"/>
      <c r="I1377" s="47"/>
      <c r="J1377" s="47"/>
      <c r="K1377" s="47"/>
      <c r="L1377" s="47"/>
      <c r="M1377" s="39"/>
      <c r="N1377" s="39"/>
      <c r="O1377" s="39"/>
      <c r="P1377" s="39"/>
      <c r="Q1377" s="39" t="s">
        <v>1996</v>
      </c>
      <c r="R1377" t="str">
        <f>VLOOKUP(E1377,'Data Type Lookup'!$A$1:$C$21,3,FALSE)</f>
        <v>String</v>
      </c>
      <c r="S1377" s="39"/>
      <c r="W1377" t="str">
        <f t="shared" ref="W1377:W1389" si="54">_xlfn.CONCAT(B1377,".",C1377)</f>
        <v>WST_LCK.CONTEXT_ID</v>
      </c>
      <c r="X1377" t="str">
        <f>VLOOKUP(W1377,ColumnMapping[New Table.Column],1,)</f>
        <v>WST_LCK.CONTEXT_ID</v>
      </c>
      <c r="Y1377" t="str">
        <f>_xlfn.XLOOKUP(Table6[[#This Row],[Table.Column]],ColumnMapping[Add Column Name],ColumnMapping[Old Table.Column],"",0,1)</f>
        <v/>
      </c>
      <c r="Z1377" t="str">
        <f>_xlfn.XLOOKUP(Table6[[#This Row],[Old Table.Column]],Cobra8.6[Table.Column],Cobra8.6[TYPE],"",0,1)</f>
        <v/>
      </c>
      <c r="AA1377" t="str">
        <f>_xlfn.XLOOKUP(Table6[[#This Row],[Old Table.Column]],Cobra8.6[Table.Column],Cobra8.6[LENGTH],"",0,1)</f>
        <v/>
      </c>
    </row>
    <row r="1378" spans="1:27" hidden="1" x14ac:dyDescent="0.2">
      <c r="A1378" t="s">
        <v>450</v>
      </c>
      <c r="B1378" s="39" t="s">
        <v>1993</v>
      </c>
      <c r="C1378" s="39" t="s">
        <v>1997</v>
      </c>
      <c r="D1378" s="39">
        <v>3</v>
      </c>
      <c r="E1378" s="39" t="s">
        <v>86</v>
      </c>
      <c r="F1378" s="39" t="s">
        <v>349</v>
      </c>
      <c r="G1378" s="39">
        <v>22</v>
      </c>
      <c r="H1378" s="39"/>
      <c r="I1378" s="47"/>
      <c r="J1378" s="47"/>
      <c r="K1378" s="47"/>
      <c r="L1378" s="47"/>
      <c r="M1378" s="39"/>
      <c r="N1378" s="39"/>
      <c r="O1378" s="39"/>
      <c r="P1378" s="39"/>
      <c r="Q1378" s="39" t="s">
        <v>1998</v>
      </c>
      <c r="R1378" t="str">
        <f>VLOOKUP(E1378,'Data Type Lookup'!$A$1:$C$21,3,FALSE)</f>
        <v>String</v>
      </c>
      <c r="S1378" s="39"/>
      <c r="W1378" t="str">
        <f t="shared" si="54"/>
        <v>WST_LCK.DIR_UID</v>
      </c>
      <c r="X1378" t="str">
        <f>VLOOKUP(W1378,ColumnMapping[New Table.Column],1,)</f>
        <v>WST_LCK.DIR_UID</v>
      </c>
      <c r="Y1378" t="str">
        <f>_xlfn.XLOOKUP(Table6[[#This Row],[Table.Column]],ColumnMapping[Add Column Name],ColumnMapping[Old Table.Column],"",0,1)</f>
        <v/>
      </c>
      <c r="Z1378" t="str">
        <f>_xlfn.XLOOKUP(Table6[[#This Row],[Old Table.Column]],Cobra8.6[Table.Column],Cobra8.6[TYPE],"",0,1)</f>
        <v/>
      </c>
      <c r="AA1378" t="str">
        <f>_xlfn.XLOOKUP(Table6[[#This Row],[Old Table.Column]],Cobra8.6[Table.Column],Cobra8.6[LENGTH],"",0,1)</f>
        <v/>
      </c>
    </row>
    <row r="1379" spans="1:27" hidden="1" x14ac:dyDescent="0.2">
      <c r="A1379" t="s">
        <v>450</v>
      </c>
      <c r="B1379" s="39" t="s">
        <v>1993</v>
      </c>
      <c r="C1379" s="39" t="s">
        <v>71</v>
      </c>
      <c r="D1379" s="39">
        <v>4</v>
      </c>
      <c r="E1379" t="s">
        <v>65</v>
      </c>
      <c r="F1379" t="str">
        <f>VLOOKUP($E1379,'Data Type Lookup'!$A$1:$C$21,2,FALSE)</f>
        <v>TIMESTAMP</v>
      </c>
      <c r="I1379" s="32" t="s">
        <v>32</v>
      </c>
      <c r="P1379" t="s">
        <v>1633</v>
      </c>
      <c r="Q1379" t="s">
        <v>73</v>
      </c>
      <c r="R1379" t="str">
        <f>VLOOKUP(E1379,'Data Type Lookup'!$A$1:$C$21,3,FALSE)</f>
        <v>java.time.Instant</v>
      </c>
      <c r="S1379">
        <v>2</v>
      </c>
      <c r="W1379" t="str">
        <f t="shared" si="54"/>
        <v>WST_LCK.LAST_MODIFIED_DATE</v>
      </c>
      <c r="X1379" t="str">
        <f>VLOOKUP(W1379,ColumnMapping[New Table.Column],1,)</f>
        <v>WST_LCK.LAST_MODIFIED_DATE</v>
      </c>
      <c r="Y1379" t="str">
        <f>_xlfn.XLOOKUP(Table6[[#This Row],[Table.Column]],ColumnMapping[Add Column Name],ColumnMapping[Old Table.Column],"",0,1)</f>
        <v/>
      </c>
      <c r="Z1379" t="str">
        <f>_xlfn.XLOOKUP(Table6[[#This Row],[Old Table.Column]],Cobra8.6[Table.Column],Cobra8.6[TYPE],"",0,1)</f>
        <v/>
      </c>
      <c r="AA1379" t="str">
        <f>_xlfn.XLOOKUP(Table6[[#This Row],[Old Table.Column]],Cobra8.6[Table.Column],Cobra8.6[LENGTH],"",0,1)</f>
        <v/>
      </c>
    </row>
    <row r="1380" spans="1:27" hidden="1" x14ac:dyDescent="0.2">
      <c r="A1380" t="s">
        <v>450</v>
      </c>
      <c r="B1380" s="39" t="s">
        <v>1993</v>
      </c>
      <c r="C1380" s="39" t="s">
        <v>1999</v>
      </c>
      <c r="D1380" s="39">
        <v>5</v>
      </c>
      <c r="E1380" s="39" t="s">
        <v>86</v>
      </c>
      <c r="F1380" s="39" t="s">
        <v>349</v>
      </c>
      <c r="G1380" s="39">
        <v>22</v>
      </c>
      <c r="H1380" s="39"/>
      <c r="I1380" s="47"/>
      <c r="J1380" s="47"/>
      <c r="K1380" s="47"/>
      <c r="L1380" s="47"/>
      <c r="M1380" s="39"/>
      <c r="N1380" s="39"/>
      <c r="O1380" s="39"/>
      <c r="P1380" s="39"/>
      <c r="Q1380" s="39" t="str">
        <f>IF(C1380="","",LOWER(LEFT(TRIM(C1380),FIND("_",TRIM(C1380)&amp;"_")-1))&amp;SUBSTITUTE(PROPER(SUBSTITUTE(MID(TRIM(C1380),FIND("_",TRIM(C1380)&amp;"_"),LEN(TRIM(C1380))),"_"," "))," ",""))</f>
        <v>lckUid</v>
      </c>
      <c r="R1380" t="str">
        <f>VLOOKUP(E1380,'Data Type Lookup'!$A$1:$C$21,3,FALSE)</f>
        <v>String</v>
      </c>
      <c r="S1380" s="39"/>
      <c r="W1380" t="str">
        <f t="shared" si="54"/>
        <v>WST_LCK.LCK_UID</v>
      </c>
      <c r="X1380" t="str">
        <f>VLOOKUP(W1380,ColumnMapping[New Table.Column],1,)</f>
        <v>WST_LCK.LCK_UID</v>
      </c>
      <c r="Y1380" t="str">
        <f>_xlfn.XLOOKUP(Table6[[#This Row],[Table.Column]],ColumnMapping[Add Column Name],ColumnMapping[Old Table.Column],"",0,1)</f>
        <v/>
      </c>
      <c r="Z1380" t="str">
        <f>_xlfn.XLOOKUP(Table6[[#This Row],[Old Table.Column]],Cobra8.6[Table.Column],Cobra8.6[TYPE],"",0,1)</f>
        <v/>
      </c>
      <c r="AA1380" t="str">
        <f>_xlfn.XLOOKUP(Table6[[#This Row],[Old Table.Column]],Cobra8.6[Table.Column],Cobra8.6[LENGTH],"",0,1)</f>
        <v/>
      </c>
    </row>
    <row r="1381" spans="1:27" hidden="1" x14ac:dyDescent="0.2">
      <c r="A1381" t="s">
        <v>450</v>
      </c>
      <c r="B1381" s="39" t="s">
        <v>1993</v>
      </c>
      <c r="C1381" s="39" t="s">
        <v>2000</v>
      </c>
      <c r="D1381" s="39">
        <v>6</v>
      </c>
      <c r="E1381" s="39" t="s">
        <v>86</v>
      </c>
      <c r="F1381" s="39" t="s">
        <v>349</v>
      </c>
      <c r="G1381" s="39">
        <v>1</v>
      </c>
      <c r="H1381" s="39"/>
      <c r="I1381" s="47"/>
      <c r="J1381" s="47"/>
      <c r="K1381" s="47"/>
      <c r="L1381" s="47"/>
      <c r="M1381" s="39"/>
      <c r="N1381" s="39"/>
      <c r="O1381" s="39"/>
      <c r="P1381" s="39"/>
      <c r="Q1381" s="39" t="str">
        <f t="shared" ref="Q1381:Q1384" si="55">IF(C1381="","",LOWER(LEFT(TRIM(C1381),FIND("_",TRIM(C1381)&amp;"_")-1))&amp;SUBSTITUTE(PROPER(SUBSTITUTE(MID(TRIM(C1381),FIND("_",TRIM(C1381)&amp;"_"),LEN(TRIM(C1381))),"_"," "))," ",""))</f>
        <v>lockmode</v>
      </c>
      <c r="R1381" t="str">
        <f>VLOOKUP(E1381,'Data Type Lookup'!$A$1:$C$21,3,FALSE)</f>
        <v>String</v>
      </c>
      <c r="S1381" s="39"/>
      <c r="W1381" t="str">
        <f t="shared" si="54"/>
        <v>WST_LCK.LOCKMODE</v>
      </c>
      <c r="X1381" t="str">
        <f>VLOOKUP(W1381,ColumnMapping[New Table.Column],1,)</f>
        <v>WST_LCK.LOCKMODE</v>
      </c>
      <c r="Y1381" t="str">
        <f>_xlfn.XLOOKUP(Table6[[#This Row],[Table.Column]],ColumnMapping[Add Column Name],ColumnMapping[Old Table.Column],"",0,1)</f>
        <v/>
      </c>
      <c r="Z1381" t="str">
        <f>_xlfn.XLOOKUP(Table6[[#This Row],[Old Table.Column]],Cobra8.6[Table.Column],Cobra8.6[TYPE],"",0,1)</f>
        <v/>
      </c>
      <c r="AA1381" t="str">
        <f>_xlfn.XLOOKUP(Table6[[#This Row],[Old Table.Column]],Cobra8.6[Table.Column],Cobra8.6[LENGTH],"",0,1)</f>
        <v/>
      </c>
    </row>
    <row r="1382" spans="1:27" hidden="1" x14ac:dyDescent="0.2">
      <c r="A1382" t="s">
        <v>450</v>
      </c>
      <c r="B1382" s="39" t="s">
        <v>1993</v>
      </c>
      <c r="C1382" s="39" t="s">
        <v>2001</v>
      </c>
      <c r="D1382" s="39">
        <v>7</v>
      </c>
      <c r="E1382" s="39" t="s">
        <v>86</v>
      </c>
      <c r="F1382" s="39" t="s">
        <v>349</v>
      </c>
      <c r="G1382" s="39">
        <v>48</v>
      </c>
      <c r="H1382" s="39"/>
      <c r="I1382" s="47"/>
      <c r="J1382" s="47"/>
      <c r="K1382" s="47"/>
      <c r="L1382" s="47"/>
      <c r="M1382" s="39"/>
      <c r="N1382" s="39"/>
      <c r="O1382" s="39"/>
      <c r="P1382" s="39"/>
      <c r="Q1382" s="39" t="str">
        <f t="shared" si="55"/>
        <v>machineId</v>
      </c>
      <c r="R1382" t="str">
        <f>VLOOKUP(E1382,'Data Type Lookup'!$A$1:$C$21,3,FALSE)</f>
        <v>String</v>
      </c>
      <c r="S1382" s="39"/>
      <c r="W1382" t="str">
        <f t="shared" si="54"/>
        <v>WST_LCK.MACHINE_ID</v>
      </c>
      <c r="X1382" t="str">
        <f>VLOOKUP(W1382,ColumnMapping[New Table.Column],1,)</f>
        <v>WST_LCK.MACHINE_ID</v>
      </c>
      <c r="Y1382" t="str">
        <f>_xlfn.XLOOKUP(Table6[[#This Row],[Table.Column]],ColumnMapping[Add Column Name],ColumnMapping[Old Table.Column],"",0,1)</f>
        <v/>
      </c>
      <c r="Z1382" t="str">
        <f>_xlfn.XLOOKUP(Table6[[#This Row],[Old Table.Column]],Cobra8.6[Table.Column],Cobra8.6[TYPE],"",0,1)</f>
        <v/>
      </c>
      <c r="AA1382" t="str">
        <f>_xlfn.XLOOKUP(Table6[[#This Row],[Old Table.Column]],Cobra8.6[Table.Column],Cobra8.6[LENGTH],"",0,1)</f>
        <v/>
      </c>
    </row>
    <row r="1383" spans="1:27" hidden="1" x14ac:dyDescent="0.2">
      <c r="A1383" t="s">
        <v>450</v>
      </c>
      <c r="B1383" s="39" t="s">
        <v>1993</v>
      </c>
      <c r="C1383" s="39" t="s">
        <v>2002</v>
      </c>
      <c r="D1383" s="39">
        <v>8</v>
      </c>
      <c r="E1383" s="39" t="s">
        <v>52</v>
      </c>
      <c r="F1383" s="39" t="s">
        <v>1592</v>
      </c>
      <c r="G1383" s="39"/>
      <c r="H1383" s="39"/>
      <c r="I1383" s="47"/>
      <c r="J1383" s="47">
        <v>0</v>
      </c>
      <c r="K1383" s="47"/>
      <c r="L1383" s="47"/>
      <c r="M1383" s="39"/>
      <c r="N1383" s="39"/>
      <c r="O1383" s="39"/>
      <c r="P1383" s="39"/>
      <c r="Q1383" s="39" t="str">
        <f t="shared" si="55"/>
        <v>prdUid</v>
      </c>
      <c r="R1383" t="str">
        <f>VLOOKUP(E1383,'Data Type Lookup'!$A$1:$C$21,3,FALSE)</f>
        <v>Short</v>
      </c>
      <c r="S1383" s="39"/>
      <c r="W1383" t="str">
        <f t="shared" si="54"/>
        <v>WST_LCK.PRD_UID</v>
      </c>
      <c r="X1383" t="str">
        <f>VLOOKUP(W1383,ColumnMapping[New Table.Column],1,)</f>
        <v>WST_LCK.PRD_UID</v>
      </c>
      <c r="Y1383" t="str">
        <f>_xlfn.XLOOKUP(Table6[[#This Row],[Table.Column]],ColumnMapping[Add Column Name],ColumnMapping[Old Table.Column],"",0,1)</f>
        <v/>
      </c>
      <c r="Z1383" t="str">
        <f>_xlfn.XLOOKUP(Table6[[#This Row],[Old Table.Column]],Cobra8.6[Table.Column],Cobra8.6[TYPE],"",0,1)</f>
        <v/>
      </c>
      <c r="AA1383" t="str">
        <f>_xlfn.XLOOKUP(Table6[[#This Row],[Old Table.Column]],Cobra8.6[Table.Column],Cobra8.6[LENGTH],"",0,1)</f>
        <v/>
      </c>
    </row>
    <row r="1384" spans="1:27" hidden="1" x14ac:dyDescent="0.2">
      <c r="A1384" t="s">
        <v>450</v>
      </c>
      <c r="B1384" s="39" t="s">
        <v>1993</v>
      </c>
      <c r="C1384" s="39" t="s">
        <v>2003</v>
      </c>
      <c r="D1384" s="39">
        <v>9</v>
      </c>
      <c r="E1384" s="39" t="s">
        <v>86</v>
      </c>
      <c r="F1384" s="39" t="s">
        <v>349</v>
      </c>
      <c r="G1384" s="39">
        <v>22</v>
      </c>
      <c r="H1384" s="39"/>
      <c r="I1384" s="47"/>
      <c r="J1384" s="47"/>
      <c r="K1384" s="47"/>
      <c r="L1384" s="47"/>
      <c r="M1384" s="39"/>
      <c r="N1384" s="39"/>
      <c r="O1384" s="39"/>
      <c r="P1384" s="39"/>
      <c r="Q1384" s="39" t="str">
        <f t="shared" si="55"/>
        <v>uliUid</v>
      </c>
      <c r="R1384" t="str">
        <f>VLOOKUP(E1384,'Data Type Lookup'!$A$1:$C$21,3,FALSE)</f>
        <v>String</v>
      </c>
      <c r="S1384" s="39"/>
      <c r="W1384" t="str">
        <f t="shared" si="54"/>
        <v>WST_LCK.ULI_UID</v>
      </c>
      <c r="X1384" t="str">
        <f>VLOOKUP(W1384,ColumnMapping[New Table.Column],1,)</f>
        <v>WST_LCK.ULI_UID</v>
      </c>
      <c r="Y1384" t="str">
        <f>_xlfn.XLOOKUP(Table6[[#This Row],[Table.Column]],ColumnMapping[Add Column Name],ColumnMapping[Old Table.Column],"",0,1)</f>
        <v/>
      </c>
      <c r="Z1384" t="str">
        <f>_xlfn.XLOOKUP(Table6[[#This Row],[Old Table.Column]],Cobra8.6[Table.Column],Cobra8.6[TYPE],"",0,1)</f>
        <v/>
      </c>
      <c r="AA1384" t="str">
        <f>_xlfn.XLOOKUP(Table6[[#This Row],[Old Table.Column]],Cobra8.6[Table.Column],Cobra8.6[LENGTH],"",0,1)</f>
        <v/>
      </c>
    </row>
    <row r="1385" spans="1:27" hidden="1" x14ac:dyDescent="0.2">
      <c r="A1385" t="s">
        <v>450</v>
      </c>
      <c r="B1385" s="39" t="s">
        <v>1993</v>
      </c>
      <c r="C1385" s="39" t="s">
        <v>68</v>
      </c>
      <c r="D1385" s="39">
        <v>10</v>
      </c>
      <c r="E1385" t="s">
        <v>31</v>
      </c>
      <c r="F1385" t="str">
        <f>VLOOKUP($E1385,'Data Type Lookup'!$A$1:$C$21,2,FALSE)</f>
        <v>RAW(16)</v>
      </c>
      <c r="I1385" s="32" t="s">
        <v>32</v>
      </c>
      <c r="P1385" t="s">
        <v>1632</v>
      </c>
      <c r="Q1385" t="s">
        <v>70</v>
      </c>
      <c r="R1385" t="str">
        <f>VLOOKUP(E1385,'Data Type Lookup'!$A$1:$C$21,3,FALSE)</f>
        <v>java.util.UUID</v>
      </c>
      <c r="S1385">
        <v>2</v>
      </c>
      <c r="W1385" t="str">
        <f t="shared" si="54"/>
        <v>WST_LCK.LAST_MODIFIED_BY_USER_UID</v>
      </c>
      <c r="X1385" t="str">
        <f>VLOOKUP(W1385,ColumnMapping[New Table.Column],1,)</f>
        <v>WST_LCK.LAST_MODIFIED_BY_USER_UID</v>
      </c>
      <c r="Y1385" t="str">
        <f>_xlfn.XLOOKUP(Table6[[#This Row],[Table.Column]],ColumnMapping[Add Column Name],ColumnMapping[Old Table.Column],"",0,1)</f>
        <v/>
      </c>
      <c r="Z1385" t="str">
        <f>_xlfn.XLOOKUP(Table6[[#This Row],[Old Table.Column]],Cobra8.6[Table.Column],Cobra8.6[TYPE],"",0,1)</f>
        <v/>
      </c>
      <c r="AA1385" t="str">
        <f>_xlfn.XLOOKUP(Table6[[#This Row],[Old Table.Column]],Cobra8.6[Table.Column],Cobra8.6[LENGTH],"",0,1)</f>
        <v/>
      </c>
    </row>
    <row r="1386" spans="1:27" hidden="1" x14ac:dyDescent="0.2">
      <c r="A1386" t="s">
        <v>450</v>
      </c>
      <c r="B1386" s="39" t="s">
        <v>1993</v>
      </c>
      <c r="C1386" s="39" t="s">
        <v>30</v>
      </c>
      <c r="D1386" s="39">
        <v>11</v>
      </c>
      <c r="E1386" t="s">
        <v>31</v>
      </c>
      <c r="F1386" t="str">
        <f>VLOOKUP($E1386,'Data Type Lookup'!$A$1:$C$21,2,FALSE)</f>
        <v>RAW(16)</v>
      </c>
      <c r="I1386" s="32" t="s">
        <v>32</v>
      </c>
      <c r="K1386" s="32" t="s">
        <v>32</v>
      </c>
      <c r="P1386" t="s">
        <v>1789</v>
      </c>
      <c r="Q1386" t="s">
        <v>34</v>
      </c>
      <c r="R1386" t="str">
        <f>VLOOKUP(E1386,'Data Type Lookup'!$A$1:$C$21,3,FALSE)</f>
        <v>java.util.UUID</v>
      </c>
      <c r="S1386">
        <v>3</v>
      </c>
      <c r="W1386" t="str">
        <f t="shared" si="54"/>
        <v>WST_LCK.ROW_UID</v>
      </c>
      <c r="X1386" t="str">
        <f>VLOOKUP(W1386,ColumnMapping[New Table.Column],1,)</f>
        <v>WST_LCK.ROW_UID</v>
      </c>
      <c r="Y1386" t="str">
        <f>_xlfn.XLOOKUP(Table6[[#This Row],[Table.Column]],ColumnMapping[Add Column Name],ColumnMapping[Old Table.Column],"",0,1)</f>
        <v/>
      </c>
      <c r="Z1386" t="str">
        <f>_xlfn.XLOOKUP(Table6[[#This Row],[Old Table.Column]],Cobra8.6[Table.Column],Cobra8.6[TYPE],"",0,1)</f>
        <v/>
      </c>
      <c r="AA1386" t="str">
        <f>_xlfn.XLOOKUP(Table6[[#This Row],[Old Table.Column]],Cobra8.6[Table.Column],Cobra8.6[LENGTH],"",0,1)</f>
        <v/>
      </c>
    </row>
    <row r="1387" spans="1:27" hidden="1" x14ac:dyDescent="0.2">
      <c r="A1387" t="s">
        <v>450</v>
      </c>
      <c r="B1387" s="39" t="s">
        <v>1993</v>
      </c>
      <c r="C1387" s="39" t="s">
        <v>35</v>
      </c>
      <c r="D1387" s="39">
        <v>12</v>
      </c>
      <c r="E1387" t="s">
        <v>36</v>
      </c>
      <c r="F1387" t="str">
        <f>VLOOKUP($E1387,'Data Type Lookup'!$A$1:$C$21,2,FALSE)</f>
        <v>NUMBER(19,0)</v>
      </c>
      <c r="I1387" s="32" t="s">
        <v>32</v>
      </c>
      <c r="J1387" s="32">
        <v>0</v>
      </c>
      <c r="P1387" t="s">
        <v>37</v>
      </c>
      <c r="Q1387" t="s">
        <v>38</v>
      </c>
      <c r="R1387" t="str">
        <f>VLOOKUP(E1387,'Data Type Lookup'!$A$1:$C$21,3,FALSE)</f>
        <v>Long</v>
      </c>
      <c r="S1387">
        <v>3</v>
      </c>
      <c r="W1387" t="str">
        <f t="shared" si="54"/>
        <v>WST_LCK.SEQUENCE</v>
      </c>
      <c r="X1387" t="str">
        <f>VLOOKUP(W1387,ColumnMapping[New Table.Column],1,)</f>
        <v>WST_LCK.SEQUENCE</v>
      </c>
      <c r="Y1387" t="str">
        <f>_xlfn.XLOOKUP(Table6[[#This Row],[Table.Column]],ColumnMapping[Add Column Name],ColumnMapping[Old Table.Column],"",0,1)</f>
        <v/>
      </c>
      <c r="Z1387" t="str">
        <f>_xlfn.XLOOKUP(Table6[[#This Row],[Old Table.Column]],Cobra8.6[Table.Column],Cobra8.6[TYPE],"",0,1)</f>
        <v/>
      </c>
      <c r="AA1387" t="str">
        <f>_xlfn.XLOOKUP(Table6[[#This Row],[Old Table.Column]],Cobra8.6[Table.Column],Cobra8.6[LENGTH],"",0,1)</f>
        <v/>
      </c>
    </row>
    <row r="1388" spans="1:27" hidden="1" x14ac:dyDescent="0.2">
      <c r="A1388" t="s">
        <v>450</v>
      </c>
      <c r="B1388" s="39" t="s">
        <v>1993</v>
      </c>
      <c r="C1388" s="39" t="s">
        <v>61</v>
      </c>
      <c r="D1388" s="39">
        <v>13</v>
      </c>
      <c r="E1388" t="s">
        <v>31</v>
      </c>
      <c r="F1388" t="str">
        <f>VLOOKUP($E1388,'Data Type Lookup'!$A$1:$C$21,2,FALSE)</f>
        <v>RAW(16)</v>
      </c>
      <c r="I1388" s="32" t="s">
        <v>32</v>
      </c>
      <c r="P1388" t="s">
        <v>1629</v>
      </c>
      <c r="Q1388" t="s">
        <v>63</v>
      </c>
      <c r="R1388" t="str">
        <f>VLOOKUP(E1388,'Data Type Lookup'!$A$1:$C$21,3,FALSE)</f>
        <v>java.util.UUID</v>
      </c>
      <c r="S1388">
        <v>2</v>
      </c>
      <c r="W1388" t="str">
        <f t="shared" si="54"/>
        <v>WST_LCK.CREATED_BY_USER_UID</v>
      </c>
      <c r="X1388" t="str">
        <f>VLOOKUP(W1388,ColumnMapping[New Table.Column],1,)</f>
        <v>WST_LCK.CREATED_BY_USER_UID</v>
      </c>
      <c r="Y1388" t="str">
        <f>_xlfn.XLOOKUP(Table6[[#This Row],[Table.Column]],ColumnMapping[Add Column Name],ColumnMapping[Old Table.Column],"",0,1)</f>
        <v/>
      </c>
      <c r="Z1388" t="str">
        <f>_xlfn.XLOOKUP(Table6[[#This Row],[Old Table.Column]],Cobra8.6[Table.Column],Cobra8.6[TYPE],"",0,1)</f>
        <v/>
      </c>
      <c r="AA1388" t="str">
        <f>_xlfn.XLOOKUP(Table6[[#This Row],[Old Table.Column]],Cobra8.6[Table.Column],Cobra8.6[LENGTH],"",0,1)</f>
        <v/>
      </c>
    </row>
    <row r="1389" spans="1:27" hidden="1" x14ac:dyDescent="0.2">
      <c r="A1389" t="s">
        <v>450</v>
      </c>
      <c r="B1389" s="39" t="s">
        <v>1993</v>
      </c>
      <c r="C1389" s="39" t="s">
        <v>64</v>
      </c>
      <c r="D1389" s="39">
        <v>14</v>
      </c>
      <c r="E1389" t="s">
        <v>65</v>
      </c>
      <c r="F1389" t="str">
        <f>VLOOKUP($E1389,'Data Type Lookup'!$A$1:$C$21,2,FALSE)</f>
        <v>TIMESTAMP</v>
      </c>
      <c r="I1389" s="32" t="s">
        <v>32</v>
      </c>
      <c r="P1389" t="s">
        <v>1630</v>
      </c>
      <c r="Q1389" t="s">
        <v>67</v>
      </c>
      <c r="R1389" t="str">
        <f>VLOOKUP(E1389,'Data Type Lookup'!$A$1:$C$21,3,FALSE)</f>
        <v>java.time.Instant</v>
      </c>
      <c r="S1389">
        <v>2</v>
      </c>
      <c r="W1389" t="str">
        <f t="shared" si="54"/>
        <v>WST_LCK.CREATED_DATE</v>
      </c>
      <c r="X1389" t="str">
        <f>VLOOKUP(W1389,ColumnMapping[New Table.Column],1,)</f>
        <v>WST_LCK.CREATED_DATE</v>
      </c>
      <c r="Y1389" t="str">
        <f>_xlfn.XLOOKUP(Table6[[#This Row],[Table.Column]],ColumnMapping[Add Column Name],ColumnMapping[Old Table.Column],"",0,1)</f>
        <v/>
      </c>
      <c r="Z1389" t="str">
        <f>_xlfn.XLOOKUP(Table6[[#This Row],[Old Table.Column]],Cobra8.6[Table.Column],Cobra8.6[TYPE],"",0,1)</f>
        <v/>
      </c>
      <c r="AA1389" t="str">
        <f>_xlfn.XLOOKUP(Table6[[#This Row],[Old Table.Column]],Cobra8.6[Table.Column],Cobra8.6[LENGTH],"",0,1)</f>
        <v/>
      </c>
    </row>
    <row r="1390" spans="1:27" hidden="1" x14ac:dyDescent="0.2">
      <c r="A1390" t="s">
        <v>450</v>
      </c>
      <c r="B1390" s="39" t="s">
        <v>2004</v>
      </c>
      <c r="C1390" s="39" t="s">
        <v>2005</v>
      </c>
      <c r="D1390" s="39">
        <v>1</v>
      </c>
      <c r="E1390" s="39" t="s">
        <v>86</v>
      </c>
      <c r="F1390" s="39" t="s">
        <v>349</v>
      </c>
      <c r="G1390" s="39">
        <v>30</v>
      </c>
      <c r="H1390" s="39"/>
      <c r="I1390" s="47"/>
      <c r="J1390" s="47"/>
      <c r="K1390" s="47"/>
      <c r="L1390" s="47"/>
      <c r="M1390" s="39"/>
      <c r="N1390" s="39"/>
      <c r="O1390" s="39"/>
      <c r="P1390" s="39"/>
      <c r="Q1390" s="39" t="str">
        <f>IF(C1390="","",LOWER(LEFT(TRIM(C1390),FIND("_",TRIM(C1390)&amp;"_")-1))&amp;SUBSTITUTE(PROPER(SUBSTITUTE(MID(TRIM(C1390),FIND("_",TRIM(C1390)&amp;"_"),LEN(TRIM(C1390))),"_"," "))," ",""))</f>
        <v>tableType</v>
      </c>
      <c r="R1390" t="str">
        <f>VLOOKUP(E1390,'Data Type Lookup'!$A$1:$C$21,3,FALSE)</f>
        <v>String</v>
      </c>
      <c r="S1390" s="39"/>
      <c r="W1390" t="str">
        <f>_xlfn.CONCAT(B1390,".",C1390)</f>
        <v>WST_DCT.TABLE_TYPE</v>
      </c>
      <c r="X1390" t="str">
        <f>VLOOKUP(W1390,ColumnMapping[New Table.Column],1,)</f>
        <v>WST_DCT.TABLE_TYPE</v>
      </c>
      <c r="Y1390" t="str">
        <f>_xlfn.XLOOKUP(Table6[[#This Row],[Table.Column]],ColumnMapping[Add Column Name],ColumnMapping[Old Table.Column],"",0,1)</f>
        <v/>
      </c>
      <c r="Z1390" t="str">
        <f>_xlfn.XLOOKUP(Table6[[#This Row],[Old Table.Column]],Cobra8.6[Table.Column],Cobra8.6[TYPE],"",0,1)</f>
        <v/>
      </c>
      <c r="AA1390" t="str">
        <f>_xlfn.XLOOKUP(Table6[[#This Row],[Old Table.Column]],Cobra8.6[Table.Column],Cobra8.6[LENGTH],"",0,1)</f>
        <v/>
      </c>
    </row>
    <row r="1391" spans="1:27" hidden="1" x14ac:dyDescent="0.2">
      <c r="A1391" t="s">
        <v>450</v>
      </c>
      <c r="B1391" s="39" t="s">
        <v>2004</v>
      </c>
      <c r="C1391" s="39" t="s">
        <v>2006</v>
      </c>
      <c r="D1391" s="39">
        <v>2</v>
      </c>
      <c r="E1391" s="39" t="s">
        <v>86</v>
      </c>
      <c r="F1391" s="39" t="s">
        <v>349</v>
      </c>
      <c r="G1391" s="39">
        <v>30</v>
      </c>
      <c r="H1391" s="39"/>
      <c r="I1391" s="47"/>
      <c r="J1391" s="47"/>
      <c r="K1391" s="47"/>
      <c r="L1391" s="47"/>
      <c r="M1391" s="39"/>
      <c r="N1391" s="39"/>
      <c r="O1391" s="39"/>
      <c r="P1391" s="39"/>
      <c r="Q1391" s="39" t="str">
        <f t="shared" ref="Q1391:Q1403" si="56">IF(C1391="","",LOWER(LEFT(TRIM(C1391),FIND("_",TRIM(C1391)&amp;"_")-1))&amp;SUBSTITUTE(PROPER(SUBSTITUTE(MID(TRIM(C1391),FIND("_",TRIM(C1391)&amp;"_"),LEN(TRIM(C1391))),"_"," "))," ",""))</f>
        <v>fldName</v>
      </c>
      <c r="R1391" t="str">
        <f>VLOOKUP(E1391,'Data Type Lookup'!$A$1:$C$21,3,FALSE)</f>
        <v>String</v>
      </c>
      <c r="S1391" s="39"/>
      <c r="W1391" t="str">
        <f t="shared" ref="W1391:W1409" si="57">_xlfn.CONCAT(B1391,".",C1391)</f>
        <v>WST_DCT.FLD_NAME</v>
      </c>
      <c r="X1391" t="str">
        <f>VLOOKUP(W1391,ColumnMapping[New Table.Column],1,)</f>
        <v>WST_DCT.FLD_NAME</v>
      </c>
      <c r="Y1391" t="str">
        <f>_xlfn.XLOOKUP(Table6[[#This Row],[Table.Column]],ColumnMapping[Add Column Name],ColumnMapping[Old Table.Column],"",0,1)</f>
        <v/>
      </c>
      <c r="Z1391" t="str">
        <f>_xlfn.XLOOKUP(Table6[[#This Row],[Old Table.Column]],Cobra8.6[Table.Column],Cobra8.6[TYPE],"",0,1)</f>
        <v/>
      </c>
      <c r="AA1391" t="str">
        <f>_xlfn.XLOOKUP(Table6[[#This Row],[Old Table.Column]],Cobra8.6[Table.Column],Cobra8.6[LENGTH],"",0,1)</f>
        <v/>
      </c>
    </row>
    <row r="1392" spans="1:27" hidden="1" x14ac:dyDescent="0.2">
      <c r="A1392" t="s">
        <v>450</v>
      </c>
      <c r="B1392" s="39" t="s">
        <v>2004</v>
      </c>
      <c r="C1392" s="39" t="s">
        <v>258</v>
      </c>
      <c r="D1392" s="39">
        <v>3</v>
      </c>
      <c r="E1392" s="39" t="s">
        <v>86</v>
      </c>
      <c r="F1392" s="39" t="s">
        <v>349</v>
      </c>
      <c r="G1392" s="39">
        <v>4</v>
      </c>
      <c r="H1392" s="39"/>
      <c r="I1392" s="47"/>
      <c r="J1392" s="47"/>
      <c r="K1392" s="47"/>
      <c r="L1392" s="47"/>
      <c r="M1392" s="39"/>
      <c r="N1392" s="39"/>
      <c r="O1392" s="39"/>
      <c r="P1392" s="39"/>
      <c r="Q1392" s="39" t="str">
        <f t="shared" si="56"/>
        <v>type</v>
      </c>
      <c r="R1392" t="str">
        <f>VLOOKUP(E1392,'Data Type Lookup'!$A$1:$C$21,3,FALSE)</f>
        <v>String</v>
      </c>
      <c r="S1392" s="39"/>
      <c r="W1392" t="str">
        <f t="shared" si="57"/>
        <v>WST_DCT.TYPE</v>
      </c>
      <c r="X1392" t="str">
        <f>VLOOKUP(W1392,ColumnMapping[New Table.Column],1,)</f>
        <v>WST_DCT.TYPE</v>
      </c>
      <c r="Y1392" t="str">
        <f>_xlfn.XLOOKUP(Table6[[#This Row],[Table.Column]],ColumnMapping[Add Column Name],ColumnMapping[Old Table.Column],"",0,1)</f>
        <v/>
      </c>
      <c r="Z1392" t="str">
        <f>_xlfn.XLOOKUP(Table6[[#This Row],[Old Table.Column]],Cobra8.6[Table.Column],Cobra8.6[TYPE],"",0,1)</f>
        <v/>
      </c>
      <c r="AA1392" t="str">
        <f>_xlfn.XLOOKUP(Table6[[#This Row],[Old Table.Column]],Cobra8.6[Table.Column],Cobra8.6[LENGTH],"",0,1)</f>
        <v/>
      </c>
    </row>
    <row r="1393" spans="1:27" hidden="1" x14ac:dyDescent="0.2">
      <c r="A1393" t="s">
        <v>450</v>
      </c>
      <c r="B1393" s="39" t="s">
        <v>2004</v>
      </c>
      <c r="C1393" s="39" t="s">
        <v>2007</v>
      </c>
      <c r="D1393" s="39">
        <v>4</v>
      </c>
      <c r="E1393" s="39" t="s">
        <v>36</v>
      </c>
      <c r="F1393" s="39" t="s">
        <v>768</v>
      </c>
      <c r="G1393" s="39"/>
      <c r="H1393" s="39"/>
      <c r="I1393" s="47"/>
      <c r="J1393" s="47">
        <v>0</v>
      </c>
      <c r="K1393" s="47"/>
      <c r="L1393" s="47"/>
      <c r="M1393" s="39"/>
      <c r="N1393" s="39"/>
      <c r="O1393" s="39"/>
      <c r="P1393" s="39"/>
      <c r="Q1393" s="39" t="str">
        <f t="shared" si="56"/>
        <v>length</v>
      </c>
      <c r="R1393" t="str">
        <f>VLOOKUP(E1393,'Data Type Lookup'!$A$1:$C$21,3,FALSE)</f>
        <v>Long</v>
      </c>
      <c r="S1393" s="39"/>
      <c r="W1393" t="str">
        <f t="shared" si="57"/>
        <v>WST_DCT.LENGTH</v>
      </c>
      <c r="X1393" t="str">
        <f>VLOOKUP(W1393,ColumnMapping[New Table.Column],1,)</f>
        <v>WST_DCT.LENGTH</v>
      </c>
      <c r="Y1393" t="str">
        <f>_xlfn.XLOOKUP(Table6[[#This Row],[Table.Column]],ColumnMapping[Add Column Name],ColumnMapping[Old Table.Column],"",0,1)</f>
        <v/>
      </c>
      <c r="Z1393" t="str">
        <f>_xlfn.XLOOKUP(Table6[[#This Row],[Old Table.Column]],Cobra8.6[Table.Column],Cobra8.6[TYPE],"",0,1)</f>
        <v/>
      </c>
      <c r="AA1393" t="str">
        <f>_xlfn.XLOOKUP(Table6[[#This Row],[Old Table.Column]],Cobra8.6[Table.Column],Cobra8.6[LENGTH],"",0,1)</f>
        <v/>
      </c>
    </row>
    <row r="1394" spans="1:27" hidden="1" x14ac:dyDescent="0.2">
      <c r="A1394" t="s">
        <v>450</v>
      </c>
      <c r="B1394" s="39" t="s">
        <v>2004</v>
      </c>
      <c r="C1394" s="39" t="s">
        <v>7</v>
      </c>
      <c r="D1394" s="39">
        <v>5</v>
      </c>
      <c r="E1394" s="39" t="s">
        <v>36</v>
      </c>
      <c r="F1394" s="39" t="s">
        <v>768</v>
      </c>
      <c r="G1394" s="39"/>
      <c r="H1394" s="39"/>
      <c r="I1394" s="47"/>
      <c r="J1394" s="47">
        <v>1</v>
      </c>
      <c r="K1394" s="47"/>
      <c r="L1394" s="47"/>
      <c r="M1394" s="39"/>
      <c r="N1394" s="39"/>
      <c r="O1394" s="39"/>
      <c r="P1394" s="39"/>
      <c r="Q1394" s="39" t="str">
        <f t="shared" si="56"/>
        <v>scale</v>
      </c>
      <c r="R1394" t="str">
        <f>VLOOKUP(E1394,'Data Type Lookup'!$A$1:$C$21,3,FALSE)</f>
        <v>Long</v>
      </c>
      <c r="S1394" s="39"/>
      <c r="W1394" t="str">
        <f t="shared" si="57"/>
        <v>WST_DCT.SCALE</v>
      </c>
      <c r="X1394" t="str">
        <f>VLOOKUP(W1394,ColumnMapping[New Table.Column],1,)</f>
        <v>WST_DCT.SCALE</v>
      </c>
      <c r="Y1394" t="str">
        <f>_xlfn.XLOOKUP(Table6[[#This Row],[Table.Column]],ColumnMapping[Add Column Name],ColumnMapping[Old Table.Column],"",0,1)</f>
        <v/>
      </c>
      <c r="Z1394" t="str">
        <f>_xlfn.XLOOKUP(Table6[[#This Row],[Old Table.Column]],Cobra8.6[Table.Column],Cobra8.6[TYPE],"",0,1)</f>
        <v/>
      </c>
      <c r="AA1394" t="str">
        <f>_xlfn.XLOOKUP(Table6[[#This Row],[Old Table.Column]],Cobra8.6[Table.Column],Cobra8.6[LENGTH],"",0,1)</f>
        <v/>
      </c>
    </row>
    <row r="1395" spans="1:27" hidden="1" x14ac:dyDescent="0.2">
      <c r="A1395" t="s">
        <v>450</v>
      </c>
      <c r="B1395" s="39" t="s">
        <v>2004</v>
      </c>
      <c r="C1395" s="39" t="s">
        <v>2008</v>
      </c>
      <c r="D1395" s="39">
        <v>6</v>
      </c>
      <c r="E1395" s="39" t="s">
        <v>36</v>
      </c>
      <c r="F1395" s="39" t="s">
        <v>768</v>
      </c>
      <c r="G1395" s="39"/>
      <c r="H1395" s="39"/>
      <c r="I1395" s="47"/>
      <c r="J1395" s="47">
        <v>2</v>
      </c>
      <c r="K1395" s="47"/>
      <c r="L1395" s="47"/>
      <c r="M1395" s="39"/>
      <c r="N1395" s="39"/>
      <c r="O1395" s="39"/>
      <c r="P1395" s="39"/>
      <c r="Q1395" s="39" t="str">
        <f t="shared" si="56"/>
        <v>colFlags</v>
      </c>
      <c r="R1395" t="str">
        <f>VLOOKUP(E1395,'Data Type Lookup'!$A$1:$C$21,3,FALSE)</f>
        <v>Long</v>
      </c>
      <c r="S1395" s="39"/>
      <c r="W1395" t="str">
        <f t="shared" si="57"/>
        <v>WST_DCT.COL_FLAGS</v>
      </c>
      <c r="X1395" t="str">
        <f>VLOOKUP(W1395,ColumnMapping[New Table.Column],1,)</f>
        <v>WST_DCT.COL_FLAGS</v>
      </c>
      <c r="Y1395" t="str">
        <f>_xlfn.XLOOKUP(Table6[[#This Row],[Table.Column]],ColumnMapping[Add Column Name],ColumnMapping[Old Table.Column],"",0,1)</f>
        <v/>
      </c>
      <c r="Z1395" t="str">
        <f>_xlfn.XLOOKUP(Table6[[#This Row],[Old Table.Column]],Cobra8.6[Table.Column],Cobra8.6[TYPE],"",0,1)</f>
        <v/>
      </c>
      <c r="AA1395" t="str">
        <f>_xlfn.XLOOKUP(Table6[[#This Row],[Old Table.Column]],Cobra8.6[Table.Column],Cobra8.6[LENGTH],"",0,1)</f>
        <v/>
      </c>
    </row>
    <row r="1396" spans="1:27" hidden="1" x14ac:dyDescent="0.2">
      <c r="A1396" t="s">
        <v>450</v>
      </c>
      <c r="B1396" s="39" t="s">
        <v>2004</v>
      </c>
      <c r="C1396" s="39" t="s">
        <v>2009</v>
      </c>
      <c r="D1396" s="39">
        <v>7</v>
      </c>
      <c r="E1396" s="39" t="s">
        <v>86</v>
      </c>
      <c r="F1396" s="39" t="s">
        <v>349</v>
      </c>
      <c r="G1396" s="39">
        <v>30</v>
      </c>
      <c r="H1396" s="39"/>
      <c r="I1396" s="47"/>
      <c r="J1396" s="47"/>
      <c r="K1396" s="47"/>
      <c r="L1396" s="47"/>
      <c r="M1396" s="39"/>
      <c r="N1396" s="39"/>
      <c r="O1396" s="39"/>
      <c r="P1396" s="39"/>
      <c r="Q1396" s="39" t="str">
        <f t="shared" si="56"/>
        <v>sysName</v>
      </c>
      <c r="R1396" t="str">
        <f>VLOOKUP(E1396,'Data Type Lookup'!$A$1:$C$21,3,FALSE)</f>
        <v>String</v>
      </c>
      <c r="S1396" s="39"/>
      <c r="W1396" t="str">
        <f t="shared" si="57"/>
        <v>WST_DCT.SYS_NAME</v>
      </c>
      <c r="X1396" t="str">
        <f>VLOOKUP(W1396,ColumnMapping[New Table.Column],1,)</f>
        <v>WST_DCT.SYS_NAME</v>
      </c>
      <c r="Y1396" t="str">
        <f>_xlfn.XLOOKUP(Table6[[#This Row],[Table.Column]],ColumnMapping[Add Column Name],ColumnMapping[Old Table.Column],"",0,1)</f>
        <v/>
      </c>
      <c r="Z1396" t="str">
        <f>_xlfn.XLOOKUP(Table6[[#This Row],[Old Table.Column]],Cobra8.6[Table.Column],Cobra8.6[TYPE],"",0,1)</f>
        <v/>
      </c>
      <c r="AA1396" t="str">
        <f>_xlfn.XLOOKUP(Table6[[#This Row],[Old Table.Column]],Cobra8.6[Table.Column],Cobra8.6[LENGTH],"",0,1)</f>
        <v/>
      </c>
    </row>
    <row r="1397" spans="1:27" hidden="1" x14ac:dyDescent="0.2">
      <c r="A1397" t="s">
        <v>450</v>
      </c>
      <c r="B1397" s="39" t="s">
        <v>2004</v>
      </c>
      <c r="C1397" s="39" t="s">
        <v>2010</v>
      </c>
      <c r="D1397" s="39">
        <v>8</v>
      </c>
      <c r="E1397" s="39" t="s">
        <v>86</v>
      </c>
      <c r="F1397" s="39" t="s">
        <v>349</v>
      </c>
      <c r="G1397" s="39">
        <v>60</v>
      </c>
      <c r="H1397" s="39"/>
      <c r="I1397" s="47"/>
      <c r="J1397" s="47"/>
      <c r="K1397" s="47"/>
      <c r="L1397" s="47"/>
      <c r="M1397" s="39"/>
      <c r="N1397" s="39"/>
      <c r="O1397" s="39"/>
      <c r="P1397" s="39"/>
      <c r="Q1397" s="39" t="str">
        <f t="shared" si="56"/>
        <v>usrName</v>
      </c>
      <c r="R1397" t="str">
        <f>VLOOKUP(E1397,'Data Type Lookup'!$A$1:$C$21,3,FALSE)</f>
        <v>String</v>
      </c>
      <c r="S1397" s="39"/>
      <c r="W1397" t="str">
        <f t="shared" si="57"/>
        <v>WST_DCT.USR_NAME</v>
      </c>
      <c r="X1397" t="str">
        <f>VLOOKUP(W1397,ColumnMapping[New Table.Column],1,)</f>
        <v>WST_DCT.USR_NAME</v>
      </c>
      <c r="Y1397" t="str">
        <f>_xlfn.XLOOKUP(Table6[[#This Row],[Table.Column]],ColumnMapping[Add Column Name],ColumnMapping[Old Table.Column],"",0,1)</f>
        <v/>
      </c>
      <c r="Z1397" t="str">
        <f>_xlfn.XLOOKUP(Table6[[#This Row],[Old Table.Column]],Cobra8.6[Table.Column],Cobra8.6[TYPE],"",0,1)</f>
        <v/>
      </c>
      <c r="AA1397" t="str">
        <f>_xlfn.XLOOKUP(Table6[[#This Row],[Old Table.Column]],Cobra8.6[Table.Column],Cobra8.6[LENGTH],"",0,1)</f>
        <v/>
      </c>
    </row>
    <row r="1398" spans="1:27" hidden="1" x14ac:dyDescent="0.2">
      <c r="A1398" t="s">
        <v>450</v>
      </c>
      <c r="B1398" s="39" t="s">
        <v>2004</v>
      </c>
      <c r="C1398" s="39" t="s">
        <v>2011</v>
      </c>
      <c r="D1398" s="39">
        <v>9</v>
      </c>
      <c r="E1398" s="39" t="s">
        <v>36</v>
      </c>
      <c r="F1398" s="39" t="s">
        <v>768</v>
      </c>
      <c r="G1398" s="39"/>
      <c r="H1398" s="39"/>
      <c r="I1398" s="47"/>
      <c r="J1398" s="47">
        <v>0</v>
      </c>
      <c r="K1398" s="47"/>
      <c r="L1398" s="47"/>
      <c r="M1398" s="39"/>
      <c r="N1398" s="39"/>
      <c r="O1398" s="39"/>
      <c r="P1398" s="39"/>
      <c r="Q1398" s="39" t="str">
        <f t="shared" si="56"/>
        <v>stringId</v>
      </c>
      <c r="R1398" t="str">
        <f>VLOOKUP(E1398,'Data Type Lookup'!$A$1:$C$21,3,FALSE)</f>
        <v>Long</v>
      </c>
      <c r="S1398" s="39"/>
      <c r="W1398" t="str">
        <f t="shared" si="57"/>
        <v>WST_DCT.STRING_ID</v>
      </c>
      <c r="X1398" t="str">
        <f>VLOOKUP(W1398,ColumnMapping[New Table.Column],1,)</f>
        <v>WST_DCT.STRING_ID</v>
      </c>
      <c r="Y1398" t="str">
        <f>_xlfn.XLOOKUP(Table6[[#This Row],[Table.Column]],ColumnMapping[Add Column Name],ColumnMapping[Old Table.Column],"",0,1)</f>
        <v/>
      </c>
      <c r="Z1398" t="str">
        <f>_xlfn.XLOOKUP(Table6[[#This Row],[Old Table.Column]],Cobra8.6[Table.Column],Cobra8.6[TYPE],"",0,1)</f>
        <v/>
      </c>
      <c r="AA1398" t="str">
        <f>_xlfn.XLOOKUP(Table6[[#This Row],[Old Table.Column]],Cobra8.6[Table.Column],Cobra8.6[LENGTH],"",0,1)</f>
        <v/>
      </c>
    </row>
    <row r="1399" spans="1:27" hidden="1" x14ac:dyDescent="0.2">
      <c r="A1399" t="s">
        <v>450</v>
      </c>
      <c r="B1399" s="39" t="s">
        <v>2004</v>
      </c>
      <c r="C1399" s="39" t="s">
        <v>12</v>
      </c>
      <c r="D1399" s="39">
        <v>10</v>
      </c>
      <c r="E1399" s="39" t="s">
        <v>86</v>
      </c>
      <c r="F1399" s="39" t="s">
        <v>349</v>
      </c>
      <c r="G1399" s="39">
        <v>30</v>
      </c>
      <c r="H1399" s="39"/>
      <c r="I1399" s="47"/>
      <c r="J1399" s="47"/>
      <c r="K1399" s="47"/>
      <c r="L1399" s="47"/>
      <c r="M1399" s="39"/>
      <c r="N1399" s="39"/>
      <c r="O1399" s="39"/>
      <c r="P1399" s="39"/>
      <c r="Q1399" s="39" t="str">
        <f t="shared" si="56"/>
        <v>fkeyTable</v>
      </c>
      <c r="R1399" t="str">
        <f>VLOOKUP(E1399,'Data Type Lookup'!$A$1:$C$21,3,FALSE)</f>
        <v>String</v>
      </c>
      <c r="S1399" s="39"/>
      <c r="W1399" t="str">
        <f t="shared" si="57"/>
        <v>WST_DCT.FKEY_TABLE</v>
      </c>
      <c r="X1399" t="str">
        <f>VLOOKUP(W1399,ColumnMapping[New Table.Column],1,)</f>
        <v>WST_DCT.FKEY_TABLE</v>
      </c>
      <c r="Y1399" t="str">
        <f>_xlfn.XLOOKUP(Table6[[#This Row],[Table.Column]],ColumnMapping[Add Column Name],ColumnMapping[Old Table.Column],"",0,1)</f>
        <v/>
      </c>
      <c r="Z1399" t="str">
        <f>_xlfn.XLOOKUP(Table6[[#This Row],[Old Table.Column]],Cobra8.6[Table.Column],Cobra8.6[TYPE],"",0,1)</f>
        <v/>
      </c>
      <c r="AA1399" t="str">
        <f>_xlfn.XLOOKUP(Table6[[#This Row],[Old Table.Column]],Cobra8.6[Table.Column],Cobra8.6[LENGTH],"",0,1)</f>
        <v/>
      </c>
    </row>
    <row r="1400" spans="1:27" hidden="1" x14ac:dyDescent="0.2">
      <c r="A1400" t="s">
        <v>450</v>
      </c>
      <c r="B1400" s="39" t="s">
        <v>2004</v>
      </c>
      <c r="C1400" s="39" t="s">
        <v>2012</v>
      </c>
      <c r="D1400" s="39">
        <v>11</v>
      </c>
      <c r="E1400" s="39" t="s">
        <v>86</v>
      </c>
      <c r="F1400" s="39" t="s">
        <v>349</v>
      </c>
      <c r="G1400" s="39">
        <v>30</v>
      </c>
      <c r="H1400" s="39"/>
      <c r="I1400" s="47"/>
      <c r="J1400" s="47"/>
      <c r="K1400" s="47"/>
      <c r="L1400" s="47"/>
      <c r="M1400" s="39"/>
      <c r="N1400" s="39"/>
      <c r="O1400" s="39"/>
      <c r="P1400" s="39"/>
      <c r="Q1400" s="39" t="str">
        <f t="shared" si="56"/>
        <v>fkeyFldName</v>
      </c>
      <c r="R1400" t="str">
        <f>VLOOKUP(E1400,'Data Type Lookup'!$A$1:$C$21,3,FALSE)</f>
        <v>String</v>
      </c>
      <c r="S1400" s="39"/>
      <c r="W1400" t="str">
        <f t="shared" si="57"/>
        <v>WST_DCT.FKEY_FLD_NAME</v>
      </c>
      <c r="X1400" t="str">
        <f>VLOOKUP(W1400,ColumnMapping[New Table.Column],1,)</f>
        <v>WST_DCT.FKEY_FLD_NAME</v>
      </c>
      <c r="Y1400" t="str">
        <f>_xlfn.XLOOKUP(Table6[[#This Row],[Table.Column]],ColumnMapping[Add Column Name],ColumnMapping[Old Table.Column],"",0,1)</f>
        <v/>
      </c>
      <c r="Z1400" t="str">
        <f>_xlfn.XLOOKUP(Table6[[#This Row],[Old Table.Column]],Cobra8.6[Table.Column],Cobra8.6[TYPE],"",0,1)</f>
        <v/>
      </c>
      <c r="AA1400" t="str">
        <f>_xlfn.XLOOKUP(Table6[[#This Row],[Old Table.Column]],Cobra8.6[Table.Column],Cobra8.6[LENGTH],"",0,1)</f>
        <v/>
      </c>
    </row>
    <row r="1401" spans="1:27" hidden="1" x14ac:dyDescent="0.2">
      <c r="A1401" t="s">
        <v>450</v>
      </c>
      <c r="B1401" s="39" t="s">
        <v>2004</v>
      </c>
      <c r="C1401" s="39" t="s">
        <v>2013</v>
      </c>
      <c r="D1401" s="39">
        <v>12</v>
      </c>
      <c r="E1401" s="39" t="s">
        <v>36</v>
      </c>
      <c r="F1401" s="39" t="s">
        <v>768</v>
      </c>
      <c r="G1401" s="39"/>
      <c r="H1401" s="39"/>
      <c r="I1401" s="47"/>
      <c r="J1401" s="47">
        <v>0</v>
      </c>
      <c r="K1401" s="47"/>
      <c r="L1401" s="47"/>
      <c r="M1401" s="39"/>
      <c r="N1401" s="39"/>
      <c r="O1401" s="39"/>
      <c r="P1401" s="39"/>
      <c r="Q1401" s="39" t="str">
        <f t="shared" si="56"/>
        <v>fkeyRequired</v>
      </c>
      <c r="R1401" t="str">
        <f>VLOOKUP(E1401,'Data Type Lookup'!$A$1:$C$21,3,FALSE)</f>
        <v>Long</v>
      </c>
      <c r="S1401" s="39"/>
      <c r="W1401" t="str">
        <f t="shared" si="57"/>
        <v>WST_DCT.FKEY_REQUIRED</v>
      </c>
      <c r="X1401" t="str">
        <f>VLOOKUP(W1401,ColumnMapping[New Table.Column],1,)</f>
        <v>WST_DCT.FKEY_REQUIRED</v>
      </c>
      <c r="Y1401" t="str">
        <f>_xlfn.XLOOKUP(Table6[[#This Row],[Table.Column]],ColumnMapping[Add Column Name],ColumnMapping[Old Table.Column],"",0,1)</f>
        <v/>
      </c>
      <c r="Z1401" t="str">
        <f>_xlfn.XLOOKUP(Table6[[#This Row],[Old Table.Column]],Cobra8.6[Table.Column],Cobra8.6[TYPE],"",0,1)</f>
        <v/>
      </c>
      <c r="AA1401" t="str">
        <f>_xlfn.XLOOKUP(Table6[[#This Row],[Old Table.Column]],Cobra8.6[Table.Column],Cobra8.6[LENGTH],"",0,1)</f>
        <v/>
      </c>
    </row>
    <row r="1402" spans="1:27" hidden="1" x14ac:dyDescent="0.2">
      <c r="A1402" t="s">
        <v>450</v>
      </c>
      <c r="B1402" s="39" t="s">
        <v>2004</v>
      </c>
      <c r="C1402" s="39" t="s">
        <v>2014</v>
      </c>
      <c r="D1402" s="39">
        <v>13</v>
      </c>
      <c r="E1402" s="39" t="s">
        <v>36</v>
      </c>
      <c r="F1402" s="39" t="s">
        <v>768</v>
      </c>
      <c r="G1402" s="39"/>
      <c r="H1402" s="39"/>
      <c r="I1402" s="47"/>
      <c r="J1402" s="47">
        <v>0</v>
      </c>
      <c r="K1402" s="47"/>
      <c r="L1402" s="47"/>
      <c r="M1402" s="39"/>
      <c r="N1402" s="39"/>
      <c r="O1402" s="39"/>
      <c r="P1402" s="39"/>
      <c r="Q1402" s="39" t="str">
        <f t="shared" si="56"/>
        <v>fkeyVirtual</v>
      </c>
      <c r="R1402" t="str">
        <f>VLOOKUP(E1402,'Data Type Lookup'!$A$1:$C$21,3,FALSE)</f>
        <v>Long</v>
      </c>
      <c r="S1402" s="39"/>
      <c r="W1402" t="str">
        <f t="shared" si="57"/>
        <v>WST_DCT.FKEY_VIRTUAL</v>
      </c>
      <c r="X1402" t="str">
        <f>VLOOKUP(W1402,ColumnMapping[New Table.Column],1,)</f>
        <v>WST_DCT.FKEY_VIRTUAL</v>
      </c>
      <c r="Y1402" t="str">
        <f>_xlfn.XLOOKUP(Table6[[#This Row],[Table.Column]],ColumnMapping[Add Column Name],ColumnMapping[Old Table.Column],"",0,1)</f>
        <v/>
      </c>
      <c r="Z1402" t="str">
        <f>_xlfn.XLOOKUP(Table6[[#This Row],[Old Table.Column]],Cobra8.6[Table.Column],Cobra8.6[TYPE],"",0,1)</f>
        <v/>
      </c>
      <c r="AA1402" t="str">
        <f>_xlfn.XLOOKUP(Table6[[#This Row],[Old Table.Column]],Cobra8.6[Table.Column],Cobra8.6[LENGTH],"",0,1)</f>
        <v/>
      </c>
    </row>
    <row r="1403" spans="1:27" hidden="1" x14ac:dyDescent="0.2">
      <c r="A1403" t="s">
        <v>450</v>
      </c>
      <c r="B1403" s="39" t="s">
        <v>2004</v>
      </c>
      <c r="C1403" s="39" t="s">
        <v>2015</v>
      </c>
      <c r="D1403" s="39">
        <v>14</v>
      </c>
      <c r="E1403" s="39" t="s">
        <v>86</v>
      </c>
      <c r="F1403" s="39" t="s">
        <v>349</v>
      </c>
      <c r="G1403" s="39">
        <v>50</v>
      </c>
      <c r="H1403" s="39"/>
      <c r="I1403" s="47"/>
      <c r="J1403" s="47"/>
      <c r="K1403" s="47"/>
      <c r="L1403" s="47"/>
      <c r="M1403" s="39"/>
      <c r="N1403" s="39"/>
      <c r="O1403" s="39"/>
      <c r="P1403" s="39"/>
      <c r="Q1403" s="39" t="str">
        <f t="shared" si="56"/>
        <v>delForeignAction</v>
      </c>
      <c r="R1403" t="str">
        <f>VLOOKUP(E1403,'Data Type Lookup'!$A$1:$C$21,3,FALSE)</f>
        <v>String</v>
      </c>
      <c r="S1403" s="39"/>
      <c r="W1403" t="str">
        <f t="shared" si="57"/>
        <v>WST_DCT.DEL_FOREIGN_ACTION</v>
      </c>
      <c r="X1403" t="str">
        <f>VLOOKUP(W1403,ColumnMapping[New Table.Column],1,)</f>
        <v>WST_DCT.DEL_FOREIGN_ACTION</v>
      </c>
      <c r="Y1403" t="str">
        <f>_xlfn.XLOOKUP(Table6[[#This Row],[Table.Column]],ColumnMapping[Add Column Name],ColumnMapping[Old Table.Column],"",0,1)</f>
        <v/>
      </c>
      <c r="Z1403" t="str">
        <f>_xlfn.XLOOKUP(Table6[[#This Row],[Old Table.Column]],Cobra8.6[Table.Column],Cobra8.6[TYPE],"",0,1)</f>
        <v/>
      </c>
      <c r="AA1403" t="str">
        <f>_xlfn.XLOOKUP(Table6[[#This Row],[Old Table.Column]],Cobra8.6[Table.Column],Cobra8.6[LENGTH],"",0,1)</f>
        <v/>
      </c>
    </row>
    <row r="1404" spans="1:27" hidden="1" x14ac:dyDescent="0.2">
      <c r="A1404" t="s">
        <v>450</v>
      </c>
      <c r="B1404" s="39" t="s">
        <v>2004</v>
      </c>
      <c r="C1404" s="39" t="s">
        <v>30</v>
      </c>
      <c r="D1404" s="39">
        <v>15</v>
      </c>
      <c r="E1404" t="s">
        <v>31</v>
      </c>
      <c r="F1404" t="str">
        <f>VLOOKUP($E1404,'Data Type Lookup'!$A$1:$C$21,2,FALSE)</f>
        <v>RAW(16)</v>
      </c>
      <c r="I1404" s="32" t="s">
        <v>32</v>
      </c>
      <c r="K1404" s="32" t="s">
        <v>32</v>
      </c>
      <c r="P1404" t="s">
        <v>1789</v>
      </c>
      <c r="Q1404" t="s">
        <v>34</v>
      </c>
      <c r="R1404" t="str">
        <f>VLOOKUP(E1404,'Data Type Lookup'!$A$1:$C$21,3,FALSE)</f>
        <v>java.util.UUID</v>
      </c>
      <c r="S1404">
        <v>3</v>
      </c>
      <c r="W1404" t="str">
        <f t="shared" si="57"/>
        <v>WST_DCT.ROW_UID</v>
      </c>
      <c r="X1404" t="str">
        <f>VLOOKUP(W1404,ColumnMapping[New Table.Column],1,)</f>
        <v>WST_DCT.ROW_UID</v>
      </c>
      <c r="Y1404" t="str">
        <f>_xlfn.XLOOKUP(Table6[[#This Row],[Table.Column]],ColumnMapping[Add Column Name],ColumnMapping[Old Table.Column],"",0,1)</f>
        <v/>
      </c>
      <c r="Z1404" t="str">
        <f>_xlfn.XLOOKUP(Table6[[#This Row],[Old Table.Column]],Cobra8.6[Table.Column],Cobra8.6[TYPE],"",0,1)</f>
        <v/>
      </c>
      <c r="AA1404" t="str">
        <f>_xlfn.XLOOKUP(Table6[[#This Row],[Old Table.Column]],Cobra8.6[Table.Column],Cobra8.6[LENGTH],"",0,1)</f>
        <v/>
      </c>
    </row>
    <row r="1405" spans="1:27" hidden="1" x14ac:dyDescent="0.2">
      <c r="A1405" t="s">
        <v>450</v>
      </c>
      <c r="B1405" s="39" t="s">
        <v>2004</v>
      </c>
      <c r="C1405" s="39" t="s">
        <v>35</v>
      </c>
      <c r="D1405" s="39">
        <v>16</v>
      </c>
      <c r="E1405" t="s">
        <v>36</v>
      </c>
      <c r="F1405" t="str">
        <f>VLOOKUP($E1405,'Data Type Lookup'!$A$1:$C$21,2,FALSE)</f>
        <v>NUMBER(19,0)</v>
      </c>
      <c r="I1405" s="32" t="s">
        <v>32</v>
      </c>
      <c r="J1405" s="32">
        <v>0</v>
      </c>
      <c r="P1405" t="s">
        <v>37</v>
      </c>
      <c r="Q1405" t="s">
        <v>38</v>
      </c>
      <c r="R1405" t="str">
        <f>VLOOKUP(E1405,'Data Type Lookup'!$A$1:$C$21,3,FALSE)</f>
        <v>Long</v>
      </c>
      <c r="S1405">
        <v>3</v>
      </c>
      <c r="W1405" t="str">
        <f t="shared" si="57"/>
        <v>WST_DCT.SEQUENCE</v>
      </c>
      <c r="X1405" t="str">
        <f>VLOOKUP(W1405,ColumnMapping[New Table.Column],1,)</f>
        <v>WST_DCT.SEQUENCE</v>
      </c>
      <c r="Y1405" t="str">
        <f>_xlfn.XLOOKUP(Table6[[#This Row],[Table.Column]],ColumnMapping[Add Column Name],ColumnMapping[Old Table.Column],"",0,1)</f>
        <v/>
      </c>
      <c r="Z1405" t="str">
        <f>_xlfn.XLOOKUP(Table6[[#This Row],[Old Table.Column]],Cobra8.6[Table.Column],Cobra8.6[TYPE],"",0,1)</f>
        <v/>
      </c>
      <c r="AA1405" t="str">
        <f>_xlfn.XLOOKUP(Table6[[#This Row],[Old Table.Column]],Cobra8.6[Table.Column],Cobra8.6[LENGTH],"",0,1)</f>
        <v/>
      </c>
    </row>
    <row r="1406" spans="1:27" hidden="1" x14ac:dyDescent="0.2">
      <c r="A1406" t="s">
        <v>450</v>
      </c>
      <c r="B1406" s="39" t="s">
        <v>2004</v>
      </c>
      <c r="C1406" s="39" t="s">
        <v>61</v>
      </c>
      <c r="D1406" s="39">
        <v>17</v>
      </c>
      <c r="E1406" t="s">
        <v>31</v>
      </c>
      <c r="F1406" t="str">
        <f>VLOOKUP($E1406,'Data Type Lookup'!$A$1:$C$21,2,FALSE)</f>
        <v>RAW(16)</v>
      </c>
      <c r="I1406" s="32" t="s">
        <v>32</v>
      </c>
      <c r="P1406" t="s">
        <v>1629</v>
      </c>
      <c r="Q1406" t="s">
        <v>63</v>
      </c>
      <c r="R1406" t="str">
        <f>VLOOKUP(E1406,'Data Type Lookup'!$A$1:$C$21,3,FALSE)</f>
        <v>java.util.UUID</v>
      </c>
      <c r="S1406">
        <v>2</v>
      </c>
      <c r="W1406" t="str">
        <f t="shared" si="57"/>
        <v>WST_DCT.CREATED_BY_USER_UID</v>
      </c>
      <c r="X1406" t="str">
        <f>VLOOKUP(W1406,ColumnMapping[New Table.Column],1,)</f>
        <v>WST_DCT.CREATED_BY_USER_UID</v>
      </c>
      <c r="Y1406" t="str">
        <f>_xlfn.XLOOKUP(Table6[[#This Row],[Table.Column]],ColumnMapping[Add Column Name],ColumnMapping[Old Table.Column],"",0,1)</f>
        <v/>
      </c>
      <c r="Z1406" t="str">
        <f>_xlfn.XLOOKUP(Table6[[#This Row],[Old Table.Column]],Cobra8.6[Table.Column],Cobra8.6[TYPE],"",0,1)</f>
        <v/>
      </c>
      <c r="AA1406" t="str">
        <f>_xlfn.XLOOKUP(Table6[[#This Row],[Old Table.Column]],Cobra8.6[Table.Column],Cobra8.6[LENGTH],"",0,1)</f>
        <v/>
      </c>
    </row>
    <row r="1407" spans="1:27" hidden="1" x14ac:dyDescent="0.2">
      <c r="A1407" t="s">
        <v>450</v>
      </c>
      <c r="B1407" s="39" t="s">
        <v>2004</v>
      </c>
      <c r="C1407" s="39" t="s">
        <v>64</v>
      </c>
      <c r="D1407" s="39">
        <v>18</v>
      </c>
      <c r="E1407" t="s">
        <v>65</v>
      </c>
      <c r="F1407" t="str">
        <f>VLOOKUP($E1407,'Data Type Lookup'!$A$1:$C$21,2,FALSE)</f>
        <v>TIMESTAMP</v>
      </c>
      <c r="I1407" s="32" t="s">
        <v>32</v>
      </c>
      <c r="P1407" t="s">
        <v>1630</v>
      </c>
      <c r="Q1407" t="s">
        <v>67</v>
      </c>
      <c r="R1407" t="str">
        <f>VLOOKUP(E1407,'Data Type Lookup'!$A$1:$C$21,3,FALSE)</f>
        <v>java.time.Instant</v>
      </c>
      <c r="S1407">
        <v>2</v>
      </c>
      <c r="W1407" t="str">
        <f t="shared" si="57"/>
        <v>WST_DCT.CREATED_DATE</v>
      </c>
      <c r="X1407" t="str">
        <f>VLOOKUP(W1407,ColumnMapping[New Table.Column],1,)</f>
        <v>WST_DCT.CREATED_DATE</v>
      </c>
      <c r="Y1407" t="str">
        <f>_xlfn.XLOOKUP(Table6[[#This Row],[Table.Column]],ColumnMapping[Add Column Name],ColumnMapping[Old Table.Column],"",0,1)</f>
        <v/>
      </c>
      <c r="Z1407" t="str">
        <f>_xlfn.XLOOKUP(Table6[[#This Row],[Old Table.Column]],Cobra8.6[Table.Column],Cobra8.6[TYPE],"",0,1)</f>
        <v/>
      </c>
      <c r="AA1407" t="str">
        <f>_xlfn.XLOOKUP(Table6[[#This Row],[Old Table.Column]],Cobra8.6[Table.Column],Cobra8.6[LENGTH],"",0,1)</f>
        <v/>
      </c>
    </row>
    <row r="1408" spans="1:27" hidden="1" x14ac:dyDescent="0.2">
      <c r="A1408" t="s">
        <v>450</v>
      </c>
      <c r="B1408" s="39" t="s">
        <v>2004</v>
      </c>
      <c r="C1408" s="39" t="s">
        <v>68</v>
      </c>
      <c r="D1408" s="39">
        <v>19</v>
      </c>
      <c r="E1408" t="s">
        <v>31</v>
      </c>
      <c r="F1408" t="str">
        <f>VLOOKUP($E1408,'Data Type Lookup'!$A$1:$C$21,2,FALSE)</f>
        <v>RAW(16)</v>
      </c>
      <c r="I1408" s="32" t="s">
        <v>32</v>
      </c>
      <c r="P1408" t="s">
        <v>1632</v>
      </c>
      <c r="Q1408" t="s">
        <v>70</v>
      </c>
      <c r="R1408" t="str">
        <f>VLOOKUP(E1408,'Data Type Lookup'!$A$1:$C$21,3,FALSE)</f>
        <v>java.util.UUID</v>
      </c>
      <c r="S1408">
        <v>2</v>
      </c>
      <c r="W1408" t="str">
        <f t="shared" si="57"/>
        <v>WST_DCT.LAST_MODIFIED_BY_USER_UID</v>
      </c>
      <c r="X1408" t="str">
        <f>VLOOKUP(W1408,ColumnMapping[New Table.Column],1,)</f>
        <v>WST_DCT.LAST_MODIFIED_BY_USER_UID</v>
      </c>
      <c r="Y1408" t="str">
        <f>_xlfn.XLOOKUP(Table6[[#This Row],[Table.Column]],ColumnMapping[Add Column Name],ColumnMapping[Old Table.Column],"",0,1)</f>
        <v/>
      </c>
      <c r="Z1408" t="str">
        <f>_xlfn.XLOOKUP(Table6[[#This Row],[Old Table.Column]],Cobra8.6[Table.Column],Cobra8.6[TYPE],"",0,1)</f>
        <v/>
      </c>
      <c r="AA1408" t="str">
        <f>_xlfn.XLOOKUP(Table6[[#This Row],[Old Table.Column]],Cobra8.6[Table.Column],Cobra8.6[LENGTH],"",0,1)</f>
        <v/>
      </c>
    </row>
    <row r="1409" spans="1:27" hidden="1" x14ac:dyDescent="0.2">
      <c r="A1409" t="s">
        <v>450</v>
      </c>
      <c r="B1409" s="39" t="s">
        <v>2004</v>
      </c>
      <c r="C1409" s="39" t="s">
        <v>71</v>
      </c>
      <c r="D1409" s="39">
        <v>20</v>
      </c>
      <c r="E1409" t="s">
        <v>65</v>
      </c>
      <c r="F1409" t="str">
        <f>VLOOKUP($E1409,'Data Type Lookup'!$A$1:$C$21,2,FALSE)</f>
        <v>TIMESTAMP</v>
      </c>
      <c r="I1409" s="32" t="s">
        <v>32</v>
      </c>
      <c r="Q1409" t="s">
        <v>73</v>
      </c>
      <c r="R1409" t="str">
        <f>VLOOKUP(E1409,'Data Type Lookup'!$A$1:$C$21,3,FALSE)</f>
        <v>java.time.Instant</v>
      </c>
      <c r="S1409">
        <v>2</v>
      </c>
      <c r="W1409" t="str">
        <f t="shared" si="57"/>
        <v>WST_DCT.LAST_MODIFIED_DATE</v>
      </c>
      <c r="X1409" t="str">
        <f>VLOOKUP(W1409,ColumnMapping[New Table.Column],1,)</f>
        <v>WST_DCT.LAST_MODIFIED_DATE</v>
      </c>
      <c r="Y1409" t="str">
        <f>_xlfn.XLOOKUP(Table6[[#This Row],[Table.Column]],ColumnMapping[Add Column Name],ColumnMapping[Old Table.Column],"",0,1)</f>
        <v/>
      </c>
      <c r="Z1409" t="str">
        <f>_xlfn.XLOOKUP(Table6[[#This Row],[Old Table.Column]],Cobra8.6[Table.Column],Cobra8.6[TYPE],"",0,1)</f>
        <v/>
      </c>
      <c r="AA1409" t="str">
        <f>_xlfn.XLOOKUP(Table6[[#This Row],[Old Table.Column]],Cobra8.6[Table.Column],Cobra8.6[LENGTH],"",0,1)</f>
        <v/>
      </c>
    </row>
    <row r="1410" spans="1:27" hidden="1" x14ac:dyDescent="0.2">
      <c r="A1410" t="s">
        <v>450</v>
      </c>
      <c r="B1410" s="39" t="s">
        <v>2016</v>
      </c>
      <c r="C1410" s="39" t="s">
        <v>2017</v>
      </c>
      <c r="D1410" s="39">
        <v>1</v>
      </c>
      <c r="E1410" s="39" t="s">
        <v>86</v>
      </c>
      <c r="F1410" s="39" t="s">
        <v>349</v>
      </c>
      <c r="G1410" s="39">
        <v>22</v>
      </c>
      <c r="H1410" s="39"/>
      <c r="I1410" s="47"/>
      <c r="J1410" s="37" t="s">
        <v>605</v>
      </c>
      <c r="K1410" s="47"/>
      <c r="L1410" s="47"/>
      <c r="M1410" s="39"/>
      <c r="N1410" s="39"/>
      <c r="O1410" s="39"/>
      <c r="P1410" s="39"/>
      <c r="Q1410" s="39" t="str">
        <f>IF(C1410="","",LOWER(LEFT(TRIM(C1410),FIND("_",TRIM(C1410)&amp;"_")-1))&amp;SUBSTITUTE(PROPER(SUBSTITUTE(MID(TRIM(C1410),FIND("_",TRIM(C1410)&amp;"_"),LEN(TRIM(C1410))),"_"," "))," ",""))</f>
        <v>batchrepId</v>
      </c>
      <c r="R1410" t="str">
        <f>VLOOKUP(E1410,'Data Type Lookup'!$A$1:$C$21,3,FALSE)</f>
        <v>String</v>
      </c>
      <c r="S1410" s="39"/>
      <c r="W1410" t="str">
        <f t="shared" ref="W1410:W1420" si="58">_xlfn.CONCAT(B1410,".",C1410)</f>
        <v>BATCH.BATCHREP_ID</v>
      </c>
      <c r="X1410" t="str">
        <f>VLOOKUP(W1410,ColumnMapping[New Table.Column],1,)</f>
        <v>BATCH.BATCHREP_ID</v>
      </c>
      <c r="Y1410" t="str">
        <f>_xlfn.XLOOKUP(Table6[[#This Row],[Table.Column]],ColumnMapping[Add Column Name],ColumnMapping[Old Table.Column],"",0,1)</f>
        <v/>
      </c>
      <c r="Z1410" t="str">
        <f>_xlfn.XLOOKUP(Table6[[#This Row],[Old Table.Column]],Cobra8.6[Table.Column],Cobra8.6[TYPE],"",0,1)</f>
        <v/>
      </c>
      <c r="AA1410" t="str">
        <f>_xlfn.XLOOKUP(Table6[[#This Row],[Old Table.Column]],Cobra8.6[Table.Column],Cobra8.6[LENGTH],"",0,1)</f>
        <v/>
      </c>
    </row>
    <row r="1411" spans="1:27" hidden="1" x14ac:dyDescent="0.2">
      <c r="A1411" t="s">
        <v>450</v>
      </c>
      <c r="B1411" s="39" t="s">
        <v>2016</v>
      </c>
      <c r="C1411" s="39" t="s">
        <v>1962</v>
      </c>
      <c r="D1411" s="39">
        <v>2</v>
      </c>
      <c r="E1411" s="39" t="s">
        <v>86</v>
      </c>
      <c r="F1411" s="39" t="s">
        <v>349</v>
      </c>
      <c r="G1411" s="39">
        <v>22</v>
      </c>
      <c r="H1411" s="39"/>
      <c r="I1411" s="47"/>
      <c r="J1411" s="47"/>
      <c r="K1411" s="47"/>
      <c r="L1411" s="47"/>
      <c r="M1411" s="39"/>
      <c r="N1411" s="39"/>
      <c r="O1411" s="39"/>
      <c r="P1411" s="39"/>
      <c r="Q1411" s="39" t="str">
        <f>IF(C1411="","",LOWER(LEFT(TRIM(C1411),FIND("_",TRIM(C1411)&amp;"_")-1))&amp;SUBSTITUTE(PROPER(SUBSTITUTE(MID(TRIM(C1411),FIND("_",TRIM(C1411)&amp;"_"),LEN(TRIM(C1411))),"_"," "))," ",""))</f>
        <v>dirId</v>
      </c>
      <c r="R1411" t="str">
        <f>VLOOKUP(E1411,'Data Type Lookup'!$A$1:$C$21,3,FALSE)</f>
        <v>String</v>
      </c>
      <c r="S1411" s="39"/>
      <c r="W1411" t="str">
        <f t="shared" si="58"/>
        <v>BATCH.DIR_ID</v>
      </c>
      <c r="X1411" t="str">
        <f>VLOOKUP(W1411,ColumnMapping[New Table.Column],1,)</f>
        <v>BATCH.DIR_ID</v>
      </c>
      <c r="Y1411" t="str">
        <f>_xlfn.XLOOKUP(Table6[[#This Row],[Table.Column]],ColumnMapping[Add Column Name],ColumnMapping[Old Table.Column],"",0,1)</f>
        <v/>
      </c>
      <c r="Z1411" t="str">
        <f>_xlfn.XLOOKUP(Table6[[#This Row],[Old Table.Column]],Cobra8.6[Table.Column],Cobra8.6[TYPE],"",0,1)</f>
        <v/>
      </c>
      <c r="AA1411" t="str">
        <f>_xlfn.XLOOKUP(Table6[[#This Row],[Old Table.Column]],Cobra8.6[Table.Column],Cobra8.6[LENGTH],"",0,1)</f>
        <v/>
      </c>
    </row>
    <row r="1412" spans="1:27" hidden="1" x14ac:dyDescent="0.2">
      <c r="A1412" t="s">
        <v>450</v>
      </c>
      <c r="B1412" s="39" t="s">
        <v>2016</v>
      </c>
      <c r="C1412" s="39" t="s">
        <v>2018</v>
      </c>
      <c r="D1412" s="39">
        <v>3</v>
      </c>
      <c r="E1412" s="39" t="s">
        <v>86</v>
      </c>
      <c r="F1412" s="39" t="s">
        <v>349</v>
      </c>
      <c r="G1412" s="39">
        <v>59</v>
      </c>
      <c r="H1412" s="39"/>
      <c r="I1412" s="47"/>
      <c r="J1412" s="37" t="s">
        <v>605</v>
      </c>
      <c r="K1412" s="47"/>
      <c r="L1412" s="47"/>
      <c r="M1412" s="39"/>
      <c r="N1412" s="39"/>
      <c r="O1412" s="39"/>
      <c r="P1412" s="39"/>
      <c r="Q1412" s="39" t="str">
        <f>IF(C1412="","",LOWER(LEFT(TRIM(C1412),FIND("_",TRIM(C1412)&amp;"_")-1))&amp;SUBSTITUTE(PROPER(SUBSTITUTE(MID(TRIM(C1412),FIND("_",TRIM(C1412)&amp;"_"),LEN(TRIM(C1412))),"_"," "))," ",""))</f>
        <v>filterId</v>
      </c>
      <c r="R1412" t="str">
        <f>VLOOKUP(E1412,'Data Type Lookup'!$A$1:$C$21,3,FALSE)</f>
        <v>String</v>
      </c>
      <c r="S1412" s="39"/>
      <c r="W1412" t="str">
        <f t="shared" si="58"/>
        <v>BATCH.FILTER_ID</v>
      </c>
      <c r="X1412" t="str">
        <f>VLOOKUP(W1412,ColumnMapping[New Table.Column],1,)</f>
        <v>BATCH.FILTER_ID</v>
      </c>
      <c r="Y1412" t="str">
        <f>_xlfn.XLOOKUP(Table6[[#This Row],[Table.Column]],ColumnMapping[Add Column Name],ColumnMapping[Old Table.Column],"",0,1)</f>
        <v/>
      </c>
      <c r="Z1412" t="str">
        <f>_xlfn.XLOOKUP(Table6[[#This Row],[Old Table.Column]],Cobra8.6[Table.Column],Cobra8.6[TYPE],"",0,1)</f>
        <v/>
      </c>
      <c r="AA1412" t="str">
        <f>_xlfn.XLOOKUP(Table6[[#This Row],[Old Table.Column]],Cobra8.6[Table.Column],Cobra8.6[LENGTH],"",0,1)</f>
        <v/>
      </c>
    </row>
    <row r="1413" spans="1:27" hidden="1" x14ac:dyDescent="0.2">
      <c r="A1413" t="s">
        <v>450</v>
      </c>
      <c r="B1413" s="39" t="s">
        <v>2016</v>
      </c>
      <c r="C1413" s="39" t="s">
        <v>2019</v>
      </c>
      <c r="D1413" s="39">
        <v>4</v>
      </c>
      <c r="E1413" s="39" t="s">
        <v>36</v>
      </c>
      <c r="F1413" s="39" t="s">
        <v>768</v>
      </c>
      <c r="G1413" s="39"/>
      <c r="H1413" s="39"/>
      <c r="I1413" s="47"/>
      <c r="J1413" s="47">
        <v>0</v>
      </c>
      <c r="K1413" s="47"/>
      <c r="L1413" s="47"/>
      <c r="M1413" s="39"/>
      <c r="N1413" s="39"/>
      <c r="O1413" s="39"/>
      <c r="P1413" s="39"/>
      <c r="Q1413" s="39" t="str">
        <f>IF(C1413="","",LOWER(LEFT(TRIM(C1413),FIND("_",TRIM(C1413)&amp;"_")-1))&amp;SUBSTITUTE(PROPER(SUBSTITUTE(MID(TRIM(C1413),FIND("_",TRIM(C1413)&amp;"_"),LEN(TRIM(C1413))),"_"," "))," ",""))</f>
        <v>filterShared</v>
      </c>
      <c r="R1413" t="str">
        <f>VLOOKUP(E1413,'Data Type Lookup'!$A$1:$C$21,3,FALSE)</f>
        <v>Long</v>
      </c>
      <c r="S1413" s="39"/>
      <c r="W1413" t="str">
        <f t="shared" si="58"/>
        <v>BATCH.FILTER_SHARED</v>
      </c>
      <c r="X1413" t="str">
        <f>VLOOKUP(W1413,ColumnMapping[New Table.Column],1,)</f>
        <v>BATCH.FILTER_SHARED</v>
      </c>
      <c r="Y1413" t="str">
        <f>_xlfn.XLOOKUP(Table6[[#This Row],[Table.Column]],ColumnMapping[Add Column Name],ColumnMapping[Old Table.Column],"",0,1)</f>
        <v/>
      </c>
      <c r="Z1413" t="str">
        <f>_xlfn.XLOOKUP(Table6[[#This Row],[Old Table.Column]],Cobra8.6[Table.Column],Cobra8.6[TYPE],"",0,1)</f>
        <v/>
      </c>
      <c r="AA1413" t="str">
        <f>_xlfn.XLOOKUP(Table6[[#This Row],[Old Table.Column]],Cobra8.6[Table.Column],Cobra8.6[LENGTH],"",0,1)</f>
        <v/>
      </c>
    </row>
    <row r="1414" spans="1:27" hidden="1" x14ac:dyDescent="0.2">
      <c r="A1414" t="s">
        <v>450</v>
      </c>
      <c r="B1414" s="39" t="s">
        <v>2016</v>
      </c>
      <c r="C1414" s="39" t="s">
        <v>71</v>
      </c>
      <c r="D1414" s="39">
        <v>5</v>
      </c>
      <c r="E1414" t="s">
        <v>65</v>
      </c>
      <c r="F1414" t="str">
        <f>VLOOKUP($E1414,'Data Type Lookup'!$A$1:$C$21,2,FALSE)</f>
        <v>TIMESTAMP</v>
      </c>
      <c r="I1414" s="32" t="s">
        <v>32</v>
      </c>
      <c r="P1414" t="s">
        <v>2020</v>
      </c>
      <c r="Q1414" t="s">
        <v>73</v>
      </c>
      <c r="R1414" t="str">
        <f>VLOOKUP(E1414,'Data Type Lookup'!$A$1:$C$21,3,FALSE)</f>
        <v>java.time.Instant</v>
      </c>
      <c r="S1414">
        <v>2</v>
      </c>
      <c r="W1414" t="str">
        <f t="shared" si="58"/>
        <v>BATCH.LAST_MODIFIED_DATE</v>
      </c>
      <c r="X1414" t="str">
        <f>VLOOKUP(W1414,ColumnMapping[New Table.Column],1,)</f>
        <v>BATCH.LAST_MODIFIED_DATE</v>
      </c>
      <c r="Y1414" t="str">
        <f>_xlfn.XLOOKUP(Table6[[#This Row],[Table.Column]],ColumnMapping[Add Column Name],ColumnMapping[Old Table.Column],"",0,1)</f>
        <v/>
      </c>
      <c r="Z1414" t="str">
        <f>_xlfn.XLOOKUP(Table6[[#This Row],[Old Table.Column]],Cobra8.6[Table.Column],Cobra8.6[TYPE],"",0,1)</f>
        <v/>
      </c>
      <c r="AA1414" t="str">
        <f>_xlfn.XLOOKUP(Table6[[#This Row],[Old Table.Column]],Cobra8.6[Table.Column],Cobra8.6[LENGTH],"",0,1)</f>
        <v/>
      </c>
    </row>
    <row r="1415" spans="1:27" hidden="1" x14ac:dyDescent="0.2">
      <c r="A1415" t="s">
        <v>450</v>
      </c>
      <c r="B1415" s="39" t="s">
        <v>2016</v>
      </c>
      <c r="C1415" s="39" t="s">
        <v>1454</v>
      </c>
      <c r="D1415" s="39">
        <v>6</v>
      </c>
      <c r="E1415" s="39" t="s">
        <v>36</v>
      </c>
      <c r="F1415" s="39" t="s">
        <v>768</v>
      </c>
      <c r="G1415" s="39"/>
      <c r="H1415" s="39"/>
      <c r="I1415" s="47"/>
      <c r="J1415" s="47">
        <v>0</v>
      </c>
      <c r="K1415" s="47"/>
      <c r="L1415" s="47"/>
      <c r="M1415" s="39"/>
      <c r="N1415" s="39"/>
      <c r="O1415" s="39"/>
      <c r="P1415" s="39"/>
      <c r="Q1415" s="39" t="s">
        <v>1456</v>
      </c>
      <c r="R1415" t="str">
        <f>VLOOKUP(E1415,'Data Type Lookup'!$A$1:$C$21,3,FALSE)</f>
        <v>Long</v>
      </c>
      <c r="S1415" s="39"/>
      <c r="W1415" t="str">
        <f t="shared" si="58"/>
        <v>BATCH.LINE</v>
      </c>
      <c r="X1415" t="str">
        <f>VLOOKUP(W1415,ColumnMapping[New Table.Column],1,)</f>
        <v>BATCH.LINE</v>
      </c>
      <c r="Y1415" t="str">
        <f>_xlfn.XLOOKUP(Table6[[#This Row],[Table.Column]],ColumnMapping[Add Column Name],ColumnMapping[Old Table.Column],"",0,1)</f>
        <v/>
      </c>
      <c r="Z1415" t="str">
        <f>_xlfn.XLOOKUP(Table6[[#This Row],[Old Table.Column]],Cobra8.6[Table.Column],Cobra8.6[TYPE],"",0,1)</f>
        <v/>
      </c>
      <c r="AA1415" t="str">
        <f>_xlfn.XLOOKUP(Table6[[#This Row],[Old Table.Column]],Cobra8.6[Table.Column],Cobra8.6[LENGTH],"",0,1)</f>
        <v/>
      </c>
    </row>
    <row r="1416" spans="1:27" hidden="1" x14ac:dyDescent="0.2">
      <c r="A1416" t="s">
        <v>450</v>
      </c>
      <c r="B1416" s="39" t="s">
        <v>2016</v>
      </c>
      <c r="C1416" s="39" t="s">
        <v>1936</v>
      </c>
      <c r="D1416" s="39">
        <v>7</v>
      </c>
      <c r="E1416" s="39" t="s">
        <v>86</v>
      </c>
      <c r="F1416" s="39" t="s">
        <v>349</v>
      </c>
      <c r="G1416" s="39">
        <v>20</v>
      </c>
      <c r="H1416" s="39"/>
      <c r="I1416" s="47"/>
      <c r="J1416" s="47"/>
      <c r="K1416" s="47"/>
      <c r="L1416" s="47"/>
      <c r="M1416" s="39"/>
      <c r="N1416" s="39"/>
      <c r="O1416" s="39"/>
      <c r="P1416" s="39" t="s">
        <v>2021</v>
      </c>
      <c r="Q1416" s="39" t="s">
        <v>1937</v>
      </c>
      <c r="R1416" t="str">
        <f>VLOOKUP(E1416,'Data Type Lookup'!$A$1:$C$21,3,FALSE)</f>
        <v>String</v>
      </c>
      <c r="S1416" s="39"/>
      <c r="W1416" t="str">
        <f t="shared" si="58"/>
        <v>BATCH.OWNER_ID</v>
      </c>
      <c r="X1416" t="str">
        <f>VLOOKUP(W1416,ColumnMapping[New Table.Column],1,)</f>
        <v>BATCH.OWNER_ID</v>
      </c>
      <c r="Y1416" t="str">
        <f>_xlfn.XLOOKUP(Table6[[#This Row],[Table.Column]],ColumnMapping[Add Column Name],ColumnMapping[Old Table.Column],"",0,1)</f>
        <v/>
      </c>
      <c r="Z1416" t="str">
        <f>_xlfn.XLOOKUP(Table6[[#This Row],[Old Table.Column]],Cobra8.6[Table.Column],Cobra8.6[TYPE],"",0,1)</f>
        <v/>
      </c>
      <c r="AA1416" t="str">
        <f>_xlfn.XLOOKUP(Table6[[#This Row],[Old Table.Column]],Cobra8.6[Table.Column],Cobra8.6[LENGTH],"",0,1)</f>
        <v/>
      </c>
    </row>
    <row r="1417" spans="1:27" hidden="1" x14ac:dyDescent="0.2">
      <c r="A1417" t="s">
        <v>450</v>
      </c>
      <c r="B1417" s="39" t="s">
        <v>2016</v>
      </c>
      <c r="C1417" s="39" t="s">
        <v>2022</v>
      </c>
      <c r="D1417" s="39">
        <v>8</v>
      </c>
      <c r="E1417" s="39" t="s">
        <v>86</v>
      </c>
      <c r="F1417" s="39" t="s">
        <v>349</v>
      </c>
      <c r="G1417" s="39">
        <v>22</v>
      </c>
      <c r="H1417" s="39"/>
      <c r="I1417" s="47"/>
      <c r="J1417" s="37" t="s">
        <v>605</v>
      </c>
      <c r="K1417" s="47"/>
      <c r="L1417" s="47"/>
      <c r="M1417" s="39"/>
      <c r="N1417" s="39"/>
      <c r="O1417" s="39"/>
      <c r="P1417" s="39"/>
      <c r="Q1417" s="39" t="s">
        <v>2023</v>
      </c>
      <c r="R1417" t="str">
        <f>VLOOKUP(E1417,'Data Type Lookup'!$A$1:$C$21,3,FALSE)</f>
        <v>String</v>
      </c>
      <c r="S1417" s="39"/>
      <c r="W1417" t="str">
        <f t="shared" si="58"/>
        <v>BATCH.REPORT_ID</v>
      </c>
      <c r="X1417" t="str">
        <f>VLOOKUP(W1417,ColumnMapping[New Table.Column],1,)</f>
        <v>BATCH.REPORT_ID</v>
      </c>
      <c r="Y1417" t="str">
        <f>_xlfn.XLOOKUP(Table6[[#This Row],[Table.Column]],ColumnMapping[Add Column Name],ColumnMapping[Old Table.Column],"",0,1)</f>
        <v/>
      </c>
      <c r="Z1417" t="str">
        <f>_xlfn.XLOOKUP(Table6[[#This Row],[Old Table.Column]],Cobra8.6[Table.Column],Cobra8.6[TYPE],"",0,1)</f>
        <v/>
      </c>
      <c r="AA1417" t="str">
        <f>_xlfn.XLOOKUP(Table6[[#This Row],[Old Table.Column]],Cobra8.6[Table.Column],Cobra8.6[LENGTH],"",0,1)</f>
        <v/>
      </c>
    </row>
    <row r="1418" spans="1:27" hidden="1" x14ac:dyDescent="0.2">
      <c r="A1418" t="s">
        <v>450</v>
      </c>
      <c r="B1418" s="39" t="s">
        <v>2016</v>
      </c>
      <c r="C1418" s="39" t="s">
        <v>35</v>
      </c>
      <c r="D1418" s="39">
        <v>9</v>
      </c>
      <c r="E1418" t="s">
        <v>36</v>
      </c>
      <c r="F1418" t="str">
        <f>VLOOKUP($E1418,'Data Type Lookup'!$A$1:$C$21,2,FALSE)</f>
        <v>NUMBER(19,0)</v>
      </c>
      <c r="I1418" s="32" t="s">
        <v>32</v>
      </c>
      <c r="J1418" s="32">
        <v>0</v>
      </c>
      <c r="P1418" t="s">
        <v>37</v>
      </c>
      <c r="Q1418" t="s">
        <v>38</v>
      </c>
      <c r="R1418" t="str">
        <f>VLOOKUP(E1418,'Data Type Lookup'!$A$1:$C$21,3,FALSE)</f>
        <v>Long</v>
      </c>
      <c r="S1418">
        <v>3</v>
      </c>
      <c r="W1418" t="str">
        <f t="shared" si="58"/>
        <v>BATCH.SEQUENCE</v>
      </c>
      <c r="X1418" t="str">
        <f>VLOOKUP(W1418,ColumnMapping[New Table.Column],1,)</f>
        <v>BATCH.SEQUENCE</v>
      </c>
      <c r="Y1418" t="str">
        <f>_xlfn.XLOOKUP(Table6[[#This Row],[Table.Column]],ColumnMapping[Add Column Name],ColumnMapping[Old Table.Column],"",0,1)</f>
        <v/>
      </c>
      <c r="Z1418" t="str">
        <f>_xlfn.XLOOKUP(Table6[[#This Row],[Old Table.Column]],Cobra8.6[Table.Column],Cobra8.6[TYPE],"",0,1)</f>
        <v/>
      </c>
      <c r="AA1418" t="str">
        <f>_xlfn.XLOOKUP(Table6[[#This Row],[Old Table.Column]],Cobra8.6[Table.Column],Cobra8.6[LENGTH],"",0,1)</f>
        <v/>
      </c>
    </row>
    <row r="1419" spans="1:27" hidden="1" x14ac:dyDescent="0.2">
      <c r="A1419" t="s">
        <v>450</v>
      </c>
      <c r="B1419" s="39" t="s">
        <v>2016</v>
      </c>
      <c r="C1419" s="39" t="s">
        <v>2024</v>
      </c>
      <c r="D1419" s="39">
        <v>10</v>
      </c>
      <c r="E1419" s="39" t="s">
        <v>86</v>
      </c>
      <c r="F1419" s="39" t="s">
        <v>349</v>
      </c>
      <c r="G1419" s="39">
        <v>59</v>
      </c>
      <c r="H1419" s="39"/>
      <c r="I1419" s="47"/>
      <c r="J1419" s="37" t="s">
        <v>605</v>
      </c>
      <c r="K1419" s="47"/>
      <c r="L1419" s="47"/>
      <c r="M1419" s="39"/>
      <c r="N1419" s="39"/>
      <c r="O1419" s="39"/>
      <c r="P1419" s="39"/>
      <c r="Q1419" s="39" t="s">
        <v>2025</v>
      </c>
      <c r="R1419" t="str">
        <f>VLOOKUP(E1419,'Data Type Lookup'!$A$1:$C$21,3,FALSE)</f>
        <v>String</v>
      </c>
      <c r="S1419" s="39"/>
      <c r="W1419" t="str">
        <f t="shared" si="58"/>
        <v>BATCH.SORT_ID</v>
      </c>
      <c r="X1419" t="str">
        <f>VLOOKUP(W1419,ColumnMapping[New Table.Column],1,)</f>
        <v>BATCH.SORT_ID</v>
      </c>
      <c r="Y1419" t="str">
        <f>_xlfn.XLOOKUP(Table6[[#This Row],[Table.Column]],ColumnMapping[Add Column Name],ColumnMapping[Old Table.Column],"",0,1)</f>
        <v/>
      </c>
      <c r="Z1419" t="str">
        <f>_xlfn.XLOOKUP(Table6[[#This Row],[Old Table.Column]],Cobra8.6[Table.Column],Cobra8.6[TYPE],"",0,1)</f>
        <v/>
      </c>
      <c r="AA1419" t="str">
        <f>_xlfn.XLOOKUP(Table6[[#This Row],[Old Table.Column]],Cobra8.6[Table.Column],Cobra8.6[LENGTH],"",0,1)</f>
        <v/>
      </c>
    </row>
    <row r="1420" spans="1:27" hidden="1" x14ac:dyDescent="0.2">
      <c r="A1420" t="s">
        <v>450</v>
      </c>
      <c r="B1420" s="39" t="s">
        <v>2016</v>
      </c>
      <c r="C1420" s="39" t="s">
        <v>2026</v>
      </c>
      <c r="D1420" s="39">
        <v>11</v>
      </c>
      <c r="E1420" s="39" t="s">
        <v>36</v>
      </c>
      <c r="F1420" s="39" t="s">
        <v>768</v>
      </c>
      <c r="G1420" s="39"/>
      <c r="H1420" s="39"/>
      <c r="I1420" s="47"/>
      <c r="J1420" s="47">
        <v>0</v>
      </c>
      <c r="K1420" s="47"/>
      <c r="L1420" s="47"/>
      <c r="M1420" s="39"/>
      <c r="N1420" s="39"/>
      <c r="O1420" s="39"/>
      <c r="P1420" s="39"/>
      <c r="Q1420" s="39" t="s">
        <v>2027</v>
      </c>
      <c r="R1420" t="str">
        <f>VLOOKUP(E1420,'Data Type Lookup'!$A$1:$C$21,3,FALSE)</f>
        <v>Long</v>
      </c>
      <c r="S1420" s="39"/>
      <c r="W1420" t="str">
        <f t="shared" si="58"/>
        <v>BATCH.SORT_SHARED</v>
      </c>
      <c r="X1420" t="str">
        <f>VLOOKUP(W1420,ColumnMapping[New Table.Column],1,)</f>
        <v>BATCH.SORT_SHARED</v>
      </c>
      <c r="Y1420" t="str">
        <f>_xlfn.XLOOKUP(Table6[[#This Row],[Table.Column]],ColumnMapping[Add Column Name],ColumnMapping[Old Table.Column],"",0,1)</f>
        <v/>
      </c>
      <c r="Z1420" t="str">
        <f>_xlfn.XLOOKUP(Table6[[#This Row],[Old Table.Column]],Cobra8.6[Table.Column],Cobra8.6[TYPE],"",0,1)</f>
        <v/>
      </c>
      <c r="AA1420" t="str">
        <f>_xlfn.XLOOKUP(Table6[[#This Row],[Old Table.Column]],Cobra8.6[Table.Column],Cobra8.6[LENGTH],"",0,1)</f>
        <v/>
      </c>
    </row>
    <row r="1421" spans="1:27" hidden="1" x14ac:dyDescent="0.2">
      <c r="A1421" t="s">
        <v>450</v>
      </c>
      <c r="B1421" s="39" t="s">
        <v>2016</v>
      </c>
      <c r="C1421" s="39" t="s">
        <v>68</v>
      </c>
      <c r="D1421" s="39">
        <v>12</v>
      </c>
      <c r="E1421" t="s">
        <v>31</v>
      </c>
      <c r="F1421" t="str">
        <f>VLOOKUP($E1421,'Data Type Lookup'!$A$1:$C$21,2,FALSE)</f>
        <v>RAW(16)</v>
      </c>
      <c r="I1421" s="32" t="s">
        <v>32</v>
      </c>
      <c r="P1421" t="s">
        <v>1632</v>
      </c>
      <c r="Q1421" t="s">
        <v>70</v>
      </c>
      <c r="R1421" t="str">
        <f>VLOOKUP(E1421,'Data Type Lookup'!$A$1:$C$21,3,FALSE)</f>
        <v>java.util.UUID</v>
      </c>
      <c r="S1421">
        <v>2</v>
      </c>
      <c r="W1421" t="str">
        <f>_xlfn.CONCAT(B1421,".",C1421)</f>
        <v>BATCH.LAST_MODIFIED_BY_USER_UID</v>
      </c>
      <c r="X1421" t="str">
        <f>VLOOKUP(W1421,ColumnMapping[New Table.Column],1,)</f>
        <v>BATCH.LAST_MODIFIED_BY_USER_UID</v>
      </c>
      <c r="Y1421" t="str">
        <f>_xlfn.XLOOKUP(Table6[[#This Row],[Table.Column]],ColumnMapping[Add Column Name],ColumnMapping[Old Table.Column],"",0,1)</f>
        <v/>
      </c>
      <c r="Z1421" t="str">
        <f>_xlfn.XLOOKUP(Table6[[#This Row],[Old Table.Column]],Cobra8.6[Table.Column],Cobra8.6[TYPE],"",0,1)</f>
        <v/>
      </c>
      <c r="AA1421" t="str">
        <f>_xlfn.XLOOKUP(Table6[[#This Row],[Old Table.Column]],Cobra8.6[Table.Column],Cobra8.6[LENGTH],"",0,1)</f>
        <v/>
      </c>
    </row>
    <row r="1422" spans="1:27" hidden="1" x14ac:dyDescent="0.2">
      <c r="A1422" t="s">
        <v>450</v>
      </c>
      <c r="B1422" s="39" t="s">
        <v>2016</v>
      </c>
      <c r="C1422" s="39" t="s">
        <v>30</v>
      </c>
      <c r="D1422" s="39">
        <v>13</v>
      </c>
      <c r="E1422" t="s">
        <v>31</v>
      </c>
      <c r="F1422" t="str">
        <f>VLOOKUP($E1422,'Data Type Lookup'!$A$1:$C$21,2,FALSE)</f>
        <v>RAW(16)</v>
      </c>
      <c r="I1422" s="32" t="s">
        <v>32</v>
      </c>
      <c r="K1422" s="32" t="s">
        <v>32</v>
      </c>
      <c r="P1422" t="s">
        <v>1789</v>
      </c>
      <c r="Q1422" t="s">
        <v>34</v>
      </c>
      <c r="R1422" t="str">
        <f>VLOOKUP(E1422,'Data Type Lookup'!$A$1:$C$21,3,FALSE)</f>
        <v>java.util.UUID</v>
      </c>
      <c r="S1422">
        <v>3</v>
      </c>
      <c r="W1422" t="str">
        <f>_xlfn.CONCAT(B1422,".",C1422)</f>
        <v>BATCH.ROW_UID</v>
      </c>
      <c r="X1422" t="str">
        <f>VLOOKUP(W1422,ColumnMapping[New Table.Column],1,)</f>
        <v>BATCH.ROW_UID</v>
      </c>
      <c r="Y1422" t="str">
        <f>_xlfn.XLOOKUP(Table6[[#This Row],[Table.Column]],ColumnMapping[Add Column Name],ColumnMapping[Old Table.Column],"",0,1)</f>
        <v/>
      </c>
      <c r="Z1422" t="str">
        <f>_xlfn.XLOOKUP(Table6[[#This Row],[Old Table.Column]],Cobra8.6[Table.Column],Cobra8.6[TYPE],"",0,1)</f>
        <v/>
      </c>
      <c r="AA1422" t="str">
        <f>_xlfn.XLOOKUP(Table6[[#This Row],[Old Table.Column]],Cobra8.6[Table.Column],Cobra8.6[LENGTH],"",0,1)</f>
        <v/>
      </c>
    </row>
    <row r="1423" spans="1:27" hidden="1" x14ac:dyDescent="0.2">
      <c r="A1423" t="s">
        <v>450</v>
      </c>
      <c r="B1423" s="39" t="s">
        <v>2016</v>
      </c>
      <c r="C1423" s="39" t="s">
        <v>61</v>
      </c>
      <c r="D1423" s="39">
        <v>14</v>
      </c>
      <c r="E1423" t="s">
        <v>31</v>
      </c>
      <c r="F1423" t="str">
        <f>VLOOKUP($E1423,'Data Type Lookup'!$A$1:$C$21,2,FALSE)</f>
        <v>RAW(16)</v>
      </c>
      <c r="I1423" s="32" t="s">
        <v>32</v>
      </c>
      <c r="P1423" t="s">
        <v>1629</v>
      </c>
      <c r="Q1423" t="s">
        <v>63</v>
      </c>
      <c r="R1423" t="str">
        <f>VLOOKUP(E1423,'Data Type Lookup'!$A$1:$C$21,3,FALSE)</f>
        <v>java.util.UUID</v>
      </c>
      <c r="S1423">
        <v>2</v>
      </c>
      <c r="W1423" t="str">
        <f t="shared" ref="W1423:W1424" si="59">_xlfn.CONCAT(B1423,".",C1423)</f>
        <v>BATCH.CREATED_BY_USER_UID</v>
      </c>
      <c r="X1423" t="str">
        <f>VLOOKUP(W1423,ColumnMapping[New Table.Column],1,)</f>
        <v>BATCH.CREATED_BY_USER_UID</v>
      </c>
      <c r="Y1423" t="str">
        <f>_xlfn.XLOOKUP(Table6[[#This Row],[Table.Column]],ColumnMapping[Add Column Name],ColumnMapping[Old Table.Column],"",0,1)</f>
        <v/>
      </c>
      <c r="Z1423" t="str">
        <f>_xlfn.XLOOKUP(Table6[[#This Row],[Old Table.Column]],Cobra8.6[Table.Column],Cobra8.6[TYPE],"",0,1)</f>
        <v/>
      </c>
      <c r="AA1423" t="str">
        <f>_xlfn.XLOOKUP(Table6[[#This Row],[Old Table.Column]],Cobra8.6[Table.Column],Cobra8.6[LENGTH],"",0,1)</f>
        <v/>
      </c>
    </row>
    <row r="1424" spans="1:27" hidden="1" x14ac:dyDescent="0.2">
      <c r="A1424" t="s">
        <v>450</v>
      </c>
      <c r="B1424" s="39" t="s">
        <v>2016</v>
      </c>
      <c r="C1424" s="39" t="s">
        <v>64</v>
      </c>
      <c r="D1424" s="39">
        <v>15</v>
      </c>
      <c r="E1424" t="s">
        <v>65</v>
      </c>
      <c r="F1424" t="str">
        <f>VLOOKUP($E1424,'Data Type Lookup'!$A$1:$C$21,2,FALSE)</f>
        <v>TIMESTAMP</v>
      </c>
      <c r="I1424" s="32" t="s">
        <v>32</v>
      </c>
      <c r="P1424" t="s">
        <v>1630</v>
      </c>
      <c r="Q1424" t="s">
        <v>67</v>
      </c>
      <c r="R1424" t="str">
        <f>VLOOKUP(E1424,'Data Type Lookup'!$A$1:$C$21,3,FALSE)</f>
        <v>java.time.Instant</v>
      </c>
      <c r="S1424">
        <v>2</v>
      </c>
      <c r="W1424" t="str">
        <f t="shared" si="59"/>
        <v>BATCH.CREATED_DATE</v>
      </c>
      <c r="X1424" t="str">
        <f>VLOOKUP(W1424,ColumnMapping[New Table.Column],1,)</f>
        <v>BATCH.CREATED_DATE</v>
      </c>
      <c r="Y1424" t="str">
        <f>_xlfn.XLOOKUP(Table6[[#This Row],[Table.Column]],ColumnMapping[Add Column Name],ColumnMapping[Old Table.Column],"",0,1)</f>
        <v/>
      </c>
      <c r="Z1424" t="str">
        <f>_xlfn.XLOOKUP(Table6[[#This Row],[Old Table.Column]],Cobra8.6[Table.Column],Cobra8.6[TYPE],"",0,1)</f>
        <v/>
      </c>
      <c r="AA1424" t="str">
        <f>_xlfn.XLOOKUP(Table6[[#This Row],[Old Table.Column]],Cobra8.6[Table.Column],Cobra8.6[LENGTH],"",0,1)</f>
        <v/>
      </c>
    </row>
    <row r="1425" spans="1:28" hidden="1" x14ac:dyDescent="0.2">
      <c r="A1425" t="s">
        <v>450</v>
      </c>
      <c r="B1425" s="39" t="s">
        <v>2028</v>
      </c>
      <c r="C1425" s="39" t="s">
        <v>2017</v>
      </c>
      <c r="D1425" s="39">
        <v>1</v>
      </c>
      <c r="E1425" s="39" t="s">
        <v>86</v>
      </c>
      <c r="F1425" s="39" t="s">
        <v>349</v>
      </c>
      <c r="G1425" s="39">
        <v>22</v>
      </c>
      <c r="H1425" s="39"/>
      <c r="I1425" s="47"/>
      <c r="J1425" s="37" t="s">
        <v>605</v>
      </c>
      <c r="K1425" s="47"/>
      <c r="L1425" s="47"/>
      <c r="M1425" s="39"/>
      <c r="N1425" s="39"/>
      <c r="O1425" s="39"/>
      <c r="P1425" s="39"/>
      <c r="Q1425" s="39" t="s">
        <v>2029</v>
      </c>
      <c r="R1425" t="str">
        <f>VLOOKUP(E1425,'Data Type Lookup'!$A$1:$C$21,3,FALSE)</f>
        <v>String</v>
      </c>
      <c r="S1425" s="39"/>
      <c r="W1425" t="str">
        <f t="shared" ref="W1425:W1436" si="60">_xlfn.CONCAT(B1425,".",C1425)</f>
        <v>BATCHREP.BATCHREP_ID</v>
      </c>
      <c r="X1425" t="str">
        <f>VLOOKUP(W1425,ColumnMapping[New Table.Column],1,)</f>
        <v>BATCHREP.BATCHREP_ID</v>
      </c>
      <c r="Y1425" t="str">
        <f>_xlfn.XLOOKUP(Table6[[#This Row],[Table.Column]],ColumnMapping[Add Column Name],ColumnMapping[Old Table.Column],"",0,1)</f>
        <v/>
      </c>
      <c r="Z1425" t="str">
        <f>_xlfn.XLOOKUP(Table6[[#This Row],[Old Table.Column]],Cobra8.6[Table.Column],Cobra8.6[TYPE],"",0,1)</f>
        <v/>
      </c>
      <c r="AA1425" t="str">
        <f>_xlfn.XLOOKUP(Table6[[#This Row],[Old Table.Column]],Cobra8.6[Table.Column],Cobra8.6[LENGTH],"",0,1)</f>
        <v/>
      </c>
    </row>
    <row r="1426" spans="1:28" hidden="1" x14ac:dyDescent="0.2">
      <c r="A1426" t="s">
        <v>450</v>
      </c>
      <c r="B1426" s="39" t="s">
        <v>2028</v>
      </c>
      <c r="C1426" s="39" t="s">
        <v>2030</v>
      </c>
      <c r="D1426" s="39">
        <v>2</v>
      </c>
      <c r="E1426" s="39" t="s">
        <v>86</v>
      </c>
      <c r="F1426" s="39" t="s">
        <v>349</v>
      </c>
      <c r="G1426" s="39">
        <v>22</v>
      </c>
      <c r="H1426" s="39"/>
      <c r="I1426" s="47"/>
      <c r="J1426" s="47"/>
      <c r="K1426" s="47"/>
      <c r="L1426" s="47"/>
      <c r="M1426" s="39"/>
      <c r="N1426" s="39"/>
      <c r="O1426" s="39"/>
      <c r="P1426" s="39"/>
      <c r="Q1426" s="39" t="s">
        <v>2031</v>
      </c>
      <c r="R1426" t="str">
        <f>VLOOKUP(E1426,'Data Type Lookup'!$A$1:$C$21,3,FALSE)</f>
        <v>String</v>
      </c>
      <c r="S1426" s="39"/>
      <c r="W1426" t="str">
        <f t="shared" si="60"/>
        <v>BATCHREP.BATCHREP_UID</v>
      </c>
      <c r="X1426" t="str">
        <f>VLOOKUP(W1426,ColumnMapping[New Table.Column],1,)</f>
        <v>BATCHREP.BATCHREP_UID</v>
      </c>
      <c r="Y1426" t="str">
        <f>_xlfn.XLOOKUP(Table6[[#This Row],[Table.Column]],ColumnMapping[Add Column Name],ColumnMapping[Old Table.Column],"",0,1)</f>
        <v/>
      </c>
      <c r="Z1426" t="str">
        <f>_xlfn.XLOOKUP(Table6[[#This Row],[Old Table.Column]],Cobra8.6[Table.Column],Cobra8.6[TYPE],"",0,1)</f>
        <v/>
      </c>
      <c r="AA1426" t="str">
        <f>_xlfn.XLOOKUP(Table6[[#This Row],[Old Table.Column]],Cobra8.6[Table.Column],Cobra8.6[LENGTH],"",0,1)</f>
        <v/>
      </c>
    </row>
    <row r="1427" spans="1:28" hidden="1" x14ac:dyDescent="0.2">
      <c r="A1427" t="s">
        <v>450</v>
      </c>
      <c r="B1427" s="39" t="s">
        <v>2028</v>
      </c>
      <c r="C1427" s="39" t="s">
        <v>15</v>
      </c>
      <c r="D1427" s="39">
        <v>3</v>
      </c>
      <c r="E1427" s="39" t="s">
        <v>86</v>
      </c>
      <c r="F1427" s="39" t="s">
        <v>349</v>
      </c>
      <c r="G1427" s="39">
        <v>254</v>
      </c>
      <c r="H1427" s="39"/>
      <c r="I1427" s="47"/>
      <c r="J1427" s="37" t="s">
        <v>605</v>
      </c>
      <c r="K1427" s="47"/>
      <c r="L1427" s="47"/>
      <c r="M1427" s="39"/>
      <c r="N1427" s="39"/>
      <c r="O1427" s="39"/>
      <c r="P1427" s="39"/>
      <c r="Q1427" s="39" t="s">
        <v>75</v>
      </c>
      <c r="R1427" t="str">
        <f>VLOOKUP(E1427,'Data Type Lookup'!$A$1:$C$21,3,FALSE)</f>
        <v>String</v>
      </c>
      <c r="S1427" s="39"/>
      <c r="W1427" t="str">
        <f t="shared" si="60"/>
        <v>BATCHREP.DESCRIPTION</v>
      </c>
      <c r="X1427" t="str">
        <f>VLOOKUP(W1427,ColumnMapping[New Table.Column],1,)</f>
        <v>BATCHREP.DESCRIPTION</v>
      </c>
      <c r="Y1427" t="str">
        <f>_xlfn.XLOOKUP(Table6[[#This Row],[Table.Column]],ColumnMapping[Add Column Name],ColumnMapping[Old Table.Column],"",0,1)</f>
        <v/>
      </c>
      <c r="Z1427" t="str">
        <f>_xlfn.XLOOKUP(Table6[[#This Row],[Old Table.Column]],Cobra8.6[Table.Column],Cobra8.6[TYPE],"",0,1)</f>
        <v/>
      </c>
      <c r="AA1427" t="str">
        <f>_xlfn.XLOOKUP(Table6[[#This Row],[Old Table.Column]],Cobra8.6[Table.Column],Cobra8.6[LENGTH],"",0,1)</f>
        <v/>
      </c>
    </row>
    <row r="1428" spans="1:28" hidden="1" x14ac:dyDescent="0.2">
      <c r="A1428" t="s">
        <v>450</v>
      </c>
      <c r="B1428" s="39" t="s">
        <v>2028</v>
      </c>
      <c r="C1428" s="39" t="s">
        <v>71</v>
      </c>
      <c r="D1428" s="39">
        <v>4</v>
      </c>
      <c r="E1428" t="s">
        <v>65</v>
      </c>
      <c r="F1428" t="str">
        <f>VLOOKUP($E1428,'Data Type Lookup'!$A$1:$C$21,2,FALSE)</f>
        <v>TIMESTAMP</v>
      </c>
      <c r="I1428" s="32" t="s">
        <v>32</v>
      </c>
      <c r="P1428" t="s">
        <v>1633</v>
      </c>
      <c r="Q1428" t="s">
        <v>73</v>
      </c>
      <c r="R1428" t="str">
        <f>VLOOKUP(E1428,'Data Type Lookup'!$A$1:$C$21,3,FALSE)</f>
        <v>java.time.Instant</v>
      </c>
      <c r="S1428">
        <v>2</v>
      </c>
      <c r="W1428" t="str">
        <f t="shared" si="60"/>
        <v>BATCHREP.LAST_MODIFIED_DATE</v>
      </c>
      <c r="X1428" t="str">
        <f>VLOOKUP(W1428,ColumnMapping[New Table.Column],1,)</f>
        <v>BATCHREP.LAST_MODIFIED_DATE</v>
      </c>
      <c r="Y1428" t="str">
        <f>_xlfn.XLOOKUP(Table6[[#This Row],[Table.Column]],ColumnMapping[Add Column Name],ColumnMapping[Old Table.Column],"",0,1)</f>
        <v/>
      </c>
      <c r="Z1428" t="str">
        <f>_xlfn.XLOOKUP(Table6[[#This Row],[Old Table.Column]],Cobra8.6[Table.Column],Cobra8.6[TYPE],"",0,1)</f>
        <v/>
      </c>
      <c r="AA1428" t="str">
        <f>_xlfn.XLOOKUP(Table6[[#This Row],[Old Table.Column]],Cobra8.6[Table.Column],Cobra8.6[LENGTH],"",0,1)</f>
        <v/>
      </c>
    </row>
    <row r="1429" spans="1:28" hidden="1" x14ac:dyDescent="0.2">
      <c r="A1429" t="s">
        <v>450</v>
      </c>
      <c r="B1429" s="39" t="s">
        <v>2028</v>
      </c>
      <c r="C1429" s="39" t="s">
        <v>2032</v>
      </c>
      <c r="D1429" s="39">
        <v>5</v>
      </c>
      <c r="E1429" s="39" t="s">
        <v>86</v>
      </c>
      <c r="F1429" s="39" t="s">
        <v>349</v>
      </c>
      <c r="G1429" s="39">
        <v>254</v>
      </c>
      <c r="H1429" s="39"/>
      <c r="I1429" s="47"/>
      <c r="J1429" s="37" t="s">
        <v>605</v>
      </c>
      <c r="K1429" s="47"/>
      <c r="L1429" s="47"/>
      <c r="M1429" s="39"/>
      <c r="N1429" s="39"/>
      <c r="O1429" s="39"/>
      <c r="P1429" s="39"/>
      <c r="Q1429" s="39" t="s">
        <v>2033</v>
      </c>
      <c r="R1429" t="str">
        <f>VLOOKUP(E1429,'Data Type Lookup'!$A$1:$C$21,3,FALSE)</f>
        <v>String</v>
      </c>
      <c r="S1429" s="39"/>
      <c r="W1429" t="str">
        <f t="shared" si="60"/>
        <v>BATCHREP.OUTPUT_LOC</v>
      </c>
      <c r="X1429" t="str">
        <f>VLOOKUP(W1429,ColumnMapping[New Table.Column],1,)</f>
        <v>BATCHREP.OUTPUT_LOC</v>
      </c>
      <c r="Y1429" t="str">
        <f>_xlfn.XLOOKUP(Table6[[#This Row],[Table.Column]],ColumnMapping[Add Column Name],ColumnMapping[Old Table.Column],"",0,1)</f>
        <v/>
      </c>
      <c r="Z1429" t="str">
        <f>_xlfn.XLOOKUP(Table6[[#This Row],[Old Table.Column]],Cobra8.6[Table.Column],Cobra8.6[TYPE],"",0,1)</f>
        <v/>
      </c>
      <c r="AA1429" t="str">
        <f>_xlfn.XLOOKUP(Table6[[#This Row],[Old Table.Column]],Cobra8.6[Table.Column],Cobra8.6[LENGTH],"",0,1)</f>
        <v/>
      </c>
    </row>
    <row r="1430" spans="1:28" hidden="1" x14ac:dyDescent="0.2">
      <c r="A1430" t="s">
        <v>450</v>
      </c>
      <c r="B1430" s="39" t="s">
        <v>2028</v>
      </c>
      <c r="C1430" s="39" t="s">
        <v>2034</v>
      </c>
      <c r="D1430" s="39">
        <v>6</v>
      </c>
      <c r="E1430" s="39" t="s">
        <v>86</v>
      </c>
      <c r="F1430" s="39" t="s">
        <v>349</v>
      </c>
      <c r="G1430" s="39">
        <v>12</v>
      </c>
      <c r="H1430" s="39"/>
      <c r="I1430" s="47"/>
      <c r="J1430" s="37" t="s">
        <v>605</v>
      </c>
      <c r="K1430" s="47"/>
      <c r="L1430" s="47"/>
      <c r="M1430" s="39"/>
      <c r="N1430" s="39"/>
      <c r="O1430" s="39"/>
      <c r="P1430" s="39"/>
      <c r="Q1430" s="39" t="s">
        <v>2035</v>
      </c>
      <c r="R1430" t="str">
        <f>VLOOKUP(E1430,'Data Type Lookup'!$A$1:$C$21,3,FALSE)</f>
        <v>String</v>
      </c>
      <c r="S1430" s="39"/>
      <c r="W1430" t="str">
        <f t="shared" si="60"/>
        <v>BATCHREP.OUTPUT_TYPE</v>
      </c>
      <c r="X1430" t="str">
        <f>VLOOKUP(W1430,ColumnMapping[New Table.Column],1,)</f>
        <v>BATCHREP.OUTPUT_TYPE</v>
      </c>
      <c r="Y1430" t="str">
        <f>_xlfn.XLOOKUP(Table6[[#This Row],[Table.Column]],ColumnMapping[Add Column Name],ColumnMapping[Old Table.Column],"",0,1)</f>
        <v/>
      </c>
      <c r="Z1430" t="str">
        <f>_xlfn.XLOOKUP(Table6[[#This Row],[Old Table.Column]],Cobra8.6[Table.Column],Cobra8.6[TYPE],"",0,1)</f>
        <v/>
      </c>
      <c r="AA1430" t="str">
        <f>_xlfn.XLOOKUP(Table6[[#This Row],[Old Table.Column]],Cobra8.6[Table.Column],Cobra8.6[LENGTH],"",0,1)</f>
        <v/>
      </c>
    </row>
    <row r="1431" spans="1:28" hidden="1" x14ac:dyDescent="0.2">
      <c r="A1431" t="s">
        <v>450</v>
      </c>
      <c r="B1431" s="39" t="s">
        <v>2028</v>
      </c>
      <c r="C1431" s="39" t="s">
        <v>1936</v>
      </c>
      <c r="D1431" s="39">
        <v>7</v>
      </c>
      <c r="E1431" s="39" t="s">
        <v>86</v>
      </c>
      <c r="F1431" s="39" t="s">
        <v>349</v>
      </c>
      <c r="G1431" s="39">
        <v>20</v>
      </c>
      <c r="H1431" s="39"/>
      <c r="I1431" s="47"/>
      <c r="J1431" s="47"/>
      <c r="K1431" s="47"/>
      <c r="L1431" s="47"/>
      <c r="M1431" s="39"/>
      <c r="N1431" s="39"/>
      <c r="O1431" s="39"/>
      <c r="P1431" s="39" t="s">
        <v>2036</v>
      </c>
      <c r="Q1431" s="39" t="s">
        <v>1937</v>
      </c>
      <c r="R1431" t="str">
        <f>VLOOKUP(E1431,'Data Type Lookup'!$A$1:$C$21,3,FALSE)</f>
        <v>String</v>
      </c>
      <c r="S1431" s="39"/>
      <c r="W1431" t="str">
        <f t="shared" si="60"/>
        <v>BATCHREP.OWNER_ID</v>
      </c>
      <c r="X1431" t="str">
        <f>VLOOKUP(W1431,ColumnMapping[New Table.Column],1,)</f>
        <v>BATCHREP.OWNER_ID</v>
      </c>
      <c r="Y1431" t="str">
        <f>_xlfn.XLOOKUP(Table6[[#This Row],[Table.Column]],ColumnMapping[Add Column Name],ColumnMapping[Old Table.Column],"",0,1)</f>
        <v/>
      </c>
      <c r="Z1431" t="str">
        <f>_xlfn.XLOOKUP(Table6[[#This Row],[Old Table.Column]],Cobra8.6[Table.Column],Cobra8.6[TYPE],"",0,1)</f>
        <v/>
      </c>
      <c r="AA1431" t="str">
        <f>_xlfn.XLOOKUP(Table6[[#This Row],[Old Table.Column]],Cobra8.6[Table.Column],Cobra8.6[LENGTH],"",0,1)</f>
        <v/>
      </c>
    </row>
    <row r="1432" spans="1:28" hidden="1" x14ac:dyDescent="0.2">
      <c r="A1432" t="s">
        <v>450</v>
      </c>
      <c r="B1432" s="39" t="s">
        <v>2028</v>
      </c>
      <c r="C1432" s="39" t="s">
        <v>770</v>
      </c>
      <c r="D1432" s="39">
        <v>8</v>
      </c>
      <c r="E1432" s="39" t="s">
        <v>31</v>
      </c>
      <c r="F1432" s="39" t="s">
        <v>765</v>
      </c>
      <c r="G1432" s="39"/>
      <c r="H1432" s="39"/>
      <c r="I1432" s="47"/>
      <c r="J1432" s="47"/>
      <c r="K1432" s="47"/>
      <c r="L1432" s="47"/>
      <c r="M1432" s="39" t="s">
        <v>451</v>
      </c>
      <c r="N1432" s="39" t="s">
        <v>30</v>
      </c>
      <c r="O1432" s="39" t="s">
        <v>1914</v>
      </c>
      <c r="P1432" s="39"/>
      <c r="Q1432" s="39" t="str">
        <f>IF(C1432="","",LOWER(LEFT(TRIM(C1432),FIND("_",TRIM(C1432)&amp;"_")-1))&amp;SUBSTITUTE(PROPER(SUBSTITUTE(MID(TRIM(C1432),FIND("_",TRIM(C1432)&amp;"_"),LEN(TRIM(C1432))),"_"," "))," ",""))</f>
        <v>projectUid</v>
      </c>
      <c r="R1432" t="str">
        <f>VLOOKUP(E1432,'Data Type Lookup'!$A$1:$C$21,3,FALSE)</f>
        <v>java.util.UUID</v>
      </c>
      <c r="S1432" s="39"/>
      <c r="W1432" t="str">
        <f t="shared" si="60"/>
        <v>BATCHREP.PROJECT_UID</v>
      </c>
      <c r="X1432" t="str">
        <f>VLOOKUP(W1432,ColumnMapping[New Table.Column],1,)</f>
        <v>BATCHREP.PROJECT_UID</v>
      </c>
      <c r="Y1432" t="str">
        <f>_xlfn.XLOOKUP(Table6[[#This Row],[Table.Column]],ColumnMapping[Add Column Name],ColumnMapping[Old Table.Column],"",0,1)</f>
        <v/>
      </c>
      <c r="Z1432" t="str">
        <f>_xlfn.XLOOKUP(Table6[[#This Row],[Old Table.Column]],Cobra8.6[Table.Column],Cobra8.6[TYPE],"",0,1)</f>
        <v/>
      </c>
      <c r="AA1432" t="str">
        <f>_xlfn.XLOOKUP(Table6[[#This Row],[Old Table.Column]],Cobra8.6[Table.Column],Cobra8.6[LENGTH],"",0,1)</f>
        <v/>
      </c>
    </row>
    <row r="1433" spans="1:28" hidden="1" x14ac:dyDescent="0.2">
      <c r="A1433" t="s">
        <v>450</v>
      </c>
      <c r="B1433" s="39" t="s">
        <v>2028</v>
      </c>
      <c r="C1433" s="39" t="s">
        <v>744</v>
      </c>
      <c r="D1433" s="39">
        <v>9</v>
      </c>
      <c r="E1433" s="39" t="s">
        <v>86</v>
      </c>
      <c r="F1433" s="39" t="s">
        <v>349</v>
      </c>
      <c r="G1433" s="39">
        <v>22</v>
      </c>
      <c r="H1433" s="39"/>
      <c r="I1433" s="47"/>
      <c r="J1433" s="47"/>
      <c r="K1433" s="47"/>
      <c r="L1433" s="47"/>
      <c r="M1433" s="39"/>
      <c r="N1433" s="39"/>
      <c r="O1433" s="39"/>
      <c r="P1433" s="39"/>
      <c r="Q1433" s="39" t="s">
        <v>814</v>
      </c>
      <c r="R1433" t="str">
        <f>VLOOKUP(E1433,'Data Type Lookup'!$A$1:$C$21,3,FALSE)</f>
        <v>String</v>
      </c>
      <c r="S1433" s="39"/>
      <c r="W1433" t="str">
        <f t="shared" si="60"/>
        <v>BATCHREP.PROGRAM</v>
      </c>
      <c r="X1433" t="str">
        <f>VLOOKUP(W1433,ColumnMapping[New Table.Column],1,)</f>
        <v>BATCHREP.PROGRAM</v>
      </c>
      <c r="Y1433" t="str">
        <f>_xlfn.XLOOKUP(Table6[[#This Row],[Table.Column]],ColumnMapping[Add Column Name],ColumnMapping[Old Table.Column],"",0,1)</f>
        <v/>
      </c>
      <c r="Z1433" t="str">
        <f>_xlfn.XLOOKUP(Table6[[#This Row],[Old Table.Column]],Cobra8.6[Table.Column],Cobra8.6[TYPE],"",0,1)</f>
        <v/>
      </c>
      <c r="AA1433" t="str">
        <f>_xlfn.XLOOKUP(Table6[[#This Row],[Old Table.Column]],Cobra8.6[Table.Column],Cobra8.6[LENGTH],"",0,1)</f>
        <v/>
      </c>
    </row>
    <row r="1434" spans="1:28" hidden="1" x14ac:dyDescent="0.2">
      <c r="A1434" t="s">
        <v>450</v>
      </c>
      <c r="B1434" s="39" t="s">
        <v>2028</v>
      </c>
      <c r="C1434" s="39" t="s">
        <v>35</v>
      </c>
      <c r="D1434" s="39">
        <v>10</v>
      </c>
      <c r="E1434" t="s">
        <v>36</v>
      </c>
      <c r="F1434" t="str">
        <f>VLOOKUP($E1434,'Data Type Lookup'!$A$1:$C$21,2,FALSE)</f>
        <v>NUMBER(19,0)</v>
      </c>
      <c r="I1434" s="32" t="s">
        <v>32</v>
      </c>
      <c r="J1434" s="32">
        <v>0</v>
      </c>
      <c r="P1434" t="s">
        <v>37</v>
      </c>
      <c r="Q1434" t="s">
        <v>38</v>
      </c>
      <c r="R1434" t="str">
        <f>VLOOKUP(E1434,'Data Type Lookup'!$A$1:$C$21,3,FALSE)</f>
        <v>Long</v>
      </c>
      <c r="S1434">
        <v>3</v>
      </c>
      <c r="W1434" t="str">
        <f t="shared" si="60"/>
        <v>BATCHREP.SEQUENCE</v>
      </c>
      <c r="X1434" t="str">
        <f>VLOOKUP(W1434,ColumnMapping[New Table.Column],1,)</f>
        <v>BATCHREP.SEQUENCE</v>
      </c>
      <c r="Y1434" t="str">
        <f>_xlfn.XLOOKUP(Table6[[#This Row],[Table.Column]],ColumnMapping[Add Column Name],ColumnMapping[Old Table.Column],"",0,1)</f>
        <v/>
      </c>
      <c r="Z1434" t="str">
        <f>_xlfn.XLOOKUP(Table6[[#This Row],[Old Table.Column]],Cobra8.6[Table.Column],Cobra8.6[TYPE],"",0,1)</f>
        <v/>
      </c>
      <c r="AA1434" t="str">
        <f>_xlfn.XLOOKUP(Table6[[#This Row],[Old Table.Column]],Cobra8.6[Table.Column],Cobra8.6[LENGTH],"",0,1)</f>
        <v/>
      </c>
    </row>
    <row r="1435" spans="1:28" hidden="1" x14ac:dyDescent="0.2">
      <c r="A1435" t="s">
        <v>450</v>
      </c>
      <c r="B1435" s="39" t="s">
        <v>2028</v>
      </c>
      <c r="C1435" s="39" t="s">
        <v>2037</v>
      </c>
      <c r="D1435" s="39">
        <v>11</v>
      </c>
      <c r="E1435" s="39" t="s">
        <v>36</v>
      </c>
      <c r="F1435" s="39" t="s">
        <v>768</v>
      </c>
      <c r="G1435" s="39"/>
      <c r="H1435" s="39"/>
      <c r="I1435" s="47"/>
      <c r="J1435" s="47">
        <v>0</v>
      </c>
      <c r="K1435" s="47"/>
      <c r="L1435" s="47"/>
      <c r="M1435" s="39"/>
      <c r="N1435" s="39"/>
      <c r="O1435" s="39"/>
      <c r="P1435" s="39"/>
      <c r="Q1435" s="39" t="s">
        <v>2038</v>
      </c>
      <c r="R1435" t="str">
        <f>VLOOKUP(E1435,'Data Type Lookup'!$A$1:$C$21,3,FALSE)</f>
        <v>Long</v>
      </c>
      <c r="S1435" s="39"/>
      <c r="W1435" t="str">
        <f t="shared" si="60"/>
        <v>BATCHREP.SUB_FOLDER</v>
      </c>
      <c r="X1435" t="str">
        <f>VLOOKUP(W1435,ColumnMapping[New Table.Column],1,)</f>
        <v>BATCHREP.SUB_FOLDER</v>
      </c>
      <c r="Y1435" t="str">
        <f>_xlfn.XLOOKUP(Table6[[#This Row],[Table.Column]],ColumnMapping[Add Column Name],ColumnMapping[Old Table.Column],"",0,1)</f>
        <v/>
      </c>
      <c r="Z1435" t="str">
        <f>_xlfn.XLOOKUP(Table6[[#This Row],[Old Table.Column]],Cobra8.6[Table.Column],Cobra8.6[TYPE],"",0,1)</f>
        <v/>
      </c>
      <c r="AA1435" t="str">
        <f>_xlfn.XLOOKUP(Table6[[#This Row],[Old Table.Column]],Cobra8.6[Table.Column],Cobra8.6[LENGTH],"",0,1)</f>
        <v/>
      </c>
    </row>
    <row r="1436" spans="1:28" hidden="1" x14ac:dyDescent="0.2">
      <c r="A1436" t="s">
        <v>450</v>
      </c>
      <c r="B1436" s="39" t="s">
        <v>2028</v>
      </c>
      <c r="C1436" s="39" t="s">
        <v>68</v>
      </c>
      <c r="D1436" s="39">
        <v>12</v>
      </c>
      <c r="E1436" t="s">
        <v>31</v>
      </c>
      <c r="F1436" t="str">
        <f>VLOOKUP($E1436,'Data Type Lookup'!$A$1:$C$21,2,FALSE)</f>
        <v>RAW(16)</v>
      </c>
      <c r="I1436" s="32" t="s">
        <v>32</v>
      </c>
      <c r="P1436" t="s">
        <v>1632</v>
      </c>
      <c r="Q1436" t="s">
        <v>70</v>
      </c>
      <c r="R1436" t="str">
        <f>VLOOKUP(E1436,'Data Type Lookup'!$A$1:$C$21,3,FALSE)</f>
        <v>java.util.UUID</v>
      </c>
      <c r="S1436">
        <v>2</v>
      </c>
      <c r="W1436" t="str">
        <f t="shared" si="60"/>
        <v>BATCHREP.LAST_MODIFIED_BY_USER_UID</v>
      </c>
      <c r="X1436" t="str">
        <f>VLOOKUP(W1436,ColumnMapping[New Table.Column],1,)</f>
        <v>BATCHREP.LAST_MODIFIED_BY_USER_UID</v>
      </c>
      <c r="Y1436" t="str">
        <f>_xlfn.XLOOKUP(Table6[[#This Row],[Table.Column]],ColumnMapping[Add Column Name],ColumnMapping[Old Table.Column],"",0,1)</f>
        <v/>
      </c>
      <c r="Z1436" t="str">
        <f>_xlfn.XLOOKUP(Table6[[#This Row],[Old Table.Column]],Cobra8.6[Table.Column],Cobra8.6[TYPE],"",0,1)</f>
        <v/>
      </c>
      <c r="AA1436" t="str">
        <f>_xlfn.XLOOKUP(Table6[[#This Row],[Old Table.Column]],Cobra8.6[Table.Column],Cobra8.6[LENGTH],"",0,1)</f>
        <v/>
      </c>
    </row>
    <row r="1437" spans="1:28" hidden="1" x14ac:dyDescent="0.2">
      <c r="A1437" t="s">
        <v>450</v>
      </c>
      <c r="B1437" s="39" t="s">
        <v>2028</v>
      </c>
      <c r="C1437" s="39" t="s">
        <v>30</v>
      </c>
      <c r="D1437" s="39">
        <v>13</v>
      </c>
      <c r="E1437" t="s">
        <v>31</v>
      </c>
      <c r="F1437" t="str">
        <f>VLOOKUP($E1437,'Data Type Lookup'!$A$1:$C$21,2,FALSE)</f>
        <v>RAW(16)</v>
      </c>
      <c r="I1437" s="32" t="s">
        <v>32</v>
      </c>
      <c r="K1437" s="32" t="s">
        <v>32</v>
      </c>
      <c r="P1437" t="s">
        <v>1789</v>
      </c>
      <c r="Q1437" t="s">
        <v>34</v>
      </c>
      <c r="R1437" t="str">
        <f>VLOOKUP(E1437,'Data Type Lookup'!$A$1:$C$21,3,FALSE)</f>
        <v>java.util.UUID</v>
      </c>
      <c r="S1437">
        <v>3</v>
      </c>
      <c r="W1437" t="str">
        <f t="shared" ref="W1437:W1457" si="61">_xlfn.CONCAT(B1437,".",C1437)</f>
        <v>BATCHREP.ROW_UID</v>
      </c>
      <c r="X1437" t="str">
        <f>VLOOKUP(W1437,ColumnMapping[New Table.Column],1,)</f>
        <v>BATCHREP.ROW_UID</v>
      </c>
      <c r="Y1437" t="str">
        <f>_xlfn.XLOOKUP(Table6[[#This Row],[Table.Column]],ColumnMapping[Add Column Name],ColumnMapping[Old Table.Column],"",0,1)</f>
        <v/>
      </c>
      <c r="Z1437" t="str">
        <f>_xlfn.XLOOKUP(Table6[[#This Row],[Old Table.Column]],Cobra8.6[Table.Column],Cobra8.6[TYPE],"",0,1)</f>
        <v/>
      </c>
      <c r="AA1437" t="str">
        <f>_xlfn.XLOOKUP(Table6[[#This Row],[Old Table.Column]],Cobra8.6[Table.Column],Cobra8.6[LENGTH],"",0,1)</f>
        <v/>
      </c>
    </row>
    <row r="1438" spans="1:28" hidden="1" x14ac:dyDescent="0.2">
      <c r="A1438" t="s">
        <v>450</v>
      </c>
      <c r="B1438" s="39" t="s">
        <v>2028</v>
      </c>
      <c r="C1438" s="39" t="s">
        <v>61</v>
      </c>
      <c r="D1438" s="39">
        <v>14</v>
      </c>
      <c r="E1438" t="s">
        <v>31</v>
      </c>
      <c r="F1438" t="str">
        <f>VLOOKUP($E1438,'Data Type Lookup'!$A$1:$C$21,2,FALSE)</f>
        <v>RAW(16)</v>
      </c>
      <c r="I1438" s="32" t="s">
        <v>32</v>
      </c>
      <c r="P1438" t="s">
        <v>1629</v>
      </c>
      <c r="Q1438" t="s">
        <v>63</v>
      </c>
      <c r="R1438" t="str">
        <f>VLOOKUP(E1438,'Data Type Lookup'!$A$1:$C$21,3,FALSE)</f>
        <v>java.util.UUID</v>
      </c>
      <c r="S1438">
        <v>2</v>
      </c>
      <c r="W1438" t="str">
        <f t="shared" si="61"/>
        <v>BATCHREP.CREATED_BY_USER_UID</v>
      </c>
      <c r="X1438" t="str">
        <f>VLOOKUP(W1438,ColumnMapping[New Table.Column],1,)</f>
        <v>BATCHREP.CREATED_BY_USER_UID</v>
      </c>
      <c r="Y1438" t="str">
        <f>_xlfn.XLOOKUP(Table6[[#This Row],[Table.Column]],ColumnMapping[Add Column Name],ColumnMapping[Old Table.Column],"",0,1)</f>
        <v/>
      </c>
      <c r="Z1438" t="str">
        <f>_xlfn.XLOOKUP(Table6[[#This Row],[Old Table.Column]],Cobra8.6[Table.Column],Cobra8.6[TYPE],"",0,1)</f>
        <v/>
      </c>
      <c r="AA1438" t="str">
        <f>_xlfn.XLOOKUP(Table6[[#This Row],[Old Table.Column]],Cobra8.6[Table.Column],Cobra8.6[LENGTH],"",0,1)</f>
        <v/>
      </c>
    </row>
    <row r="1439" spans="1:28" hidden="1" x14ac:dyDescent="0.2">
      <c r="A1439" t="s">
        <v>450</v>
      </c>
      <c r="B1439" s="39" t="s">
        <v>2028</v>
      </c>
      <c r="C1439" s="39" t="s">
        <v>64</v>
      </c>
      <c r="D1439" s="39">
        <v>15</v>
      </c>
      <c r="E1439" t="s">
        <v>65</v>
      </c>
      <c r="F1439" t="str">
        <f>VLOOKUP($E1439,'Data Type Lookup'!$A$1:$C$21,2,FALSE)</f>
        <v>TIMESTAMP</v>
      </c>
      <c r="I1439" s="32" t="s">
        <v>32</v>
      </c>
      <c r="P1439" t="s">
        <v>1630</v>
      </c>
      <c r="Q1439" t="s">
        <v>67</v>
      </c>
      <c r="R1439" t="str">
        <f>VLOOKUP(E1439,'Data Type Lookup'!$A$1:$C$21,3,FALSE)</f>
        <v>java.time.Instant</v>
      </c>
      <c r="S1439">
        <v>2</v>
      </c>
      <c r="W1439" t="str">
        <f t="shared" si="61"/>
        <v>BATCHREP.CREATED_DATE</v>
      </c>
      <c r="X1439" t="str">
        <f>VLOOKUP(W1439,ColumnMapping[New Table.Column],1,)</f>
        <v>BATCHREP.CREATED_DATE</v>
      </c>
      <c r="Y1439" t="str">
        <f>_xlfn.XLOOKUP(Table6[[#This Row],[Table.Column]],ColumnMapping[Add Column Name],ColumnMapping[Old Table.Column],"",0,1)</f>
        <v/>
      </c>
      <c r="Z1439" t="str">
        <f>_xlfn.XLOOKUP(Table6[[#This Row],[Old Table.Column]],Cobra8.6[Table.Column],Cobra8.6[TYPE],"",0,1)</f>
        <v/>
      </c>
      <c r="AA1439" t="str">
        <f>_xlfn.XLOOKUP(Table6[[#This Row],[Old Table.Column]],Cobra8.6[Table.Column],Cobra8.6[LENGTH],"",0,1)</f>
        <v/>
      </c>
    </row>
    <row r="1440" spans="1:28" x14ac:dyDescent="0.2">
      <c r="A1440" t="s">
        <v>450</v>
      </c>
      <c r="B1440" t="s">
        <v>2617</v>
      </c>
      <c r="C1440" t="s">
        <v>30</v>
      </c>
      <c r="D1440">
        <v>1</v>
      </c>
      <c r="E1440" t="s">
        <v>31</v>
      </c>
      <c r="F1440" t="str">
        <f>VLOOKUP($E1440,'Data Type Lookup'!$A$1:$C$21,2,FALSE)</f>
        <v>RAW(16)</v>
      </c>
      <c r="H1440" s="2"/>
      <c r="I1440" s="32" t="s">
        <v>32</v>
      </c>
      <c r="J1440" s="38"/>
      <c r="K1440" s="32" t="s">
        <v>32</v>
      </c>
      <c r="M1440" t="s">
        <v>1218</v>
      </c>
      <c r="N1440" t="s">
        <v>30</v>
      </c>
      <c r="O1440" t="s">
        <v>1195</v>
      </c>
      <c r="P1440" t="s">
        <v>2619</v>
      </c>
      <c r="Q1440" t="s">
        <v>34</v>
      </c>
      <c r="R1440" t="str">
        <f>VLOOKUP(E1440,'Data Type Lookup'!$A$1:$C$21,3,FALSE)</f>
        <v>java.util.UUID</v>
      </c>
      <c r="S1440">
        <v>3</v>
      </c>
      <c r="U1440" s="2"/>
      <c r="V1440" s="8"/>
      <c r="W1440" t="str">
        <f t="shared" si="61"/>
        <v>PROJECT_CONTROL_ACCOUNT_TOTAL.ROW_UID</v>
      </c>
      <c r="X1440" t="e">
        <f>VLOOKUP(W1440,ColumnMapping[New Table.Column],1,)</f>
        <v>#N/A</v>
      </c>
      <c r="Y1440" t="e">
        <f>_xlfn.XLOOKUP(Table6[[#This Row],[Table.Column]],ColumnMapping[Add Column Name],ColumnMapping[Old Table.Column],"",0,1)</f>
        <v>#VALUE!</v>
      </c>
      <c r="Z1440" t="e">
        <f>_xlfn.XLOOKUP(Table6[[#This Row],[Old Table.Column]],Cobra8.6[Table.Column],Cobra8.6[TYPE],"",0,1)</f>
        <v>#VALUE!</v>
      </c>
      <c r="AA1440" t="e">
        <f>_xlfn.XLOOKUP(Table6[[#This Row],[Old Table.Column]],Cobra8.6[Table.Column],Cobra8.6[LENGTH],"",0,1)</f>
        <v>#VALUE!</v>
      </c>
      <c r="AB1440"/>
    </row>
    <row r="1441" spans="1:28" x14ac:dyDescent="0.2">
      <c r="A1441" t="s">
        <v>450</v>
      </c>
      <c r="B1441" t="s">
        <v>2617</v>
      </c>
      <c r="C1441" t="s">
        <v>600</v>
      </c>
      <c r="D1441">
        <v>3</v>
      </c>
      <c r="E1441" t="s">
        <v>161</v>
      </c>
      <c r="F1441" t="str">
        <f>VLOOKUP($E1441,'Data Type Lookup'!$A$1:$C$21,2,FALSE)</f>
        <v>NUMBER(21,6)</v>
      </c>
      <c r="I1441" s="32" t="s">
        <v>32</v>
      </c>
      <c r="J1441" s="32">
        <v>0</v>
      </c>
      <c r="P1441" t="s">
        <v>1196</v>
      </c>
      <c r="Q1441" t="s">
        <v>839</v>
      </c>
      <c r="R1441" t="str">
        <f>VLOOKUP(E1441,'Data Type Lookup'!$A$1:$C$21,3,FALSE)</f>
        <v>java.math.BigDecimal</v>
      </c>
      <c r="W1441" t="str">
        <f t="shared" si="61"/>
        <v>PROJECT_CONTROL_ACCOUNT_TOTAL.ACWP</v>
      </c>
      <c r="X1441" t="e">
        <f>VLOOKUP(W1441,ColumnMapping[New Table.Column],1,)</f>
        <v>#N/A</v>
      </c>
      <c r="Y1441" t="e">
        <f>_xlfn.XLOOKUP(Table6[[#This Row],[Table.Column]],ColumnMapping[Add Column Name],ColumnMapping[Old Table.Column],"",0,1)</f>
        <v>#VALUE!</v>
      </c>
      <c r="Z1441" t="e">
        <f>_xlfn.XLOOKUP(Table6[[#This Row],[Old Table.Column]],Cobra8.6[Table.Column],Cobra8.6[TYPE],"",0,1)</f>
        <v>#VALUE!</v>
      </c>
      <c r="AA1441" t="e">
        <f>_xlfn.XLOOKUP(Table6[[#This Row],[Old Table.Column]],Cobra8.6[Table.Column],Cobra8.6[LENGTH],"",0,1)</f>
        <v>#VALUE!</v>
      </c>
      <c r="AB1441"/>
    </row>
    <row r="1442" spans="1:28" x14ac:dyDescent="0.2">
      <c r="A1442" t="s">
        <v>450</v>
      </c>
      <c r="B1442" t="s">
        <v>2617</v>
      </c>
      <c r="C1442" t="s">
        <v>613</v>
      </c>
      <c r="D1442">
        <v>4</v>
      </c>
      <c r="E1442" t="s">
        <v>161</v>
      </c>
      <c r="F1442" t="str">
        <f>VLOOKUP($E1442,'Data Type Lookup'!$A$1:$C$21,2,FALSE)</f>
        <v>NUMBER(21,6)</v>
      </c>
      <c r="I1442" s="32" t="s">
        <v>32</v>
      </c>
      <c r="J1442" s="32">
        <v>0</v>
      </c>
      <c r="P1442" t="s">
        <v>1197</v>
      </c>
      <c r="Q1442" t="s">
        <v>838</v>
      </c>
      <c r="R1442" t="str">
        <f>VLOOKUP(E1442,'Data Type Lookup'!$A$1:$C$21,3,FALSE)</f>
        <v>java.math.BigDecimal</v>
      </c>
      <c r="W1442" t="str">
        <f t="shared" si="61"/>
        <v>PROJECT_CONTROL_ACCOUNT_TOTAL.BCWP</v>
      </c>
      <c r="X1442" t="e">
        <f>VLOOKUP(W1442,ColumnMapping[New Table.Column],1,)</f>
        <v>#N/A</v>
      </c>
      <c r="Y1442" t="e">
        <f>_xlfn.XLOOKUP(Table6[[#This Row],[Table.Column]],ColumnMapping[Add Column Name],ColumnMapping[Old Table.Column],"",0,1)</f>
        <v>#VALUE!</v>
      </c>
      <c r="Z1442" t="e">
        <f>_xlfn.XLOOKUP(Table6[[#This Row],[Old Table.Column]],Cobra8.6[Table.Column],Cobra8.6[TYPE],"",0,1)</f>
        <v>#VALUE!</v>
      </c>
      <c r="AA1442" t="e">
        <f>_xlfn.XLOOKUP(Table6[[#This Row],[Old Table.Column]],Cobra8.6[Table.Column],Cobra8.6[LENGTH],"",0,1)</f>
        <v>#VALUE!</v>
      </c>
      <c r="AB1442"/>
    </row>
    <row r="1443" spans="1:28" x14ac:dyDescent="0.2">
      <c r="A1443" t="s">
        <v>450</v>
      </c>
      <c r="B1443" t="s">
        <v>2617</v>
      </c>
      <c r="C1443" t="s">
        <v>617</v>
      </c>
      <c r="D1443">
        <v>5</v>
      </c>
      <c r="E1443" t="s">
        <v>161</v>
      </c>
      <c r="F1443" t="str">
        <f>VLOOKUP($E1443,'Data Type Lookup'!$A$1:$C$21,2,FALSE)</f>
        <v>NUMBER(21,6)</v>
      </c>
      <c r="I1443" s="32" t="s">
        <v>32</v>
      </c>
      <c r="J1443" s="32">
        <v>0</v>
      </c>
      <c r="P1443" t="s">
        <v>1198</v>
      </c>
      <c r="Q1443" t="s">
        <v>837</v>
      </c>
      <c r="R1443" t="str">
        <f>VLOOKUP(E1443,'Data Type Lookup'!$A$1:$C$21,3,FALSE)</f>
        <v>java.math.BigDecimal</v>
      </c>
      <c r="W1443" t="str">
        <f t="shared" si="61"/>
        <v>PROJECT_CONTROL_ACCOUNT_TOTAL.BCWS</v>
      </c>
      <c r="X1443" t="e">
        <f>VLOOKUP(W1443,ColumnMapping[New Table.Column],1,)</f>
        <v>#N/A</v>
      </c>
      <c r="Y1443" t="e">
        <f>_xlfn.XLOOKUP(Table6[[#This Row],[Table.Column]],ColumnMapping[Add Column Name],ColumnMapping[Old Table.Column],"",0,1)</f>
        <v>#VALUE!</v>
      </c>
      <c r="Z1443" t="e">
        <f>_xlfn.XLOOKUP(Table6[[#This Row],[Old Table.Column]],Cobra8.6[Table.Column],Cobra8.6[TYPE],"",0,1)</f>
        <v>#VALUE!</v>
      </c>
      <c r="AA1443" t="e">
        <f>_xlfn.XLOOKUP(Table6[[#This Row],[Old Table.Column]],Cobra8.6[Table.Column],Cobra8.6[LENGTH],"",0,1)</f>
        <v>#VALUE!</v>
      </c>
      <c r="AB1443"/>
    </row>
    <row r="1444" spans="1:28" x14ac:dyDescent="0.2">
      <c r="A1444" t="s">
        <v>450</v>
      </c>
      <c r="B1444" t="s">
        <v>2617</v>
      </c>
      <c r="C1444" t="s">
        <v>607</v>
      </c>
      <c r="D1444">
        <v>6</v>
      </c>
      <c r="E1444" t="s">
        <v>161</v>
      </c>
      <c r="F1444" t="str">
        <f>VLOOKUP($E1444,'Data Type Lookup'!$A$1:$C$21,2,FALSE)</f>
        <v>NUMBER(21,6)</v>
      </c>
      <c r="I1444" s="32" t="s">
        <v>32</v>
      </c>
      <c r="J1444" s="32">
        <v>0</v>
      </c>
      <c r="P1444" t="s">
        <v>1199</v>
      </c>
      <c r="Q1444" t="s">
        <v>836</v>
      </c>
      <c r="R1444" t="str">
        <f>VLOOKUP(E1444,'Data Type Lookup'!$A$1:$C$21,3,FALSE)</f>
        <v>java.math.BigDecimal</v>
      </c>
      <c r="W1444" t="str">
        <f t="shared" si="61"/>
        <v>PROJECT_CONTROL_ACCOUNT_TOTAL.BAC</v>
      </c>
      <c r="X1444" t="e">
        <f>VLOOKUP(W1444,ColumnMapping[New Table.Column],1,)</f>
        <v>#N/A</v>
      </c>
      <c r="Y1444" t="e">
        <f>_xlfn.XLOOKUP(Table6[[#This Row],[Table.Column]],ColumnMapping[Add Column Name],ColumnMapping[Old Table.Column],"",0,1)</f>
        <v>#VALUE!</v>
      </c>
      <c r="Z1444" t="e">
        <f>_xlfn.XLOOKUP(Table6[[#This Row],[Old Table.Column]],Cobra8.6[Table.Column],Cobra8.6[TYPE],"",0,1)</f>
        <v>#VALUE!</v>
      </c>
      <c r="AA1444" t="e">
        <f>_xlfn.XLOOKUP(Table6[[#This Row],[Old Table.Column]],Cobra8.6[Table.Column],Cobra8.6[LENGTH],"",0,1)</f>
        <v>#VALUE!</v>
      </c>
      <c r="AB1444"/>
    </row>
    <row r="1445" spans="1:28" x14ac:dyDescent="0.2">
      <c r="A1445" t="s">
        <v>450</v>
      </c>
      <c r="B1445" t="s">
        <v>2617</v>
      </c>
      <c r="C1445" t="s">
        <v>690</v>
      </c>
      <c r="D1445">
        <v>7</v>
      </c>
      <c r="E1445" t="s">
        <v>161</v>
      </c>
      <c r="F1445" t="str">
        <f>VLOOKUP($E1445,'Data Type Lookup'!$A$1:$C$21,2,FALSE)</f>
        <v>NUMBER(21,6)</v>
      </c>
      <c r="I1445" s="32" t="s">
        <v>32</v>
      </c>
      <c r="J1445" s="32">
        <v>0</v>
      </c>
      <c r="P1445" t="s">
        <v>1200</v>
      </c>
      <c r="Q1445" t="s">
        <v>826</v>
      </c>
      <c r="R1445" t="str">
        <f>VLOOKUP(E1445,'Data Type Lookup'!$A$1:$C$21,3,FALSE)</f>
        <v>java.math.BigDecimal</v>
      </c>
      <c r="W1445" t="str">
        <f t="shared" si="61"/>
        <v>PROJECT_CONTROL_ACCOUNT_TOTAL.EAC</v>
      </c>
      <c r="X1445" t="e">
        <f>VLOOKUP(W1445,ColumnMapping[New Table.Column],1,)</f>
        <v>#N/A</v>
      </c>
      <c r="Y1445" t="e">
        <f>_xlfn.XLOOKUP(Table6[[#This Row],[Table.Column]],ColumnMapping[Add Column Name],ColumnMapping[Old Table.Column],"",0,1)</f>
        <v>#VALUE!</v>
      </c>
      <c r="Z1445" t="e">
        <f>_xlfn.XLOOKUP(Table6[[#This Row],[Old Table.Column]],Cobra8.6[Table.Column],Cobra8.6[TYPE],"",0,1)</f>
        <v>#VALUE!</v>
      </c>
      <c r="AA1445" t="e">
        <f>_xlfn.XLOOKUP(Table6[[#This Row],[Old Table.Column]],Cobra8.6[Table.Column],Cobra8.6[LENGTH],"",0,1)</f>
        <v>#VALUE!</v>
      </c>
      <c r="AB1445"/>
    </row>
    <row r="1446" spans="1:28" x14ac:dyDescent="0.2">
      <c r="A1446" t="s">
        <v>450</v>
      </c>
      <c r="B1446" t="s">
        <v>2617</v>
      </c>
      <c r="C1446" t="s">
        <v>1013</v>
      </c>
      <c r="D1446">
        <v>8</v>
      </c>
      <c r="E1446" t="s">
        <v>161</v>
      </c>
      <c r="F1446" t="str">
        <f>VLOOKUP($E1446,'Data Type Lookup'!$A$1:$C$21,2,FALSE)</f>
        <v>NUMBER(21,6)</v>
      </c>
      <c r="I1446" s="32" t="s">
        <v>32</v>
      </c>
      <c r="J1446" s="32">
        <v>0</v>
      </c>
      <c r="P1446" t="s">
        <v>1201</v>
      </c>
      <c r="Q1446" t="s">
        <v>1202</v>
      </c>
      <c r="R1446" t="str">
        <f>VLOOKUP(E1446,'Data Type Lookup'!$A$1:$C$21,3,FALSE)</f>
        <v>java.math.BigDecimal</v>
      </c>
      <c r="W1446" t="str">
        <f t="shared" si="61"/>
        <v>PROJECT_CONTROL_ACCOUNT_TOTAL.EAC_NONLAB</v>
      </c>
      <c r="X1446" t="e">
        <f>VLOOKUP(W1446,ColumnMapping[New Table.Column],1,)</f>
        <v>#N/A</v>
      </c>
      <c r="Y1446" t="e">
        <f>_xlfn.XLOOKUP(Table6[[#This Row],[Table.Column]],ColumnMapping[Add Column Name],ColumnMapping[Old Table.Column],"",0,1)</f>
        <v>#VALUE!</v>
      </c>
      <c r="Z1446" t="e">
        <f>_xlfn.XLOOKUP(Table6[[#This Row],[Old Table.Column]],Cobra8.6[Table.Column],Cobra8.6[TYPE],"",0,1)</f>
        <v>#VALUE!</v>
      </c>
      <c r="AA1446" t="e">
        <f>_xlfn.XLOOKUP(Table6[[#This Row],[Old Table.Column]],Cobra8.6[Table.Column],Cobra8.6[LENGTH],"",0,1)</f>
        <v>#VALUE!</v>
      </c>
      <c r="AB1446"/>
    </row>
    <row r="1447" spans="1:28" x14ac:dyDescent="0.2">
      <c r="A1447" t="s">
        <v>450</v>
      </c>
      <c r="B1447" t="s">
        <v>2617</v>
      </c>
      <c r="C1447" t="s">
        <v>602</v>
      </c>
      <c r="D1447">
        <v>9</v>
      </c>
      <c r="E1447" t="s">
        <v>161</v>
      </c>
      <c r="F1447" t="str">
        <f>VLOOKUP($E1447,'Data Type Lookup'!$A$1:$C$21,2,FALSE)</f>
        <v>NUMBER(21,6)</v>
      </c>
      <c r="I1447" s="32" t="s">
        <v>32</v>
      </c>
      <c r="J1447" s="32">
        <v>0</v>
      </c>
      <c r="P1447" t="s">
        <v>1203</v>
      </c>
      <c r="Q1447" t="s">
        <v>842</v>
      </c>
      <c r="R1447" t="str">
        <f>VLOOKUP(E1447,'Data Type Lookup'!$A$1:$C$21,3,FALSE)</f>
        <v>java.math.BigDecimal</v>
      </c>
      <c r="W1447" t="str">
        <f t="shared" si="61"/>
        <v>PROJECT_CONTROL_ACCOUNT_TOTAL.ACWP_HRS</v>
      </c>
      <c r="X1447" t="e">
        <f>VLOOKUP(W1447,ColumnMapping[New Table.Column],1,)</f>
        <v>#N/A</v>
      </c>
      <c r="Y1447" t="e">
        <f>_xlfn.XLOOKUP(Table6[[#This Row],[Table.Column]],ColumnMapping[Add Column Name],ColumnMapping[Old Table.Column],"",0,1)</f>
        <v>#VALUE!</v>
      </c>
      <c r="Z1447" t="e">
        <f>_xlfn.XLOOKUP(Table6[[#This Row],[Old Table.Column]],Cobra8.6[Table.Column],Cobra8.6[TYPE],"",0,1)</f>
        <v>#VALUE!</v>
      </c>
      <c r="AA1447" t="e">
        <f>_xlfn.XLOOKUP(Table6[[#This Row],[Old Table.Column]],Cobra8.6[Table.Column],Cobra8.6[LENGTH],"",0,1)</f>
        <v>#VALUE!</v>
      </c>
      <c r="AB1447"/>
    </row>
    <row r="1448" spans="1:28" x14ac:dyDescent="0.2">
      <c r="A1448" t="s">
        <v>450</v>
      </c>
      <c r="B1448" t="s">
        <v>2617</v>
      </c>
      <c r="C1448" t="s">
        <v>615</v>
      </c>
      <c r="D1448">
        <v>10</v>
      </c>
      <c r="E1448" t="s">
        <v>161</v>
      </c>
      <c r="F1448" t="str">
        <f>VLOOKUP($E1448,'Data Type Lookup'!$A$1:$C$21,2,FALSE)</f>
        <v>NUMBER(21,6)</v>
      </c>
      <c r="I1448" s="32" t="s">
        <v>32</v>
      </c>
      <c r="J1448" s="32">
        <v>0</v>
      </c>
      <c r="P1448" t="s">
        <v>1204</v>
      </c>
      <c r="Q1448" t="s">
        <v>841</v>
      </c>
      <c r="R1448" t="str">
        <f>VLOOKUP(E1448,'Data Type Lookup'!$A$1:$C$21,3,FALSE)</f>
        <v>java.math.BigDecimal</v>
      </c>
      <c r="W1448" t="str">
        <f t="shared" si="61"/>
        <v>PROJECT_CONTROL_ACCOUNT_TOTAL.BCWP_HRS</v>
      </c>
      <c r="X1448" t="e">
        <f>VLOOKUP(W1448,ColumnMapping[New Table.Column],1,)</f>
        <v>#N/A</v>
      </c>
      <c r="Y1448" t="e">
        <f>_xlfn.XLOOKUP(Table6[[#This Row],[Table.Column]],ColumnMapping[Add Column Name],ColumnMapping[Old Table.Column],"",0,1)</f>
        <v>#VALUE!</v>
      </c>
      <c r="Z1448" t="e">
        <f>_xlfn.XLOOKUP(Table6[[#This Row],[Old Table.Column]],Cobra8.6[Table.Column],Cobra8.6[TYPE],"",0,1)</f>
        <v>#VALUE!</v>
      </c>
      <c r="AA1448" t="e">
        <f>_xlfn.XLOOKUP(Table6[[#This Row],[Old Table.Column]],Cobra8.6[Table.Column],Cobra8.6[LENGTH],"",0,1)</f>
        <v>#VALUE!</v>
      </c>
      <c r="AB1448"/>
    </row>
    <row r="1449" spans="1:28" x14ac:dyDescent="0.2">
      <c r="A1449" t="s">
        <v>450</v>
      </c>
      <c r="B1449" t="s">
        <v>2617</v>
      </c>
      <c r="C1449" t="s">
        <v>619</v>
      </c>
      <c r="D1449">
        <v>11</v>
      </c>
      <c r="E1449" t="s">
        <v>161</v>
      </c>
      <c r="F1449" t="str">
        <f>VLOOKUP($E1449,'Data Type Lookup'!$A$1:$C$21,2,FALSE)</f>
        <v>NUMBER(21,6)</v>
      </c>
      <c r="I1449" s="32" t="s">
        <v>32</v>
      </c>
      <c r="J1449" s="32">
        <v>0</v>
      </c>
      <c r="P1449" t="s">
        <v>1205</v>
      </c>
      <c r="Q1449" t="s">
        <v>840</v>
      </c>
      <c r="R1449" t="str">
        <f>VLOOKUP(E1449,'Data Type Lookup'!$A$1:$C$21,3,FALSE)</f>
        <v>java.math.BigDecimal</v>
      </c>
      <c r="W1449" t="str">
        <f t="shared" si="61"/>
        <v>PROJECT_CONTROL_ACCOUNT_TOTAL.BCWS_HRS</v>
      </c>
      <c r="X1449" t="e">
        <f>VLOOKUP(W1449,ColumnMapping[New Table.Column],1,)</f>
        <v>#N/A</v>
      </c>
      <c r="Y1449" t="e">
        <f>_xlfn.XLOOKUP(Table6[[#This Row],[Table.Column]],ColumnMapping[Add Column Name],ColumnMapping[Old Table.Column],"",0,1)</f>
        <v>#VALUE!</v>
      </c>
      <c r="Z1449" t="e">
        <f>_xlfn.XLOOKUP(Table6[[#This Row],[Old Table.Column]],Cobra8.6[Table.Column],Cobra8.6[TYPE],"",0,1)</f>
        <v>#VALUE!</v>
      </c>
      <c r="AA1449" t="e">
        <f>_xlfn.XLOOKUP(Table6[[#This Row],[Old Table.Column]],Cobra8.6[Table.Column],Cobra8.6[LENGTH],"",0,1)</f>
        <v>#VALUE!</v>
      </c>
      <c r="AB1449"/>
    </row>
    <row r="1450" spans="1:28" x14ac:dyDescent="0.2">
      <c r="A1450" t="s">
        <v>450</v>
      </c>
      <c r="B1450" t="s">
        <v>2617</v>
      </c>
      <c r="C1450" t="s">
        <v>609</v>
      </c>
      <c r="D1450">
        <v>12</v>
      </c>
      <c r="E1450" t="s">
        <v>161</v>
      </c>
      <c r="F1450" t="str">
        <f>VLOOKUP($E1450,'Data Type Lookup'!$A$1:$C$21,2,FALSE)</f>
        <v>NUMBER(21,6)</v>
      </c>
      <c r="I1450" s="32" t="s">
        <v>32</v>
      </c>
      <c r="J1450" s="32">
        <v>0</v>
      </c>
      <c r="P1450" t="s">
        <v>1206</v>
      </c>
      <c r="Q1450" t="s">
        <v>843</v>
      </c>
      <c r="R1450" t="str">
        <f>VLOOKUP(E1450,'Data Type Lookup'!$A$1:$C$21,3,FALSE)</f>
        <v>java.math.BigDecimal</v>
      </c>
      <c r="W1450" t="str">
        <f t="shared" si="61"/>
        <v>PROJECT_CONTROL_ACCOUNT_TOTAL.BAC_HRS</v>
      </c>
      <c r="X1450" t="e">
        <f>VLOOKUP(W1450,ColumnMapping[New Table.Column],1,)</f>
        <v>#N/A</v>
      </c>
      <c r="Y1450" t="e">
        <f>_xlfn.XLOOKUP(Table6[[#This Row],[Table.Column]],ColumnMapping[Add Column Name],ColumnMapping[Old Table.Column],"",0,1)</f>
        <v>#VALUE!</v>
      </c>
      <c r="Z1450" t="e">
        <f>_xlfn.XLOOKUP(Table6[[#This Row],[Old Table.Column]],Cobra8.6[Table.Column],Cobra8.6[TYPE],"",0,1)</f>
        <v>#VALUE!</v>
      </c>
      <c r="AA1450" t="e">
        <f>_xlfn.XLOOKUP(Table6[[#This Row],[Old Table.Column]],Cobra8.6[Table.Column],Cobra8.6[LENGTH],"",0,1)</f>
        <v>#VALUE!</v>
      </c>
      <c r="AB1450"/>
    </row>
    <row r="1451" spans="1:28" x14ac:dyDescent="0.2">
      <c r="A1451" t="s">
        <v>450</v>
      </c>
      <c r="B1451" t="s">
        <v>2617</v>
      </c>
      <c r="C1451" t="s">
        <v>692</v>
      </c>
      <c r="D1451">
        <v>13</v>
      </c>
      <c r="E1451" t="s">
        <v>161</v>
      </c>
      <c r="F1451" t="str">
        <f>VLOOKUP($E1451,'Data Type Lookup'!$A$1:$C$21,2,FALSE)</f>
        <v>NUMBER(21,6)</v>
      </c>
      <c r="I1451" s="32" t="s">
        <v>32</v>
      </c>
      <c r="J1451" s="32">
        <v>0</v>
      </c>
      <c r="P1451" t="s">
        <v>1207</v>
      </c>
      <c r="Q1451" t="s">
        <v>844</v>
      </c>
      <c r="R1451" t="str">
        <f>VLOOKUP(E1451,'Data Type Lookup'!$A$1:$C$21,3,FALSE)</f>
        <v>java.math.BigDecimal</v>
      </c>
      <c r="W1451" t="str">
        <f t="shared" si="61"/>
        <v>PROJECT_CONTROL_ACCOUNT_TOTAL.EAC_HRS</v>
      </c>
      <c r="X1451" t="e">
        <f>VLOOKUP(W1451,ColumnMapping[New Table.Column],1,)</f>
        <v>#N/A</v>
      </c>
      <c r="Y1451" t="e">
        <f>_xlfn.XLOOKUP(Table6[[#This Row],[Table.Column]],ColumnMapping[Add Column Name],ColumnMapping[Old Table.Column],"",0,1)</f>
        <v>#VALUE!</v>
      </c>
      <c r="Z1451" t="e">
        <f>_xlfn.XLOOKUP(Table6[[#This Row],[Old Table.Column]],Cobra8.6[Table.Column],Cobra8.6[TYPE],"",0,1)</f>
        <v>#VALUE!</v>
      </c>
      <c r="AA1451" t="e">
        <f>_xlfn.XLOOKUP(Table6[[#This Row],[Old Table.Column]],Cobra8.6[Table.Column],Cobra8.6[LENGTH],"",0,1)</f>
        <v>#VALUE!</v>
      </c>
      <c r="AB1451"/>
    </row>
    <row r="1452" spans="1:28" x14ac:dyDescent="0.2">
      <c r="A1452" t="s">
        <v>450</v>
      </c>
      <c r="B1452" t="s">
        <v>2617</v>
      </c>
      <c r="C1452" t="s">
        <v>949</v>
      </c>
      <c r="D1452">
        <v>14</v>
      </c>
      <c r="E1452" t="s">
        <v>161</v>
      </c>
      <c r="F1452" t="str">
        <f>VLOOKUP($E1452,'Data Type Lookup'!$A$1:$C$21,2,FALSE)</f>
        <v>NUMBER(21,6)</v>
      </c>
      <c r="I1452" s="32" t="s">
        <v>32</v>
      </c>
      <c r="J1452" s="32">
        <v>0</v>
      </c>
      <c r="P1452" t="s">
        <v>1208</v>
      </c>
      <c r="Q1452" t="s">
        <v>1209</v>
      </c>
      <c r="R1452" t="str">
        <f>VLOOKUP(E1452,'Data Type Lookup'!$A$1:$C$21,3,FALSE)</f>
        <v>java.math.BigDecimal</v>
      </c>
      <c r="W1452" t="str">
        <f t="shared" si="61"/>
        <v>PROJECT_CONTROL_ACCOUNT_TOTAL.ACWPCP</v>
      </c>
      <c r="X1452" t="e">
        <f>VLOOKUP(W1452,ColumnMapping[New Table.Column],1,)</f>
        <v>#N/A</v>
      </c>
      <c r="Y1452" t="e">
        <f>_xlfn.XLOOKUP(Table6[[#This Row],[Table.Column]],ColumnMapping[Add Column Name],ColumnMapping[Old Table.Column],"",0,1)</f>
        <v>#VALUE!</v>
      </c>
      <c r="Z1452" t="e">
        <f>_xlfn.XLOOKUP(Table6[[#This Row],[Old Table.Column]],Cobra8.6[Table.Column],Cobra8.6[TYPE],"",0,1)</f>
        <v>#VALUE!</v>
      </c>
      <c r="AA1452" t="e">
        <f>_xlfn.XLOOKUP(Table6[[#This Row],[Old Table.Column]],Cobra8.6[Table.Column],Cobra8.6[LENGTH],"",0,1)</f>
        <v>#VALUE!</v>
      </c>
      <c r="AB1452"/>
    </row>
    <row r="1453" spans="1:28" x14ac:dyDescent="0.2">
      <c r="A1453" t="s">
        <v>450</v>
      </c>
      <c r="B1453" t="s">
        <v>2617</v>
      </c>
      <c r="C1453" t="s">
        <v>955</v>
      </c>
      <c r="D1453">
        <v>15</v>
      </c>
      <c r="E1453" t="s">
        <v>161</v>
      </c>
      <c r="F1453" t="str">
        <f>VLOOKUP($E1453,'Data Type Lookup'!$A$1:$C$21,2,FALSE)</f>
        <v>NUMBER(21,6)</v>
      </c>
      <c r="I1453" s="32" t="s">
        <v>32</v>
      </c>
      <c r="J1453" s="32">
        <v>0</v>
      </c>
      <c r="P1453" t="s">
        <v>1210</v>
      </c>
      <c r="Q1453" t="s">
        <v>1211</v>
      </c>
      <c r="R1453" t="str">
        <f>VLOOKUP(E1453,'Data Type Lookup'!$A$1:$C$21,3,FALSE)</f>
        <v>java.math.BigDecimal</v>
      </c>
      <c r="W1453" t="str">
        <f t="shared" si="61"/>
        <v>PROJECT_CONTROL_ACCOUNT_TOTAL.BCWPCP</v>
      </c>
      <c r="X1453" t="e">
        <f>VLOOKUP(W1453,ColumnMapping[New Table.Column],1,)</f>
        <v>#N/A</v>
      </c>
      <c r="Y1453" t="e">
        <f>_xlfn.XLOOKUP(Table6[[#This Row],[Table.Column]],ColumnMapping[Add Column Name],ColumnMapping[Old Table.Column],"",0,1)</f>
        <v>#VALUE!</v>
      </c>
      <c r="Z1453" t="e">
        <f>_xlfn.XLOOKUP(Table6[[#This Row],[Old Table.Column]],Cobra8.6[Table.Column],Cobra8.6[TYPE],"",0,1)</f>
        <v>#VALUE!</v>
      </c>
      <c r="AA1453" t="e">
        <f>_xlfn.XLOOKUP(Table6[[#This Row],[Old Table.Column]],Cobra8.6[Table.Column],Cobra8.6[LENGTH],"",0,1)</f>
        <v>#VALUE!</v>
      </c>
      <c r="AB1453"/>
    </row>
    <row r="1454" spans="1:28" x14ac:dyDescent="0.2">
      <c r="A1454" t="s">
        <v>450</v>
      </c>
      <c r="B1454" t="s">
        <v>2617</v>
      </c>
      <c r="C1454" t="s">
        <v>959</v>
      </c>
      <c r="D1454">
        <v>16</v>
      </c>
      <c r="E1454" t="s">
        <v>161</v>
      </c>
      <c r="F1454" t="str">
        <f>VLOOKUP($E1454,'Data Type Lookup'!$A$1:$C$21,2,FALSE)</f>
        <v>NUMBER(21,6)</v>
      </c>
      <c r="I1454" s="32" t="s">
        <v>32</v>
      </c>
      <c r="J1454" s="32">
        <v>0</v>
      </c>
      <c r="P1454" t="s">
        <v>1212</v>
      </c>
      <c r="Q1454" t="s">
        <v>1211</v>
      </c>
      <c r="R1454" t="str">
        <f>VLOOKUP(E1454,'Data Type Lookup'!$A$1:$C$21,3,FALSE)</f>
        <v>java.math.BigDecimal</v>
      </c>
      <c r="W1454" t="str">
        <f t="shared" si="61"/>
        <v>PROJECT_CONTROL_ACCOUNT_TOTAL.BCWSCP</v>
      </c>
      <c r="X1454" t="e">
        <f>VLOOKUP(W1454,ColumnMapping[New Table.Column],1,)</f>
        <v>#N/A</v>
      </c>
      <c r="Y1454" t="e">
        <f>_xlfn.XLOOKUP(Table6[[#This Row],[Table.Column]],ColumnMapping[Add Column Name],ColumnMapping[Old Table.Column],"",0,1)</f>
        <v>#VALUE!</v>
      </c>
      <c r="Z1454" t="e">
        <f>_xlfn.XLOOKUP(Table6[[#This Row],[Old Table.Column]],Cobra8.6[Table.Column],Cobra8.6[TYPE],"",0,1)</f>
        <v>#VALUE!</v>
      </c>
      <c r="AA1454" t="e">
        <f>_xlfn.XLOOKUP(Table6[[#This Row],[Old Table.Column]],Cobra8.6[Table.Column],Cobra8.6[LENGTH],"",0,1)</f>
        <v>#VALUE!</v>
      </c>
      <c r="AB1454"/>
    </row>
    <row r="1455" spans="1:28" x14ac:dyDescent="0.2">
      <c r="A1455" t="s">
        <v>450</v>
      </c>
      <c r="B1455" t="s">
        <v>2617</v>
      </c>
      <c r="C1455" t="s">
        <v>951</v>
      </c>
      <c r="D1455">
        <v>17</v>
      </c>
      <c r="E1455" t="s">
        <v>161</v>
      </c>
      <c r="F1455" t="str">
        <f>VLOOKUP($E1455,'Data Type Lookup'!$A$1:$C$21,2,FALSE)</f>
        <v>NUMBER(21,6)</v>
      </c>
      <c r="I1455" s="32" t="s">
        <v>32</v>
      </c>
      <c r="J1455" s="32">
        <v>0</v>
      </c>
      <c r="P1455" t="s">
        <v>1213</v>
      </c>
      <c r="Q1455" t="s">
        <v>1214</v>
      </c>
      <c r="R1455" t="str">
        <f>VLOOKUP(E1455,'Data Type Lookup'!$A$1:$C$21,3,FALSE)</f>
        <v>java.math.BigDecimal</v>
      </c>
      <c r="W1455" t="str">
        <f t="shared" si="61"/>
        <v>PROJECT_CONTROL_ACCOUNT_TOTAL.ACWPCP_HRS</v>
      </c>
      <c r="X1455" t="e">
        <f>VLOOKUP(W1455,ColumnMapping[New Table.Column],1,)</f>
        <v>#N/A</v>
      </c>
      <c r="Y1455" t="e">
        <f>_xlfn.XLOOKUP(Table6[[#This Row],[Table.Column]],ColumnMapping[Add Column Name],ColumnMapping[Old Table.Column],"",0,1)</f>
        <v>#VALUE!</v>
      </c>
      <c r="Z1455" t="e">
        <f>_xlfn.XLOOKUP(Table6[[#This Row],[Old Table.Column]],Cobra8.6[Table.Column],Cobra8.6[TYPE],"",0,1)</f>
        <v>#VALUE!</v>
      </c>
      <c r="AA1455" t="e">
        <f>_xlfn.XLOOKUP(Table6[[#This Row],[Old Table.Column]],Cobra8.6[Table.Column],Cobra8.6[LENGTH],"",0,1)</f>
        <v>#VALUE!</v>
      </c>
      <c r="AB1455"/>
    </row>
    <row r="1456" spans="1:28" x14ac:dyDescent="0.2">
      <c r="A1456" t="s">
        <v>450</v>
      </c>
      <c r="B1456" t="s">
        <v>2617</v>
      </c>
      <c r="C1456" t="s">
        <v>957</v>
      </c>
      <c r="D1456">
        <v>18</v>
      </c>
      <c r="E1456" t="s">
        <v>161</v>
      </c>
      <c r="F1456" t="str">
        <f>VLOOKUP($E1456,'Data Type Lookup'!$A$1:$C$21,2,FALSE)</f>
        <v>NUMBER(21,6)</v>
      </c>
      <c r="I1456" s="32" t="s">
        <v>32</v>
      </c>
      <c r="J1456" s="32">
        <v>0</v>
      </c>
      <c r="P1456" t="s">
        <v>1215</v>
      </c>
      <c r="Q1456" t="s">
        <v>1216</v>
      </c>
      <c r="R1456" t="str">
        <f>VLOOKUP(E1456,'Data Type Lookup'!$A$1:$C$21,3,FALSE)</f>
        <v>java.math.BigDecimal</v>
      </c>
      <c r="W1456" t="str">
        <f t="shared" si="61"/>
        <v>PROJECT_CONTROL_ACCOUNT_TOTAL.BCWPCP_HRS</v>
      </c>
      <c r="X1456" t="e">
        <f>VLOOKUP(W1456,ColumnMapping[New Table.Column],1,)</f>
        <v>#N/A</v>
      </c>
      <c r="Y1456" t="e">
        <f>_xlfn.XLOOKUP(Table6[[#This Row],[Table.Column]],ColumnMapping[Add Column Name],ColumnMapping[Old Table.Column],"",0,1)</f>
        <v>#VALUE!</v>
      </c>
      <c r="Z1456" t="e">
        <f>_xlfn.XLOOKUP(Table6[[#This Row],[Old Table.Column]],Cobra8.6[Table.Column],Cobra8.6[TYPE],"",0,1)</f>
        <v>#VALUE!</v>
      </c>
      <c r="AA1456" t="e">
        <f>_xlfn.XLOOKUP(Table6[[#This Row],[Old Table.Column]],Cobra8.6[Table.Column],Cobra8.6[LENGTH],"",0,1)</f>
        <v>#VALUE!</v>
      </c>
      <c r="AB1456"/>
    </row>
    <row r="1457" spans="1:28" x14ac:dyDescent="0.2">
      <c r="A1457" t="s">
        <v>450</v>
      </c>
      <c r="B1457" t="s">
        <v>2617</v>
      </c>
      <c r="C1457" t="s">
        <v>961</v>
      </c>
      <c r="D1457">
        <v>19</v>
      </c>
      <c r="E1457" t="s">
        <v>161</v>
      </c>
      <c r="F1457" t="str">
        <f>VLOOKUP($E1457,'Data Type Lookup'!$A$1:$C$21,2,FALSE)</f>
        <v>NUMBER(21,6)</v>
      </c>
      <c r="I1457" s="32" t="s">
        <v>32</v>
      </c>
      <c r="J1457" s="32">
        <v>0</v>
      </c>
      <c r="P1457" t="s">
        <v>1217</v>
      </c>
      <c r="Q1457" t="s">
        <v>1216</v>
      </c>
      <c r="R1457" t="str">
        <f>VLOOKUP(E1457,'Data Type Lookup'!$A$1:$C$21,3,FALSE)</f>
        <v>java.math.BigDecimal</v>
      </c>
      <c r="W1457" t="str">
        <f t="shared" si="61"/>
        <v>PROJECT_CONTROL_ACCOUNT_TOTAL.BCWSCP_HRS</v>
      </c>
      <c r="X1457" t="e">
        <f>VLOOKUP(W1457,ColumnMapping[New Table.Column],1,)</f>
        <v>#N/A</v>
      </c>
      <c r="Y1457" t="e">
        <f>_xlfn.XLOOKUP(Table6[[#This Row],[Table.Column]],ColumnMapping[Add Column Name],ColumnMapping[Old Table.Column],"",0,1)</f>
        <v>#VALUE!</v>
      </c>
      <c r="Z1457" t="e">
        <f>_xlfn.XLOOKUP(Table6[[#This Row],[Old Table.Column]],Cobra8.6[Table.Column],Cobra8.6[TYPE],"",0,1)</f>
        <v>#VALUE!</v>
      </c>
      <c r="AA1457" t="e">
        <f>_xlfn.XLOOKUP(Table6[[#This Row],[Old Table.Column]],Cobra8.6[Table.Column],Cobra8.6[LENGTH],"",0,1)</f>
        <v>#VALUE!</v>
      </c>
      <c r="AB1457"/>
    </row>
    <row r="1458" spans="1:28" x14ac:dyDescent="0.2">
      <c r="A1458" t="s">
        <v>450</v>
      </c>
      <c r="B1458" t="s">
        <v>2618</v>
      </c>
      <c r="C1458" t="s">
        <v>30</v>
      </c>
      <c r="D1458">
        <v>1</v>
      </c>
      <c r="E1458" t="s">
        <v>31</v>
      </c>
      <c r="F1458" t="str">
        <f>VLOOKUP($E1458,'Data Type Lookup'!$A$1:$C$21,2,FALSE)</f>
        <v>RAW(16)</v>
      </c>
      <c r="H1458" s="2"/>
      <c r="I1458" s="32" t="s">
        <v>32</v>
      </c>
      <c r="J1458" s="38"/>
      <c r="K1458" s="32" t="s">
        <v>32</v>
      </c>
      <c r="M1458" t="s">
        <v>1219</v>
      </c>
      <c r="N1458" t="s">
        <v>30</v>
      </c>
      <c r="O1458" t="s">
        <v>1195</v>
      </c>
      <c r="P1458" t="s">
        <v>2620</v>
      </c>
      <c r="Q1458" t="s">
        <v>34</v>
      </c>
      <c r="R1458" t="str">
        <f>VLOOKUP(E1458,'Data Type Lookup'!$A$1:$C$21,3,FALSE)</f>
        <v>java.util.UUID</v>
      </c>
      <c r="S1458">
        <v>3</v>
      </c>
      <c r="U1458" s="2"/>
      <c r="V1458" s="8"/>
      <c r="W1458" t="str">
        <f t="shared" ref="W1458:W1475" si="62">_xlfn.CONCAT(B1458,".",C1458)</f>
        <v>PROJECT_WORK_PACKAGE_TOTAL.ROW_UID</v>
      </c>
      <c r="X1458" t="e">
        <f>VLOOKUP(W1458,ColumnMapping[New Table.Column],1,)</f>
        <v>#N/A</v>
      </c>
      <c r="Y1458" t="e">
        <f>_xlfn.XLOOKUP(Table6[[#This Row],[Table.Column]],ColumnMapping[Add Column Name],ColumnMapping[Old Table.Column],"",0,1)</f>
        <v>#VALUE!</v>
      </c>
      <c r="Z1458" t="e">
        <f>_xlfn.XLOOKUP(Table6[[#This Row],[Old Table.Column]],Cobra8.6[Table.Column],Cobra8.6[TYPE],"",0,1)</f>
        <v>#VALUE!</v>
      </c>
      <c r="AA1458" t="e">
        <f>_xlfn.XLOOKUP(Table6[[#This Row],[Old Table.Column]],Cobra8.6[Table.Column],Cobra8.6[LENGTH],"",0,1)</f>
        <v>#VALUE!</v>
      </c>
      <c r="AB1458"/>
    </row>
    <row r="1459" spans="1:28" x14ac:dyDescent="0.2">
      <c r="A1459" t="s">
        <v>450</v>
      </c>
      <c r="B1459" t="s">
        <v>2618</v>
      </c>
      <c r="C1459" t="s">
        <v>600</v>
      </c>
      <c r="D1459">
        <v>3</v>
      </c>
      <c r="E1459" t="s">
        <v>161</v>
      </c>
      <c r="F1459" t="str">
        <f>VLOOKUP($E1459,'Data Type Lookup'!$A$1:$C$21,2,FALSE)</f>
        <v>NUMBER(21,6)</v>
      </c>
      <c r="I1459" s="32" t="s">
        <v>32</v>
      </c>
      <c r="J1459" s="32">
        <v>0</v>
      </c>
      <c r="P1459" t="s">
        <v>1196</v>
      </c>
      <c r="Q1459" t="s">
        <v>839</v>
      </c>
      <c r="R1459" t="str">
        <f>VLOOKUP(E1459,'Data Type Lookup'!$A$1:$C$21,3,FALSE)</f>
        <v>java.math.BigDecimal</v>
      </c>
      <c r="W1459" t="str">
        <f t="shared" si="62"/>
        <v>PROJECT_WORK_PACKAGE_TOTAL.ACWP</v>
      </c>
      <c r="X1459" t="e">
        <f>VLOOKUP(W1459,ColumnMapping[New Table.Column],1,)</f>
        <v>#N/A</v>
      </c>
      <c r="Y1459" t="e">
        <f>_xlfn.XLOOKUP(Table6[[#This Row],[Table.Column]],ColumnMapping[Add Column Name],ColumnMapping[Old Table.Column],"",0,1)</f>
        <v>#VALUE!</v>
      </c>
      <c r="Z1459" t="e">
        <f>_xlfn.XLOOKUP(Table6[[#This Row],[Old Table.Column]],Cobra8.6[Table.Column],Cobra8.6[TYPE],"",0,1)</f>
        <v>#VALUE!</v>
      </c>
      <c r="AA1459" t="e">
        <f>_xlfn.XLOOKUP(Table6[[#This Row],[Old Table.Column]],Cobra8.6[Table.Column],Cobra8.6[LENGTH],"",0,1)</f>
        <v>#VALUE!</v>
      </c>
      <c r="AB1459"/>
    </row>
    <row r="1460" spans="1:28" x14ac:dyDescent="0.2">
      <c r="A1460" t="s">
        <v>450</v>
      </c>
      <c r="B1460" t="s">
        <v>2618</v>
      </c>
      <c r="C1460" t="s">
        <v>613</v>
      </c>
      <c r="D1460">
        <v>4</v>
      </c>
      <c r="E1460" t="s">
        <v>161</v>
      </c>
      <c r="F1460" t="str">
        <f>VLOOKUP($E1460,'Data Type Lookup'!$A$1:$C$21,2,FALSE)</f>
        <v>NUMBER(21,6)</v>
      </c>
      <c r="I1460" s="32" t="s">
        <v>32</v>
      </c>
      <c r="J1460" s="32">
        <v>0</v>
      </c>
      <c r="P1460" t="s">
        <v>1197</v>
      </c>
      <c r="Q1460" t="s">
        <v>838</v>
      </c>
      <c r="R1460" t="str">
        <f>VLOOKUP(E1460,'Data Type Lookup'!$A$1:$C$21,3,FALSE)</f>
        <v>java.math.BigDecimal</v>
      </c>
      <c r="W1460" t="str">
        <f t="shared" si="62"/>
        <v>PROJECT_WORK_PACKAGE_TOTAL.BCWP</v>
      </c>
      <c r="X1460" t="e">
        <f>VLOOKUP(W1460,ColumnMapping[New Table.Column],1,)</f>
        <v>#N/A</v>
      </c>
      <c r="Y1460" t="e">
        <f>_xlfn.XLOOKUP(Table6[[#This Row],[Table.Column]],ColumnMapping[Add Column Name],ColumnMapping[Old Table.Column],"",0,1)</f>
        <v>#VALUE!</v>
      </c>
      <c r="Z1460" t="e">
        <f>_xlfn.XLOOKUP(Table6[[#This Row],[Old Table.Column]],Cobra8.6[Table.Column],Cobra8.6[TYPE],"",0,1)</f>
        <v>#VALUE!</v>
      </c>
      <c r="AA1460" t="e">
        <f>_xlfn.XLOOKUP(Table6[[#This Row],[Old Table.Column]],Cobra8.6[Table.Column],Cobra8.6[LENGTH],"",0,1)</f>
        <v>#VALUE!</v>
      </c>
      <c r="AB1460"/>
    </row>
    <row r="1461" spans="1:28" x14ac:dyDescent="0.2">
      <c r="A1461" t="s">
        <v>450</v>
      </c>
      <c r="B1461" t="s">
        <v>2618</v>
      </c>
      <c r="C1461" t="s">
        <v>617</v>
      </c>
      <c r="D1461">
        <v>5</v>
      </c>
      <c r="E1461" t="s">
        <v>161</v>
      </c>
      <c r="F1461" t="str">
        <f>VLOOKUP($E1461,'Data Type Lookup'!$A$1:$C$21,2,FALSE)</f>
        <v>NUMBER(21,6)</v>
      </c>
      <c r="I1461" s="32" t="s">
        <v>32</v>
      </c>
      <c r="J1461" s="32">
        <v>0</v>
      </c>
      <c r="P1461" t="s">
        <v>1198</v>
      </c>
      <c r="Q1461" t="s">
        <v>837</v>
      </c>
      <c r="R1461" t="str">
        <f>VLOOKUP(E1461,'Data Type Lookup'!$A$1:$C$21,3,FALSE)</f>
        <v>java.math.BigDecimal</v>
      </c>
      <c r="W1461" t="str">
        <f t="shared" si="62"/>
        <v>PROJECT_WORK_PACKAGE_TOTAL.BCWS</v>
      </c>
      <c r="X1461" t="e">
        <f>VLOOKUP(W1461,ColumnMapping[New Table.Column],1,)</f>
        <v>#N/A</v>
      </c>
      <c r="Y1461" t="e">
        <f>_xlfn.XLOOKUP(Table6[[#This Row],[Table.Column]],ColumnMapping[Add Column Name],ColumnMapping[Old Table.Column],"",0,1)</f>
        <v>#VALUE!</v>
      </c>
      <c r="Z1461" t="e">
        <f>_xlfn.XLOOKUP(Table6[[#This Row],[Old Table.Column]],Cobra8.6[Table.Column],Cobra8.6[TYPE],"",0,1)</f>
        <v>#VALUE!</v>
      </c>
      <c r="AA1461" t="e">
        <f>_xlfn.XLOOKUP(Table6[[#This Row],[Old Table.Column]],Cobra8.6[Table.Column],Cobra8.6[LENGTH],"",0,1)</f>
        <v>#VALUE!</v>
      </c>
      <c r="AB1461"/>
    </row>
    <row r="1462" spans="1:28" x14ac:dyDescent="0.2">
      <c r="A1462" t="s">
        <v>450</v>
      </c>
      <c r="B1462" t="s">
        <v>2618</v>
      </c>
      <c r="C1462" t="s">
        <v>607</v>
      </c>
      <c r="D1462">
        <v>6</v>
      </c>
      <c r="E1462" t="s">
        <v>161</v>
      </c>
      <c r="F1462" t="str">
        <f>VLOOKUP($E1462,'Data Type Lookup'!$A$1:$C$21,2,FALSE)</f>
        <v>NUMBER(21,6)</v>
      </c>
      <c r="I1462" s="32" t="s">
        <v>32</v>
      </c>
      <c r="J1462" s="32">
        <v>0</v>
      </c>
      <c r="P1462" t="s">
        <v>1199</v>
      </c>
      <c r="Q1462" t="s">
        <v>836</v>
      </c>
      <c r="R1462" t="str">
        <f>VLOOKUP(E1462,'Data Type Lookup'!$A$1:$C$21,3,FALSE)</f>
        <v>java.math.BigDecimal</v>
      </c>
      <c r="W1462" t="str">
        <f t="shared" si="62"/>
        <v>PROJECT_WORK_PACKAGE_TOTAL.BAC</v>
      </c>
      <c r="X1462" t="e">
        <f>VLOOKUP(W1462,ColumnMapping[New Table.Column],1,)</f>
        <v>#N/A</v>
      </c>
      <c r="Y1462" t="e">
        <f>_xlfn.XLOOKUP(Table6[[#This Row],[Table.Column]],ColumnMapping[Add Column Name],ColumnMapping[Old Table.Column],"",0,1)</f>
        <v>#VALUE!</v>
      </c>
      <c r="Z1462" t="e">
        <f>_xlfn.XLOOKUP(Table6[[#This Row],[Old Table.Column]],Cobra8.6[Table.Column],Cobra8.6[TYPE],"",0,1)</f>
        <v>#VALUE!</v>
      </c>
      <c r="AA1462" t="e">
        <f>_xlfn.XLOOKUP(Table6[[#This Row],[Old Table.Column]],Cobra8.6[Table.Column],Cobra8.6[LENGTH],"",0,1)</f>
        <v>#VALUE!</v>
      </c>
      <c r="AB1462"/>
    </row>
    <row r="1463" spans="1:28" x14ac:dyDescent="0.2">
      <c r="A1463" t="s">
        <v>450</v>
      </c>
      <c r="B1463" t="s">
        <v>2618</v>
      </c>
      <c r="C1463" t="s">
        <v>690</v>
      </c>
      <c r="D1463">
        <v>7</v>
      </c>
      <c r="E1463" t="s">
        <v>161</v>
      </c>
      <c r="F1463" t="str">
        <f>VLOOKUP($E1463,'Data Type Lookup'!$A$1:$C$21,2,FALSE)</f>
        <v>NUMBER(21,6)</v>
      </c>
      <c r="I1463" s="32" t="s">
        <v>32</v>
      </c>
      <c r="J1463" s="32">
        <v>0</v>
      </c>
      <c r="P1463" t="s">
        <v>1200</v>
      </c>
      <c r="Q1463" t="s">
        <v>826</v>
      </c>
      <c r="R1463" t="str">
        <f>VLOOKUP(E1463,'Data Type Lookup'!$A$1:$C$21,3,FALSE)</f>
        <v>java.math.BigDecimal</v>
      </c>
      <c r="W1463" t="str">
        <f t="shared" si="62"/>
        <v>PROJECT_WORK_PACKAGE_TOTAL.EAC</v>
      </c>
      <c r="X1463" t="e">
        <f>VLOOKUP(W1463,ColumnMapping[New Table.Column],1,)</f>
        <v>#N/A</v>
      </c>
      <c r="Y1463" t="e">
        <f>_xlfn.XLOOKUP(Table6[[#This Row],[Table.Column]],ColumnMapping[Add Column Name],ColumnMapping[Old Table.Column],"",0,1)</f>
        <v>#VALUE!</v>
      </c>
      <c r="Z1463" t="e">
        <f>_xlfn.XLOOKUP(Table6[[#This Row],[Old Table.Column]],Cobra8.6[Table.Column],Cobra8.6[TYPE],"",0,1)</f>
        <v>#VALUE!</v>
      </c>
      <c r="AA1463" t="e">
        <f>_xlfn.XLOOKUP(Table6[[#This Row],[Old Table.Column]],Cobra8.6[Table.Column],Cobra8.6[LENGTH],"",0,1)</f>
        <v>#VALUE!</v>
      </c>
      <c r="AB1463"/>
    </row>
    <row r="1464" spans="1:28" x14ac:dyDescent="0.2">
      <c r="A1464" t="s">
        <v>450</v>
      </c>
      <c r="B1464" t="s">
        <v>2618</v>
      </c>
      <c r="C1464" t="s">
        <v>1013</v>
      </c>
      <c r="D1464">
        <v>8</v>
      </c>
      <c r="E1464" t="s">
        <v>161</v>
      </c>
      <c r="F1464" t="str">
        <f>VLOOKUP($E1464,'Data Type Lookup'!$A$1:$C$21,2,FALSE)</f>
        <v>NUMBER(21,6)</v>
      </c>
      <c r="I1464" s="32" t="s">
        <v>32</v>
      </c>
      <c r="J1464" s="32">
        <v>0</v>
      </c>
      <c r="P1464" t="s">
        <v>1201</v>
      </c>
      <c r="Q1464" t="s">
        <v>1202</v>
      </c>
      <c r="R1464" t="str">
        <f>VLOOKUP(E1464,'Data Type Lookup'!$A$1:$C$21,3,FALSE)</f>
        <v>java.math.BigDecimal</v>
      </c>
      <c r="W1464" t="str">
        <f t="shared" si="62"/>
        <v>PROJECT_WORK_PACKAGE_TOTAL.EAC_NONLAB</v>
      </c>
      <c r="X1464" t="e">
        <f>VLOOKUP(W1464,ColumnMapping[New Table.Column],1,)</f>
        <v>#N/A</v>
      </c>
      <c r="Y1464" t="e">
        <f>_xlfn.XLOOKUP(Table6[[#This Row],[Table.Column]],ColumnMapping[Add Column Name],ColumnMapping[Old Table.Column],"",0,1)</f>
        <v>#VALUE!</v>
      </c>
      <c r="Z1464" t="e">
        <f>_xlfn.XLOOKUP(Table6[[#This Row],[Old Table.Column]],Cobra8.6[Table.Column],Cobra8.6[TYPE],"",0,1)</f>
        <v>#VALUE!</v>
      </c>
      <c r="AA1464" t="e">
        <f>_xlfn.XLOOKUP(Table6[[#This Row],[Old Table.Column]],Cobra8.6[Table.Column],Cobra8.6[LENGTH],"",0,1)</f>
        <v>#VALUE!</v>
      </c>
      <c r="AB1464"/>
    </row>
    <row r="1465" spans="1:28" x14ac:dyDescent="0.2">
      <c r="A1465" t="s">
        <v>450</v>
      </c>
      <c r="B1465" t="s">
        <v>2618</v>
      </c>
      <c r="C1465" t="s">
        <v>602</v>
      </c>
      <c r="D1465">
        <v>9</v>
      </c>
      <c r="E1465" t="s">
        <v>161</v>
      </c>
      <c r="F1465" t="str">
        <f>VLOOKUP($E1465,'Data Type Lookup'!$A$1:$C$21,2,FALSE)</f>
        <v>NUMBER(21,6)</v>
      </c>
      <c r="I1465" s="32" t="s">
        <v>32</v>
      </c>
      <c r="J1465" s="32">
        <v>0</v>
      </c>
      <c r="P1465" t="s">
        <v>1203</v>
      </c>
      <c r="Q1465" t="s">
        <v>842</v>
      </c>
      <c r="R1465" t="str">
        <f>VLOOKUP(E1465,'Data Type Lookup'!$A$1:$C$21,3,FALSE)</f>
        <v>java.math.BigDecimal</v>
      </c>
      <c r="W1465" t="str">
        <f t="shared" si="62"/>
        <v>PROJECT_WORK_PACKAGE_TOTAL.ACWP_HRS</v>
      </c>
      <c r="X1465" t="e">
        <f>VLOOKUP(W1465,ColumnMapping[New Table.Column],1,)</f>
        <v>#N/A</v>
      </c>
      <c r="Y1465" t="e">
        <f>_xlfn.XLOOKUP(Table6[[#This Row],[Table.Column]],ColumnMapping[Add Column Name],ColumnMapping[Old Table.Column],"",0,1)</f>
        <v>#VALUE!</v>
      </c>
      <c r="Z1465" t="e">
        <f>_xlfn.XLOOKUP(Table6[[#This Row],[Old Table.Column]],Cobra8.6[Table.Column],Cobra8.6[TYPE],"",0,1)</f>
        <v>#VALUE!</v>
      </c>
      <c r="AA1465" t="e">
        <f>_xlfn.XLOOKUP(Table6[[#This Row],[Old Table.Column]],Cobra8.6[Table.Column],Cobra8.6[LENGTH],"",0,1)</f>
        <v>#VALUE!</v>
      </c>
      <c r="AB1465"/>
    </row>
    <row r="1466" spans="1:28" x14ac:dyDescent="0.2">
      <c r="A1466" t="s">
        <v>450</v>
      </c>
      <c r="B1466" t="s">
        <v>2618</v>
      </c>
      <c r="C1466" t="s">
        <v>615</v>
      </c>
      <c r="D1466">
        <v>10</v>
      </c>
      <c r="E1466" t="s">
        <v>161</v>
      </c>
      <c r="F1466" t="str">
        <f>VLOOKUP($E1466,'Data Type Lookup'!$A$1:$C$21,2,FALSE)</f>
        <v>NUMBER(21,6)</v>
      </c>
      <c r="I1466" s="32" t="s">
        <v>32</v>
      </c>
      <c r="J1466" s="32">
        <v>0</v>
      </c>
      <c r="P1466" t="s">
        <v>1204</v>
      </c>
      <c r="Q1466" t="s">
        <v>841</v>
      </c>
      <c r="R1466" t="str">
        <f>VLOOKUP(E1466,'Data Type Lookup'!$A$1:$C$21,3,FALSE)</f>
        <v>java.math.BigDecimal</v>
      </c>
      <c r="W1466" t="str">
        <f t="shared" si="62"/>
        <v>PROJECT_WORK_PACKAGE_TOTAL.BCWP_HRS</v>
      </c>
      <c r="X1466" t="e">
        <f>VLOOKUP(W1466,ColumnMapping[New Table.Column],1,)</f>
        <v>#N/A</v>
      </c>
      <c r="Y1466" t="e">
        <f>_xlfn.XLOOKUP(Table6[[#This Row],[Table.Column]],ColumnMapping[Add Column Name],ColumnMapping[Old Table.Column],"",0,1)</f>
        <v>#VALUE!</v>
      </c>
      <c r="Z1466" t="e">
        <f>_xlfn.XLOOKUP(Table6[[#This Row],[Old Table.Column]],Cobra8.6[Table.Column],Cobra8.6[TYPE],"",0,1)</f>
        <v>#VALUE!</v>
      </c>
      <c r="AA1466" t="e">
        <f>_xlfn.XLOOKUP(Table6[[#This Row],[Old Table.Column]],Cobra8.6[Table.Column],Cobra8.6[LENGTH],"",0,1)</f>
        <v>#VALUE!</v>
      </c>
      <c r="AB1466"/>
    </row>
    <row r="1467" spans="1:28" x14ac:dyDescent="0.2">
      <c r="A1467" t="s">
        <v>450</v>
      </c>
      <c r="B1467" t="s">
        <v>2618</v>
      </c>
      <c r="C1467" t="s">
        <v>619</v>
      </c>
      <c r="D1467">
        <v>11</v>
      </c>
      <c r="E1467" t="s">
        <v>161</v>
      </c>
      <c r="F1467" t="str">
        <f>VLOOKUP($E1467,'Data Type Lookup'!$A$1:$C$21,2,FALSE)</f>
        <v>NUMBER(21,6)</v>
      </c>
      <c r="I1467" s="32" t="s">
        <v>32</v>
      </c>
      <c r="J1467" s="32">
        <v>0</v>
      </c>
      <c r="P1467" t="s">
        <v>1205</v>
      </c>
      <c r="Q1467" t="s">
        <v>840</v>
      </c>
      <c r="R1467" t="str">
        <f>VLOOKUP(E1467,'Data Type Lookup'!$A$1:$C$21,3,FALSE)</f>
        <v>java.math.BigDecimal</v>
      </c>
      <c r="W1467" t="str">
        <f t="shared" si="62"/>
        <v>PROJECT_WORK_PACKAGE_TOTAL.BCWS_HRS</v>
      </c>
      <c r="X1467" t="e">
        <f>VLOOKUP(W1467,ColumnMapping[New Table.Column],1,)</f>
        <v>#N/A</v>
      </c>
      <c r="Y1467" t="e">
        <f>_xlfn.XLOOKUP(Table6[[#This Row],[Table.Column]],ColumnMapping[Add Column Name],ColumnMapping[Old Table.Column],"",0,1)</f>
        <v>#VALUE!</v>
      </c>
      <c r="Z1467" t="e">
        <f>_xlfn.XLOOKUP(Table6[[#This Row],[Old Table.Column]],Cobra8.6[Table.Column],Cobra8.6[TYPE],"",0,1)</f>
        <v>#VALUE!</v>
      </c>
      <c r="AA1467" t="e">
        <f>_xlfn.XLOOKUP(Table6[[#This Row],[Old Table.Column]],Cobra8.6[Table.Column],Cobra8.6[LENGTH],"",0,1)</f>
        <v>#VALUE!</v>
      </c>
      <c r="AB1467"/>
    </row>
    <row r="1468" spans="1:28" x14ac:dyDescent="0.2">
      <c r="A1468" t="s">
        <v>450</v>
      </c>
      <c r="B1468" t="s">
        <v>2618</v>
      </c>
      <c r="C1468" t="s">
        <v>609</v>
      </c>
      <c r="D1468">
        <v>12</v>
      </c>
      <c r="E1468" t="s">
        <v>161</v>
      </c>
      <c r="F1468" t="str">
        <f>VLOOKUP($E1468,'Data Type Lookup'!$A$1:$C$21,2,FALSE)</f>
        <v>NUMBER(21,6)</v>
      </c>
      <c r="I1468" s="32" t="s">
        <v>32</v>
      </c>
      <c r="J1468" s="32">
        <v>0</v>
      </c>
      <c r="P1468" t="s">
        <v>1206</v>
      </c>
      <c r="Q1468" t="s">
        <v>843</v>
      </c>
      <c r="R1468" t="str">
        <f>VLOOKUP(E1468,'Data Type Lookup'!$A$1:$C$21,3,FALSE)</f>
        <v>java.math.BigDecimal</v>
      </c>
      <c r="W1468" t="str">
        <f t="shared" si="62"/>
        <v>PROJECT_WORK_PACKAGE_TOTAL.BAC_HRS</v>
      </c>
      <c r="X1468" t="e">
        <f>VLOOKUP(W1468,ColumnMapping[New Table.Column],1,)</f>
        <v>#N/A</v>
      </c>
      <c r="Y1468" t="e">
        <f>_xlfn.XLOOKUP(Table6[[#This Row],[Table.Column]],ColumnMapping[Add Column Name],ColumnMapping[Old Table.Column],"",0,1)</f>
        <v>#VALUE!</v>
      </c>
      <c r="Z1468" t="e">
        <f>_xlfn.XLOOKUP(Table6[[#This Row],[Old Table.Column]],Cobra8.6[Table.Column],Cobra8.6[TYPE],"",0,1)</f>
        <v>#VALUE!</v>
      </c>
      <c r="AA1468" t="e">
        <f>_xlfn.XLOOKUP(Table6[[#This Row],[Old Table.Column]],Cobra8.6[Table.Column],Cobra8.6[LENGTH],"",0,1)</f>
        <v>#VALUE!</v>
      </c>
      <c r="AB1468"/>
    </row>
    <row r="1469" spans="1:28" x14ac:dyDescent="0.2">
      <c r="A1469" t="s">
        <v>450</v>
      </c>
      <c r="B1469" t="s">
        <v>2618</v>
      </c>
      <c r="C1469" t="s">
        <v>692</v>
      </c>
      <c r="D1469">
        <v>13</v>
      </c>
      <c r="E1469" t="s">
        <v>161</v>
      </c>
      <c r="F1469" t="str">
        <f>VLOOKUP($E1469,'Data Type Lookup'!$A$1:$C$21,2,FALSE)</f>
        <v>NUMBER(21,6)</v>
      </c>
      <c r="I1469" s="32" t="s">
        <v>32</v>
      </c>
      <c r="J1469" s="32">
        <v>0</v>
      </c>
      <c r="P1469" t="s">
        <v>1207</v>
      </c>
      <c r="Q1469" t="s">
        <v>844</v>
      </c>
      <c r="R1469" t="str">
        <f>VLOOKUP(E1469,'Data Type Lookup'!$A$1:$C$21,3,FALSE)</f>
        <v>java.math.BigDecimal</v>
      </c>
      <c r="W1469" t="str">
        <f t="shared" si="62"/>
        <v>PROJECT_WORK_PACKAGE_TOTAL.EAC_HRS</v>
      </c>
      <c r="X1469" t="e">
        <f>VLOOKUP(W1469,ColumnMapping[New Table.Column],1,)</f>
        <v>#N/A</v>
      </c>
      <c r="Y1469" t="e">
        <f>_xlfn.XLOOKUP(Table6[[#This Row],[Table.Column]],ColumnMapping[Add Column Name],ColumnMapping[Old Table.Column],"",0,1)</f>
        <v>#VALUE!</v>
      </c>
      <c r="Z1469" t="e">
        <f>_xlfn.XLOOKUP(Table6[[#This Row],[Old Table.Column]],Cobra8.6[Table.Column],Cobra8.6[TYPE],"",0,1)</f>
        <v>#VALUE!</v>
      </c>
      <c r="AA1469" t="e">
        <f>_xlfn.XLOOKUP(Table6[[#This Row],[Old Table.Column]],Cobra8.6[Table.Column],Cobra8.6[LENGTH],"",0,1)</f>
        <v>#VALUE!</v>
      </c>
      <c r="AB1469"/>
    </row>
    <row r="1470" spans="1:28" x14ac:dyDescent="0.2">
      <c r="A1470" t="s">
        <v>450</v>
      </c>
      <c r="B1470" t="s">
        <v>2618</v>
      </c>
      <c r="C1470" t="s">
        <v>949</v>
      </c>
      <c r="D1470">
        <v>14</v>
      </c>
      <c r="E1470" t="s">
        <v>161</v>
      </c>
      <c r="F1470" t="str">
        <f>VLOOKUP($E1470,'Data Type Lookup'!$A$1:$C$21,2,FALSE)</f>
        <v>NUMBER(21,6)</v>
      </c>
      <c r="I1470" s="32" t="s">
        <v>32</v>
      </c>
      <c r="J1470" s="32">
        <v>0</v>
      </c>
      <c r="P1470" t="s">
        <v>1208</v>
      </c>
      <c r="Q1470" t="s">
        <v>1209</v>
      </c>
      <c r="R1470" t="str">
        <f>VLOOKUP(E1470,'Data Type Lookup'!$A$1:$C$21,3,FALSE)</f>
        <v>java.math.BigDecimal</v>
      </c>
      <c r="W1470" t="str">
        <f t="shared" si="62"/>
        <v>PROJECT_WORK_PACKAGE_TOTAL.ACWPCP</v>
      </c>
      <c r="X1470" t="e">
        <f>VLOOKUP(W1470,ColumnMapping[New Table.Column],1,)</f>
        <v>#N/A</v>
      </c>
      <c r="Y1470" t="e">
        <f>_xlfn.XLOOKUP(Table6[[#This Row],[Table.Column]],ColumnMapping[Add Column Name],ColumnMapping[Old Table.Column],"",0,1)</f>
        <v>#VALUE!</v>
      </c>
      <c r="Z1470" t="e">
        <f>_xlfn.XLOOKUP(Table6[[#This Row],[Old Table.Column]],Cobra8.6[Table.Column],Cobra8.6[TYPE],"",0,1)</f>
        <v>#VALUE!</v>
      </c>
      <c r="AA1470" t="e">
        <f>_xlfn.XLOOKUP(Table6[[#This Row],[Old Table.Column]],Cobra8.6[Table.Column],Cobra8.6[LENGTH],"",0,1)</f>
        <v>#VALUE!</v>
      </c>
      <c r="AB1470"/>
    </row>
    <row r="1471" spans="1:28" x14ac:dyDescent="0.2">
      <c r="A1471" t="s">
        <v>450</v>
      </c>
      <c r="B1471" t="s">
        <v>2618</v>
      </c>
      <c r="C1471" t="s">
        <v>955</v>
      </c>
      <c r="D1471">
        <v>15</v>
      </c>
      <c r="E1471" t="s">
        <v>161</v>
      </c>
      <c r="F1471" t="str">
        <f>VLOOKUP($E1471,'Data Type Lookup'!$A$1:$C$21,2,FALSE)</f>
        <v>NUMBER(21,6)</v>
      </c>
      <c r="I1471" s="32" t="s">
        <v>32</v>
      </c>
      <c r="J1471" s="32">
        <v>0</v>
      </c>
      <c r="P1471" t="s">
        <v>1210</v>
      </c>
      <c r="Q1471" t="s">
        <v>1211</v>
      </c>
      <c r="R1471" t="str">
        <f>VLOOKUP(E1471,'Data Type Lookup'!$A$1:$C$21,3,FALSE)</f>
        <v>java.math.BigDecimal</v>
      </c>
      <c r="W1471" t="str">
        <f t="shared" si="62"/>
        <v>PROJECT_WORK_PACKAGE_TOTAL.BCWPCP</v>
      </c>
      <c r="X1471" t="e">
        <f>VLOOKUP(W1471,ColumnMapping[New Table.Column],1,)</f>
        <v>#N/A</v>
      </c>
      <c r="Y1471" t="e">
        <f>_xlfn.XLOOKUP(Table6[[#This Row],[Table.Column]],ColumnMapping[Add Column Name],ColumnMapping[Old Table.Column],"",0,1)</f>
        <v>#VALUE!</v>
      </c>
      <c r="Z1471" t="e">
        <f>_xlfn.XLOOKUP(Table6[[#This Row],[Old Table.Column]],Cobra8.6[Table.Column],Cobra8.6[TYPE],"",0,1)</f>
        <v>#VALUE!</v>
      </c>
      <c r="AA1471" t="e">
        <f>_xlfn.XLOOKUP(Table6[[#This Row],[Old Table.Column]],Cobra8.6[Table.Column],Cobra8.6[LENGTH],"",0,1)</f>
        <v>#VALUE!</v>
      </c>
      <c r="AB1471"/>
    </row>
    <row r="1472" spans="1:28" x14ac:dyDescent="0.2">
      <c r="A1472" t="s">
        <v>450</v>
      </c>
      <c r="B1472" t="s">
        <v>2618</v>
      </c>
      <c r="C1472" t="s">
        <v>959</v>
      </c>
      <c r="D1472">
        <v>16</v>
      </c>
      <c r="E1472" t="s">
        <v>161</v>
      </c>
      <c r="F1472" t="str">
        <f>VLOOKUP($E1472,'Data Type Lookup'!$A$1:$C$21,2,FALSE)</f>
        <v>NUMBER(21,6)</v>
      </c>
      <c r="I1472" s="32" t="s">
        <v>32</v>
      </c>
      <c r="J1472" s="32">
        <v>0</v>
      </c>
      <c r="P1472" t="s">
        <v>1212</v>
      </c>
      <c r="Q1472" t="s">
        <v>1211</v>
      </c>
      <c r="R1472" t="str">
        <f>VLOOKUP(E1472,'Data Type Lookup'!$A$1:$C$21,3,FALSE)</f>
        <v>java.math.BigDecimal</v>
      </c>
      <c r="W1472" t="str">
        <f t="shared" si="62"/>
        <v>PROJECT_WORK_PACKAGE_TOTAL.BCWSCP</v>
      </c>
      <c r="X1472" t="e">
        <f>VLOOKUP(W1472,ColumnMapping[New Table.Column],1,)</f>
        <v>#N/A</v>
      </c>
      <c r="Y1472" t="e">
        <f>_xlfn.XLOOKUP(Table6[[#This Row],[Table.Column]],ColumnMapping[Add Column Name],ColumnMapping[Old Table.Column],"",0,1)</f>
        <v>#VALUE!</v>
      </c>
      <c r="Z1472" t="e">
        <f>_xlfn.XLOOKUP(Table6[[#This Row],[Old Table.Column]],Cobra8.6[Table.Column],Cobra8.6[TYPE],"",0,1)</f>
        <v>#VALUE!</v>
      </c>
      <c r="AA1472" t="e">
        <f>_xlfn.XLOOKUP(Table6[[#This Row],[Old Table.Column]],Cobra8.6[Table.Column],Cobra8.6[LENGTH],"",0,1)</f>
        <v>#VALUE!</v>
      </c>
      <c r="AB1472"/>
    </row>
    <row r="1473" spans="1:28" x14ac:dyDescent="0.2">
      <c r="A1473" t="s">
        <v>450</v>
      </c>
      <c r="B1473" t="s">
        <v>2618</v>
      </c>
      <c r="C1473" t="s">
        <v>951</v>
      </c>
      <c r="D1473">
        <v>17</v>
      </c>
      <c r="E1473" t="s">
        <v>161</v>
      </c>
      <c r="F1473" t="str">
        <f>VLOOKUP($E1473,'Data Type Lookup'!$A$1:$C$21,2,FALSE)</f>
        <v>NUMBER(21,6)</v>
      </c>
      <c r="I1473" s="32" t="s">
        <v>32</v>
      </c>
      <c r="J1473" s="32">
        <v>0</v>
      </c>
      <c r="P1473" t="s">
        <v>1213</v>
      </c>
      <c r="Q1473" t="s">
        <v>1214</v>
      </c>
      <c r="R1473" t="str">
        <f>VLOOKUP(E1473,'Data Type Lookup'!$A$1:$C$21,3,FALSE)</f>
        <v>java.math.BigDecimal</v>
      </c>
      <c r="W1473" t="str">
        <f t="shared" si="62"/>
        <v>PROJECT_WORK_PACKAGE_TOTAL.ACWPCP_HRS</v>
      </c>
      <c r="X1473" t="e">
        <f>VLOOKUP(W1473,ColumnMapping[New Table.Column],1,)</f>
        <v>#N/A</v>
      </c>
      <c r="Y1473" t="e">
        <f>_xlfn.XLOOKUP(Table6[[#This Row],[Table.Column]],ColumnMapping[Add Column Name],ColumnMapping[Old Table.Column],"",0,1)</f>
        <v>#VALUE!</v>
      </c>
      <c r="Z1473" t="e">
        <f>_xlfn.XLOOKUP(Table6[[#This Row],[Old Table.Column]],Cobra8.6[Table.Column],Cobra8.6[TYPE],"",0,1)</f>
        <v>#VALUE!</v>
      </c>
      <c r="AA1473" t="e">
        <f>_xlfn.XLOOKUP(Table6[[#This Row],[Old Table.Column]],Cobra8.6[Table.Column],Cobra8.6[LENGTH],"",0,1)</f>
        <v>#VALUE!</v>
      </c>
      <c r="AB1473"/>
    </row>
    <row r="1474" spans="1:28" x14ac:dyDescent="0.2">
      <c r="A1474" t="s">
        <v>450</v>
      </c>
      <c r="B1474" t="s">
        <v>2618</v>
      </c>
      <c r="C1474" t="s">
        <v>957</v>
      </c>
      <c r="D1474">
        <v>18</v>
      </c>
      <c r="E1474" t="s">
        <v>161</v>
      </c>
      <c r="F1474" t="str">
        <f>VLOOKUP($E1474,'Data Type Lookup'!$A$1:$C$21,2,FALSE)</f>
        <v>NUMBER(21,6)</v>
      </c>
      <c r="I1474" s="32" t="s">
        <v>32</v>
      </c>
      <c r="J1474" s="32">
        <v>0</v>
      </c>
      <c r="P1474" t="s">
        <v>1215</v>
      </c>
      <c r="Q1474" t="s">
        <v>1216</v>
      </c>
      <c r="R1474" t="str">
        <f>VLOOKUP(E1474,'Data Type Lookup'!$A$1:$C$21,3,FALSE)</f>
        <v>java.math.BigDecimal</v>
      </c>
      <c r="W1474" t="str">
        <f t="shared" si="62"/>
        <v>PROJECT_WORK_PACKAGE_TOTAL.BCWPCP_HRS</v>
      </c>
      <c r="X1474" t="e">
        <f>VLOOKUP(W1474,ColumnMapping[New Table.Column],1,)</f>
        <v>#N/A</v>
      </c>
      <c r="Y1474" t="e">
        <f>_xlfn.XLOOKUP(Table6[[#This Row],[Table.Column]],ColumnMapping[Add Column Name],ColumnMapping[Old Table.Column],"",0,1)</f>
        <v>#VALUE!</v>
      </c>
      <c r="Z1474" t="e">
        <f>_xlfn.XLOOKUP(Table6[[#This Row],[Old Table.Column]],Cobra8.6[Table.Column],Cobra8.6[TYPE],"",0,1)</f>
        <v>#VALUE!</v>
      </c>
      <c r="AA1474" t="e">
        <f>_xlfn.XLOOKUP(Table6[[#This Row],[Old Table.Column]],Cobra8.6[Table.Column],Cobra8.6[LENGTH],"",0,1)</f>
        <v>#VALUE!</v>
      </c>
      <c r="AB1474"/>
    </row>
    <row r="1475" spans="1:28" x14ac:dyDescent="0.2">
      <c r="A1475" t="s">
        <v>450</v>
      </c>
      <c r="B1475" t="s">
        <v>2618</v>
      </c>
      <c r="C1475" t="s">
        <v>961</v>
      </c>
      <c r="D1475">
        <v>19</v>
      </c>
      <c r="E1475" t="s">
        <v>161</v>
      </c>
      <c r="F1475" t="str">
        <f>VLOOKUP($E1475,'Data Type Lookup'!$A$1:$C$21,2,FALSE)</f>
        <v>NUMBER(21,6)</v>
      </c>
      <c r="I1475" s="32" t="s">
        <v>32</v>
      </c>
      <c r="J1475" s="32">
        <v>0</v>
      </c>
      <c r="P1475" t="s">
        <v>1217</v>
      </c>
      <c r="Q1475" t="s">
        <v>1216</v>
      </c>
      <c r="R1475" t="str">
        <f>VLOOKUP(E1475,'Data Type Lookup'!$A$1:$C$21,3,FALSE)</f>
        <v>java.math.BigDecimal</v>
      </c>
      <c r="W1475" t="str">
        <f t="shared" si="62"/>
        <v>PROJECT_WORK_PACKAGE_TOTAL.BCWSCP_HRS</v>
      </c>
      <c r="X1475" t="e">
        <f>VLOOKUP(W1475,ColumnMapping[New Table.Column],1,)</f>
        <v>#N/A</v>
      </c>
      <c r="Y1475" t="e">
        <f>_xlfn.XLOOKUP(Table6[[#This Row],[Table.Column]],ColumnMapping[Add Column Name],ColumnMapping[Old Table.Column],"",0,1)</f>
        <v>#VALUE!</v>
      </c>
      <c r="Z1475" t="e">
        <f>_xlfn.XLOOKUP(Table6[[#This Row],[Old Table.Column]],Cobra8.6[Table.Column],Cobra8.6[TYPE],"",0,1)</f>
        <v>#VALUE!</v>
      </c>
      <c r="AA1475" t="e">
        <f>_xlfn.XLOOKUP(Table6[[#This Row],[Old Table.Column]],Cobra8.6[Table.Column],Cobra8.6[LENGTH],"",0,1)</f>
        <v>#VALUE!</v>
      </c>
      <c r="AB1475"/>
    </row>
    <row r="1476" spans="1:28" x14ac:dyDescent="0.2">
      <c r="B1476" t="s">
        <v>2622</v>
      </c>
    </row>
    <row r="1477" spans="1:28" x14ac:dyDescent="0.2">
      <c r="B1477" t="s">
        <v>2623</v>
      </c>
      <c r="C1477">
        <v>123</v>
      </c>
    </row>
  </sheetData>
  <conditionalFormatting sqref="B1:B756 B835:B1206 B1440:B1048576">
    <cfRule type="expression" dxfId="44" priority="24">
      <formula>AND(ROW()&gt;1, LEN($B1)&gt;30)</formula>
    </cfRule>
  </conditionalFormatting>
  <conditionalFormatting sqref="C1:C287 C366:C483 C545:C578 C583:C615 C624:C756 C835:C881 C883:C929 C931:C982 C985:C1206 C1440:C1048576">
    <cfRule type="expression" dxfId="43" priority="30">
      <formula>AND(ROW()&gt;1, LEN($C1)&gt;30)</formula>
    </cfRule>
    <cfRule type="expression" dxfId="42" priority="29">
      <formula>AND(ROW()&gt;1, NOT(ISBLANK($M1)), NOT(AND($C1="ROW_UID", $N1="ROW_UID")), NOT(ISNUMBER(SEARCH(_xlfn.CONCAT($M1, "_UID"), $C1))))</formula>
    </cfRule>
  </conditionalFormatting>
  <conditionalFormatting sqref="G1:G126 G155:G165 G215:G235 G238:G292 G294:G339 G341:G353 G358 G360:G529 G535:G583 G594:G709 G733:G756 G835:G1028 G1030:G1048576">
    <cfRule type="expression" dxfId="41" priority="22">
      <formula>AND(ROW()&gt;1,ISBLANK($G1), OR($E1="NTEXT", $E1="TEXT", $E1="BYTE", $E1="NUMBER", $E1="RAW"))</formula>
    </cfRule>
  </conditionalFormatting>
  <conditionalFormatting sqref="H1:H529 H535:H756 H835:H1028 H1030:H1048576">
    <cfRule type="expression" dxfId="40" priority="21">
      <formula>AND(ROW()&gt;1,ISBLANK($H1), $E1="NUMBER")</formula>
    </cfRule>
  </conditionalFormatting>
  <conditionalFormatting sqref="J1:J529 J835:J1028 I903 J1030:J1439">
    <cfRule type="expression" dxfId="39" priority="17">
      <formula>AND(ROW()&gt;1, ISNUMBER(SEARCH("NUMBER",$F1)), NOT(ISNUMBER($J1)))</formula>
    </cfRule>
    <cfRule type="expression" dxfId="38" priority="18">
      <formula>AND(ROW()&gt;1, ISNUMBER(SEARCH("NUMBER",$F1)), ISBLANK($J1))</formula>
    </cfRule>
    <cfRule type="expression" dxfId="37" priority="19">
      <formula>AND(ROW()&gt;1, $F1="BOOLEAN", NOT(OR($J1="TRUE", $J1="FALSE")))</formula>
    </cfRule>
  </conditionalFormatting>
  <conditionalFormatting sqref="J18">
    <cfRule type="expression" dxfId="36" priority="27">
      <formula>AND(ROW()&gt;1, ISBLANK($J18), AND(OR($E19="LONGINT",$E19="SHORTINT",$E19="DECIMAL",$E19="BOOLEAN")))</formula>
    </cfRule>
    <cfRule type="expression" dxfId="35" priority="28">
      <formula>AND(ROW()&gt;1, $F19="NUMBER", NOT(ISNUMBER($J18)))</formula>
    </cfRule>
  </conditionalFormatting>
  <conditionalFormatting sqref="J535:J756">
    <cfRule type="expression" dxfId="34" priority="8">
      <formula>AND(ROW()&gt;1, ISNUMBER(SEARCH("NUMBER",$F535)), NOT(ISNUMBER($J535)))</formula>
    </cfRule>
    <cfRule type="expression" dxfId="33" priority="9">
      <formula>AND(ROW()&gt;1, ISNUMBER(SEARCH("NUMBER",$F535)), ISBLANK($J535))</formula>
    </cfRule>
    <cfRule type="expression" dxfId="32" priority="10">
      <formula>AND(ROW()&gt;1, $F535="BOOLEAN", NOT(OR($J535="TRUE", $J535="FALSE")))</formula>
    </cfRule>
  </conditionalFormatting>
  <conditionalFormatting sqref="J771:J777 J799 J808:J809">
    <cfRule type="expression" dxfId="31" priority="14">
      <formula>AND(ROW()&gt;1, ISNUMBER(SEARCH("NUMBER",$F771)), NOT(ISNUMBER($J771)))</formula>
    </cfRule>
    <cfRule type="expression" dxfId="30" priority="15">
      <formula>AND(ROW()&gt;1, ISNUMBER(SEARCH("NUMBER",$F771)), ISBLANK($J771))</formula>
    </cfRule>
    <cfRule type="expression" dxfId="29" priority="16">
      <formula>AND(ROW()&gt;1, $F771="BOOLEAN", NOT(OR($J771="TRUE", $J771="FALSE")))</formula>
    </cfRule>
  </conditionalFormatting>
  <conditionalFormatting sqref="J1440:J1048576">
    <cfRule type="expression" dxfId="28" priority="3">
      <formula>AND(ROW()&gt;1, ISNUMBER(SEARCH("NUMBER",$F1440)), NOT(ISNUMBER($J1440)))</formula>
    </cfRule>
    <cfRule type="expression" dxfId="27" priority="4">
      <formula>AND(ROW()&gt;1, ISNUMBER(SEARCH("NUMBER",$F1440)), ISBLANK($J1440))</formula>
    </cfRule>
    <cfRule type="expression" dxfId="26" priority="5">
      <formula>AND(ROW()&gt;1, $F1440="BOOLEAN", NOT(OR($J1440="TRUE", $J1440="FALSE")))</formula>
    </cfRule>
  </conditionalFormatting>
  <conditionalFormatting sqref="K1:K756 K835:K1028 K1030:K1048576">
    <cfRule type="expression" dxfId="25" priority="31">
      <formula>AND(ROW()&gt;1, ISBLANK($K1), AND($C1="ROW_UID"))</formula>
    </cfRule>
  </conditionalFormatting>
  <conditionalFormatting sqref="L1:L756 L835:L1028 L1030:L1048576">
    <cfRule type="expression" dxfId="24" priority="32">
      <formula>AND(ROW()&gt;1, $C1="ROW_UID", NOT(ISBLANK($L1)))</formula>
    </cfRule>
  </conditionalFormatting>
  <conditionalFormatting sqref="M1:M529 M535:M539 M544:M756 M835:M1028 M1030:M1331 M1333:M1048576">
    <cfRule type="expression" dxfId="23" priority="33">
      <formula>AND(ROW()&gt;1,ISBLANK($M1), $E1="GUID", $C1&lt;&gt;"ROW_UID", $C1&lt;&gt;"ENTITY_UID", $C1&lt;&gt;"PRIMARY_ENTITY_UID", $C1&lt;&gt;"CREATED_BY_USER_UID", $C1&lt;&gt;"LAST_MODIFIED_BY_USER_UID", $C1&lt;&gt;"USER_UID", $C1&lt;&gt;"GROUP_UID",$C1&lt;&gt;"ROLE_UID", $C1&lt;&gt;"OWNER_USER_UID", $C1&lt;&gt;"MANAGER_USER_UID", $C1&lt;&gt;"CONTRACT_CLIN_UID")</formula>
    </cfRule>
  </conditionalFormatting>
  <conditionalFormatting sqref="M530 M540:M543">
    <cfRule type="expression" dxfId="22" priority="403">
      <formula>AND(ROW()&gt;1,ISBLANK($M530), #REF!="GUID", $C530&lt;&gt;"ROW_UID", $C530&lt;&gt;"ENTITY_UID", $C530&lt;&gt;"PRIMARY_ENTITY_UID", $C530&lt;&gt;"CREATED_BY_USER_UID", $C530&lt;&gt;"LAST_MODIFIED_BY_USER_UID", $C530&lt;&gt;"USER_UID", $C530&lt;&gt;"GROUP_UID",$C530&lt;&gt;"ROLE_UID", $C530&lt;&gt;"OWNER_USER_UID", $C530&lt;&gt;"MANAGER_USER_UID", $C530&lt;&gt;"CONTRACT_CLIN_UID")</formula>
    </cfRule>
  </conditionalFormatting>
  <conditionalFormatting sqref="M531:M534">
    <cfRule type="expression" dxfId="21" priority="516">
      <formula>AND(ROW()&gt;1,ISBLANK($M531), $E540="GUID", $C531&lt;&gt;"ROW_UID", $C531&lt;&gt;"ENTITY_UID", $C531&lt;&gt;"PRIMARY_ENTITY_UID", $C531&lt;&gt;"CREATED_BY_USER_UID", $C531&lt;&gt;"LAST_MODIFIED_BY_USER_UID", $C531&lt;&gt;"USER_UID", $C531&lt;&gt;"GROUP_UID",$C531&lt;&gt;"ROLE_UID", $C531&lt;&gt;"OWNER_USER_UID", $C531&lt;&gt;"MANAGER_USER_UID", $C531&lt;&gt;"CONTRACT_CLIN_UID")</formula>
    </cfRule>
  </conditionalFormatting>
  <conditionalFormatting sqref="Q1:Q61 N1:O756 Q71:Q631 Q636:Q756 N835:O1028 Q835:Q1028 Q1030:Q1447 N1030:O1048576 Q1452:Q1465 Q1470:Q1048576">
    <cfRule type="expression" dxfId="20" priority="23">
      <formula>AND(ROW()&gt;1,NOT(ISBLANK($M1)), ISBLANK($N1))</formula>
    </cfRule>
  </conditionalFormatting>
  <conditionalFormatting sqref="Q1:Q61 O1:O756 Q71:Q631 Q636:Q756 O835:O1028 Q835:Q1028 Q1030:Q1447 O1030:O1048576 Q1452:Q1465 Q1470:Q1048576">
    <cfRule type="expression" dxfId="19" priority="34">
      <formula>AND(ROW()&gt;1,NOT(ISBLANK($M1)), ISBLANK($O1))</formula>
    </cfRule>
  </conditionalFormatting>
  <conditionalFormatting sqref="Q632:Q634">
    <cfRule type="expression" dxfId="18" priority="47">
      <formula>AND(ROW()&gt;1,NOT(ISBLANK($M633)), ISBLANK($N633))</formula>
    </cfRule>
    <cfRule type="expression" dxfId="17" priority="50">
      <formula>AND(ROW()&gt;1,NOT(ISBLANK($M633)), ISBLANK($O633))</formula>
    </cfRule>
  </conditionalFormatting>
  <conditionalFormatting sqref="Q1448:Q1450">
    <cfRule type="expression" dxfId="16" priority="7">
      <formula>AND(ROW()&gt;1,NOT(ISBLANK($M1449)), ISBLANK($O1449))</formula>
    </cfRule>
    <cfRule type="expression" dxfId="15" priority="6">
      <formula>AND(ROW()&gt;1,NOT(ISBLANK($M1449)), ISBLANK($N1449))</formula>
    </cfRule>
  </conditionalFormatting>
  <conditionalFormatting sqref="Q1466:Q1468">
    <cfRule type="expression" dxfId="14" priority="2">
      <formula>AND(ROW()&gt;1,NOT(ISBLANK($M1467)), ISBLANK($O1467))</formula>
    </cfRule>
    <cfRule type="expression" dxfId="13" priority="1">
      <formula>AND(ROW()&gt;1,NOT(ISBLANK($M1467)), ISBLANK($N1467))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B138-75C5-4BF7-8CB6-C250EA61B1DD}">
  <dimension ref="A1:D21"/>
  <sheetViews>
    <sheetView workbookViewId="0">
      <selection activeCell="F12" sqref="F12"/>
    </sheetView>
  </sheetViews>
  <sheetFormatPr baseColWidth="10" defaultColWidth="8.6640625" defaultRowHeight="15" x14ac:dyDescent="0.2"/>
  <cols>
    <col min="1" max="1" width="19.5" customWidth="1"/>
    <col min="2" max="2" width="29.6640625" customWidth="1"/>
    <col min="3" max="3" width="24.6640625" customWidth="1"/>
    <col min="5" max="5" width="24.5" customWidth="1"/>
  </cols>
  <sheetData>
    <row r="1" spans="1:4" x14ac:dyDescent="0.2">
      <c r="A1" s="7" t="s">
        <v>2039</v>
      </c>
      <c r="B1" s="7" t="s">
        <v>2040</v>
      </c>
      <c r="C1" s="7" t="s">
        <v>2041</v>
      </c>
    </row>
    <row r="2" spans="1:4" x14ac:dyDescent="0.2">
      <c r="A2" t="s">
        <v>2042</v>
      </c>
      <c r="B2" t="s">
        <v>789</v>
      </c>
      <c r="C2" t="s">
        <v>2043</v>
      </c>
    </row>
    <row r="3" spans="1:4" x14ac:dyDescent="0.2">
      <c r="A3" t="s">
        <v>288</v>
      </c>
      <c r="B3" t="s">
        <v>789</v>
      </c>
      <c r="C3" t="s">
        <v>791</v>
      </c>
    </row>
    <row r="4" spans="1:4" x14ac:dyDescent="0.2">
      <c r="A4" t="s">
        <v>356</v>
      </c>
      <c r="B4" t="s">
        <v>356</v>
      </c>
      <c r="C4" t="s">
        <v>780</v>
      </c>
    </row>
    <row r="5" spans="1:4" x14ac:dyDescent="0.2">
      <c r="A5" t="s">
        <v>161</v>
      </c>
      <c r="B5" t="s">
        <v>795</v>
      </c>
      <c r="C5" t="s">
        <v>797</v>
      </c>
    </row>
    <row r="6" spans="1:4" x14ac:dyDescent="0.2">
      <c r="A6" t="s">
        <v>2044</v>
      </c>
      <c r="B6" t="s">
        <v>2045</v>
      </c>
      <c r="C6" t="s">
        <v>2046</v>
      </c>
    </row>
    <row r="7" spans="1:4" x14ac:dyDescent="0.2">
      <c r="A7" t="s">
        <v>31</v>
      </c>
      <c r="B7" t="s">
        <v>765</v>
      </c>
      <c r="C7" t="s">
        <v>767</v>
      </c>
    </row>
    <row r="8" spans="1:4" x14ac:dyDescent="0.2">
      <c r="A8" t="s">
        <v>299</v>
      </c>
      <c r="B8" t="s">
        <v>806</v>
      </c>
      <c r="C8" t="s">
        <v>797</v>
      </c>
      <c r="D8" t="s">
        <v>2047</v>
      </c>
    </row>
    <row r="9" spans="1:4" x14ac:dyDescent="0.2">
      <c r="A9" t="s">
        <v>567</v>
      </c>
      <c r="B9" t="s">
        <v>782</v>
      </c>
      <c r="C9" t="s">
        <v>2048</v>
      </c>
    </row>
    <row r="10" spans="1:4" x14ac:dyDescent="0.2">
      <c r="A10" t="s">
        <v>1664</v>
      </c>
      <c r="B10" t="s">
        <v>679</v>
      </c>
      <c r="C10" t="s">
        <v>681</v>
      </c>
    </row>
    <row r="11" spans="1:4" x14ac:dyDescent="0.2">
      <c r="A11" t="s">
        <v>2049</v>
      </c>
      <c r="B11" t="s">
        <v>1664</v>
      </c>
      <c r="C11" t="s">
        <v>681</v>
      </c>
      <c r="D11" t="s">
        <v>2050</v>
      </c>
    </row>
    <row r="12" spans="1:4" x14ac:dyDescent="0.2">
      <c r="A12" t="s">
        <v>36</v>
      </c>
      <c r="B12" t="s">
        <v>768</v>
      </c>
      <c r="C12" t="s">
        <v>769</v>
      </c>
      <c r="D12" t="s">
        <v>2051</v>
      </c>
    </row>
    <row r="13" spans="1:4" x14ac:dyDescent="0.2">
      <c r="A13" t="s">
        <v>271</v>
      </c>
      <c r="B13" t="s">
        <v>679</v>
      </c>
      <c r="C13" t="s">
        <v>681</v>
      </c>
      <c r="D13" s="6" t="s">
        <v>2052</v>
      </c>
    </row>
    <row r="14" spans="1:4" ht="16" x14ac:dyDescent="0.2">
      <c r="A14" t="s">
        <v>48</v>
      </c>
      <c r="B14" t="s">
        <v>773</v>
      </c>
      <c r="C14" t="s">
        <v>681</v>
      </c>
      <c r="D14" s="11" t="s">
        <v>2053</v>
      </c>
    </row>
    <row r="15" spans="1:4" x14ac:dyDescent="0.2">
      <c r="A15" t="s">
        <v>2054</v>
      </c>
      <c r="B15" t="s">
        <v>2054</v>
      </c>
      <c r="C15" t="s">
        <v>797</v>
      </c>
      <c r="D15" s="6" t="s">
        <v>2055</v>
      </c>
    </row>
    <row r="16" spans="1:4" x14ac:dyDescent="0.2">
      <c r="A16" t="s">
        <v>168</v>
      </c>
      <c r="B16" t="s">
        <v>2056</v>
      </c>
      <c r="C16" t="s">
        <v>797</v>
      </c>
      <c r="D16" t="s">
        <v>2057</v>
      </c>
    </row>
    <row r="17" spans="1:4" x14ac:dyDescent="0.2">
      <c r="A17" t="s">
        <v>2058</v>
      </c>
      <c r="B17" t="s">
        <v>2058</v>
      </c>
      <c r="C17" t="s">
        <v>2059</v>
      </c>
      <c r="D17" t="s">
        <v>2060</v>
      </c>
    </row>
    <row r="18" spans="1:4" x14ac:dyDescent="0.2">
      <c r="A18" t="s">
        <v>52</v>
      </c>
      <c r="B18" t="s">
        <v>1592</v>
      </c>
      <c r="C18" t="s">
        <v>1594</v>
      </c>
    </row>
    <row r="19" spans="1:4" x14ac:dyDescent="0.2">
      <c r="A19" t="s">
        <v>86</v>
      </c>
      <c r="B19" t="s">
        <v>349</v>
      </c>
      <c r="C19" t="s">
        <v>681</v>
      </c>
      <c r="D19" t="s">
        <v>2061</v>
      </c>
    </row>
    <row r="20" spans="1:4" x14ac:dyDescent="0.2">
      <c r="A20" t="s">
        <v>65</v>
      </c>
      <c r="B20" t="s">
        <v>65</v>
      </c>
      <c r="C20" t="s">
        <v>780</v>
      </c>
    </row>
    <row r="21" spans="1:4" x14ac:dyDescent="0.2">
      <c r="A21" t="s">
        <v>2062</v>
      </c>
      <c r="B21" t="s">
        <v>2045</v>
      </c>
      <c r="C21" t="s">
        <v>1594</v>
      </c>
      <c r="D21" t="s">
        <v>2063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4655-661A-4424-BD40-F90849189A0D}">
  <dimension ref="A1:C7"/>
  <sheetViews>
    <sheetView workbookViewId="0">
      <selection activeCell="A2" sqref="A2"/>
    </sheetView>
  </sheetViews>
  <sheetFormatPr baseColWidth="10" defaultColWidth="8.6640625" defaultRowHeight="15" x14ac:dyDescent="0.2"/>
  <cols>
    <col min="1" max="1" width="37.6640625" customWidth="1"/>
    <col min="2" max="2" width="24.1640625" customWidth="1"/>
    <col min="3" max="3" width="40.6640625" customWidth="1"/>
  </cols>
  <sheetData>
    <row r="1" spans="1:3" x14ac:dyDescent="0.2">
      <c r="A1" s="12" t="s">
        <v>2064</v>
      </c>
      <c r="B1" s="12" t="s">
        <v>2065</v>
      </c>
      <c r="C1" s="12" t="s">
        <v>15</v>
      </c>
    </row>
    <row r="2" spans="1:3" x14ac:dyDescent="0.2">
      <c r="A2" t="s">
        <v>2066</v>
      </c>
      <c r="B2" t="s">
        <v>2067</v>
      </c>
      <c r="C2" t="s">
        <v>2068</v>
      </c>
    </row>
    <row r="3" spans="1:3" x14ac:dyDescent="0.2">
      <c r="A3" t="s">
        <v>2069</v>
      </c>
      <c r="B3" t="s">
        <v>2070</v>
      </c>
      <c r="C3" t="s">
        <v>2071</v>
      </c>
    </row>
    <row r="4" spans="1:3" x14ac:dyDescent="0.2">
      <c r="A4" t="s">
        <v>2072</v>
      </c>
      <c r="B4" t="s">
        <v>2073</v>
      </c>
      <c r="C4" t="s">
        <v>2074</v>
      </c>
    </row>
    <row r="5" spans="1:3" x14ac:dyDescent="0.2">
      <c r="A5" t="s">
        <v>2075</v>
      </c>
      <c r="B5" t="s">
        <v>2076</v>
      </c>
      <c r="C5" t="s">
        <v>2077</v>
      </c>
    </row>
    <row r="6" spans="1:3" x14ac:dyDescent="0.2">
      <c r="A6" t="s">
        <v>2078</v>
      </c>
      <c r="B6" t="s">
        <v>2079</v>
      </c>
      <c r="C6" t="s">
        <v>2080</v>
      </c>
    </row>
    <row r="7" spans="1:3" x14ac:dyDescent="0.2">
      <c r="A7" t="s">
        <v>2081</v>
      </c>
      <c r="B7" t="s">
        <v>2082</v>
      </c>
      <c r="C7" t="s">
        <v>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BFFE-0521-4932-9B93-924F2730C173}">
  <dimension ref="A1:C31"/>
  <sheetViews>
    <sheetView workbookViewId="0">
      <selection activeCell="A2" sqref="A2"/>
    </sheetView>
  </sheetViews>
  <sheetFormatPr baseColWidth="10" defaultColWidth="8.6640625" defaultRowHeight="15" x14ac:dyDescent="0.2"/>
  <cols>
    <col min="1" max="1" width="32" customWidth="1"/>
    <col min="2" max="2" width="24.33203125" customWidth="1"/>
    <col min="3" max="3" width="57.6640625" customWidth="1"/>
  </cols>
  <sheetData>
    <row r="1" spans="1:3" x14ac:dyDescent="0.2">
      <c r="A1" s="12" t="s">
        <v>2064</v>
      </c>
      <c r="B1" s="12" t="s">
        <v>2065</v>
      </c>
      <c r="C1" s="12" t="s">
        <v>15</v>
      </c>
    </row>
    <row r="2" spans="1:3" x14ac:dyDescent="0.2">
      <c r="A2" t="s">
        <v>2084</v>
      </c>
      <c r="B2" t="s">
        <v>2067</v>
      </c>
      <c r="C2" t="s">
        <v>2085</v>
      </c>
    </row>
    <row r="3" spans="1:3" x14ac:dyDescent="0.2">
      <c r="A3" t="s">
        <v>2086</v>
      </c>
      <c r="B3" t="s">
        <v>2070</v>
      </c>
      <c r="C3" t="s">
        <v>2087</v>
      </c>
    </row>
    <row r="4" spans="1:3" x14ac:dyDescent="0.2">
      <c r="A4" t="s">
        <v>2088</v>
      </c>
      <c r="B4" t="s">
        <v>2073</v>
      </c>
      <c r="C4" t="s">
        <v>2089</v>
      </c>
    </row>
    <row r="5" spans="1:3" x14ac:dyDescent="0.2">
      <c r="A5" t="s">
        <v>2090</v>
      </c>
      <c r="B5" t="s">
        <v>2076</v>
      </c>
      <c r="C5" t="s">
        <v>2091</v>
      </c>
    </row>
    <row r="6" spans="1:3" x14ac:dyDescent="0.2">
      <c r="A6" t="s">
        <v>2092</v>
      </c>
      <c r="B6" t="s">
        <v>2079</v>
      </c>
      <c r="C6" t="s">
        <v>2093</v>
      </c>
    </row>
    <row r="7" spans="1:3" x14ac:dyDescent="0.2">
      <c r="A7" t="s">
        <v>2094</v>
      </c>
      <c r="B7" t="s">
        <v>2082</v>
      </c>
      <c r="C7" t="s">
        <v>2095</v>
      </c>
    </row>
    <row r="8" spans="1:3" x14ac:dyDescent="0.2">
      <c r="A8" t="s">
        <v>2096</v>
      </c>
      <c r="B8" t="s">
        <v>2097</v>
      </c>
      <c r="C8" t="s">
        <v>2098</v>
      </c>
    </row>
    <row r="9" spans="1:3" x14ac:dyDescent="0.2">
      <c r="A9" t="s">
        <v>2099</v>
      </c>
      <c r="B9" t="s">
        <v>2100</v>
      </c>
      <c r="C9" t="s">
        <v>2101</v>
      </c>
    </row>
    <row r="10" spans="1:3" x14ac:dyDescent="0.2">
      <c r="A10" t="s">
        <v>2102</v>
      </c>
      <c r="B10" t="s">
        <v>2103</v>
      </c>
      <c r="C10" t="s">
        <v>2104</v>
      </c>
    </row>
    <row r="31" ht="12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1A41-841B-466B-A1BD-86630A0FDC56}">
  <dimension ref="A1:Q1078"/>
  <sheetViews>
    <sheetView workbookViewId="0">
      <selection activeCell="C433" sqref="C433"/>
    </sheetView>
  </sheetViews>
  <sheetFormatPr baseColWidth="10" defaultColWidth="9.1640625" defaultRowHeight="15" x14ac:dyDescent="0.2"/>
  <cols>
    <col min="1" max="1" width="18.1640625" style="4" customWidth="1"/>
    <col min="2" max="3" width="15.1640625" style="4" customWidth="1"/>
    <col min="4" max="4" width="15.5" style="4" customWidth="1"/>
    <col min="5" max="5" width="16.5" style="4" customWidth="1"/>
    <col min="6" max="6" width="12.6640625" style="4" customWidth="1"/>
    <col min="7" max="7" width="10.33203125" style="4" customWidth="1"/>
    <col min="8" max="8" width="13.5" style="4" customWidth="1"/>
    <col min="9" max="9" width="16.5" style="4" customWidth="1"/>
    <col min="10" max="10" width="11" style="4" hidden="1" customWidth="1"/>
    <col min="11" max="11" width="10.33203125" style="4" hidden="1" customWidth="1"/>
    <col min="12" max="12" width="15.6640625" style="4" customWidth="1"/>
    <col min="13" max="14" width="18" style="4" customWidth="1"/>
    <col min="15" max="15" width="15.6640625" style="4" customWidth="1"/>
    <col min="16" max="16" width="34.5" style="4" bestFit="1" customWidth="1"/>
    <col min="17" max="17" width="29.6640625" style="4" bestFit="1" customWidth="1"/>
    <col min="18" max="16384" width="9.1640625" style="4"/>
  </cols>
  <sheetData>
    <row r="1" spans="1:17" x14ac:dyDescent="0.2">
      <c r="A1" s="3" t="s">
        <v>1</v>
      </c>
      <c r="B1" s="3" t="s">
        <v>20</v>
      </c>
      <c r="C1" s="3" t="s">
        <v>2005</v>
      </c>
      <c r="D1" s="3" t="s">
        <v>2006</v>
      </c>
      <c r="E1" s="3" t="s">
        <v>258</v>
      </c>
      <c r="F1" s="3" t="s">
        <v>2007</v>
      </c>
      <c r="G1" s="3" t="s">
        <v>7</v>
      </c>
      <c r="H1" s="3" t="s">
        <v>2008</v>
      </c>
      <c r="I1" s="3" t="s">
        <v>2009</v>
      </c>
      <c r="J1" s="3" t="s">
        <v>2010</v>
      </c>
      <c r="K1" s="3" t="s">
        <v>2011</v>
      </c>
      <c r="L1" s="3" t="s">
        <v>12</v>
      </c>
      <c r="M1" s="3" t="s">
        <v>2012</v>
      </c>
      <c r="N1" s="3" t="s">
        <v>2013</v>
      </c>
      <c r="O1" s="3" t="s">
        <v>2014</v>
      </c>
      <c r="P1" s="3" t="s">
        <v>22</v>
      </c>
      <c r="Q1" s="4" t="s">
        <v>2105</v>
      </c>
    </row>
    <row r="2" spans="1:17" hidden="1" x14ac:dyDescent="0.2">
      <c r="A2" s="4" t="s">
        <v>1913</v>
      </c>
      <c r="B2" s="4">
        <v>0</v>
      </c>
      <c r="C2" s="4" t="s">
        <v>1913</v>
      </c>
      <c r="D2" s="4" t="s">
        <v>2106</v>
      </c>
      <c r="E2" s="4" t="s">
        <v>86</v>
      </c>
      <c r="F2" s="4">
        <v>3</v>
      </c>
      <c r="G2" s="4">
        <v>0</v>
      </c>
      <c r="H2" s="4">
        <v>0</v>
      </c>
      <c r="K2" s="4">
        <v>0</v>
      </c>
      <c r="N2" s="4">
        <v>0</v>
      </c>
      <c r="O2" s="4">
        <v>0</v>
      </c>
      <c r="P2" s="4" t="str">
        <f t="shared" ref="P2:P65" si="0">_xlfn.CONCAT(A2,".",D2)</f>
        <v>ACCOUNTS.ACCT</v>
      </c>
      <c r="Q2" s="4" t="str">
        <f>VLOOKUP(Cobra8.5[[#This Row],[Table.Column]],ColumnMapping[Old Table.Column],1,)</f>
        <v>ACCOUNTS.ACCT</v>
      </c>
    </row>
    <row r="3" spans="1:17" hidden="1" x14ac:dyDescent="0.2">
      <c r="A3" s="4" t="s">
        <v>1913</v>
      </c>
      <c r="B3" s="4">
        <v>0</v>
      </c>
      <c r="C3" s="4" t="s">
        <v>1913</v>
      </c>
      <c r="D3" s="4" t="s">
        <v>2107</v>
      </c>
      <c r="E3" s="4" t="s">
        <v>86</v>
      </c>
      <c r="F3" s="4">
        <v>254</v>
      </c>
      <c r="G3" s="4">
        <v>0</v>
      </c>
      <c r="H3" s="4">
        <v>0</v>
      </c>
      <c r="K3" s="4">
        <v>0</v>
      </c>
      <c r="N3" s="4">
        <v>0</v>
      </c>
      <c r="O3" s="4">
        <v>0</v>
      </c>
      <c r="P3" s="4" t="str">
        <f t="shared" si="0"/>
        <v>ACCOUNTS.ACCTDESC</v>
      </c>
      <c r="Q3" s="4" t="str">
        <f>VLOOKUP(Cobra8.5[[#This Row],[Table.Column]],ColumnMapping[Old Table.Column],1,)</f>
        <v>ACCOUNTS.ACCTDESC</v>
      </c>
    </row>
    <row r="4" spans="1:17" hidden="1" x14ac:dyDescent="0.2">
      <c r="A4" s="4" t="s">
        <v>1913</v>
      </c>
      <c r="B4" s="4">
        <v>0</v>
      </c>
      <c r="C4" s="4" t="s">
        <v>1913</v>
      </c>
      <c r="D4" s="4" t="s">
        <v>744</v>
      </c>
      <c r="E4" s="4" t="s">
        <v>86</v>
      </c>
      <c r="F4" s="4">
        <v>22</v>
      </c>
      <c r="G4" s="4">
        <v>0</v>
      </c>
      <c r="H4" s="4">
        <v>0</v>
      </c>
      <c r="K4" s="4">
        <v>0</v>
      </c>
      <c r="N4" s="4">
        <v>0</v>
      </c>
      <c r="O4" s="4">
        <v>0</v>
      </c>
      <c r="P4" s="4" t="str">
        <f t="shared" si="0"/>
        <v>ACCOUNTS.PROGRAM</v>
      </c>
      <c r="Q4" s="4" t="str">
        <f>VLOOKUP(Cobra8.5[[#This Row],[Table.Column]],ColumnMapping[Old Table.Column],1,)</f>
        <v>ACCOUNTS.PROGRAM</v>
      </c>
    </row>
    <row r="5" spans="1:17" hidden="1" x14ac:dyDescent="0.2">
      <c r="A5" s="4" t="s">
        <v>1913</v>
      </c>
      <c r="B5" s="4">
        <v>0</v>
      </c>
      <c r="C5" s="4" t="s">
        <v>1913</v>
      </c>
      <c r="D5" s="4" t="s">
        <v>1256</v>
      </c>
      <c r="E5" s="4" t="s">
        <v>2108</v>
      </c>
      <c r="F5" s="4">
        <v>-1</v>
      </c>
      <c r="G5" s="4">
        <v>0</v>
      </c>
      <c r="H5" s="4">
        <v>0</v>
      </c>
      <c r="K5" s="4">
        <v>0</v>
      </c>
      <c r="N5" s="4">
        <v>0</v>
      </c>
      <c r="O5" s="4">
        <v>0</v>
      </c>
      <c r="P5" s="4" t="str">
        <f t="shared" si="0"/>
        <v>ACCOUNTS.REQUIRED</v>
      </c>
      <c r="Q5" s="4" t="str">
        <f>VLOOKUP(Cobra8.5[[#This Row],[Table.Column]],ColumnMapping[Old Table.Column],1,)</f>
        <v>ACCOUNTS.REQUIRED</v>
      </c>
    </row>
    <row r="6" spans="1:17" hidden="1" x14ac:dyDescent="0.2">
      <c r="A6" s="4" t="s">
        <v>2109</v>
      </c>
      <c r="B6" s="4">
        <v>0</v>
      </c>
      <c r="C6" s="4" t="s">
        <v>2109</v>
      </c>
      <c r="D6" s="4" t="s">
        <v>1501</v>
      </c>
      <c r="E6" s="4" t="s">
        <v>86</v>
      </c>
      <c r="F6" s="4">
        <v>22</v>
      </c>
      <c r="G6" s="4">
        <v>0</v>
      </c>
      <c r="H6" s="4">
        <v>0</v>
      </c>
      <c r="K6" s="4">
        <v>0</v>
      </c>
      <c r="N6" s="4">
        <v>0</v>
      </c>
      <c r="O6" s="4">
        <v>0</v>
      </c>
      <c r="P6" s="4" t="str">
        <f t="shared" si="0"/>
        <v>APPBE.CALCFILE</v>
      </c>
      <c r="Q6" s="4" t="str">
        <f>VLOOKUP(Cobra8.5[[#This Row],[Table.Column]],ColumnMapping[Old Table.Column],1,)</f>
        <v>APPBE.CALCFILE</v>
      </c>
    </row>
    <row r="7" spans="1:17" hidden="1" x14ac:dyDescent="0.2">
      <c r="A7" s="4" t="s">
        <v>2109</v>
      </c>
      <c r="B7" s="4">
        <v>0</v>
      </c>
      <c r="C7" s="4" t="s">
        <v>2109</v>
      </c>
      <c r="D7" s="4" t="s">
        <v>2110</v>
      </c>
      <c r="E7" s="4" t="s">
        <v>2108</v>
      </c>
      <c r="F7" s="4">
        <v>-1</v>
      </c>
      <c r="G7" s="4">
        <v>0</v>
      </c>
      <c r="H7" s="4">
        <v>0</v>
      </c>
      <c r="K7" s="4">
        <v>0</v>
      </c>
      <c r="N7" s="4">
        <v>0</v>
      </c>
      <c r="O7" s="4">
        <v>0</v>
      </c>
      <c r="P7" s="4" t="str">
        <f t="shared" si="0"/>
        <v>APPBE.CALCORDER</v>
      </c>
      <c r="Q7" s="4" t="str">
        <f>VLOOKUP(Cobra8.5[[#This Row],[Table.Column]],ColumnMapping[Old Table.Column],1,)</f>
        <v>APPBE.CALCORDER</v>
      </c>
    </row>
    <row r="8" spans="1:17" hidden="1" x14ac:dyDescent="0.2">
      <c r="A8" s="4" t="s">
        <v>2109</v>
      </c>
      <c r="B8" s="4">
        <v>0</v>
      </c>
      <c r="C8" s="4" t="s">
        <v>2109</v>
      </c>
      <c r="D8" s="4" t="s">
        <v>1098</v>
      </c>
      <c r="E8" s="4" t="s">
        <v>86</v>
      </c>
      <c r="F8" s="4">
        <v>59</v>
      </c>
      <c r="G8" s="4">
        <v>0</v>
      </c>
      <c r="H8" s="4">
        <v>0</v>
      </c>
      <c r="K8" s="4">
        <v>0</v>
      </c>
      <c r="N8" s="4">
        <v>0</v>
      </c>
      <c r="O8" s="4">
        <v>0</v>
      </c>
      <c r="P8" s="4" t="str">
        <f t="shared" si="0"/>
        <v>APPBE.CECODE</v>
      </c>
      <c r="Q8" s="4" t="str">
        <f>VLOOKUP(Cobra8.5[[#This Row],[Table.Column]],ColumnMapping[Old Table.Column],1,)</f>
        <v>APPBE.CECODE</v>
      </c>
    </row>
    <row r="9" spans="1:17" hidden="1" x14ac:dyDescent="0.2">
      <c r="A9" s="4" t="s">
        <v>2109</v>
      </c>
      <c r="B9" s="4">
        <v>0</v>
      </c>
      <c r="C9" s="4" t="s">
        <v>2109</v>
      </c>
      <c r="D9" s="4" t="s">
        <v>2111</v>
      </c>
      <c r="E9" s="4" t="s">
        <v>356</v>
      </c>
      <c r="F9" s="4">
        <v>-1</v>
      </c>
      <c r="G9" s="4">
        <v>0</v>
      </c>
      <c r="H9" s="4">
        <v>0</v>
      </c>
      <c r="K9" s="4">
        <v>0</v>
      </c>
      <c r="N9" s="4">
        <v>0</v>
      </c>
      <c r="O9" s="4">
        <v>0</v>
      </c>
      <c r="P9" s="4" t="str">
        <f t="shared" si="0"/>
        <v>APPBE.LASTUPDATE</v>
      </c>
      <c r="Q9" s="4" t="str">
        <f>VLOOKUP(Cobra8.5[[#This Row],[Table.Column]],ColumnMapping[Old Table.Column],1,)</f>
        <v>APPBE.LASTUPDATE</v>
      </c>
    </row>
    <row r="10" spans="1:17" hidden="1" x14ac:dyDescent="0.2">
      <c r="A10" s="4" t="s">
        <v>2109</v>
      </c>
      <c r="B10" s="4">
        <v>0</v>
      </c>
      <c r="C10" s="4" t="s">
        <v>2109</v>
      </c>
      <c r="D10" s="4" t="s">
        <v>865</v>
      </c>
      <c r="E10" s="4" t="s">
        <v>86</v>
      </c>
      <c r="F10" s="4">
        <v>10</v>
      </c>
      <c r="G10" s="4">
        <v>0</v>
      </c>
      <c r="H10" s="4">
        <v>0</v>
      </c>
      <c r="K10" s="4">
        <v>0</v>
      </c>
      <c r="N10" s="4">
        <v>0</v>
      </c>
      <c r="O10" s="4">
        <v>0</v>
      </c>
      <c r="P10" s="4" t="str">
        <f t="shared" si="0"/>
        <v>APPBE.RESULT</v>
      </c>
      <c r="Q10" s="4" t="str">
        <f>VLOOKUP(Cobra8.5[[#This Row],[Table.Column]],ColumnMapping[Old Table.Column],1,)</f>
        <v>APPBE.RESULT</v>
      </c>
    </row>
    <row r="11" spans="1:17" hidden="1" x14ac:dyDescent="0.2">
      <c r="A11" s="4" t="s">
        <v>2109</v>
      </c>
      <c r="B11" s="4">
        <v>0</v>
      </c>
      <c r="C11" s="4" t="s">
        <v>2109</v>
      </c>
      <c r="D11" s="4" t="s">
        <v>35</v>
      </c>
      <c r="E11" s="4" t="s">
        <v>2108</v>
      </c>
      <c r="F11" s="4">
        <v>-1</v>
      </c>
      <c r="G11" s="4">
        <v>0</v>
      </c>
      <c r="H11" s="4">
        <v>0</v>
      </c>
      <c r="K11" s="4">
        <v>0</v>
      </c>
      <c r="N11" s="4">
        <v>0</v>
      </c>
      <c r="O11" s="4">
        <v>0</v>
      </c>
      <c r="P11" s="4" t="str">
        <f t="shared" si="0"/>
        <v>APPBE.SEQUENCE</v>
      </c>
      <c r="Q11" s="4" t="str">
        <f>VLOOKUP(Cobra8.5[[#This Row],[Table.Column]],ColumnMapping[Old Table.Column],1,)</f>
        <v>APPBE.SEQUENCE</v>
      </c>
    </row>
    <row r="12" spans="1:17" hidden="1" x14ac:dyDescent="0.2">
      <c r="A12" s="4" t="s">
        <v>2109</v>
      </c>
      <c r="B12" s="4">
        <v>0</v>
      </c>
      <c r="C12" s="4" t="s">
        <v>2109</v>
      </c>
      <c r="D12" s="4" t="s">
        <v>2112</v>
      </c>
      <c r="E12" s="4" t="s">
        <v>86</v>
      </c>
      <c r="F12" s="4">
        <v>20</v>
      </c>
      <c r="G12" s="4">
        <v>0</v>
      </c>
      <c r="H12" s="4">
        <v>0</v>
      </c>
      <c r="K12" s="4">
        <v>0</v>
      </c>
      <c r="N12" s="4">
        <v>0</v>
      </c>
      <c r="O12" s="4">
        <v>0</v>
      </c>
      <c r="P12" s="4" t="str">
        <f t="shared" si="0"/>
        <v>APPBE.USR_ID</v>
      </c>
      <c r="Q12" s="4" t="str">
        <f>VLOOKUP(Cobra8.5[[#This Row],[Table.Column]],ColumnMapping[Old Table.Column],1,)</f>
        <v>APPBE.USR_ID</v>
      </c>
    </row>
    <row r="13" spans="1:17" hidden="1" x14ac:dyDescent="0.2">
      <c r="A13" s="4" t="s">
        <v>2113</v>
      </c>
      <c r="B13" s="4">
        <v>0</v>
      </c>
      <c r="C13" s="4" t="s">
        <v>2113</v>
      </c>
      <c r="D13" s="4" t="s">
        <v>1501</v>
      </c>
      <c r="E13" s="4" t="s">
        <v>86</v>
      </c>
      <c r="F13" s="4">
        <v>22</v>
      </c>
      <c r="G13" s="4">
        <v>0</v>
      </c>
      <c r="H13" s="4">
        <v>0</v>
      </c>
      <c r="K13" s="4">
        <v>0</v>
      </c>
      <c r="N13" s="4">
        <v>0</v>
      </c>
      <c r="O13" s="4">
        <v>0</v>
      </c>
      <c r="P13" s="4" t="str">
        <f t="shared" si="0"/>
        <v>APPBEDTL.CALCFILE</v>
      </c>
      <c r="Q13" s="4" t="str">
        <f>VLOOKUP(Cobra8.5[[#This Row],[Table.Column]],ColumnMapping[Old Table.Column],1,)</f>
        <v>APPBEDTL.CALCFILE</v>
      </c>
    </row>
    <row r="14" spans="1:17" hidden="1" x14ac:dyDescent="0.2">
      <c r="A14" s="4" t="s">
        <v>2113</v>
      </c>
      <c r="B14" s="4">
        <v>0</v>
      </c>
      <c r="C14" s="4" t="s">
        <v>2113</v>
      </c>
      <c r="D14" s="4" t="s">
        <v>1098</v>
      </c>
      <c r="E14" s="4" t="s">
        <v>86</v>
      </c>
      <c r="F14" s="4">
        <v>59</v>
      </c>
      <c r="G14" s="4">
        <v>0</v>
      </c>
      <c r="H14" s="4">
        <v>0</v>
      </c>
      <c r="K14" s="4">
        <v>0</v>
      </c>
      <c r="N14" s="4">
        <v>0</v>
      </c>
      <c r="O14" s="4">
        <v>0</v>
      </c>
      <c r="P14" s="4" t="str">
        <f t="shared" si="0"/>
        <v>APPBEDTL.CECODE</v>
      </c>
      <c r="Q14" s="4" t="e">
        <f>VLOOKUP(Cobra8.5[[#This Row],[Table.Column]],ColumnMapping[Old Table.Column],1,)</f>
        <v>#N/A</v>
      </c>
    </row>
    <row r="15" spans="1:17" hidden="1" x14ac:dyDescent="0.2">
      <c r="A15" s="4" t="s">
        <v>2113</v>
      </c>
      <c r="B15" s="4">
        <v>0</v>
      </c>
      <c r="C15" s="4" t="s">
        <v>2113</v>
      </c>
      <c r="D15" s="4" t="s">
        <v>2111</v>
      </c>
      <c r="E15" s="4" t="s">
        <v>356</v>
      </c>
      <c r="F15" s="4">
        <v>-1</v>
      </c>
      <c r="G15" s="4">
        <v>0</v>
      </c>
      <c r="H15" s="4">
        <v>0</v>
      </c>
      <c r="K15" s="4">
        <v>0</v>
      </c>
      <c r="N15" s="4">
        <v>0</v>
      </c>
      <c r="O15" s="4">
        <v>0</v>
      </c>
      <c r="P15" s="4" t="str">
        <f t="shared" si="0"/>
        <v>APPBEDTL.LASTUPDATE</v>
      </c>
      <c r="Q15" s="4" t="str">
        <f>VLOOKUP(Cobra8.5[[#This Row],[Table.Column]],ColumnMapping[Old Table.Column],1,)</f>
        <v>APPBEDTL.LASTUPDATE</v>
      </c>
    </row>
    <row r="16" spans="1:17" hidden="1" x14ac:dyDescent="0.2">
      <c r="A16" s="4" t="s">
        <v>2113</v>
      </c>
      <c r="B16" s="4">
        <v>0</v>
      </c>
      <c r="C16" s="4" t="s">
        <v>2113</v>
      </c>
      <c r="D16" s="4" t="s">
        <v>35</v>
      </c>
      <c r="E16" s="4" t="s">
        <v>2108</v>
      </c>
      <c r="F16" s="4">
        <v>-1</v>
      </c>
      <c r="G16" s="4">
        <v>0</v>
      </c>
      <c r="H16" s="4">
        <v>0</v>
      </c>
      <c r="K16" s="4">
        <v>0</v>
      </c>
      <c r="N16" s="4">
        <v>0</v>
      </c>
      <c r="O16" s="4">
        <v>0</v>
      </c>
      <c r="P16" s="4" t="str">
        <f t="shared" si="0"/>
        <v>APPBEDTL.SEQUENCE</v>
      </c>
      <c r="Q16" s="4" t="str">
        <f>VLOOKUP(Cobra8.5[[#This Row],[Table.Column]],ColumnMapping[Old Table.Column],1,)</f>
        <v>APPBEDTL.SEQUENCE</v>
      </c>
    </row>
    <row r="17" spans="1:17" hidden="1" x14ac:dyDescent="0.2">
      <c r="A17" s="4" t="s">
        <v>2113</v>
      </c>
      <c r="B17" s="4">
        <v>0</v>
      </c>
      <c r="C17" s="4" t="s">
        <v>2113</v>
      </c>
      <c r="D17" s="4" t="s">
        <v>2114</v>
      </c>
      <c r="E17" s="4" t="s">
        <v>86</v>
      </c>
      <c r="F17" s="4">
        <v>59</v>
      </c>
      <c r="G17" s="4">
        <v>0</v>
      </c>
      <c r="H17" s="4">
        <v>0</v>
      </c>
      <c r="K17" s="4">
        <v>0</v>
      </c>
      <c r="N17" s="4">
        <v>0</v>
      </c>
      <c r="O17" s="4">
        <v>0</v>
      </c>
      <c r="P17" s="4" t="str">
        <f t="shared" si="0"/>
        <v>APPBEDTL.SRC_CECODE</v>
      </c>
      <c r="Q17" s="4" t="str">
        <f>VLOOKUP(Cobra8.5[[#This Row],[Table.Column]],ColumnMapping[Old Table.Column],1,)</f>
        <v>APPBEDTL.SRC_CECODE</v>
      </c>
    </row>
    <row r="18" spans="1:17" hidden="1" x14ac:dyDescent="0.2">
      <c r="A18" s="4" t="s">
        <v>2113</v>
      </c>
      <c r="B18" s="4">
        <v>0</v>
      </c>
      <c r="C18" s="4" t="s">
        <v>2113</v>
      </c>
      <c r="D18" s="4" t="s">
        <v>2112</v>
      </c>
      <c r="E18" s="4" t="s">
        <v>86</v>
      </c>
      <c r="F18" s="4">
        <v>20</v>
      </c>
      <c r="G18" s="4">
        <v>0</v>
      </c>
      <c r="H18" s="4">
        <v>0</v>
      </c>
      <c r="K18" s="4">
        <v>0</v>
      </c>
      <c r="N18" s="4">
        <v>0</v>
      </c>
      <c r="O18" s="4">
        <v>0</v>
      </c>
      <c r="P18" s="4" t="str">
        <f t="shared" si="0"/>
        <v>APPBEDTL.USR_ID</v>
      </c>
      <c r="Q18" s="4" t="str">
        <f>VLOOKUP(Cobra8.5[[#This Row],[Table.Column]],ColumnMapping[Old Table.Column],1,)</f>
        <v>APPBEDTL.USR_ID</v>
      </c>
    </row>
    <row r="19" spans="1:17" hidden="1" x14ac:dyDescent="0.2">
      <c r="A19" s="4" t="s">
        <v>2115</v>
      </c>
      <c r="B19" s="4">
        <v>0</v>
      </c>
      <c r="C19" s="4" t="s">
        <v>2115</v>
      </c>
      <c r="D19" s="4" t="s">
        <v>1098</v>
      </c>
      <c r="E19" s="4" t="s">
        <v>86</v>
      </c>
      <c r="F19" s="4">
        <v>59</v>
      </c>
      <c r="G19" s="4">
        <v>0</v>
      </c>
      <c r="H19" s="4">
        <v>0</v>
      </c>
      <c r="K19" s="4">
        <v>0</v>
      </c>
      <c r="N19" s="4">
        <v>0</v>
      </c>
      <c r="O19" s="4">
        <v>0</v>
      </c>
      <c r="P19" s="4" t="str">
        <f t="shared" si="0"/>
        <v>APPMAPSC.CECODE</v>
      </c>
      <c r="Q19" s="4" t="str">
        <f>VLOOKUP(Cobra8.5[[#This Row],[Table.Column]],ColumnMapping[Old Table.Column],1,)</f>
        <v>APPMAPSC.CECODE</v>
      </c>
    </row>
    <row r="20" spans="1:17" hidden="1" x14ac:dyDescent="0.2">
      <c r="A20" s="4" t="s">
        <v>2115</v>
      </c>
      <c r="B20" s="4">
        <v>0</v>
      </c>
      <c r="C20" s="4" t="s">
        <v>2115</v>
      </c>
      <c r="D20" s="4" t="s">
        <v>2111</v>
      </c>
      <c r="E20" s="4" t="s">
        <v>356</v>
      </c>
      <c r="F20" s="4">
        <v>-1</v>
      </c>
      <c r="G20" s="4">
        <v>0</v>
      </c>
      <c r="H20" s="4">
        <v>0</v>
      </c>
      <c r="K20" s="4">
        <v>0</v>
      </c>
      <c r="N20" s="4">
        <v>0</v>
      </c>
      <c r="O20" s="4">
        <v>0</v>
      </c>
      <c r="P20" s="4" t="str">
        <f t="shared" si="0"/>
        <v>APPMAPSC.LASTUPDATE</v>
      </c>
      <c r="Q20" s="4" t="str">
        <f>VLOOKUP(Cobra8.5[[#This Row],[Table.Column]],ColumnMapping[Old Table.Column],1,)</f>
        <v>APPMAPSC.LASTUPDATE</v>
      </c>
    </row>
    <row r="21" spans="1:17" hidden="1" x14ac:dyDescent="0.2">
      <c r="A21" s="4" t="s">
        <v>2115</v>
      </c>
      <c r="B21" s="4">
        <v>0</v>
      </c>
      <c r="C21" s="4" t="s">
        <v>2115</v>
      </c>
      <c r="D21" s="4" t="s">
        <v>744</v>
      </c>
      <c r="E21" s="4" t="s">
        <v>86</v>
      </c>
      <c r="F21" s="4">
        <v>22</v>
      </c>
      <c r="G21" s="4">
        <v>0</v>
      </c>
      <c r="H21" s="4">
        <v>0</v>
      </c>
      <c r="K21" s="4">
        <v>0</v>
      </c>
      <c r="N21" s="4">
        <v>0</v>
      </c>
      <c r="O21" s="4">
        <v>0</v>
      </c>
      <c r="P21" s="4" t="str">
        <f t="shared" si="0"/>
        <v>APPMAPSC.PROGRAM</v>
      </c>
      <c r="Q21" s="4" t="str">
        <f>VLOOKUP(Cobra8.5[[#This Row],[Table.Column]],ColumnMapping[Old Table.Column],1,)</f>
        <v>APPMAPSC.PROGRAM</v>
      </c>
    </row>
    <row r="22" spans="1:17" hidden="1" x14ac:dyDescent="0.2">
      <c r="A22" s="4" t="s">
        <v>2115</v>
      </c>
      <c r="B22" s="4">
        <v>0</v>
      </c>
      <c r="C22" s="4" t="s">
        <v>2115</v>
      </c>
      <c r="D22" s="4" t="s">
        <v>35</v>
      </c>
      <c r="E22" s="4" t="s">
        <v>2108</v>
      </c>
      <c r="F22" s="4">
        <v>-1</v>
      </c>
      <c r="G22" s="4">
        <v>0</v>
      </c>
      <c r="H22" s="4">
        <v>0</v>
      </c>
      <c r="K22" s="4">
        <v>0</v>
      </c>
      <c r="N22" s="4">
        <v>0</v>
      </c>
      <c r="O22" s="4">
        <v>0</v>
      </c>
      <c r="P22" s="4" t="str">
        <f t="shared" si="0"/>
        <v>APPMAPSC.SEQUENCE</v>
      </c>
      <c r="Q22" s="4" t="str">
        <f>VLOOKUP(Cobra8.5[[#This Row],[Table.Column]],ColumnMapping[Old Table.Column],1,)</f>
        <v>APPMAPSC.SEQUENCE</v>
      </c>
    </row>
    <row r="23" spans="1:17" hidden="1" x14ac:dyDescent="0.2">
      <c r="A23" s="4" t="s">
        <v>2115</v>
      </c>
      <c r="B23" s="4">
        <v>0</v>
      </c>
      <c r="C23" s="4" t="s">
        <v>2115</v>
      </c>
      <c r="D23" s="4" t="s">
        <v>2116</v>
      </c>
      <c r="E23" s="4" t="s">
        <v>86</v>
      </c>
      <c r="F23" s="4">
        <v>183</v>
      </c>
      <c r="G23" s="4">
        <v>0</v>
      </c>
      <c r="H23" s="4">
        <v>0</v>
      </c>
      <c r="K23" s="4">
        <v>0</v>
      </c>
      <c r="N23" s="4">
        <v>0</v>
      </c>
      <c r="O23" s="4">
        <v>0</v>
      </c>
      <c r="P23" s="4" t="str">
        <f t="shared" si="0"/>
        <v>APPMAPSC.SRC_CAWP</v>
      </c>
      <c r="Q23" s="4" t="str">
        <f>VLOOKUP(Cobra8.5[[#This Row],[Table.Column]],ColumnMapping[Old Table.Column],1,)</f>
        <v>APPMAPSC.SRC_CAWP</v>
      </c>
    </row>
    <row r="24" spans="1:17" hidden="1" x14ac:dyDescent="0.2">
      <c r="A24" s="4" t="s">
        <v>2115</v>
      </c>
      <c r="B24" s="4">
        <v>0</v>
      </c>
      <c r="C24" s="4" t="s">
        <v>2115</v>
      </c>
      <c r="D24" s="4" t="s">
        <v>2117</v>
      </c>
      <c r="E24" s="4" t="s">
        <v>2108</v>
      </c>
      <c r="F24" s="4">
        <v>-1</v>
      </c>
      <c r="G24" s="4">
        <v>0</v>
      </c>
      <c r="H24" s="4">
        <v>0</v>
      </c>
      <c r="K24" s="4">
        <v>0</v>
      </c>
      <c r="N24" s="4">
        <v>0</v>
      </c>
      <c r="O24" s="4">
        <v>0</v>
      </c>
      <c r="P24" s="4" t="str">
        <f t="shared" si="0"/>
        <v>APPMAPSC.SRC_CAWPID</v>
      </c>
      <c r="Q24" s="4" t="str">
        <f>VLOOKUP(Cobra8.5[[#This Row],[Table.Column]],ColumnMapping[Old Table.Column],1,)</f>
        <v>APPMAPSC.SRC_CAWPID</v>
      </c>
    </row>
    <row r="25" spans="1:17" hidden="1" x14ac:dyDescent="0.2">
      <c r="A25" s="4" t="s">
        <v>2115</v>
      </c>
      <c r="B25" s="4">
        <v>0</v>
      </c>
      <c r="C25" s="4" t="s">
        <v>2115</v>
      </c>
      <c r="D25" s="4" t="s">
        <v>2118</v>
      </c>
      <c r="E25" s="4" t="s">
        <v>86</v>
      </c>
      <c r="F25" s="4">
        <v>22</v>
      </c>
      <c r="G25" s="4">
        <v>0</v>
      </c>
      <c r="H25" s="4">
        <v>0</v>
      </c>
      <c r="K25" s="4">
        <v>0</v>
      </c>
      <c r="N25" s="4">
        <v>0</v>
      </c>
      <c r="O25" s="4">
        <v>0</v>
      </c>
      <c r="P25" s="4" t="str">
        <f t="shared" si="0"/>
        <v>APPMAPSC.SRC_PROG</v>
      </c>
      <c r="Q25" s="4" t="str">
        <f>VLOOKUP(Cobra8.5[[#This Row],[Table.Column]],ColumnMapping[Old Table.Column],1,)</f>
        <v>APPMAPSC.SRC_PROG</v>
      </c>
    </row>
    <row r="26" spans="1:17" hidden="1" x14ac:dyDescent="0.2">
      <c r="A26" s="4" t="s">
        <v>2115</v>
      </c>
      <c r="B26" s="4">
        <v>0</v>
      </c>
      <c r="C26" s="4" t="s">
        <v>2115</v>
      </c>
      <c r="D26" s="4" t="s">
        <v>2119</v>
      </c>
      <c r="E26" s="4" t="s">
        <v>2108</v>
      </c>
      <c r="F26" s="4">
        <v>-1</v>
      </c>
      <c r="G26" s="4">
        <v>0</v>
      </c>
      <c r="H26" s="4">
        <v>0</v>
      </c>
      <c r="K26" s="4">
        <v>0</v>
      </c>
      <c r="N26" s="4">
        <v>0</v>
      </c>
      <c r="O26" s="4">
        <v>0</v>
      </c>
      <c r="P26" s="4" t="str">
        <f t="shared" si="0"/>
        <v>APPMAPSC.TRG_CAWPID</v>
      </c>
      <c r="Q26" s="4" t="str">
        <f>VLOOKUP(Cobra8.5[[#This Row],[Table.Column]],ColumnMapping[Old Table.Column],1,)</f>
        <v>APPMAPSC.TRG_CAWPID</v>
      </c>
    </row>
    <row r="27" spans="1:17" hidden="1" x14ac:dyDescent="0.2">
      <c r="A27" s="4" t="s">
        <v>2115</v>
      </c>
      <c r="B27" s="4">
        <v>0</v>
      </c>
      <c r="C27" s="4" t="s">
        <v>2115</v>
      </c>
      <c r="D27" s="4" t="s">
        <v>2120</v>
      </c>
      <c r="E27" s="4" t="s">
        <v>86</v>
      </c>
      <c r="F27" s="4">
        <v>22</v>
      </c>
      <c r="G27" s="4">
        <v>0</v>
      </c>
      <c r="H27" s="4">
        <v>0</v>
      </c>
      <c r="K27" s="4">
        <v>0</v>
      </c>
      <c r="N27" s="4">
        <v>0</v>
      </c>
      <c r="O27" s="4">
        <v>0</v>
      </c>
      <c r="P27" s="4" t="str">
        <f t="shared" si="0"/>
        <v>APPMAPSC.TRG_PROG</v>
      </c>
      <c r="Q27" s="4" t="str">
        <f>VLOOKUP(Cobra8.5[[#This Row],[Table.Column]],ColumnMapping[Old Table.Column],1,)</f>
        <v>APPMAPSC.TRG_PROG</v>
      </c>
    </row>
    <row r="28" spans="1:17" hidden="1" x14ac:dyDescent="0.2">
      <c r="A28" s="4" t="s">
        <v>2115</v>
      </c>
      <c r="B28" s="4">
        <v>0</v>
      </c>
      <c r="C28" s="4" t="s">
        <v>2115</v>
      </c>
      <c r="D28" s="4" t="s">
        <v>2112</v>
      </c>
      <c r="E28" s="4" t="s">
        <v>86</v>
      </c>
      <c r="F28" s="4">
        <v>20</v>
      </c>
      <c r="G28" s="4">
        <v>0</v>
      </c>
      <c r="H28" s="4">
        <v>0</v>
      </c>
      <c r="K28" s="4">
        <v>0</v>
      </c>
      <c r="N28" s="4">
        <v>0</v>
      </c>
      <c r="O28" s="4">
        <v>0</v>
      </c>
      <c r="P28" s="4" t="str">
        <f t="shared" si="0"/>
        <v>APPMAPSC.USR_ID</v>
      </c>
      <c r="Q28" s="4" t="str">
        <f>VLOOKUP(Cobra8.5[[#This Row],[Table.Column]],ColumnMapping[Old Table.Column],1,)</f>
        <v>APPMAPSC.USR_ID</v>
      </c>
    </row>
    <row r="29" spans="1:17" hidden="1" x14ac:dyDescent="0.2">
      <c r="A29" s="4" t="s">
        <v>2121</v>
      </c>
      <c r="B29" s="4">
        <v>0</v>
      </c>
      <c r="C29" s="4" t="s">
        <v>2121</v>
      </c>
      <c r="D29" s="4" t="s">
        <v>1098</v>
      </c>
      <c r="E29" s="4" t="s">
        <v>86</v>
      </c>
      <c r="F29" s="4">
        <v>59</v>
      </c>
      <c r="G29" s="4">
        <v>0</v>
      </c>
      <c r="H29" s="4">
        <v>0</v>
      </c>
      <c r="K29" s="4">
        <v>0</v>
      </c>
      <c r="N29" s="4">
        <v>0</v>
      </c>
      <c r="O29" s="4">
        <v>0</v>
      </c>
      <c r="P29" s="4" t="str">
        <f t="shared" si="0"/>
        <v>APPMAPTG.CECODE</v>
      </c>
      <c r="Q29" s="4" t="str">
        <f>VLOOKUP(Cobra8.5[[#This Row],[Table.Column]],ColumnMapping[Old Table.Column],1,)</f>
        <v>APPMAPTG.CECODE</v>
      </c>
    </row>
    <row r="30" spans="1:17" hidden="1" x14ac:dyDescent="0.2">
      <c r="A30" s="4" t="s">
        <v>2121</v>
      </c>
      <c r="B30" s="4">
        <v>0</v>
      </c>
      <c r="C30" s="4" t="s">
        <v>2121</v>
      </c>
      <c r="D30" s="4" t="s">
        <v>2111</v>
      </c>
      <c r="E30" s="4" t="s">
        <v>356</v>
      </c>
      <c r="F30" s="4">
        <v>-1</v>
      </c>
      <c r="G30" s="4">
        <v>0</v>
      </c>
      <c r="H30" s="4">
        <v>0</v>
      </c>
      <c r="K30" s="4">
        <v>0</v>
      </c>
      <c r="N30" s="4">
        <v>0</v>
      </c>
      <c r="O30" s="4">
        <v>0</v>
      </c>
      <c r="P30" s="4" t="str">
        <f t="shared" si="0"/>
        <v>APPMAPTG.LASTUPDATE</v>
      </c>
      <c r="Q30" s="4" t="str">
        <f>VLOOKUP(Cobra8.5[[#This Row],[Table.Column]],ColumnMapping[Old Table.Column],1,)</f>
        <v>APPMAPTG.LASTUPDATE</v>
      </c>
    </row>
    <row r="31" spans="1:17" hidden="1" x14ac:dyDescent="0.2">
      <c r="A31" s="4" t="s">
        <v>2121</v>
      </c>
      <c r="B31" s="4">
        <v>0</v>
      </c>
      <c r="C31" s="4" t="s">
        <v>2121</v>
      </c>
      <c r="D31" s="4" t="s">
        <v>744</v>
      </c>
      <c r="E31" s="4" t="s">
        <v>86</v>
      </c>
      <c r="F31" s="4">
        <v>22</v>
      </c>
      <c r="G31" s="4">
        <v>0</v>
      </c>
      <c r="H31" s="4">
        <v>0</v>
      </c>
      <c r="K31" s="4">
        <v>0</v>
      </c>
      <c r="N31" s="4">
        <v>0</v>
      </c>
      <c r="O31" s="4">
        <v>0</v>
      </c>
      <c r="P31" s="4" t="str">
        <f t="shared" si="0"/>
        <v>APPMAPTG.PROGRAM</v>
      </c>
      <c r="Q31" s="4" t="str">
        <f>VLOOKUP(Cobra8.5[[#This Row],[Table.Column]],ColumnMapping[Old Table.Column],1,)</f>
        <v>APPMAPTG.PROGRAM</v>
      </c>
    </row>
    <row r="32" spans="1:17" hidden="1" x14ac:dyDescent="0.2">
      <c r="A32" s="4" t="s">
        <v>2121</v>
      </c>
      <c r="B32" s="4">
        <v>0</v>
      </c>
      <c r="C32" s="4" t="s">
        <v>2121</v>
      </c>
      <c r="D32" s="4" t="s">
        <v>1434</v>
      </c>
      <c r="E32" s="4" t="s">
        <v>86</v>
      </c>
      <c r="F32" s="4">
        <v>59</v>
      </c>
      <c r="G32" s="4">
        <v>0</v>
      </c>
      <c r="H32" s="4">
        <v>0</v>
      </c>
      <c r="K32" s="4">
        <v>0</v>
      </c>
      <c r="N32" s="4">
        <v>0</v>
      </c>
      <c r="O32" s="4">
        <v>0</v>
      </c>
      <c r="P32" s="4" t="str">
        <f t="shared" si="0"/>
        <v>APPMAPTG.RATE_TABLE</v>
      </c>
      <c r="Q32" s="4" t="str">
        <f>VLOOKUP(Cobra8.5[[#This Row],[Table.Column]],ColumnMapping[Old Table.Column],1,)</f>
        <v>APPMAPTG.RATE_TABLE</v>
      </c>
    </row>
    <row r="33" spans="1:17" hidden="1" x14ac:dyDescent="0.2">
      <c r="A33" s="4" t="s">
        <v>2121</v>
      </c>
      <c r="B33" s="4">
        <v>0</v>
      </c>
      <c r="C33" s="4" t="s">
        <v>2121</v>
      </c>
      <c r="D33" s="4" t="s">
        <v>35</v>
      </c>
      <c r="E33" s="4" t="s">
        <v>2108</v>
      </c>
      <c r="F33" s="4">
        <v>-1</v>
      </c>
      <c r="G33" s="4">
        <v>0</v>
      </c>
      <c r="H33" s="4">
        <v>0</v>
      </c>
      <c r="K33" s="4">
        <v>0</v>
      </c>
      <c r="N33" s="4">
        <v>0</v>
      </c>
      <c r="O33" s="4">
        <v>0</v>
      </c>
      <c r="P33" s="4" t="str">
        <f t="shared" si="0"/>
        <v>APPMAPTG.SEQUENCE</v>
      </c>
      <c r="Q33" s="4" t="str">
        <f>VLOOKUP(Cobra8.5[[#This Row],[Table.Column]],ColumnMapping[Old Table.Column],1,)</f>
        <v>APPMAPTG.SEQUENCE</v>
      </c>
    </row>
    <row r="34" spans="1:17" hidden="1" x14ac:dyDescent="0.2">
      <c r="A34" s="4" t="s">
        <v>2121</v>
      </c>
      <c r="B34" s="4">
        <v>0</v>
      </c>
      <c r="C34" s="4" t="s">
        <v>2121</v>
      </c>
      <c r="D34" s="4" t="s">
        <v>2122</v>
      </c>
      <c r="E34" s="4" t="s">
        <v>86</v>
      </c>
      <c r="F34" s="4">
        <v>245</v>
      </c>
      <c r="G34" s="4">
        <v>0</v>
      </c>
      <c r="H34" s="4">
        <v>0</v>
      </c>
      <c r="K34" s="4">
        <v>0</v>
      </c>
      <c r="N34" s="4">
        <v>0</v>
      </c>
      <c r="O34" s="4">
        <v>0</v>
      </c>
      <c r="P34" s="4" t="str">
        <f t="shared" si="0"/>
        <v>APPMAPTG.TRG_CAWP</v>
      </c>
      <c r="Q34" s="4" t="str">
        <f>VLOOKUP(Cobra8.5[[#This Row],[Table.Column]],ColumnMapping[Old Table.Column],1,)</f>
        <v>APPMAPTG.TRG_CAWP</v>
      </c>
    </row>
    <row r="35" spans="1:17" hidden="1" x14ac:dyDescent="0.2">
      <c r="A35" s="4" t="s">
        <v>2121</v>
      </c>
      <c r="B35" s="4">
        <v>0</v>
      </c>
      <c r="C35" s="4" t="s">
        <v>2121</v>
      </c>
      <c r="D35" s="4" t="s">
        <v>2119</v>
      </c>
      <c r="E35" s="4" t="s">
        <v>2108</v>
      </c>
      <c r="F35" s="4">
        <v>-1</v>
      </c>
      <c r="G35" s="4">
        <v>0</v>
      </c>
      <c r="H35" s="4">
        <v>0</v>
      </c>
      <c r="K35" s="4">
        <v>0</v>
      </c>
      <c r="N35" s="4">
        <v>0</v>
      </c>
      <c r="O35" s="4">
        <v>0</v>
      </c>
      <c r="P35" s="4" t="str">
        <f t="shared" si="0"/>
        <v>APPMAPTG.TRG_CAWPID</v>
      </c>
      <c r="Q35" s="4" t="str">
        <f>VLOOKUP(Cobra8.5[[#This Row],[Table.Column]],ColumnMapping[Old Table.Column],1,)</f>
        <v>APPMAPTG.TRG_CAWPID</v>
      </c>
    </row>
    <row r="36" spans="1:17" hidden="1" x14ac:dyDescent="0.2">
      <c r="A36" s="4" t="s">
        <v>2121</v>
      </c>
      <c r="B36" s="4">
        <v>0</v>
      </c>
      <c r="C36" s="4" t="s">
        <v>2121</v>
      </c>
      <c r="D36" s="4" t="s">
        <v>2120</v>
      </c>
      <c r="E36" s="4" t="s">
        <v>86</v>
      </c>
      <c r="F36" s="4">
        <v>22</v>
      </c>
      <c r="G36" s="4">
        <v>0</v>
      </c>
      <c r="H36" s="4">
        <v>0</v>
      </c>
      <c r="K36" s="4">
        <v>0</v>
      </c>
      <c r="N36" s="4">
        <v>0</v>
      </c>
      <c r="O36" s="4">
        <v>0</v>
      </c>
      <c r="P36" s="4" t="str">
        <f t="shared" si="0"/>
        <v>APPMAPTG.TRG_PROG</v>
      </c>
      <c r="Q36" s="4" t="str">
        <f>VLOOKUP(Cobra8.5[[#This Row],[Table.Column]],ColumnMapping[Old Table.Column],1,)</f>
        <v>APPMAPTG.TRG_PROG</v>
      </c>
    </row>
    <row r="37" spans="1:17" hidden="1" x14ac:dyDescent="0.2">
      <c r="A37" s="4" t="s">
        <v>2121</v>
      </c>
      <c r="B37" s="4">
        <v>0</v>
      </c>
      <c r="C37" s="4" t="s">
        <v>2121</v>
      </c>
      <c r="D37" s="4" t="s">
        <v>2112</v>
      </c>
      <c r="E37" s="4" t="s">
        <v>86</v>
      </c>
      <c r="F37" s="4">
        <v>20</v>
      </c>
      <c r="G37" s="4">
        <v>0</v>
      </c>
      <c r="H37" s="4">
        <v>0</v>
      </c>
      <c r="K37" s="4">
        <v>0</v>
      </c>
      <c r="N37" s="4">
        <v>0</v>
      </c>
      <c r="O37" s="4">
        <v>0</v>
      </c>
      <c r="P37" s="4" t="str">
        <f t="shared" si="0"/>
        <v>APPMAPTG.USR_ID</v>
      </c>
      <c r="Q37" s="4" t="str">
        <f>VLOOKUP(Cobra8.5[[#This Row],[Table.Column]],ColumnMapping[Old Table.Column],1,)</f>
        <v>APPMAPTG.USR_ID</v>
      </c>
    </row>
    <row r="38" spans="1:17" hidden="1" x14ac:dyDescent="0.2">
      <c r="A38" s="4" t="s">
        <v>2123</v>
      </c>
      <c r="B38" s="4">
        <v>0</v>
      </c>
      <c r="C38" s="4" t="s">
        <v>2123</v>
      </c>
      <c r="D38" s="4" t="s">
        <v>794</v>
      </c>
      <c r="E38" s="4" t="s">
        <v>2124</v>
      </c>
      <c r="F38" s="4">
        <v>21</v>
      </c>
      <c r="G38" s="4">
        <v>6</v>
      </c>
      <c r="H38" s="4">
        <v>0</v>
      </c>
      <c r="K38" s="4">
        <v>0</v>
      </c>
      <c r="N38" s="4">
        <v>0</v>
      </c>
      <c r="O38" s="4">
        <v>0</v>
      </c>
      <c r="P38" s="4" t="str">
        <f t="shared" si="0"/>
        <v>BASEDETL.AMOUNT</v>
      </c>
      <c r="Q38" s="4" t="str">
        <f>VLOOKUP(Cobra8.5[[#This Row],[Table.Column]],ColumnMapping[Old Table.Column],1,)</f>
        <v>BASEDETL.AMOUNT</v>
      </c>
    </row>
    <row r="39" spans="1:17" hidden="1" x14ac:dyDescent="0.2">
      <c r="A39" s="4" t="s">
        <v>2123</v>
      </c>
      <c r="B39" s="4">
        <v>0</v>
      </c>
      <c r="C39" s="4" t="s">
        <v>2123</v>
      </c>
      <c r="D39" s="4" t="s">
        <v>2125</v>
      </c>
      <c r="E39" s="4" t="s">
        <v>356</v>
      </c>
      <c r="F39" s="4">
        <v>-1</v>
      </c>
      <c r="G39" s="4">
        <v>0</v>
      </c>
      <c r="H39" s="4">
        <v>0</v>
      </c>
      <c r="K39" s="4">
        <v>0</v>
      </c>
      <c r="N39" s="4">
        <v>0</v>
      </c>
      <c r="O39" s="4">
        <v>0</v>
      </c>
      <c r="P39" s="4" t="str">
        <f t="shared" si="0"/>
        <v>BASEDETL.FSC_DATE</v>
      </c>
      <c r="Q39" s="4" t="str">
        <f>VLOOKUP(Cobra8.5[[#This Row],[Table.Column]],ColumnMapping[Old Table.Column],1,)</f>
        <v>BASEDETL.FSC_DATE</v>
      </c>
    </row>
    <row r="40" spans="1:17" hidden="1" x14ac:dyDescent="0.2">
      <c r="A40" s="4" t="s">
        <v>2123</v>
      </c>
      <c r="B40" s="4">
        <v>0</v>
      </c>
      <c r="C40" s="4" t="s">
        <v>2123</v>
      </c>
      <c r="D40" s="4" t="s">
        <v>299</v>
      </c>
      <c r="E40" s="4" t="s">
        <v>2124</v>
      </c>
      <c r="F40" s="4">
        <v>21</v>
      </c>
      <c r="G40" s="4">
        <v>6</v>
      </c>
      <c r="H40" s="4">
        <v>0</v>
      </c>
      <c r="K40" s="4">
        <v>0</v>
      </c>
      <c r="N40" s="4">
        <v>0</v>
      </c>
      <c r="O40" s="4">
        <v>0</v>
      </c>
      <c r="P40" s="4" t="str">
        <f t="shared" si="0"/>
        <v>BASEDETL.HOURS</v>
      </c>
      <c r="Q40" s="4" t="str">
        <f>VLOOKUP(Cobra8.5[[#This Row],[Table.Column]],ColumnMapping[Old Table.Column],1,)</f>
        <v>BASEDETL.HOURS</v>
      </c>
    </row>
    <row r="41" spans="1:17" hidden="1" x14ac:dyDescent="0.2">
      <c r="A41" s="4" t="s">
        <v>2123</v>
      </c>
      <c r="B41" s="4">
        <v>0</v>
      </c>
      <c r="C41" s="4" t="s">
        <v>2123</v>
      </c>
      <c r="D41" s="4" t="s">
        <v>744</v>
      </c>
      <c r="E41" s="4" t="s">
        <v>86</v>
      </c>
      <c r="F41" s="4">
        <v>22</v>
      </c>
      <c r="G41" s="4">
        <v>0</v>
      </c>
      <c r="H41" s="4">
        <v>0</v>
      </c>
      <c r="K41" s="4">
        <v>0</v>
      </c>
      <c r="N41" s="4">
        <v>0</v>
      </c>
      <c r="O41" s="4">
        <v>0</v>
      </c>
      <c r="P41" s="4" t="str">
        <f t="shared" si="0"/>
        <v>BASEDETL.PROGRAM</v>
      </c>
      <c r="Q41" s="4" t="str">
        <f>VLOOKUP(Cobra8.5[[#This Row],[Table.Column]],ColumnMapping[Old Table.Column],1,)</f>
        <v>BASEDETL.PROGRAM</v>
      </c>
    </row>
    <row r="42" spans="1:17" hidden="1" x14ac:dyDescent="0.2">
      <c r="A42" s="4" t="s">
        <v>2123</v>
      </c>
      <c r="B42" s="4">
        <v>0</v>
      </c>
      <c r="C42" s="4" t="s">
        <v>2123</v>
      </c>
      <c r="D42" s="4" t="s">
        <v>2126</v>
      </c>
      <c r="E42" s="4" t="s">
        <v>31</v>
      </c>
      <c r="F42" s="4">
        <v>22</v>
      </c>
      <c r="G42" s="4">
        <v>0</v>
      </c>
      <c r="H42" s="4">
        <v>0</v>
      </c>
      <c r="K42" s="4">
        <v>0</v>
      </c>
      <c r="N42" s="4">
        <v>0</v>
      </c>
      <c r="O42" s="4">
        <v>0</v>
      </c>
      <c r="P42" s="4" t="str">
        <f t="shared" si="0"/>
        <v>BASEDETL.TRANS_UID</v>
      </c>
      <c r="Q42" s="4" t="str">
        <f>VLOOKUP(Cobra8.5[[#This Row],[Table.Column]],ColumnMapping[Old Table.Column],1,)</f>
        <v>BASEDETL.TRANS_UID</v>
      </c>
    </row>
    <row r="43" spans="1:17" hidden="1" x14ac:dyDescent="0.2">
      <c r="A43" s="4" t="s">
        <v>2127</v>
      </c>
      <c r="B43" s="4">
        <v>0</v>
      </c>
      <c r="C43" s="4" t="s">
        <v>2127</v>
      </c>
      <c r="D43" s="4" t="s">
        <v>600</v>
      </c>
      <c r="E43" s="4" t="s">
        <v>2124</v>
      </c>
      <c r="F43" s="4">
        <v>21</v>
      </c>
      <c r="G43" s="4">
        <v>6</v>
      </c>
      <c r="H43" s="4">
        <v>0</v>
      </c>
      <c r="K43" s="4">
        <v>0</v>
      </c>
      <c r="N43" s="4">
        <v>0</v>
      </c>
      <c r="O43" s="4">
        <v>0</v>
      </c>
      <c r="P43" s="4" t="str">
        <f t="shared" si="0"/>
        <v>BASEHIST.ACWP</v>
      </c>
      <c r="Q43" s="4" t="str">
        <f>VLOOKUP(Cobra8.5[[#This Row],[Table.Column]],ColumnMapping[Old Table.Column],1,)</f>
        <v>BASEHIST.ACWP</v>
      </c>
    </row>
    <row r="44" spans="1:17" hidden="1" x14ac:dyDescent="0.2">
      <c r="A44" s="4" t="s">
        <v>2127</v>
      </c>
      <c r="B44" s="4">
        <v>0</v>
      </c>
      <c r="C44" s="4" t="s">
        <v>2127</v>
      </c>
      <c r="D44" s="4" t="s">
        <v>602</v>
      </c>
      <c r="E44" s="4" t="s">
        <v>2124</v>
      </c>
      <c r="F44" s="4">
        <v>21</v>
      </c>
      <c r="G44" s="4">
        <v>6</v>
      </c>
      <c r="H44" s="4">
        <v>0</v>
      </c>
      <c r="K44" s="4">
        <v>0</v>
      </c>
      <c r="N44" s="4">
        <v>0</v>
      </c>
      <c r="O44" s="4">
        <v>0</v>
      </c>
      <c r="P44" s="4" t="str">
        <f t="shared" si="0"/>
        <v>BASEHIST.ACWP_HRS</v>
      </c>
      <c r="Q44" s="4" t="str">
        <f>VLOOKUP(Cobra8.5[[#This Row],[Table.Column]],ColumnMapping[Old Table.Column],1,)</f>
        <v>BASEHIST.ACWP_HRS</v>
      </c>
    </row>
    <row r="45" spans="1:17" hidden="1" x14ac:dyDescent="0.2">
      <c r="A45" s="4" t="s">
        <v>2127</v>
      </c>
      <c r="B45" s="4">
        <v>0</v>
      </c>
      <c r="C45" s="4" t="s">
        <v>2127</v>
      </c>
      <c r="D45" s="4" t="s">
        <v>607</v>
      </c>
      <c r="E45" s="4" t="s">
        <v>2124</v>
      </c>
      <c r="F45" s="4">
        <v>21</v>
      </c>
      <c r="G45" s="4">
        <v>6</v>
      </c>
      <c r="H45" s="4">
        <v>0</v>
      </c>
      <c r="K45" s="4">
        <v>0</v>
      </c>
      <c r="N45" s="4">
        <v>0</v>
      </c>
      <c r="O45" s="4">
        <v>0</v>
      </c>
      <c r="P45" s="4" t="str">
        <f t="shared" si="0"/>
        <v>BASEHIST.BAC</v>
      </c>
      <c r="Q45" s="4" t="str">
        <f>VLOOKUP(Cobra8.5[[#This Row],[Table.Column]],ColumnMapping[Old Table.Column],1,)</f>
        <v>BASEHIST.BAC</v>
      </c>
    </row>
    <row r="46" spans="1:17" hidden="1" x14ac:dyDescent="0.2">
      <c r="A46" s="4" t="s">
        <v>2127</v>
      </c>
      <c r="B46" s="4">
        <v>0</v>
      </c>
      <c r="C46" s="4" t="s">
        <v>2127</v>
      </c>
      <c r="D46" s="4" t="s">
        <v>609</v>
      </c>
      <c r="E46" s="4" t="s">
        <v>2124</v>
      </c>
      <c r="F46" s="4">
        <v>21</v>
      </c>
      <c r="G46" s="4">
        <v>6</v>
      </c>
      <c r="H46" s="4">
        <v>0</v>
      </c>
      <c r="K46" s="4">
        <v>0</v>
      </c>
      <c r="N46" s="4">
        <v>0</v>
      </c>
      <c r="O46" s="4">
        <v>0</v>
      </c>
      <c r="P46" s="4" t="str">
        <f t="shared" si="0"/>
        <v>BASEHIST.BAC_HRS</v>
      </c>
      <c r="Q46" s="4" t="str">
        <f>VLOOKUP(Cobra8.5[[#This Row],[Table.Column]],ColumnMapping[Old Table.Column],1,)</f>
        <v>BASEHIST.BAC_HRS</v>
      </c>
    </row>
    <row r="47" spans="1:17" hidden="1" x14ac:dyDescent="0.2">
      <c r="A47" s="4" t="s">
        <v>2127</v>
      </c>
      <c r="B47" s="4">
        <v>0</v>
      </c>
      <c r="C47" s="4" t="s">
        <v>2127</v>
      </c>
      <c r="D47" s="4" t="s">
        <v>613</v>
      </c>
      <c r="E47" s="4" t="s">
        <v>2124</v>
      </c>
      <c r="F47" s="4">
        <v>21</v>
      </c>
      <c r="G47" s="4">
        <v>6</v>
      </c>
      <c r="H47" s="4">
        <v>0</v>
      </c>
      <c r="K47" s="4">
        <v>0</v>
      </c>
      <c r="N47" s="4">
        <v>0</v>
      </c>
      <c r="O47" s="4">
        <v>0</v>
      </c>
      <c r="P47" s="4" t="str">
        <f t="shared" si="0"/>
        <v>BASEHIST.BCWP</v>
      </c>
      <c r="Q47" s="4" t="str">
        <f>VLOOKUP(Cobra8.5[[#This Row],[Table.Column]],ColumnMapping[Old Table.Column],1,)</f>
        <v>BASEHIST.BCWP</v>
      </c>
    </row>
    <row r="48" spans="1:17" hidden="1" x14ac:dyDescent="0.2">
      <c r="A48" s="4" t="s">
        <v>2127</v>
      </c>
      <c r="B48" s="4">
        <v>0</v>
      </c>
      <c r="C48" s="4" t="s">
        <v>2127</v>
      </c>
      <c r="D48" s="4" t="s">
        <v>615</v>
      </c>
      <c r="E48" s="4" t="s">
        <v>2124</v>
      </c>
      <c r="F48" s="4">
        <v>21</v>
      </c>
      <c r="G48" s="4">
        <v>6</v>
      </c>
      <c r="H48" s="4">
        <v>0</v>
      </c>
      <c r="K48" s="4">
        <v>0</v>
      </c>
      <c r="N48" s="4">
        <v>0</v>
      </c>
      <c r="O48" s="4">
        <v>0</v>
      </c>
      <c r="P48" s="4" t="str">
        <f t="shared" si="0"/>
        <v>BASEHIST.BCWP_HRS</v>
      </c>
      <c r="Q48" s="4" t="str">
        <f>VLOOKUP(Cobra8.5[[#This Row],[Table.Column]],ColumnMapping[Old Table.Column],1,)</f>
        <v>BASEHIST.BCWP_HRS</v>
      </c>
    </row>
    <row r="49" spans="1:17" hidden="1" x14ac:dyDescent="0.2">
      <c r="A49" s="4" t="s">
        <v>2127</v>
      </c>
      <c r="B49" s="4">
        <v>0</v>
      </c>
      <c r="C49" s="4" t="s">
        <v>2127</v>
      </c>
      <c r="D49" s="4" t="s">
        <v>617</v>
      </c>
      <c r="E49" s="4" t="s">
        <v>2124</v>
      </c>
      <c r="F49" s="4">
        <v>21</v>
      </c>
      <c r="G49" s="4">
        <v>6</v>
      </c>
      <c r="H49" s="4">
        <v>0</v>
      </c>
      <c r="K49" s="4">
        <v>0</v>
      </c>
      <c r="N49" s="4">
        <v>0</v>
      </c>
      <c r="O49" s="4">
        <v>0</v>
      </c>
      <c r="P49" s="4" t="str">
        <f t="shared" si="0"/>
        <v>BASEHIST.BCWS</v>
      </c>
      <c r="Q49" s="4" t="str">
        <f>VLOOKUP(Cobra8.5[[#This Row],[Table.Column]],ColumnMapping[Old Table.Column],1,)</f>
        <v>BASEHIST.BCWS</v>
      </c>
    </row>
    <row r="50" spans="1:17" hidden="1" x14ac:dyDescent="0.2">
      <c r="A50" s="4" t="s">
        <v>2127</v>
      </c>
      <c r="B50" s="4">
        <v>0</v>
      </c>
      <c r="C50" s="4" t="s">
        <v>2127</v>
      </c>
      <c r="D50" s="4" t="s">
        <v>619</v>
      </c>
      <c r="E50" s="4" t="s">
        <v>2124</v>
      </c>
      <c r="F50" s="4">
        <v>21</v>
      </c>
      <c r="G50" s="4">
        <v>6</v>
      </c>
      <c r="H50" s="4">
        <v>0</v>
      </c>
      <c r="K50" s="4">
        <v>0</v>
      </c>
      <c r="N50" s="4">
        <v>0</v>
      </c>
      <c r="O50" s="4">
        <v>0</v>
      </c>
      <c r="P50" s="4" t="str">
        <f t="shared" si="0"/>
        <v>BASEHIST.BCWS_HRS</v>
      </c>
      <c r="Q50" s="4" t="str">
        <f>VLOOKUP(Cobra8.5[[#This Row],[Table.Column]],ColumnMapping[Old Table.Column],1,)</f>
        <v>BASEHIST.BCWS_HRS</v>
      </c>
    </row>
    <row r="51" spans="1:17" hidden="1" x14ac:dyDescent="0.2">
      <c r="A51" s="4" t="s">
        <v>2127</v>
      </c>
      <c r="B51" s="4">
        <v>0</v>
      </c>
      <c r="C51" s="4" t="s">
        <v>2127</v>
      </c>
      <c r="D51" s="4" t="s">
        <v>1009</v>
      </c>
      <c r="E51" s="4" t="s">
        <v>2108</v>
      </c>
      <c r="F51" s="4">
        <v>-1</v>
      </c>
      <c r="G51" s="4">
        <v>0</v>
      </c>
      <c r="H51" s="4">
        <v>0</v>
      </c>
      <c r="K51" s="4">
        <v>0</v>
      </c>
      <c r="N51" s="4">
        <v>0</v>
      </c>
      <c r="O51" s="4">
        <v>0</v>
      </c>
      <c r="P51" s="4" t="str">
        <f t="shared" si="0"/>
        <v>BASEHIST.CAWPID</v>
      </c>
      <c r="Q51" s="4" t="str">
        <f>VLOOKUP(Cobra8.5[[#This Row],[Table.Column]],ColumnMapping[Old Table.Column],1,)</f>
        <v>BASEHIST.CAWPID</v>
      </c>
    </row>
    <row r="52" spans="1:17" hidden="1" x14ac:dyDescent="0.2">
      <c r="A52" s="4" t="s">
        <v>2127</v>
      </c>
      <c r="B52" s="4">
        <v>0</v>
      </c>
      <c r="C52" s="4" t="s">
        <v>2127</v>
      </c>
      <c r="D52" s="4" t="s">
        <v>690</v>
      </c>
      <c r="E52" s="4" t="s">
        <v>2124</v>
      </c>
      <c r="F52" s="4">
        <v>21</v>
      </c>
      <c r="G52" s="4">
        <v>6</v>
      </c>
      <c r="H52" s="4">
        <v>0</v>
      </c>
      <c r="K52" s="4">
        <v>0</v>
      </c>
      <c r="N52" s="4">
        <v>0</v>
      </c>
      <c r="O52" s="4">
        <v>0</v>
      </c>
      <c r="P52" s="4" t="str">
        <f t="shared" si="0"/>
        <v>BASEHIST.EAC</v>
      </c>
      <c r="Q52" s="4" t="str">
        <f>VLOOKUP(Cobra8.5[[#This Row],[Table.Column]],ColumnMapping[Old Table.Column],1,)</f>
        <v>BASEHIST.EAC</v>
      </c>
    </row>
    <row r="53" spans="1:17" hidden="1" x14ac:dyDescent="0.2">
      <c r="A53" s="4" t="s">
        <v>2127</v>
      </c>
      <c r="B53" s="4">
        <v>0</v>
      </c>
      <c r="C53" s="4" t="s">
        <v>2127</v>
      </c>
      <c r="D53" s="4" t="s">
        <v>692</v>
      </c>
      <c r="E53" s="4" t="s">
        <v>2124</v>
      </c>
      <c r="F53" s="4">
        <v>21</v>
      </c>
      <c r="G53" s="4">
        <v>6</v>
      </c>
      <c r="H53" s="4">
        <v>0</v>
      </c>
      <c r="K53" s="4">
        <v>0</v>
      </c>
      <c r="N53" s="4">
        <v>0</v>
      </c>
      <c r="O53" s="4">
        <v>0</v>
      </c>
      <c r="P53" s="4" t="str">
        <f t="shared" si="0"/>
        <v>BASEHIST.EAC_HRS</v>
      </c>
      <c r="Q53" s="4" t="str">
        <f>VLOOKUP(Cobra8.5[[#This Row],[Table.Column]],ColumnMapping[Old Table.Column],1,)</f>
        <v>BASEHIST.EAC_HRS</v>
      </c>
    </row>
    <row r="54" spans="1:17" hidden="1" x14ac:dyDescent="0.2">
      <c r="A54" s="4" t="s">
        <v>2127</v>
      </c>
      <c r="B54" s="4">
        <v>0</v>
      </c>
      <c r="C54" s="4" t="s">
        <v>2127</v>
      </c>
      <c r="D54" s="4" t="s">
        <v>2128</v>
      </c>
      <c r="E54" s="4" t="s">
        <v>356</v>
      </c>
      <c r="F54" s="4">
        <v>-1</v>
      </c>
      <c r="G54" s="4">
        <v>0</v>
      </c>
      <c r="H54" s="4">
        <v>0</v>
      </c>
      <c r="K54" s="4">
        <v>0</v>
      </c>
      <c r="N54" s="4">
        <v>0</v>
      </c>
      <c r="O54" s="4">
        <v>0</v>
      </c>
      <c r="P54" s="4" t="str">
        <f t="shared" si="0"/>
        <v>BASEHIST.HIST_DATE</v>
      </c>
      <c r="Q54" s="4" t="str">
        <f>VLOOKUP(Cobra8.5[[#This Row],[Table.Column]],ColumnMapping[Old Table.Column],1,)</f>
        <v>BASEHIST.HIST_DATE</v>
      </c>
    </row>
    <row r="55" spans="1:17" hidden="1" x14ac:dyDescent="0.2">
      <c r="A55" s="4" t="s">
        <v>2127</v>
      </c>
      <c r="B55" s="4">
        <v>0</v>
      </c>
      <c r="C55" s="4" t="s">
        <v>2127</v>
      </c>
      <c r="D55" s="4" t="s">
        <v>744</v>
      </c>
      <c r="E55" s="4" t="s">
        <v>86</v>
      </c>
      <c r="F55" s="4">
        <v>22</v>
      </c>
      <c r="G55" s="4">
        <v>0</v>
      </c>
      <c r="H55" s="4">
        <v>0</v>
      </c>
      <c r="K55" s="4">
        <v>0</v>
      </c>
      <c r="N55" s="4">
        <v>0</v>
      </c>
      <c r="O55" s="4">
        <v>0</v>
      </c>
      <c r="P55" s="4" t="str">
        <f t="shared" si="0"/>
        <v>BASEHIST.PROGRAM</v>
      </c>
      <c r="Q55" s="4" t="str">
        <f>VLOOKUP(Cobra8.5[[#This Row],[Table.Column]],ColumnMapping[Old Table.Column],1,)</f>
        <v>BASEHIST.PROGRAM</v>
      </c>
    </row>
    <row r="56" spans="1:17" hidden="1" x14ac:dyDescent="0.2">
      <c r="A56" s="4" t="s">
        <v>2129</v>
      </c>
      <c r="B56" s="4">
        <v>0</v>
      </c>
      <c r="C56" s="4" t="s">
        <v>2129</v>
      </c>
      <c r="D56" s="4" t="s">
        <v>516</v>
      </c>
      <c r="E56" s="4" t="s">
        <v>2124</v>
      </c>
      <c r="F56" s="4">
        <v>21</v>
      </c>
      <c r="G56" s="4">
        <v>6</v>
      </c>
      <c r="H56" s="4">
        <v>0</v>
      </c>
      <c r="K56" s="4">
        <v>0</v>
      </c>
      <c r="N56" s="4">
        <v>0</v>
      </c>
      <c r="O56" s="4">
        <v>0</v>
      </c>
      <c r="P56" s="4" t="str">
        <f t="shared" si="0"/>
        <v>BASELINE.AUW</v>
      </c>
      <c r="Q56" s="4" t="str">
        <f>VLOOKUP(Cobra8.5[[#This Row],[Table.Column]],ColumnMapping[Old Table.Column],1,)</f>
        <v>BASELINE.AUW</v>
      </c>
    </row>
    <row r="57" spans="1:17" hidden="1" x14ac:dyDescent="0.2">
      <c r="A57" s="4" t="s">
        <v>2129</v>
      </c>
      <c r="B57" s="4">
        <v>0</v>
      </c>
      <c r="C57" s="4" t="s">
        <v>2129</v>
      </c>
      <c r="D57" s="4" t="s">
        <v>2130</v>
      </c>
      <c r="E57" s="4" t="s">
        <v>356</v>
      </c>
      <c r="F57" s="4">
        <v>-1</v>
      </c>
      <c r="G57" s="4">
        <v>0</v>
      </c>
      <c r="H57" s="4">
        <v>0</v>
      </c>
      <c r="K57" s="4">
        <v>0</v>
      </c>
      <c r="N57" s="4">
        <v>0</v>
      </c>
      <c r="O57" s="4">
        <v>0</v>
      </c>
      <c r="P57" s="4" t="str">
        <f t="shared" si="0"/>
        <v>BASELINE.BASE_DATE</v>
      </c>
      <c r="Q57" s="4" t="str">
        <f>VLOOKUP(Cobra8.5[[#This Row],[Table.Column]],ColumnMapping[Old Table.Column],1,)</f>
        <v>BASELINE.BASE_DATE</v>
      </c>
    </row>
    <row r="58" spans="1:17" hidden="1" x14ac:dyDescent="0.2">
      <c r="A58" s="4" t="s">
        <v>2129</v>
      </c>
      <c r="B58" s="4">
        <v>0</v>
      </c>
      <c r="C58" s="4" t="s">
        <v>2129</v>
      </c>
      <c r="D58" s="4" t="s">
        <v>2131</v>
      </c>
      <c r="E58" s="4" t="s">
        <v>86</v>
      </c>
      <c r="F58" s="4">
        <v>200</v>
      </c>
      <c r="G58" s="4">
        <v>0</v>
      </c>
      <c r="H58" s="4">
        <v>0</v>
      </c>
      <c r="K58" s="4">
        <v>0</v>
      </c>
      <c r="N58" s="4">
        <v>0</v>
      </c>
      <c r="O58" s="4">
        <v>0</v>
      </c>
      <c r="P58" s="4" t="str">
        <f t="shared" si="0"/>
        <v>BASELINE.BBLCOMMENT</v>
      </c>
      <c r="Q58" s="4" t="str">
        <f>VLOOKUP(Cobra8.5[[#This Row],[Table.Column]],ColumnMapping[Old Table.Column],1,)</f>
        <v>BASELINE.BBLCOMMENT</v>
      </c>
    </row>
    <row r="59" spans="1:17" hidden="1" x14ac:dyDescent="0.2">
      <c r="A59" s="4" t="s">
        <v>2129</v>
      </c>
      <c r="B59" s="4">
        <v>0</v>
      </c>
      <c r="C59" s="4" t="s">
        <v>2129</v>
      </c>
      <c r="D59" s="4" t="s">
        <v>513</v>
      </c>
      <c r="E59" s="4" t="s">
        <v>2124</v>
      </c>
      <c r="F59" s="4">
        <v>21</v>
      </c>
      <c r="G59" s="4">
        <v>6</v>
      </c>
      <c r="H59" s="4">
        <v>0</v>
      </c>
      <c r="K59" s="4">
        <v>0</v>
      </c>
      <c r="N59" s="4">
        <v>0</v>
      </c>
      <c r="O59" s="4">
        <v>0</v>
      </c>
      <c r="P59" s="4" t="str">
        <f t="shared" si="0"/>
        <v>BASELINE.CTC</v>
      </c>
      <c r="Q59" s="4" t="str">
        <f>VLOOKUP(Cobra8.5[[#This Row],[Table.Column]],ColumnMapping[Old Table.Column],1,)</f>
        <v>BASELINE.CTC</v>
      </c>
    </row>
    <row r="60" spans="1:17" hidden="1" x14ac:dyDescent="0.2">
      <c r="A60" s="4" t="s">
        <v>2129</v>
      </c>
      <c r="B60" s="4">
        <v>0</v>
      </c>
      <c r="C60" s="4" t="s">
        <v>2129</v>
      </c>
      <c r="D60" s="4" t="s">
        <v>823</v>
      </c>
      <c r="E60" s="4" t="s">
        <v>2124</v>
      </c>
      <c r="F60" s="4">
        <v>21</v>
      </c>
      <c r="G60" s="4">
        <v>6</v>
      </c>
      <c r="H60" s="4">
        <v>0</v>
      </c>
      <c r="K60" s="4">
        <v>0</v>
      </c>
      <c r="N60" s="4">
        <v>0</v>
      </c>
      <c r="O60" s="4">
        <v>0</v>
      </c>
      <c r="P60" s="4" t="str">
        <f t="shared" si="0"/>
        <v>BASELINE.DB</v>
      </c>
      <c r="Q60" s="4" t="str">
        <f>VLOOKUP(Cobra8.5[[#This Row],[Table.Column]],ColumnMapping[Old Table.Column],1,)</f>
        <v>BASELINE.DB</v>
      </c>
    </row>
    <row r="61" spans="1:17" hidden="1" x14ac:dyDescent="0.2">
      <c r="A61" s="4" t="s">
        <v>2129</v>
      </c>
      <c r="B61" s="4">
        <v>0</v>
      </c>
      <c r="C61" s="4" t="s">
        <v>2129</v>
      </c>
      <c r="D61" s="4" t="s">
        <v>690</v>
      </c>
      <c r="E61" s="4" t="s">
        <v>2124</v>
      </c>
      <c r="F61" s="4">
        <v>21</v>
      </c>
      <c r="G61" s="4">
        <v>6</v>
      </c>
      <c r="H61" s="4">
        <v>0</v>
      </c>
      <c r="K61" s="4">
        <v>0</v>
      </c>
      <c r="N61" s="4">
        <v>0</v>
      </c>
      <c r="O61" s="4">
        <v>0</v>
      </c>
      <c r="P61" s="4" t="str">
        <f t="shared" si="0"/>
        <v>BASELINE.EAC</v>
      </c>
      <c r="Q61" s="4" t="str">
        <f>VLOOKUP(Cobra8.5[[#This Row],[Table.Column]],ColumnMapping[Old Table.Column],1,)</f>
        <v>BASELINE.EAC</v>
      </c>
    </row>
    <row r="62" spans="1:17" hidden="1" x14ac:dyDescent="0.2">
      <c r="A62" s="4" t="s">
        <v>2129</v>
      </c>
      <c r="B62" s="4">
        <v>0</v>
      </c>
      <c r="C62" s="4" t="s">
        <v>2129</v>
      </c>
      <c r="D62" s="4" t="s">
        <v>525</v>
      </c>
      <c r="E62" s="4" t="s">
        <v>2124</v>
      </c>
      <c r="F62" s="4">
        <v>21</v>
      </c>
      <c r="G62" s="4">
        <v>6</v>
      </c>
      <c r="H62" s="4">
        <v>0</v>
      </c>
      <c r="K62" s="4">
        <v>0</v>
      </c>
      <c r="N62" s="4">
        <v>0</v>
      </c>
      <c r="O62" s="4">
        <v>0</v>
      </c>
      <c r="P62" s="4" t="str">
        <f t="shared" si="0"/>
        <v>BASELINE.FEE</v>
      </c>
      <c r="Q62" s="4" t="str">
        <f>VLOOKUP(Cobra8.5[[#This Row],[Table.Column]],ColumnMapping[Old Table.Column],1,)</f>
        <v>BASELINE.FEE</v>
      </c>
    </row>
    <row r="63" spans="1:17" hidden="1" x14ac:dyDescent="0.2">
      <c r="A63" s="4" t="s">
        <v>2129</v>
      </c>
      <c r="B63" s="4">
        <v>0</v>
      </c>
      <c r="C63" s="4" t="s">
        <v>2129</v>
      </c>
      <c r="D63" s="4" t="s">
        <v>440</v>
      </c>
      <c r="E63" s="4" t="s">
        <v>86</v>
      </c>
      <c r="F63" s="4">
        <v>10</v>
      </c>
      <c r="G63" s="4">
        <v>0</v>
      </c>
      <c r="H63" s="4">
        <v>0</v>
      </c>
      <c r="K63" s="4">
        <v>0</v>
      </c>
      <c r="N63" s="4">
        <v>0</v>
      </c>
      <c r="O63" s="4">
        <v>0</v>
      </c>
      <c r="P63" s="4" t="str">
        <f t="shared" si="0"/>
        <v>BASELINE.LABEL</v>
      </c>
      <c r="Q63" s="4" t="str">
        <f>VLOOKUP(Cobra8.5[[#This Row],[Table.Column]],ColumnMapping[Old Table.Column],1,)</f>
        <v>BASELINE.LABEL</v>
      </c>
    </row>
    <row r="64" spans="1:17" hidden="1" x14ac:dyDescent="0.2">
      <c r="A64" s="4" t="s">
        <v>2129</v>
      </c>
      <c r="B64" s="4">
        <v>0</v>
      </c>
      <c r="C64" s="4" t="s">
        <v>2129</v>
      </c>
      <c r="D64" s="4" t="s">
        <v>528</v>
      </c>
      <c r="E64" s="4" t="s">
        <v>2124</v>
      </c>
      <c r="F64" s="4">
        <v>21</v>
      </c>
      <c r="G64" s="4">
        <v>6</v>
      </c>
      <c r="H64" s="4">
        <v>0</v>
      </c>
      <c r="K64" s="4">
        <v>0</v>
      </c>
      <c r="N64" s="4">
        <v>0</v>
      </c>
      <c r="O64" s="4">
        <v>0</v>
      </c>
      <c r="P64" s="4" t="str">
        <f t="shared" si="0"/>
        <v>BASELINE.MR</v>
      </c>
      <c r="Q64" s="4" t="str">
        <f>VLOOKUP(Cobra8.5[[#This Row],[Table.Column]],ColumnMapping[Old Table.Column],1,)</f>
        <v>BASELINE.MR</v>
      </c>
    </row>
    <row r="65" spans="1:17" hidden="1" x14ac:dyDescent="0.2">
      <c r="A65" s="4" t="s">
        <v>2129</v>
      </c>
      <c r="B65" s="4">
        <v>0</v>
      </c>
      <c r="C65" s="4" t="s">
        <v>2129</v>
      </c>
      <c r="D65" s="4" t="s">
        <v>744</v>
      </c>
      <c r="E65" s="4" t="s">
        <v>86</v>
      </c>
      <c r="F65" s="4">
        <v>22</v>
      </c>
      <c r="G65" s="4">
        <v>0</v>
      </c>
      <c r="H65" s="4">
        <v>0</v>
      </c>
      <c r="K65" s="4">
        <v>0</v>
      </c>
      <c r="N65" s="4">
        <v>0</v>
      </c>
      <c r="O65" s="4">
        <v>0</v>
      </c>
      <c r="P65" s="4" t="str">
        <f t="shared" si="0"/>
        <v>BASELINE.PROGRAM</v>
      </c>
      <c r="Q65" s="4" t="str">
        <f>VLOOKUP(Cobra8.5[[#This Row],[Table.Column]],ColumnMapping[Old Table.Column],1,)</f>
        <v>BASELINE.PROGRAM</v>
      </c>
    </row>
    <row r="66" spans="1:17" hidden="1" x14ac:dyDescent="0.2">
      <c r="A66" s="4" t="s">
        <v>2129</v>
      </c>
      <c r="B66" s="4">
        <v>0</v>
      </c>
      <c r="C66" s="4" t="s">
        <v>2129</v>
      </c>
      <c r="D66" s="4" t="s">
        <v>2132</v>
      </c>
      <c r="E66" s="4" t="s">
        <v>2108</v>
      </c>
      <c r="F66" s="4">
        <v>-1</v>
      </c>
      <c r="G66" s="4">
        <v>0</v>
      </c>
      <c r="H66" s="4">
        <v>0</v>
      </c>
      <c r="K66" s="4">
        <v>0</v>
      </c>
      <c r="N66" s="4">
        <v>0</v>
      </c>
      <c r="O66" s="4">
        <v>0</v>
      </c>
      <c r="P66" s="4" t="str">
        <f t="shared" ref="P66:P129" si="1">_xlfn.CONCAT(A66,".",D66)</f>
        <v>BASELINE.REFNO</v>
      </c>
      <c r="Q66" s="4" t="str">
        <f>VLOOKUP(Cobra8.5[[#This Row],[Table.Column]],ColumnMapping[Old Table.Column],1,)</f>
        <v>BASELINE.REFNO</v>
      </c>
    </row>
    <row r="67" spans="1:17" hidden="1" x14ac:dyDescent="0.2">
      <c r="A67" s="4" t="s">
        <v>2129</v>
      </c>
      <c r="B67" s="4">
        <v>0</v>
      </c>
      <c r="C67" s="4" t="s">
        <v>2129</v>
      </c>
      <c r="D67" s="4" t="s">
        <v>2126</v>
      </c>
      <c r="E67" s="4" t="s">
        <v>31</v>
      </c>
      <c r="F67" s="4">
        <v>22</v>
      </c>
      <c r="G67" s="4">
        <v>0</v>
      </c>
      <c r="H67" s="4">
        <v>0</v>
      </c>
      <c r="K67" s="4">
        <v>0</v>
      </c>
      <c r="N67" s="4">
        <v>0</v>
      </c>
      <c r="O67" s="4">
        <v>0</v>
      </c>
      <c r="P67" s="4" t="str">
        <f t="shared" si="1"/>
        <v>BASELINE.TRANS_UID</v>
      </c>
      <c r="Q67" s="4" t="str">
        <f>VLOOKUP(Cobra8.5[[#This Row],[Table.Column]],ColumnMapping[Old Table.Column],1,)</f>
        <v>BASELINE.TRANS_UID</v>
      </c>
    </row>
    <row r="68" spans="1:17" hidden="1" x14ac:dyDescent="0.2">
      <c r="A68" s="4" t="s">
        <v>2129</v>
      </c>
      <c r="B68" s="4">
        <v>0</v>
      </c>
      <c r="C68" s="4" t="s">
        <v>2129</v>
      </c>
      <c r="D68" s="4" t="s">
        <v>531</v>
      </c>
      <c r="E68" s="4" t="s">
        <v>2124</v>
      </c>
      <c r="F68" s="4">
        <v>21</v>
      </c>
      <c r="G68" s="4">
        <v>6</v>
      </c>
      <c r="H68" s="4">
        <v>0</v>
      </c>
      <c r="K68" s="4">
        <v>0</v>
      </c>
      <c r="N68" s="4">
        <v>0</v>
      </c>
      <c r="O68" s="4">
        <v>0</v>
      </c>
      <c r="P68" s="4" t="str">
        <f t="shared" si="1"/>
        <v>BASELINE.UB</v>
      </c>
      <c r="Q68" s="4" t="str">
        <f>VLOOKUP(Cobra8.5[[#This Row],[Table.Column]],ColumnMapping[Old Table.Column],1,)</f>
        <v>BASELINE.UB</v>
      </c>
    </row>
    <row r="69" spans="1:17" hidden="1" x14ac:dyDescent="0.2">
      <c r="A69" s="4" t="s">
        <v>2133</v>
      </c>
      <c r="B69" s="4">
        <v>0</v>
      </c>
      <c r="C69" s="4" t="s">
        <v>2133</v>
      </c>
      <c r="D69" s="4" t="s">
        <v>794</v>
      </c>
      <c r="E69" s="4" t="s">
        <v>2124</v>
      </c>
      <c r="F69" s="4">
        <v>21</v>
      </c>
      <c r="G69" s="4">
        <v>6</v>
      </c>
      <c r="H69" s="4">
        <v>0</v>
      </c>
      <c r="K69" s="4">
        <v>0</v>
      </c>
      <c r="N69" s="4">
        <v>0</v>
      </c>
      <c r="O69" s="4">
        <v>0</v>
      </c>
      <c r="P69" s="4" t="str">
        <f t="shared" si="1"/>
        <v>BASELOG.AMOUNT</v>
      </c>
      <c r="Q69" s="4" t="str">
        <f>VLOOKUP(Cobra8.5[[#This Row],[Table.Column]],ColumnMapping[Old Table.Column],1,)</f>
        <v>BASELOG.AMOUNT</v>
      </c>
    </row>
    <row r="70" spans="1:17" hidden="1" x14ac:dyDescent="0.2">
      <c r="A70" s="4" t="s">
        <v>2133</v>
      </c>
      <c r="B70" s="4">
        <v>0</v>
      </c>
      <c r="C70" s="4" t="s">
        <v>2133</v>
      </c>
      <c r="D70" s="4" t="s">
        <v>2134</v>
      </c>
      <c r="E70" s="4" t="s">
        <v>356</v>
      </c>
      <c r="F70" s="4">
        <v>-1</v>
      </c>
      <c r="G70" s="4">
        <v>0</v>
      </c>
      <c r="H70" s="4">
        <v>0</v>
      </c>
      <c r="K70" s="4">
        <v>0</v>
      </c>
      <c r="N70" s="4">
        <v>0</v>
      </c>
      <c r="O70" s="4">
        <v>0</v>
      </c>
      <c r="P70" s="4" t="str">
        <f t="shared" si="1"/>
        <v>BASELOG.BBL_DATE</v>
      </c>
      <c r="Q70" s="4" t="str">
        <f>VLOOKUP(Cobra8.5[[#This Row],[Table.Column]],ColumnMapping[Old Table.Column],1,)</f>
        <v>BASELOG.BBL_DATE</v>
      </c>
    </row>
    <row r="71" spans="1:17" hidden="1" x14ac:dyDescent="0.2">
      <c r="A71" s="4" t="s">
        <v>2133</v>
      </c>
      <c r="B71" s="4">
        <v>0</v>
      </c>
      <c r="C71" s="4" t="s">
        <v>2133</v>
      </c>
      <c r="D71" s="4" t="s">
        <v>1003</v>
      </c>
      <c r="E71" s="4" t="s">
        <v>86</v>
      </c>
      <c r="F71" s="4">
        <v>59</v>
      </c>
      <c r="G71" s="4">
        <v>0</v>
      </c>
      <c r="H71" s="4">
        <v>0</v>
      </c>
      <c r="K71" s="4">
        <v>0</v>
      </c>
      <c r="N71" s="4">
        <v>0</v>
      </c>
      <c r="O71" s="4">
        <v>0</v>
      </c>
      <c r="P71" s="4" t="str">
        <f t="shared" si="1"/>
        <v>BASELOG.CA1</v>
      </c>
      <c r="Q71" s="4" t="str">
        <f>VLOOKUP(Cobra8.5[[#This Row],[Table.Column]],ColumnMapping[Old Table.Column],1,)</f>
        <v>BASELOG.CA1</v>
      </c>
    </row>
    <row r="72" spans="1:17" hidden="1" x14ac:dyDescent="0.2">
      <c r="A72" s="4" t="s">
        <v>2133</v>
      </c>
      <c r="B72" s="4">
        <v>0</v>
      </c>
      <c r="C72" s="4" t="s">
        <v>2133</v>
      </c>
      <c r="D72" s="4" t="s">
        <v>1005</v>
      </c>
      <c r="E72" s="4" t="s">
        <v>86</v>
      </c>
      <c r="F72" s="4">
        <v>59</v>
      </c>
      <c r="G72" s="4">
        <v>0</v>
      </c>
      <c r="H72" s="4">
        <v>0</v>
      </c>
      <c r="K72" s="4">
        <v>0</v>
      </c>
      <c r="N72" s="4">
        <v>0</v>
      </c>
      <c r="O72" s="4">
        <v>0</v>
      </c>
      <c r="P72" s="4" t="str">
        <f t="shared" si="1"/>
        <v>BASELOG.CA2</v>
      </c>
      <c r="Q72" s="4" t="str">
        <f>VLOOKUP(Cobra8.5[[#This Row],[Table.Column]],ColumnMapping[Old Table.Column],1,)</f>
        <v>BASELOG.CA2</v>
      </c>
    </row>
    <row r="73" spans="1:17" hidden="1" x14ac:dyDescent="0.2">
      <c r="A73" s="4" t="s">
        <v>2133</v>
      </c>
      <c r="B73" s="4">
        <v>0</v>
      </c>
      <c r="C73" s="4" t="s">
        <v>2133</v>
      </c>
      <c r="D73" s="4" t="s">
        <v>1007</v>
      </c>
      <c r="E73" s="4" t="s">
        <v>86</v>
      </c>
      <c r="F73" s="4">
        <v>59</v>
      </c>
      <c r="G73" s="4">
        <v>0</v>
      </c>
      <c r="H73" s="4">
        <v>0</v>
      </c>
      <c r="K73" s="4">
        <v>0</v>
      </c>
      <c r="N73" s="4">
        <v>0</v>
      </c>
      <c r="O73" s="4">
        <v>0</v>
      </c>
      <c r="P73" s="4" t="str">
        <f t="shared" si="1"/>
        <v>BASELOG.CA3</v>
      </c>
      <c r="Q73" s="4" t="str">
        <f>VLOOKUP(Cobra8.5[[#This Row],[Table.Column]],ColumnMapping[Old Table.Column],1,)</f>
        <v>BASELOG.CA3</v>
      </c>
    </row>
    <row r="74" spans="1:17" hidden="1" x14ac:dyDescent="0.2">
      <c r="A74" s="4" t="s">
        <v>2133</v>
      </c>
      <c r="B74" s="4">
        <v>0</v>
      </c>
      <c r="C74" s="4" t="s">
        <v>2133</v>
      </c>
      <c r="D74" s="4" t="s">
        <v>2135</v>
      </c>
      <c r="E74" s="4" t="s">
        <v>86</v>
      </c>
      <c r="F74" s="4">
        <v>59</v>
      </c>
      <c r="G74" s="4">
        <v>0</v>
      </c>
      <c r="H74" s="4">
        <v>0</v>
      </c>
      <c r="K74" s="4">
        <v>0</v>
      </c>
      <c r="N74" s="4">
        <v>0</v>
      </c>
      <c r="O74" s="4">
        <v>0</v>
      </c>
      <c r="P74" s="4" t="str">
        <f t="shared" si="1"/>
        <v>BASELOG.CCN</v>
      </c>
      <c r="Q74" s="4" t="str">
        <f>VLOOKUP(Cobra8.5[[#This Row],[Table.Column]],ColumnMapping[Old Table.Column],1,)</f>
        <v>BASELOG.CCN</v>
      </c>
    </row>
    <row r="75" spans="1:17" hidden="1" x14ac:dyDescent="0.2">
      <c r="A75" s="4" t="s">
        <v>2133</v>
      </c>
      <c r="B75" s="4">
        <v>0</v>
      </c>
      <c r="C75" s="4" t="s">
        <v>2133</v>
      </c>
      <c r="D75" s="4" t="s">
        <v>1098</v>
      </c>
      <c r="E75" s="4" t="s">
        <v>86</v>
      </c>
      <c r="F75" s="4">
        <v>59</v>
      </c>
      <c r="G75" s="4">
        <v>0</v>
      </c>
      <c r="H75" s="4">
        <v>0</v>
      </c>
      <c r="K75" s="4">
        <v>0</v>
      </c>
      <c r="N75" s="4">
        <v>0</v>
      </c>
      <c r="O75" s="4">
        <v>0</v>
      </c>
      <c r="P75" s="4" t="str">
        <f t="shared" si="1"/>
        <v>BASELOG.CECODE</v>
      </c>
      <c r="Q75" s="4" t="str">
        <f>VLOOKUP(Cobra8.5[[#This Row],[Table.Column]],ColumnMapping[Old Table.Column],1,)</f>
        <v>BASELOG.CECODE</v>
      </c>
    </row>
    <row r="76" spans="1:17" hidden="1" x14ac:dyDescent="0.2">
      <c r="A76" s="4" t="s">
        <v>2133</v>
      </c>
      <c r="B76" s="4">
        <v>0</v>
      </c>
      <c r="C76" s="4" t="s">
        <v>2133</v>
      </c>
      <c r="D76" s="4" t="s">
        <v>2136</v>
      </c>
      <c r="E76" s="4" t="s">
        <v>86</v>
      </c>
      <c r="F76" s="4">
        <v>59</v>
      </c>
      <c r="G76" s="4">
        <v>0</v>
      </c>
      <c r="H76" s="4">
        <v>0</v>
      </c>
      <c r="K76" s="4">
        <v>0</v>
      </c>
      <c r="N76" s="4">
        <v>0</v>
      </c>
      <c r="O76" s="4">
        <v>0</v>
      </c>
      <c r="P76" s="4" t="str">
        <f t="shared" si="1"/>
        <v>BASELOG.CLIN</v>
      </c>
      <c r="Q76" s="4" t="str">
        <f>VLOOKUP(Cobra8.5[[#This Row],[Table.Column]],ColumnMapping[Old Table.Column],1,)</f>
        <v>BASELOG.CLIN</v>
      </c>
    </row>
    <row r="77" spans="1:17" hidden="1" x14ac:dyDescent="0.2">
      <c r="A77" s="4" t="s">
        <v>2133</v>
      </c>
      <c r="B77" s="4">
        <v>0</v>
      </c>
      <c r="C77" s="4" t="s">
        <v>2133</v>
      </c>
      <c r="D77" s="4" t="s">
        <v>800</v>
      </c>
      <c r="E77" s="4" t="s">
        <v>2108</v>
      </c>
      <c r="F77" s="4">
        <v>-1</v>
      </c>
      <c r="G77" s="4">
        <v>0</v>
      </c>
      <c r="H77" s="4">
        <v>0</v>
      </c>
      <c r="K77" s="4">
        <v>0</v>
      </c>
      <c r="N77" s="4">
        <v>0</v>
      </c>
      <c r="O77" s="4">
        <v>0</v>
      </c>
      <c r="P77" s="4" t="str">
        <f t="shared" si="1"/>
        <v>BASELOG.CPR3</v>
      </c>
      <c r="Q77" s="4" t="str">
        <f>VLOOKUP(Cobra8.5[[#This Row],[Table.Column]],ColumnMapping[Old Table.Column],1,)</f>
        <v>BASELOG.CPR3</v>
      </c>
    </row>
    <row r="78" spans="1:17" hidden="1" x14ac:dyDescent="0.2">
      <c r="A78" s="4" t="s">
        <v>2133</v>
      </c>
      <c r="B78" s="4">
        <v>0</v>
      </c>
      <c r="C78" s="4" t="s">
        <v>2133</v>
      </c>
      <c r="D78" s="4" t="s">
        <v>792</v>
      </c>
      <c r="E78" s="4" t="s">
        <v>86</v>
      </c>
      <c r="F78" s="4">
        <v>3</v>
      </c>
      <c r="G78" s="4">
        <v>0</v>
      </c>
      <c r="H78" s="4">
        <v>0</v>
      </c>
      <c r="K78" s="4">
        <v>0</v>
      </c>
      <c r="N78" s="4">
        <v>0</v>
      </c>
      <c r="O78" s="4">
        <v>0</v>
      </c>
      <c r="P78" s="4" t="str">
        <f t="shared" si="1"/>
        <v>BASELOG.CREDIT</v>
      </c>
      <c r="Q78" s="4" t="str">
        <f>VLOOKUP(Cobra8.5[[#This Row],[Table.Column]],ColumnMapping[Old Table.Column],1,)</f>
        <v>BASELOG.CREDIT</v>
      </c>
    </row>
    <row r="79" spans="1:17" hidden="1" x14ac:dyDescent="0.2">
      <c r="A79" s="4" t="s">
        <v>2133</v>
      </c>
      <c r="B79" s="4">
        <v>0</v>
      </c>
      <c r="C79" s="4" t="s">
        <v>2133</v>
      </c>
      <c r="D79" s="4" t="s">
        <v>788</v>
      </c>
      <c r="E79" s="4" t="s">
        <v>86</v>
      </c>
      <c r="F79" s="4">
        <v>3</v>
      </c>
      <c r="G79" s="4">
        <v>0</v>
      </c>
      <c r="H79" s="4">
        <v>0</v>
      </c>
      <c r="K79" s="4">
        <v>0</v>
      </c>
      <c r="N79" s="4">
        <v>0</v>
      </c>
      <c r="O79" s="4">
        <v>0</v>
      </c>
      <c r="P79" s="4" t="str">
        <f t="shared" si="1"/>
        <v>BASELOG.DEBIT</v>
      </c>
      <c r="Q79" s="4" t="str">
        <f>VLOOKUP(Cobra8.5[[#This Row],[Table.Column]],ColumnMapping[Old Table.Column],1,)</f>
        <v>BASELOG.DEBIT</v>
      </c>
    </row>
    <row r="80" spans="1:17" hidden="1" x14ac:dyDescent="0.2">
      <c r="A80" s="4" t="s">
        <v>2133</v>
      </c>
      <c r="B80" s="4">
        <v>0</v>
      </c>
      <c r="C80" s="4" t="s">
        <v>2133</v>
      </c>
      <c r="D80" s="4" t="s">
        <v>299</v>
      </c>
      <c r="E80" s="4" t="s">
        <v>2124</v>
      </c>
      <c r="F80" s="4">
        <v>21</v>
      </c>
      <c r="G80" s="4">
        <v>6</v>
      </c>
      <c r="H80" s="4">
        <v>0</v>
      </c>
      <c r="K80" s="4">
        <v>0</v>
      </c>
      <c r="N80" s="4">
        <v>0</v>
      </c>
      <c r="O80" s="4">
        <v>0</v>
      </c>
      <c r="P80" s="4" t="str">
        <f t="shared" si="1"/>
        <v>BASELOG.HOURS</v>
      </c>
      <c r="Q80" s="4" t="str">
        <f>VLOOKUP(Cobra8.5[[#This Row],[Table.Column]],ColumnMapping[Old Table.Column],1,)</f>
        <v>BASELOG.HOURS</v>
      </c>
    </row>
    <row r="81" spans="1:17" hidden="1" x14ac:dyDescent="0.2">
      <c r="A81" s="4" t="s">
        <v>2133</v>
      </c>
      <c r="B81" s="4">
        <v>0</v>
      </c>
      <c r="C81" s="4" t="s">
        <v>2133</v>
      </c>
      <c r="D81" s="4" t="s">
        <v>2137</v>
      </c>
      <c r="E81" s="4" t="s">
        <v>86</v>
      </c>
      <c r="F81" s="4">
        <v>200</v>
      </c>
      <c r="G81" s="4">
        <v>0</v>
      </c>
      <c r="H81" s="4">
        <v>0</v>
      </c>
      <c r="K81" s="4">
        <v>0</v>
      </c>
      <c r="N81" s="4">
        <v>0</v>
      </c>
      <c r="O81" s="4">
        <v>0</v>
      </c>
      <c r="P81" s="4" t="str">
        <f t="shared" si="1"/>
        <v>BASELOG.LOGCOMMENT</v>
      </c>
      <c r="Q81" s="4" t="str">
        <f>VLOOKUP(Cobra8.5[[#This Row],[Table.Column]],ColumnMapping[Old Table.Column],1,)</f>
        <v>BASELOG.LOGCOMMENT</v>
      </c>
    </row>
    <row r="82" spans="1:17" hidden="1" x14ac:dyDescent="0.2">
      <c r="A82" s="4" t="s">
        <v>2133</v>
      </c>
      <c r="B82" s="4">
        <v>0</v>
      </c>
      <c r="C82" s="4" t="s">
        <v>2133</v>
      </c>
      <c r="D82" s="4" t="s">
        <v>744</v>
      </c>
      <c r="E82" s="4" t="s">
        <v>86</v>
      </c>
      <c r="F82" s="4">
        <v>22</v>
      </c>
      <c r="G82" s="4">
        <v>0</v>
      </c>
      <c r="H82" s="4">
        <v>0</v>
      </c>
      <c r="K82" s="4">
        <v>0</v>
      </c>
      <c r="N82" s="4">
        <v>0</v>
      </c>
      <c r="O82" s="4">
        <v>0</v>
      </c>
      <c r="P82" s="4" t="str">
        <f t="shared" si="1"/>
        <v>BASELOG.PROGRAM</v>
      </c>
      <c r="Q82" s="4" t="str">
        <f>VLOOKUP(Cobra8.5[[#This Row],[Table.Column]],ColumnMapping[Old Table.Column],1,)</f>
        <v>BASELOG.PROGRAM</v>
      </c>
    </row>
    <row r="83" spans="1:17" hidden="1" x14ac:dyDescent="0.2">
      <c r="A83" s="4" t="s">
        <v>2133</v>
      </c>
      <c r="B83" s="4">
        <v>0</v>
      </c>
      <c r="C83" s="4" t="s">
        <v>2133</v>
      </c>
      <c r="D83" s="4" t="s">
        <v>2132</v>
      </c>
      <c r="E83" s="4" t="s">
        <v>2108</v>
      </c>
      <c r="F83" s="4">
        <v>-1</v>
      </c>
      <c r="G83" s="4">
        <v>0</v>
      </c>
      <c r="H83" s="4">
        <v>0</v>
      </c>
      <c r="K83" s="4">
        <v>0</v>
      </c>
      <c r="N83" s="4">
        <v>0</v>
      </c>
      <c r="O83" s="4">
        <v>0</v>
      </c>
      <c r="P83" s="4" t="str">
        <f t="shared" si="1"/>
        <v>BASELOG.REFNO</v>
      </c>
      <c r="Q83" s="4" t="str">
        <f>VLOOKUP(Cobra8.5[[#This Row],[Table.Column]],ColumnMapping[Old Table.Column],1,)</f>
        <v>BASELOG.REFNO</v>
      </c>
    </row>
    <row r="84" spans="1:17" hidden="1" x14ac:dyDescent="0.2">
      <c r="A84" s="4" t="s">
        <v>2133</v>
      </c>
      <c r="B84" s="4">
        <v>0</v>
      </c>
      <c r="C84" s="4" t="s">
        <v>2133</v>
      </c>
      <c r="D84" s="4" t="s">
        <v>30</v>
      </c>
      <c r="E84" s="4" t="s">
        <v>86</v>
      </c>
      <c r="F84" s="4">
        <v>22</v>
      </c>
      <c r="G84" s="4">
        <v>0</v>
      </c>
      <c r="H84" s="4">
        <v>0</v>
      </c>
      <c r="K84" s="4">
        <v>0</v>
      </c>
      <c r="N84" s="4">
        <v>0</v>
      </c>
      <c r="O84" s="4">
        <v>0</v>
      </c>
      <c r="P84" s="4" t="str">
        <f t="shared" si="1"/>
        <v>BASELOG.ROW_UID</v>
      </c>
      <c r="Q84" s="4" t="str">
        <f>VLOOKUP(Cobra8.5[[#This Row],[Table.Column]],ColumnMapping[Old Table.Column],1,)</f>
        <v>BASELOG.ROW_UID</v>
      </c>
    </row>
    <row r="85" spans="1:17" hidden="1" x14ac:dyDescent="0.2">
      <c r="A85" s="4" t="s">
        <v>2133</v>
      </c>
      <c r="B85" s="4">
        <v>0</v>
      </c>
      <c r="C85" s="4" t="s">
        <v>2133</v>
      </c>
      <c r="D85" s="4" t="s">
        <v>2138</v>
      </c>
      <c r="E85" s="4" t="s">
        <v>2108</v>
      </c>
      <c r="F85" s="4">
        <v>-1</v>
      </c>
      <c r="G85" s="4">
        <v>0</v>
      </c>
      <c r="H85" s="4">
        <v>0</v>
      </c>
      <c r="K85" s="4">
        <v>0</v>
      </c>
      <c r="N85" s="4">
        <v>0</v>
      </c>
      <c r="O85" s="4">
        <v>0</v>
      </c>
      <c r="P85" s="4" t="str">
        <f t="shared" si="1"/>
        <v>BASELOG.SIG</v>
      </c>
      <c r="Q85" s="4" t="str">
        <f>VLOOKUP(Cobra8.5[[#This Row],[Table.Column]],ColumnMapping[Old Table.Column],1,)</f>
        <v>BASELOG.SIG</v>
      </c>
    </row>
    <row r="86" spans="1:17" hidden="1" x14ac:dyDescent="0.2">
      <c r="A86" s="4" t="s">
        <v>2133</v>
      </c>
      <c r="B86" s="4">
        <v>0</v>
      </c>
      <c r="C86" s="4" t="s">
        <v>2133</v>
      </c>
      <c r="D86" s="4" t="s">
        <v>2139</v>
      </c>
      <c r="E86" s="4" t="s">
        <v>356</v>
      </c>
      <c r="F86" s="4">
        <v>-1</v>
      </c>
      <c r="G86" s="4">
        <v>0</v>
      </c>
      <c r="H86" s="4">
        <v>0</v>
      </c>
      <c r="K86" s="4">
        <v>0</v>
      </c>
      <c r="N86" s="4">
        <v>0</v>
      </c>
      <c r="O86" s="4">
        <v>0</v>
      </c>
      <c r="P86" s="4" t="str">
        <f t="shared" si="1"/>
        <v>BASELOG.STATUSDATE</v>
      </c>
      <c r="Q86" s="4" t="str">
        <f>VLOOKUP(Cobra8.5[[#This Row],[Table.Column]],ColumnMapping[Old Table.Column],1,)</f>
        <v>BASELOG.STATUSDATE</v>
      </c>
    </row>
    <row r="87" spans="1:17" hidden="1" x14ac:dyDescent="0.2">
      <c r="A87" s="4" t="s">
        <v>2133</v>
      </c>
      <c r="B87" s="4">
        <v>0</v>
      </c>
      <c r="C87" s="4" t="s">
        <v>2133</v>
      </c>
      <c r="D87" s="4" t="s">
        <v>2126</v>
      </c>
      <c r="E87" s="4" t="s">
        <v>31</v>
      </c>
      <c r="F87" s="4">
        <v>22</v>
      </c>
      <c r="G87" s="4">
        <v>0</v>
      </c>
      <c r="H87" s="4">
        <v>0</v>
      </c>
      <c r="K87" s="4">
        <v>0</v>
      </c>
      <c r="N87" s="4">
        <v>0</v>
      </c>
      <c r="O87" s="4">
        <v>0</v>
      </c>
      <c r="P87" s="4" t="str">
        <f t="shared" si="1"/>
        <v>BASELOG.TRANS_UID</v>
      </c>
      <c r="Q87" s="4" t="str">
        <f>VLOOKUP(Cobra8.5[[#This Row],[Table.Column]],ColumnMapping[Old Table.Column],1,)</f>
        <v>BASELOG.TRANS_UID</v>
      </c>
    </row>
    <row r="88" spans="1:17" hidden="1" x14ac:dyDescent="0.2">
      <c r="A88" s="4" t="s">
        <v>2133</v>
      </c>
      <c r="B88" s="4">
        <v>0</v>
      </c>
      <c r="C88" s="4" t="s">
        <v>2133</v>
      </c>
      <c r="D88" s="4" t="s">
        <v>2140</v>
      </c>
      <c r="E88" s="4" t="s">
        <v>356</v>
      </c>
      <c r="F88" s="4">
        <v>-1</v>
      </c>
      <c r="G88" s="4">
        <v>0</v>
      </c>
      <c r="H88" s="4">
        <v>0</v>
      </c>
      <c r="K88" s="4">
        <v>0</v>
      </c>
      <c r="N88" s="4">
        <v>0</v>
      </c>
      <c r="O88" s="4">
        <v>0</v>
      </c>
      <c r="P88" s="4" t="str">
        <f t="shared" si="1"/>
        <v>BASELOG.TSTAMP</v>
      </c>
      <c r="Q88" s="4" t="str">
        <f>VLOOKUP(Cobra8.5[[#This Row],[Table.Column]],ColumnMapping[Old Table.Column],1,)</f>
        <v>BASELOG.TSTAMP</v>
      </c>
    </row>
    <row r="89" spans="1:17" hidden="1" x14ac:dyDescent="0.2">
      <c r="A89" s="4" t="s">
        <v>2133</v>
      </c>
      <c r="B89" s="4">
        <v>0</v>
      </c>
      <c r="C89" s="4" t="s">
        <v>2133</v>
      </c>
      <c r="D89" s="4" t="s">
        <v>2112</v>
      </c>
      <c r="E89" s="4" t="s">
        <v>86</v>
      </c>
      <c r="F89" s="4">
        <v>20</v>
      </c>
      <c r="G89" s="4">
        <v>0</v>
      </c>
      <c r="H89" s="4">
        <v>0</v>
      </c>
      <c r="K89" s="4">
        <v>0</v>
      </c>
      <c r="N89" s="4">
        <v>0</v>
      </c>
      <c r="O89" s="4">
        <v>0</v>
      </c>
      <c r="P89" s="4" t="str">
        <f t="shared" si="1"/>
        <v>BASELOG.USR_ID</v>
      </c>
      <c r="Q89" s="4" t="str">
        <f>VLOOKUP(Cobra8.5[[#This Row],[Table.Column]],ColumnMapping[Old Table.Column],1,)</f>
        <v>BASELOG.USR_ID</v>
      </c>
    </row>
    <row r="90" spans="1:17" hidden="1" x14ac:dyDescent="0.2">
      <c r="A90" s="4" t="s">
        <v>2133</v>
      </c>
      <c r="B90" s="4">
        <v>0</v>
      </c>
      <c r="C90" s="4" t="s">
        <v>2133</v>
      </c>
      <c r="D90" s="4" t="s">
        <v>1398</v>
      </c>
      <c r="E90" s="4" t="s">
        <v>86</v>
      </c>
      <c r="F90" s="4">
        <v>59</v>
      </c>
      <c r="G90" s="4">
        <v>0</v>
      </c>
      <c r="H90" s="4">
        <v>0</v>
      </c>
      <c r="K90" s="4">
        <v>0</v>
      </c>
      <c r="N90" s="4">
        <v>0</v>
      </c>
      <c r="O90" s="4">
        <v>0</v>
      </c>
      <c r="P90" s="4" t="str">
        <f t="shared" si="1"/>
        <v>BASELOG.WP</v>
      </c>
      <c r="Q90" s="4" t="str">
        <f>VLOOKUP(Cobra8.5[[#This Row],[Table.Column]],ColumnMapping[Old Table.Column],1,)</f>
        <v>BASELOG.WP</v>
      </c>
    </row>
    <row r="91" spans="1:17" hidden="1" x14ac:dyDescent="0.2">
      <c r="A91" s="4" t="s">
        <v>2016</v>
      </c>
      <c r="B91" s="4">
        <v>0</v>
      </c>
      <c r="C91" s="4" t="s">
        <v>2016</v>
      </c>
      <c r="D91" s="4" t="s">
        <v>2017</v>
      </c>
      <c r="E91" s="4" t="s">
        <v>86</v>
      </c>
      <c r="F91" s="4">
        <v>22</v>
      </c>
      <c r="G91" s="4">
        <v>0</v>
      </c>
      <c r="H91" s="4">
        <v>0</v>
      </c>
      <c r="K91" s="4">
        <v>0</v>
      </c>
      <c r="N91" s="4">
        <v>0</v>
      </c>
      <c r="O91" s="4">
        <v>0</v>
      </c>
      <c r="P91" s="4" t="str">
        <f t="shared" si="1"/>
        <v>BATCH.BATCHREP_ID</v>
      </c>
      <c r="Q91" s="4" t="str">
        <f>VLOOKUP(Cobra8.5[[#This Row],[Table.Column]],ColumnMapping[Old Table.Column],1,)</f>
        <v>BATCH.BATCHREP_ID</v>
      </c>
    </row>
    <row r="92" spans="1:17" hidden="1" x14ac:dyDescent="0.2">
      <c r="A92" s="4" t="s">
        <v>2016</v>
      </c>
      <c r="B92" s="4">
        <v>0</v>
      </c>
      <c r="C92" s="4" t="s">
        <v>2016</v>
      </c>
      <c r="D92" s="4" t="s">
        <v>1962</v>
      </c>
      <c r="E92" s="4" t="s">
        <v>86</v>
      </c>
      <c r="F92" s="4">
        <v>22</v>
      </c>
      <c r="G92" s="4">
        <v>0</v>
      </c>
      <c r="H92" s="4">
        <v>0</v>
      </c>
      <c r="K92" s="4">
        <v>0</v>
      </c>
      <c r="N92" s="4">
        <v>0</v>
      </c>
      <c r="O92" s="4">
        <v>0</v>
      </c>
      <c r="P92" s="4" t="str">
        <f t="shared" si="1"/>
        <v>BATCH.DIR_ID</v>
      </c>
      <c r="Q92" s="4" t="str">
        <f>VLOOKUP(Cobra8.5[[#This Row],[Table.Column]],ColumnMapping[Old Table.Column],1,)</f>
        <v>BATCH.DIR_ID</v>
      </c>
    </row>
    <row r="93" spans="1:17" hidden="1" x14ac:dyDescent="0.2">
      <c r="A93" s="4" t="s">
        <v>2016</v>
      </c>
      <c r="B93" s="4">
        <v>0</v>
      </c>
      <c r="C93" s="4" t="s">
        <v>2016</v>
      </c>
      <c r="D93" s="4" t="s">
        <v>2018</v>
      </c>
      <c r="E93" s="4" t="s">
        <v>86</v>
      </c>
      <c r="F93" s="4">
        <v>59</v>
      </c>
      <c r="G93" s="4">
        <v>0</v>
      </c>
      <c r="H93" s="4">
        <v>0</v>
      </c>
      <c r="K93" s="4">
        <v>0</v>
      </c>
      <c r="N93" s="4">
        <v>0</v>
      </c>
      <c r="O93" s="4">
        <v>0</v>
      </c>
      <c r="P93" s="4" t="str">
        <f t="shared" si="1"/>
        <v>BATCH.FILTER_ID</v>
      </c>
      <c r="Q93" s="4" t="str">
        <f>VLOOKUP(Cobra8.5[[#This Row],[Table.Column]],ColumnMapping[Old Table.Column],1,)</f>
        <v>BATCH.FILTER_ID</v>
      </c>
    </row>
    <row r="94" spans="1:17" hidden="1" x14ac:dyDescent="0.2">
      <c r="A94" s="4" t="s">
        <v>2016</v>
      </c>
      <c r="B94" s="4">
        <v>0</v>
      </c>
      <c r="C94" s="4" t="s">
        <v>2016</v>
      </c>
      <c r="D94" s="4" t="s">
        <v>2019</v>
      </c>
      <c r="E94" s="4" t="s">
        <v>2108</v>
      </c>
      <c r="F94" s="4">
        <v>-1</v>
      </c>
      <c r="G94" s="4">
        <v>0</v>
      </c>
      <c r="H94" s="4">
        <v>0</v>
      </c>
      <c r="K94" s="4">
        <v>0</v>
      </c>
      <c r="N94" s="4">
        <v>0</v>
      </c>
      <c r="O94" s="4">
        <v>0</v>
      </c>
      <c r="P94" s="4" t="str">
        <f t="shared" si="1"/>
        <v>BATCH.FILTER_SHARED</v>
      </c>
      <c r="Q94" s="4" t="str">
        <f>VLOOKUP(Cobra8.5[[#This Row],[Table.Column]],ColumnMapping[Old Table.Column],1,)</f>
        <v>BATCH.FILTER_SHARED</v>
      </c>
    </row>
    <row r="95" spans="1:17" hidden="1" x14ac:dyDescent="0.2">
      <c r="A95" s="4" t="s">
        <v>2016</v>
      </c>
      <c r="B95" s="4">
        <v>0</v>
      </c>
      <c r="C95" s="4" t="s">
        <v>2016</v>
      </c>
      <c r="D95" s="4" t="s">
        <v>2111</v>
      </c>
      <c r="E95" s="4" t="s">
        <v>356</v>
      </c>
      <c r="F95" s="4">
        <v>-1</v>
      </c>
      <c r="G95" s="4">
        <v>0</v>
      </c>
      <c r="H95" s="4">
        <v>0</v>
      </c>
      <c r="K95" s="4">
        <v>0</v>
      </c>
      <c r="N95" s="4">
        <v>0</v>
      </c>
      <c r="O95" s="4">
        <v>0</v>
      </c>
      <c r="P95" s="4" t="str">
        <f t="shared" si="1"/>
        <v>BATCH.LASTUPDATE</v>
      </c>
      <c r="Q95" s="4" t="str">
        <f>VLOOKUP(Cobra8.5[[#This Row],[Table.Column]],ColumnMapping[Old Table.Column],1,)</f>
        <v>BATCH.LASTUPDATE</v>
      </c>
    </row>
    <row r="96" spans="1:17" hidden="1" x14ac:dyDescent="0.2">
      <c r="A96" s="4" t="s">
        <v>2016</v>
      </c>
      <c r="B96" s="4">
        <v>0</v>
      </c>
      <c r="C96" s="4" t="s">
        <v>2016</v>
      </c>
      <c r="D96" s="4" t="s">
        <v>1454</v>
      </c>
      <c r="E96" s="4" t="s">
        <v>2108</v>
      </c>
      <c r="F96" s="4">
        <v>-1</v>
      </c>
      <c r="G96" s="4">
        <v>0</v>
      </c>
      <c r="H96" s="4">
        <v>0</v>
      </c>
      <c r="K96" s="4">
        <v>0</v>
      </c>
      <c r="N96" s="4">
        <v>0</v>
      </c>
      <c r="O96" s="4">
        <v>0</v>
      </c>
      <c r="P96" s="4" t="str">
        <f t="shared" si="1"/>
        <v>BATCH.LINE</v>
      </c>
      <c r="Q96" s="4" t="str">
        <f>VLOOKUP(Cobra8.5[[#This Row],[Table.Column]],ColumnMapping[Old Table.Column],1,)</f>
        <v>BATCH.LINE</v>
      </c>
    </row>
    <row r="97" spans="1:17" hidden="1" x14ac:dyDescent="0.2">
      <c r="A97" s="4" t="s">
        <v>2016</v>
      </c>
      <c r="B97" s="4">
        <v>0</v>
      </c>
      <c r="C97" s="4" t="s">
        <v>2016</v>
      </c>
      <c r="D97" s="4" t="s">
        <v>1936</v>
      </c>
      <c r="E97" s="4" t="s">
        <v>86</v>
      </c>
      <c r="F97" s="4">
        <v>20</v>
      </c>
      <c r="G97" s="4">
        <v>0</v>
      </c>
      <c r="H97" s="4">
        <v>0</v>
      </c>
      <c r="K97" s="4">
        <v>0</v>
      </c>
      <c r="N97" s="4">
        <v>0</v>
      </c>
      <c r="O97" s="4">
        <v>0</v>
      </c>
      <c r="P97" s="4" t="str">
        <f t="shared" si="1"/>
        <v>BATCH.OWNER_ID</v>
      </c>
      <c r="Q97" s="4" t="str">
        <f>VLOOKUP(Cobra8.5[[#This Row],[Table.Column]],ColumnMapping[Old Table.Column],1,)</f>
        <v>BATCH.OWNER_ID</v>
      </c>
    </row>
    <row r="98" spans="1:17" hidden="1" x14ac:dyDescent="0.2">
      <c r="A98" s="4" t="s">
        <v>2016</v>
      </c>
      <c r="B98" s="4">
        <v>0</v>
      </c>
      <c r="C98" s="4" t="s">
        <v>2016</v>
      </c>
      <c r="D98" s="4" t="s">
        <v>2022</v>
      </c>
      <c r="E98" s="4" t="s">
        <v>86</v>
      </c>
      <c r="F98" s="4">
        <v>22</v>
      </c>
      <c r="G98" s="4">
        <v>0</v>
      </c>
      <c r="H98" s="4">
        <v>0</v>
      </c>
      <c r="K98" s="4">
        <v>0</v>
      </c>
      <c r="N98" s="4">
        <v>0</v>
      </c>
      <c r="O98" s="4">
        <v>0</v>
      </c>
      <c r="P98" s="4" t="str">
        <f t="shared" si="1"/>
        <v>BATCH.REPORT_ID</v>
      </c>
      <c r="Q98" s="4" t="str">
        <f>VLOOKUP(Cobra8.5[[#This Row],[Table.Column]],ColumnMapping[Old Table.Column],1,)</f>
        <v>BATCH.REPORT_ID</v>
      </c>
    </row>
    <row r="99" spans="1:17" hidden="1" x14ac:dyDescent="0.2">
      <c r="A99" s="4" t="s">
        <v>2016</v>
      </c>
      <c r="B99" s="4">
        <v>0</v>
      </c>
      <c r="C99" s="4" t="s">
        <v>2016</v>
      </c>
      <c r="D99" s="4" t="s">
        <v>35</v>
      </c>
      <c r="E99" s="4" t="s">
        <v>2108</v>
      </c>
      <c r="F99" s="4">
        <v>-1</v>
      </c>
      <c r="G99" s="4">
        <v>0</v>
      </c>
      <c r="H99" s="4">
        <v>0</v>
      </c>
      <c r="K99" s="4">
        <v>0</v>
      </c>
      <c r="N99" s="4">
        <v>0</v>
      </c>
      <c r="O99" s="4">
        <v>0</v>
      </c>
      <c r="P99" s="4" t="str">
        <f t="shared" si="1"/>
        <v>BATCH.SEQUENCE</v>
      </c>
      <c r="Q99" s="4" t="str">
        <f>VLOOKUP(Cobra8.5[[#This Row],[Table.Column]],ColumnMapping[Old Table.Column],1,)</f>
        <v>BATCH.SEQUENCE</v>
      </c>
    </row>
    <row r="100" spans="1:17" hidden="1" x14ac:dyDescent="0.2">
      <c r="A100" s="4" t="s">
        <v>2016</v>
      </c>
      <c r="B100" s="4">
        <v>0</v>
      </c>
      <c r="C100" s="4" t="s">
        <v>2016</v>
      </c>
      <c r="D100" s="4" t="s">
        <v>2024</v>
      </c>
      <c r="E100" s="4" t="s">
        <v>86</v>
      </c>
      <c r="F100" s="4">
        <v>59</v>
      </c>
      <c r="G100" s="4">
        <v>0</v>
      </c>
      <c r="H100" s="4">
        <v>0</v>
      </c>
      <c r="K100" s="4">
        <v>0</v>
      </c>
      <c r="N100" s="4">
        <v>0</v>
      </c>
      <c r="O100" s="4">
        <v>0</v>
      </c>
      <c r="P100" s="4" t="str">
        <f t="shared" si="1"/>
        <v>BATCH.SORT_ID</v>
      </c>
      <c r="Q100" s="4" t="str">
        <f>VLOOKUP(Cobra8.5[[#This Row],[Table.Column]],ColumnMapping[Old Table.Column],1,)</f>
        <v>BATCH.SORT_ID</v>
      </c>
    </row>
    <row r="101" spans="1:17" hidden="1" x14ac:dyDescent="0.2">
      <c r="A101" s="4" t="s">
        <v>2016</v>
      </c>
      <c r="B101" s="4">
        <v>0</v>
      </c>
      <c r="C101" s="4" t="s">
        <v>2016</v>
      </c>
      <c r="D101" s="4" t="s">
        <v>2026</v>
      </c>
      <c r="E101" s="4" t="s">
        <v>2108</v>
      </c>
      <c r="F101" s="4">
        <v>-1</v>
      </c>
      <c r="G101" s="4">
        <v>0</v>
      </c>
      <c r="H101" s="4">
        <v>0</v>
      </c>
      <c r="K101" s="4">
        <v>0</v>
      </c>
      <c r="N101" s="4">
        <v>0</v>
      </c>
      <c r="O101" s="4">
        <v>0</v>
      </c>
      <c r="P101" s="4" t="str">
        <f t="shared" si="1"/>
        <v>BATCH.SORT_SHARED</v>
      </c>
      <c r="Q101" s="4" t="str">
        <f>VLOOKUP(Cobra8.5[[#This Row],[Table.Column]],ColumnMapping[Old Table.Column],1,)</f>
        <v>BATCH.SORT_SHARED</v>
      </c>
    </row>
    <row r="102" spans="1:17" hidden="1" x14ac:dyDescent="0.2">
      <c r="A102" s="4" t="s">
        <v>2016</v>
      </c>
      <c r="B102" s="4">
        <v>0</v>
      </c>
      <c r="C102" s="4" t="s">
        <v>2016</v>
      </c>
      <c r="D102" s="4" t="s">
        <v>2112</v>
      </c>
      <c r="E102" s="4" t="s">
        <v>86</v>
      </c>
      <c r="F102" s="4">
        <v>20</v>
      </c>
      <c r="G102" s="4">
        <v>0</v>
      </c>
      <c r="H102" s="4">
        <v>0</v>
      </c>
      <c r="K102" s="4">
        <v>0</v>
      </c>
      <c r="N102" s="4">
        <v>0</v>
      </c>
      <c r="O102" s="4">
        <v>0</v>
      </c>
      <c r="P102" s="4" t="str">
        <f t="shared" si="1"/>
        <v>BATCH.USR_ID</v>
      </c>
      <c r="Q102" s="4" t="str">
        <f>VLOOKUP(Cobra8.5[[#This Row],[Table.Column]],ColumnMapping[Old Table.Column],1,)</f>
        <v>BATCH.USR_ID</v>
      </c>
    </row>
    <row r="103" spans="1:17" hidden="1" x14ac:dyDescent="0.2">
      <c r="A103" s="4" t="s">
        <v>2028</v>
      </c>
      <c r="B103" s="4">
        <v>0</v>
      </c>
      <c r="C103" s="4" t="s">
        <v>2028</v>
      </c>
      <c r="D103" s="4" t="s">
        <v>2017</v>
      </c>
      <c r="E103" s="4" t="s">
        <v>86</v>
      </c>
      <c r="F103" s="4">
        <v>22</v>
      </c>
      <c r="G103" s="4">
        <v>0</v>
      </c>
      <c r="H103" s="4">
        <v>0</v>
      </c>
      <c r="K103" s="4">
        <v>0</v>
      </c>
      <c r="N103" s="4">
        <v>0</v>
      </c>
      <c r="O103" s="4">
        <v>0</v>
      </c>
      <c r="P103" s="4" t="str">
        <f t="shared" si="1"/>
        <v>BATCHREP.BATCHREP_ID</v>
      </c>
      <c r="Q103" s="4" t="str">
        <f>VLOOKUP(Cobra8.5[[#This Row],[Table.Column]],ColumnMapping[Old Table.Column],1,)</f>
        <v>BATCHREP.BATCHREP_ID</v>
      </c>
    </row>
    <row r="104" spans="1:17" hidden="1" x14ac:dyDescent="0.2">
      <c r="A104" s="4" t="s">
        <v>2028</v>
      </c>
      <c r="B104" s="4">
        <v>0</v>
      </c>
      <c r="C104" s="4" t="s">
        <v>2028</v>
      </c>
      <c r="D104" s="4" t="s">
        <v>2030</v>
      </c>
      <c r="E104" s="4" t="s">
        <v>31</v>
      </c>
      <c r="F104" s="4">
        <v>22</v>
      </c>
      <c r="G104" s="4">
        <v>0</v>
      </c>
      <c r="H104" s="4">
        <v>0</v>
      </c>
      <c r="K104" s="4">
        <v>0</v>
      </c>
      <c r="N104" s="4">
        <v>0</v>
      </c>
      <c r="O104" s="4">
        <v>0</v>
      </c>
      <c r="P104" s="4" t="str">
        <f t="shared" si="1"/>
        <v>BATCHREP.BATCHREP_UID</v>
      </c>
      <c r="Q104" s="4" t="str">
        <f>VLOOKUP(Cobra8.5[[#This Row],[Table.Column]],ColumnMapping[Old Table.Column],1,)</f>
        <v>BATCHREP.BATCHREP_UID</v>
      </c>
    </row>
    <row r="105" spans="1:17" hidden="1" x14ac:dyDescent="0.2">
      <c r="A105" s="4" t="s">
        <v>2028</v>
      </c>
      <c r="B105" s="4">
        <v>0</v>
      </c>
      <c r="C105" s="4" t="s">
        <v>2028</v>
      </c>
      <c r="D105" s="4" t="s">
        <v>2141</v>
      </c>
      <c r="E105" s="4" t="s">
        <v>86</v>
      </c>
      <c r="F105" s="4">
        <v>254</v>
      </c>
      <c r="G105" s="4">
        <v>0</v>
      </c>
      <c r="H105" s="4">
        <v>0</v>
      </c>
      <c r="K105" s="4">
        <v>0</v>
      </c>
      <c r="N105" s="4">
        <v>0</v>
      </c>
      <c r="O105" s="4">
        <v>0</v>
      </c>
      <c r="P105" s="4" t="str">
        <f t="shared" si="1"/>
        <v>BATCHREP.DESCRIP</v>
      </c>
      <c r="Q105" s="4" t="str">
        <f>VLOOKUP(Cobra8.5[[#This Row],[Table.Column]],ColumnMapping[Old Table.Column],1,)</f>
        <v>BATCHREP.DESCRIP</v>
      </c>
    </row>
    <row r="106" spans="1:17" hidden="1" x14ac:dyDescent="0.2">
      <c r="A106" s="4" t="s">
        <v>2028</v>
      </c>
      <c r="B106" s="4">
        <v>0</v>
      </c>
      <c r="C106" s="4" t="s">
        <v>2028</v>
      </c>
      <c r="D106" s="4" t="s">
        <v>2111</v>
      </c>
      <c r="E106" s="4" t="s">
        <v>356</v>
      </c>
      <c r="F106" s="4">
        <v>-1</v>
      </c>
      <c r="G106" s="4">
        <v>0</v>
      </c>
      <c r="H106" s="4">
        <v>0</v>
      </c>
      <c r="K106" s="4">
        <v>0</v>
      </c>
      <c r="N106" s="4">
        <v>0</v>
      </c>
      <c r="O106" s="4">
        <v>0</v>
      </c>
      <c r="P106" s="4" t="str">
        <f t="shared" si="1"/>
        <v>BATCHREP.LASTUPDATE</v>
      </c>
      <c r="Q106" s="4" t="str">
        <f>VLOOKUP(Cobra8.5[[#This Row],[Table.Column]],ColumnMapping[Old Table.Column],1,)</f>
        <v>BATCHREP.LASTUPDATE</v>
      </c>
    </row>
    <row r="107" spans="1:17" hidden="1" x14ac:dyDescent="0.2">
      <c r="A107" s="4" t="s">
        <v>2028</v>
      </c>
      <c r="B107" s="4">
        <v>0</v>
      </c>
      <c r="C107" s="4" t="s">
        <v>2028</v>
      </c>
      <c r="D107" s="4" t="s">
        <v>2032</v>
      </c>
      <c r="E107" s="4" t="s">
        <v>86</v>
      </c>
      <c r="F107" s="4">
        <v>254</v>
      </c>
      <c r="G107" s="4">
        <v>0</v>
      </c>
      <c r="H107" s="4">
        <v>0</v>
      </c>
      <c r="K107" s="4">
        <v>0</v>
      </c>
      <c r="N107" s="4">
        <v>0</v>
      </c>
      <c r="O107" s="4">
        <v>0</v>
      </c>
      <c r="P107" s="4" t="str">
        <f t="shared" si="1"/>
        <v>BATCHREP.OUTPUT_LOC</v>
      </c>
      <c r="Q107" s="4" t="str">
        <f>VLOOKUP(Cobra8.5[[#This Row],[Table.Column]],ColumnMapping[Old Table.Column],1,)</f>
        <v>BATCHREP.OUTPUT_LOC</v>
      </c>
    </row>
    <row r="108" spans="1:17" hidden="1" x14ac:dyDescent="0.2">
      <c r="A108" s="4" t="s">
        <v>2028</v>
      </c>
      <c r="B108" s="4">
        <v>0</v>
      </c>
      <c r="C108" s="4" t="s">
        <v>2028</v>
      </c>
      <c r="D108" s="4" t="s">
        <v>2034</v>
      </c>
      <c r="E108" s="4" t="s">
        <v>86</v>
      </c>
      <c r="F108" s="4">
        <v>12</v>
      </c>
      <c r="G108" s="4">
        <v>0</v>
      </c>
      <c r="H108" s="4">
        <v>0</v>
      </c>
      <c r="K108" s="4">
        <v>0</v>
      </c>
      <c r="N108" s="4">
        <v>0</v>
      </c>
      <c r="O108" s="4">
        <v>0</v>
      </c>
      <c r="P108" s="4" t="str">
        <f t="shared" si="1"/>
        <v>BATCHREP.OUTPUT_TYPE</v>
      </c>
      <c r="Q108" s="4" t="str">
        <f>VLOOKUP(Cobra8.5[[#This Row],[Table.Column]],ColumnMapping[Old Table.Column],1,)</f>
        <v>BATCHREP.OUTPUT_TYPE</v>
      </c>
    </row>
    <row r="109" spans="1:17" hidden="1" x14ac:dyDescent="0.2">
      <c r="A109" s="4" t="s">
        <v>2028</v>
      </c>
      <c r="B109" s="4">
        <v>0</v>
      </c>
      <c r="C109" s="4" t="s">
        <v>2028</v>
      </c>
      <c r="D109" s="4" t="s">
        <v>1936</v>
      </c>
      <c r="E109" s="4" t="s">
        <v>86</v>
      </c>
      <c r="F109" s="4">
        <v>20</v>
      </c>
      <c r="G109" s="4">
        <v>0</v>
      </c>
      <c r="H109" s="4">
        <v>0</v>
      </c>
      <c r="K109" s="4">
        <v>0</v>
      </c>
      <c r="N109" s="4">
        <v>0</v>
      </c>
      <c r="O109" s="4">
        <v>0</v>
      </c>
      <c r="P109" s="4" t="str">
        <f t="shared" si="1"/>
        <v>BATCHREP.OWNER_ID</v>
      </c>
      <c r="Q109" s="4" t="str">
        <f>VLOOKUP(Cobra8.5[[#This Row],[Table.Column]],ColumnMapping[Old Table.Column],1,)</f>
        <v>BATCHREP.OWNER_ID</v>
      </c>
    </row>
    <row r="110" spans="1:17" hidden="1" x14ac:dyDescent="0.2">
      <c r="A110" s="4" t="s">
        <v>2028</v>
      </c>
      <c r="B110" s="4">
        <v>0</v>
      </c>
      <c r="C110" s="4" t="s">
        <v>2028</v>
      </c>
      <c r="D110" s="4" t="s">
        <v>744</v>
      </c>
      <c r="E110" s="4" t="s">
        <v>86</v>
      </c>
      <c r="F110" s="4">
        <v>22</v>
      </c>
      <c r="G110" s="4">
        <v>0</v>
      </c>
      <c r="H110" s="4">
        <v>0</v>
      </c>
      <c r="K110" s="4">
        <v>0</v>
      </c>
      <c r="N110" s="4">
        <v>0</v>
      </c>
      <c r="O110" s="4">
        <v>0</v>
      </c>
      <c r="P110" s="4" t="str">
        <f t="shared" si="1"/>
        <v>BATCHREP.PROGRAM</v>
      </c>
      <c r="Q110" s="4" t="str">
        <f>VLOOKUP(Cobra8.5[[#This Row],[Table.Column]],ColumnMapping[Old Table.Column],1,)</f>
        <v>BATCHREP.PROGRAM</v>
      </c>
    </row>
    <row r="111" spans="1:17" hidden="1" x14ac:dyDescent="0.2">
      <c r="A111" s="4" t="s">
        <v>2028</v>
      </c>
      <c r="B111" s="4">
        <v>0</v>
      </c>
      <c r="C111" s="4" t="s">
        <v>2028</v>
      </c>
      <c r="D111" s="4" t="s">
        <v>35</v>
      </c>
      <c r="E111" s="4" t="s">
        <v>2108</v>
      </c>
      <c r="F111" s="4">
        <v>-1</v>
      </c>
      <c r="G111" s="4">
        <v>0</v>
      </c>
      <c r="H111" s="4">
        <v>0</v>
      </c>
      <c r="K111" s="4">
        <v>0</v>
      </c>
      <c r="N111" s="4">
        <v>0</v>
      </c>
      <c r="O111" s="4">
        <v>0</v>
      </c>
      <c r="P111" s="4" t="str">
        <f t="shared" si="1"/>
        <v>BATCHREP.SEQUENCE</v>
      </c>
      <c r="Q111" s="4" t="str">
        <f>VLOOKUP(Cobra8.5[[#This Row],[Table.Column]],ColumnMapping[Old Table.Column],1,)</f>
        <v>BATCHREP.SEQUENCE</v>
      </c>
    </row>
    <row r="112" spans="1:17" hidden="1" x14ac:dyDescent="0.2">
      <c r="A112" s="4" t="s">
        <v>2028</v>
      </c>
      <c r="B112" s="4">
        <v>0</v>
      </c>
      <c r="C112" s="4" t="s">
        <v>2028</v>
      </c>
      <c r="D112" s="4" t="s">
        <v>2037</v>
      </c>
      <c r="E112" s="4" t="s">
        <v>2108</v>
      </c>
      <c r="F112" s="4">
        <v>-1</v>
      </c>
      <c r="G112" s="4">
        <v>0</v>
      </c>
      <c r="H112" s="4">
        <v>0</v>
      </c>
      <c r="K112" s="4">
        <v>0</v>
      </c>
      <c r="N112" s="4">
        <v>0</v>
      </c>
      <c r="O112" s="4">
        <v>0</v>
      </c>
      <c r="P112" s="4" t="str">
        <f t="shared" si="1"/>
        <v>BATCHREP.SUB_FOLDER</v>
      </c>
      <c r="Q112" s="4" t="str">
        <f>VLOOKUP(Cobra8.5[[#This Row],[Table.Column]],ColumnMapping[Old Table.Column],1,)</f>
        <v>BATCHREP.SUB_FOLDER</v>
      </c>
    </row>
    <row r="113" spans="1:17" hidden="1" x14ac:dyDescent="0.2">
      <c r="A113" s="4" t="s">
        <v>2028</v>
      </c>
      <c r="B113" s="4">
        <v>0</v>
      </c>
      <c r="C113" s="4" t="s">
        <v>2028</v>
      </c>
      <c r="D113" s="4" t="s">
        <v>2112</v>
      </c>
      <c r="E113" s="4" t="s">
        <v>86</v>
      </c>
      <c r="F113" s="4">
        <v>20</v>
      </c>
      <c r="G113" s="4">
        <v>0</v>
      </c>
      <c r="H113" s="4">
        <v>0</v>
      </c>
      <c r="K113" s="4">
        <v>0</v>
      </c>
      <c r="N113" s="4">
        <v>0</v>
      </c>
      <c r="O113" s="4">
        <v>0</v>
      </c>
      <c r="P113" s="4" t="str">
        <f t="shared" si="1"/>
        <v>BATCHREP.USR_ID</v>
      </c>
      <c r="Q113" s="4" t="str">
        <f>VLOOKUP(Cobra8.5[[#This Row],[Table.Column]],ColumnMapping[Old Table.Column],1,)</f>
        <v>BATCHREP.USR_ID</v>
      </c>
    </row>
    <row r="114" spans="1:17" hidden="1" x14ac:dyDescent="0.2">
      <c r="A114" s="4" t="s">
        <v>2142</v>
      </c>
      <c r="B114" s="4">
        <v>0</v>
      </c>
      <c r="C114" s="4" t="s">
        <v>2142</v>
      </c>
      <c r="D114" s="4" t="s">
        <v>2143</v>
      </c>
      <c r="E114" s="4" t="s">
        <v>2108</v>
      </c>
      <c r="F114" s="4">
        <v>-1</v>
      </c>
      <c r="G114" s="4">
        <v>0</v>
      </c>
      <c r="H114" s="4">
        <v>0</v>
      </c>
      <c r="K114" s="4">
        <v>0</v>
      </c>
      <c r="N114" s="4">
        <v>0</v>
      </c>
      <c r="O114" s="4">
        <v>0</v>
      </c>
      <c r="P114" s="4" t="str">
        <f t="shared" si="1"/>
        <v>BDNDETL.BDN_LEVEL</v>
      </c>
      <c r="Q114" s="4" t="str">
        <f>VLOOKUP(Cobra8.5[[#This Row],[Table.Column]],ColumnMapping[Old Table.Column],1,)</f>
        <v>BDNDETL.BDN_LEVEL</v>
      </c>
    </row>
    <row r="115" spans="1:17" hidden="1" x14ac:dyDescent="0.2">
      <c r="A115" s="4" t="s">
        <v>2142</v>
      </c>
      <c r="B115" s="4">
        <v>0</v>
      </c>
      <c r="C115" s="4" t="s">
        <v>2142</v>
      </c>
      <c r="D115" s="4" t="s">
        <v>87</v>
      </c>
      <c r="E115" s="4" t="s">
        <v>86</v>
      </c>
      <c r="F115" s="4">
        <v>22</v>
      </c>
      <c r="G115" s="4">
        <v>0</v>
      </c>
      <c r="H115" s="4">
        <v>0</v>
      </c>
      <c r="K115" s="4">
        <v>0</v>
      </c>
      <c r="N115" s="4">
        <v>0</v>
      </c>
      <c r="O115" s="4">
        <v>0</v>
      </c>
      <c r="P115" s="4" t="str">
        <f t="shared" si="1"/>
        <v>BDNDETL.BREAKFILE</v>
      </c>
      <c r="Q115" s="4" t="str">
        <f>VLOOKUP(Cobra8.5[[#This Row],[Table.Column]],ColumnMapping[Old Table.Column],1,)</f>
        <v>BDNDETL.BREAKFILE</v>
      </c>
    </row>
    <row r="116" spans="1:17" hidden="1" x14ac:dyDescent="0.2">
      <c r="A116" s="4" t="s">
        <v>2142</v>
      </c>
      <c r="B116" s="4">
        <v>0</v>
      </c>
      <c r="C116" s="4" t="s">
        <v>2142</v>
      </c>
      <c r="D116" s="4" t="s">
        <v>29</v>
      </c>
      <c r="E116" s="4" t="s">
        <v>86</v>
      </c>
      <c r="F116" s="4">
        <v>59</v>
      </c>
      <c r="G116" s="4">
        <v>0</v>
      </c>
      <c r="H116" s="4">
        <v>0</v>
      </c>
      <c r="K116" s="4">
        <v>0</v>
      </c>
      <c r="N116" s="4">
        <v>0</v>
      </c>
      <c r="O116" s="4">
        <v>0</v>
      </c>
      <c r="P116" s="4" t="str">
        <f t="shared" si="1"/>
        <v>BDNDETL.CODE</v>
      </c>
      <c r="Q116" s="4" t="str">
        <f>VLOOKUP(Cobra8.5[[#This Row],[Table.Column]],ColumnMapping[Old Table.Column],1,)</f>
        <v>BDNDETL.CODE</v>
      </c>
    </row>
    <row r="117" spans="1:17" hidden="1" x14ac:dyDescent="0.2">
      <c r="A117" s="4" t="s">
        <v>2142</v>
      </c>
      <c r="B117" s="4">
        <v>0</v>
      </c>
      <c r="C117" s="4" t="s">
        <v>2142</v>
      </c>
      <c r="D117" s="4" t="s">
        <v>2144</v>
      </c>
      <c r="E117" s="4" t="s">
        <v>86</v>
      </c>
      <c r="F117" s="4">
        <v>254</v>
      </c>
      <c r="G117" s="4">
        <v>0</v>
      </c>
      <c r="H117" s="4">
        <v>0</v>
      </c>
      <c r="K117" s="4">
        <v>0</v>
      </c>
      <c r="N117" s="4">
        <v>0</v>
      </c>
      <c r="O117" s="4">
        <v>0</v>
      </c>
      <c r="P117" s="4" t="str">
        <f t="shared" si="1"/>
        <v>BDNDETL.CODEDESC</v>
      </c>
      <c r="Q117" s="4" t="str">
        <f>VLOOKUP(Cobra8.5[[#This Row],[Table.Column]],ColumnMapping[Old Table.Column],1,)</f>
        <v>BDNDETL.CODEDESC</v>
      </c>
    </row>
    <row r="118" spans="1:17" hidden="1" x14ac:dyDescent="0.2">
      <c r="A118" s="4" t="s">
        <v>2142</v>
      </c>
      <c r="B118" s="4">
        <v>0</v>
      </c>
      <c r="C118" s="4" t="s">
        <v>2142</v>
      </c>
      <c r="D118" s="4" t="s">
        <v>76</v>
      </c>
      <c r="E118" s="4" t="s">
        <v>86</v>
      </c>
      <c r="F118" s="4">
        <v>59</v>
      </c>
      <c r="G118" s="4">
        <v>0</v>
      </c>
      <c r="H118" s="4">
        <v>0</v>
      </c>
      <c r="K118" s="4">
        <v>0</v>
      </c>
      <c r="N118" s="4">
        <v>0</v>
      </c>
      <c r="O118" s="4">
        <v>0</v>
      </c>
      <c r="P118" s="4" t="str">
        <f t="shared" si="1"/>
        <v>BDNDETL.D1</v>
      </c>
      <c r="Q118" s="4" t="str">
        <f>VLOOKUP(Cobra8.5[[#This Row],[Table.Column]],ColumnMapping[Old Table.Column],1,)</f>
        <v>BDNDETL.D1</v>
      </c>
    </row>
    <row r="119" spans="1:17" hidden="1" x14ac:dyDescent="0.2">
      <c r="A119" s="4" t="s">
        <v>2142</v>
      </c>
      <c r="B119" s="4">
        <v>0</v>
      </c>
      <c r="C119" s="4" t="s">
        <v>2142</v>
      </c>
      <c r="D119" s="4" t="s">
        <v>77</v>
      </c>
      <c r="E119" s="4" t="s">
        <v>86</v>
      </c>
      <c r="F119" s="4">
        <v>59</v>
      </c>
      <c r="G119" s="4">
        <v>0</v>
      </c>
      <c r="H119" s="4">
        <v>0</v>
      </c>
      <c r="K119" s="4">
        <v>0</v>
      </c>
      <c r="N119" s="4">
        <v>0</v>
      </c>
      <c r="O119" s="4">
        <v>0</v>
      </c>
      <c r="P119" s="4" t="str">
        <f t="shared" si="1"/>
        <v>BDNDETL.D2</v>
      </c>
      <c r="Q119" s="4" t="str">
        <f>VLOOKUP(Cobra8.5[[#This Row],[Table.Column]],ColumnMapping[Old Table.Column],1,)</f>
        <v>BDNDETL.D2</v>
      </c>
    </row>
    <row r="120" spans="1:17" hidden="1" x14ac:dyDescent="0.2">
      <c r="A120" s="4" t="s">
        <v>2142</v>
      </c>
      <c r="B120" s="4">
        <v>0</v>
      </c>
      <c r="C120" s="4" t="s">
        <v>2142</v>
      </c>
      <c r="D120" s="4" t="s">
        <v>78</v>
      </c>
      <c r="E120" s="4" t="s">
        <v>86</v>
      </c>
      <c r="F120" s="4">
        <v>59</v>
      </c>
      <c r="G120" s="4">
        <v>0</v>
      </c>
      <c r="H120" s="4">
        <v>0</v>
      </c>
      <c r="K120" s="4">
        <v>0</v>
      </c>
      <c r="N120" s="4">
        <v>0</v>
      </c>
      <c r="O120" s="4">
        <v>0</v>
      </c>
      <c r="P120" s="4" t="str">
        <f t="shared" si="1"/>
        <v>BDNDETL.D3</v>
      </c>
      <c r="Q120" s="4" t="str">
        <f>VLOOKUP(Cobra8.5[[#This Row],[Table.Column]],ColumnMapping[Old Table.Column],1,)</f>
        <v>BDNDETL.D3</v>
      </c>
    </row>
    <row r="121" spans="1:17" hidden="1" x14ac:dyDescent="0.2">
      <c r="A121" s="4" t="s">
        <v>2142</v>
      </c>
      <c r="B121" s="4">
        <v>0</v>
      </c>
      <c r="C121" s="4" t="s">
        <v>2142</v>
      </c>
      <c r="D121" s="4" t="s">
        <v>79</v>
      </c>
      <c r="E121" s="4" t="s">
        <v>86</v>
      </c>
      <c r="F121" s="4">
        <v>59</v>
      </c>
      <c r="G121" s="4">
        <v>0</v>
      </c>
      <c r="H121" s="4">
        <v>0</v>
      </c>
      <c r="K121" s="4">
        <v>0</v>
      </c>
      <c r="N121" s="4">
        <v>0</v>
      </c>
      <c r="O121" s="4">
        <v>0</v>
      </c>
      <c r="P121" s="4" t="str">
        <f t="shared" si="1"/>
        <v>BDNDETL.D4</v>
      </c>
      <c r="Q121" s="4" t="str">
        <f>VLOOKUP(Cobra8.5[[#This Row],[Table.Column]],ColumnMapping[Old Table.Column],1,)</f>
        <v>BDNDETL.D4</v>
      </c>
    </row>
    <row r="122" spans="1:17" hidden="1" x14ac:dyDescent="0.2">
      <c r="A122" s="4" t="s">
        <v>2142</v>
      </c>
      <c r="B122" s="4">
        <v>0</v>
      </c>
      <c r="C122" s="4" t="s">
        <v>2142</v>
      </c>
      <c r="D122" s="4" t="s">
        <v>80</v>
      </c>
      <c r="E122" s="4" t="s">
        <v>86</v>
      </c>
      <c r="F122" s="4">
        <v>59</v>
      </c>
      <c r="G122" s="4">
        <v>0</v>
      </c>
      <c r="H122" s="4">
        <v>0</v>
      </c>
      <c r="K122" s="4">
        <v>0</v>
      </c>
      <c r="N122" s="4">
        <v>0</v>
      </c>
      <c r="O122" s="4">
        <v>0</v>
      </c>
      <c r="P122" s="4" t="str">
        <f t="shared" si="1"/>
        <v>BDNDETL.D5</v>
      </c>
      <c r="Q122" s="4" t="str">
        <f>VLOOKUP(Cobra8.5[[#This Row],[Table.Column]],ColumnMapping[Old Table.Column],1,)</f>
        <v>BDNDETL.D5</v>
      </c>
    </row>
    <row r="123" spans="1:17" hidden="1" x14ac:dyDescent="0.2">
      <c r="A123" s="4" t="s">
        <v>2142</v>
      </c>
      <c r="B123" s="4">
        <v>0</v>
      </c>
      <c r="C123" s="4" t="s">
        <v>2142</v>
      </c>
      <c r="D123" s="4" t="s">
        <v>81</v>
      </c>
      <c r="E123" s="4" t="s">
        <v>86</v>
      </c>
      <c r="F123" s="4">
        <v>59</v>
      </c>
      <c r="G123" s="4">
        <v>0</v>
      </c>
      <c r="H123" s="4">
        <v>0</v>
      </c>
      <c r="K123" s="4">
        <v>0</v>
      </c>
      <c r="N123" s="4">
        <v>0</v>
      </c>
      <c r="O123" s="4">
        <v>0</v>
      </c>
      <c r="P123" s="4" t="str">
        <f t="shared" si="1"/>
        <v>BDNDETL.D6</v>
      </c>
      <c r="Q123" s="4" t="str">
        <f>VLOOKUP(Cobra8.5[[#This Row],[Table.Column]],ColumnMapping[Old Table.Column],1,)</f>
        <v>BDNDETL.D6</v>
      </c>
    </row>
    <row r="124" spans="1:17" hidden="1" x14ac:dyDescent="0.2">
      <c r="A124" s="4" t="s">
        <v>2142</v>
      </c>
      <c r="B124" s="4">
        <v>0</v>
      </c>
      <c r="C124" s="4" t="s">
        <v>2142</v>
      </c>
      <c r="D124" s="4" t="s">
        <v>82</v>
      </c>
      <c r="E124" s="4" t="s">
        <v>86</v>
      </c>
      <c r="F124" s="4">
        <v>59</v>
      </c>
      <c r="G124" s="4">
        <v>0</v>
      </c>
      <c r="H124" s="4">
        <v>0</v>
      </c>
      <c r="K124" s="4">
        <v>0</v>
      </c>
      <c r="N124" s="4">
        <v>0</v>
      </c>
      <c r="O124" s="4">
        <v>0</v>
      </c>
      <c r="P124" s="4" t="str">
        <f t="shared" si="1"/>
        <v>BDNDETL.D7</v>
      </c>
      <c r="Q124" s="4" t="str">
        <f>VLOOKUP(Cobra8.5[[#This Row],[Table.Column]],ColumnMapping[Old Table.Column],1,)</f>
        <v>BDNDETL.D7</v>
      </c>
    </row>
    <row r="125" spans="1:17" hidden="1" x14ac:dyDescent="0.2">
      <c r="A125" s="4" t="s">
        <v>2142</v>
      </c>
      <c r="B125" s="4">
        <v>0</v>
      </c>
      <c r="C125" s="4" t="s">
        <v>2142</v>
      </c>
      <c r="D125" s="4" t="s">
        <v>83</v>
      </c>
      <c r="E125" s="4" t="s">
        <v>86</v>
      </c>
      <c r="F125" s="4">
        <v>59</v>
      </c>
      <c r="G125" s="4">
        <v>0</v>
      </c>
      <c r="H125" s="4">
        <v>0</v>
      </c>
      <c r="K125" s="4">
        <v>0</v>
      </c>
      <c r="N125" s="4">
        <v>0</v>
      </c>
      <c r="O125" s="4">
        <v>0</v>
      </c>
      <c r="P125" s="4" t="str">
        <f t="shared" si="1"/>
        <v>BDNDETL.D8</v>
      </c>
      <c r="Q125" s="4" t="str">
        <f>VLOOKUP(Cobra8.5[[#This Row],[Table.Column]],ColumnMapping[Old Table.Column],1,)</f>
        <v>BDNDETL.D8</v>
      </c>
    </row>
    <row r="126" spans="1:17" hidden="1" x14ac:dyDescent="0.2">
      <c r="A126" s="4" t="s">
        <v>2142</v>
      </c>
      <c r="B126" s="4">
        <v>0</v>
      </c>
      <c r="C126" s="4" t="s">
        <v>2142</v>
      </c>
      <c r="D126" s="4" t="s">
        <v>84</v>
      </c>
      <c r="E126" s="4" t="s">
        <v>86</v>
      </c>
      <c r="F126" s="4">
        <v>59</v>
      </c>
      <c r="G126" s="4">
        <v>0</v>
      </c>
      <c r="H126" s="4">
        <v>0</v>
      </c>
      <c r="K126" s="4">
        <v>0</v>
      </c>
      <c r="N126" s="4">
        <v>0</v>
      </c>
      <c r="O126" s="4">
        <v>0</v>
      </c>
      <c r="P126" s="4" t="str">
        <f t="shared" si="1"/>
        <v>BDNDETL.D9</v>
      </c>
      <c r="Q126" s="4" t="str">
        <f>VLOOKUP(Cobra8.5[[#This Row],[Table.Column]],ColumnMapping[Old Table.Column],1,)</f>
        <v>BDNDETL.D9</v>
      </c>
    </row>
    <row r="127" spans="1:17" hidden="1" x14ac:dyDescent="0.2">
      <c r="A127" s="4" t="s">
        <v>2142</v>
      </c>
      <c r="B127" s="4">
        <v>0</v>
      </c>
      <c r="C127" s="4" t="s">
        <v>2142</v>
      </c>
      <c r="D127" s="4" t="s">
        <v>2111</v>
      </c>
      <c r="E127" s="4" t="s">
        <v>356</v>
      </c>
      <c r="F127" s="4">
        <v>-1</v>
      </c>
      <c r="G127" s="4">
        <v>0</v>
      </c>
      <c r="H127" s="4">
        <v>0</v>
      </c>
      <c r="K127" s="4">
        <v>0</v>
      </c>
      <c r="N127" s="4">
        <v>0</v>
      </c>
      <c r="O127" s="4">
        <v>0</v>
      </c>
      <c r="P127" s="4" t="str">
        <f t="shared" si="1"/>
        <v>BDNDETL.LASTUPDATE</v>
      </c>
      <c r="Q127" s="4" t="str">
        <f>VLOOKUP(Cobra8.5[[#This Row],[Table.Column]],ColumnMapping[Old Table.Column],1,)</f>
        <v>BDNDETL.LASTUPDATE</v>
      </c>
    </row>
    <row r="128" spans="1:17" hidden="1" x14ac:dyDescent="0.2">
      <c r="A128" s="4" t="s">
        <v>2142</v>
      </c>
      <c r="B128" s="4">
        <v>0</v>
      </c>
      <c r="C128" s="4" t="s">
        <v>2142</v>
      </c>
      <c r="D128" s="4" t="s">
        <v>2145</v>
      </c>
      <c r="E128" s="4" t="s">
        <v>2108</v>
      </c>
      <c r="F128" s="4">
        <v>-1</v>
      </c>
      <c r="G128" s="4">
        <v>0</v>
      </c>
      <c r="H128" s="4">
        <v>0</v>
      </c>
      <c r="K128" s="4">
        <v>0</v>
      </c>
      <c r="N128" s="4">
        <v>0</v>
      </c>
      <c r="O128" s="4">
        <v>0</v>
      </c>
      <c r="P128" s="4" t="str">
        <f t="shared" si="1"/>
        <v>BDNDETL.NUMCHILD</v>
      </c>
      <c r="Q128" s="4" t="e">
        <f>VLOOKUP(Cobra8.5[[#This Row],[Table.Column]],ColumnMapping[Old Table.Column],1,)</f>
        <v>#N/A</v>
      </c>
    </row>
    <row r="129" spans="1:17" hidden="1" x14ac:dyDescent="0.2">
      <c r="A129" s="4" t="s">
        <v>2142</v>
      </c>
      <c r="B129" s="4">
        <v>0</v>
      </c>
      <c r="C129" s="4" t="s">
        <v>2142</v>
      </c>
      <c r="D129" s="4" t="s">
        <v>2146</v>
      </c>
      <c r="E129" s="4" t="s">
        <v>86</v>
      </c>
      <c r="F129" s="4">
        <v>59</v>
      </c>
      <c r="G129" s="4">
        <v>0</v>
      </c>
      <c r="H129" s="4">
        <v>0</v>
      </c>
      <c r="K129" s="4">
        <v>0</v>
      </c>
      <c r="N129" s="4">
        <v>0</v>
      </c>
      <c r="O129" s="4">
        <v>0</v>
      </c>
      <c r="P129" s="4" t="str">
        <f t="shared" si="1"/>
        <v>BDNDETL.PARENT</v>
      </c>
      <c r="Q129" s="4" t="str">
        <f>VLOOKUP(Cobra8.5[[#This Row],[Table.Column]],ColumnMapping[Old Table.Column],1,)</f>
        <v>BDNDETL.PARENT</v>
      </c>
    </row>
    <row r="130" spans="1:17" hidden="1" x14ac:dyDescent="0.2">
      <c r="A130" s="4" t="s">
        <v>2142</v>
      </c>
      <c r="B130" s="4">
        <v>0</v>
      </c>
      <c r="C130" s="4" t="s">
        <v>2142</v>
      </c>
      <c r="D130" s="4" t="s">
        <v>35</v>
      </c>
      <c r="E130" s="4" t="s">
        <v>2108</v>
      </c>
      <c r="F130" s="4">
        <v>-1</v>
      </c>
      <c r="G130" s="4">
        <v>0</v>
      </c>
      <c r="H130" s="4">
        <v>0</v>
      </c>
      <c r="K130" s="4">
        <v>0</v>
      </c>
      <c r="N130" s="4">
        <v>0</v>
      </c>
      <c r="O130" s="4">
        <v>0</v>
      </c>
      <c r="P130" s="4" t="str">
        <f t="shared" ref="P130:P193" si="2">_xlfn.CONCAT(A130,".",D130)</f>
        <v>BDNDETL.SEQUENCE</v>
      </c>
      <c r="Q130" s="4" t="str">
        <f>VLOOKUP(Cobra8.5[[#This Row],[Table.Column]],ColumnMapping[Old Table.Column],1,)</f>
        <v>BDNDETL.SEQUENCE</v>
      </c>
    </row>
    <row r="131" spans="1:17" hidden="1" x14ac:dyDescent="0.2">
      <c r="A131" s="4" t="s">
        <v>2142</v>
      </c>
      <c r="B131" s="4">
        <v>0</v>
      </c>
      <c r="C131" s="4" t="s">
        <v>2142</v>
      </c>
      <c r="D131" s="4" t="s">
        <v>85</v>
      </c>
      <c r="E131" s="4" t="s">
        <v>86</v>
      </c>
      <c r="F131" s="4">
        <v>60</v>
      </c>
      <c r="G131" s="4">
        <v>0</v>
      </c>
      <c r="H131" s="4">
        <v>0</v>
      </c>
      <c r="K131" s="4">
        <v>0</v>
      </c>
      <c r="N131" s="4">
        <v>0</v>
      </c>
      <c r="O131" s="4">
        <v>0</v>
      </c>
      <c r="P131" s="4" t="str">
        <f t="shared" si="2"/>
        <v>BDNDETL.TAG</v>
      </c>
      <c r="Q131" s="4" t="str">
        <f>VLOOKUP(Cobra8.5[[#This Row],[Table.Column]],ColumnMapping[Old Table.Column],1,)</f>
        <v>BDNDETL.TAG</v>
      </c>
    </row>
    <row r="132" spans="1:17" hidden="1" x14ac:dyDescent="0.2">
      <c r="A132" s="4" t="s">
        <v>2142</v>
      </c>
      <c r="B132" s="4">
        <v>0</v>
      </c>
      <c r="C132" s="4" t="s">
        <v>2142</v>
      </c>
      <c r="D132" s="4" t="s">
        <v>2147</v>
      </c>
      <c r="E132" s="4" t="s">
        <v>86</v>
      </c>
      <c r="F132" s="4">
        <v>10</v>
      </c>
      <c r="G132" s="4">
        <v>0</v>
      </c>
      <c r="H132" s="4">
        <v>0</v>
      </c>
      <c r="K132" s="4">
        <v>0</v>
      </c>
      <c r="N132" s="4">
        <v>0</v>
      </c>
      <c r="O132" s="4">
        <v>0</v>
      </c>
      <c r="P132" s="4" t="str">
        <f t="shared" si="2"/>
        <v>BDNDETL.TH_CAF_TL</v>
      </c>
      <c r="Q132" s="4" t="str">
        <f>VLOOKUP(Cobra8.5[[#This Row],[Table.Column]],ColumnMapping[Old Table.Column],1,)</f>
        <v>BDNDETL.TH_CAF_TL</v>
      </c>
    </row>
    <row r="133" spans="1:17" hidden="1" x14ac:dyDescent="0.2">
      <c r="A133" s="4" t="s">
        <v>2142</v>
      </c>
      <c r="B133" s="4">
        <v>0</v>
      </c>
      <c r="C133" s="4" t="s">
        <v>2142</v>
      </c>
      <c r="D133" s="4" t="s">
        <v>1552</v>
      </c>
      <c r="E133" s="4" t="s">
        <v>2124</v>
      </c>
      <c r="F133" s="4">
        <v>21</v>
      </c>
      <c r="G133" s="4">
        <v>6</v>
      </c>
      <c r="H133" s="4">
        <v>0</v>
      </c>
      <c r="K133" s="4">
        <v>0</v>
      </c>
      <c r="N133" s="4">
        <v>0</v>
      </c>
      <c r="O133" s="4">
        <v>0</v>
      </c>
      <c r="P133" s="4" t="str">
        <f t="shared" si="2"/>
        <v>BDNDETL.TH_CAPF</v>
      </c>
      <c r="Q133" s="4" t="str">
        <f>VLOOKUP(Cobra8.5[[#This Row],[Table.Column]],ColumnMapping[Old Table.Column],1,)</f>
        <v>BDNDETL.TH_CAPF</v>
      </c>
    </row>
    <row r="134" spans="1:17" hidden="1" x14ac:dyDescent="0.2">
      <c r="A134" s="4" t="s">
        <v>2142</v>
      </c>
      <c r="B134" s="4">
        <v>0</v>
      </c>
      <c r="C134" s="4" t="s">
        <v>2142</v>
      </c>
      <c r="D134" s="4" t="s">
        <v>1554</v>
      </c>
      <c r="E134" s="4" t="s">
        <v>2124</v>
      </c>
      <c r="F134" s="4">
        <v>21</v>
      </c>
      <c r="G134" s="4">
        <v>6</v>
      </c>
      <c r="H134" s="4">
        <v>0</v>
      </c>
      <c r="K134" s="4">
        <v>0</v>
      </c>
      <c r="N134" s="4">
        <v>0</v>
      </c>
      <c r="O134" s="4">
        <v>0</v>
      </c>
      <c r="P134" s="4" t="str">
        <f t="shared" si="2"/>
        <v>BDNDETL.TH_CAPU</v>
      </c>
      <c r="Q134" s="4" t="str">
        <f>VLOOKUP(Cobra8.5[[#This Row],[Table.Column]],ColumnMapping[Old Table.Column],1,)</f>
        <v>BDNDETL.TH_CAPU</v>
      </c>
    </row>
    <row r="135" spans="1:17" hidden="1" x14ac:dyDescent="0.2">
      <c r="A135" s="4" t="s">
        <v>2142</v>
      </c>
      <c r="B135" s="4">
        <v>0</v>
      </c>
      <c r="C135" s="4" t="s">
        <v>2142</v>
      </c>
      <c r="D135" s="4" t="s">
        <v>2148</v>
      </c>
      <c r="E135" s="4" t="s">
        <v>86</v>
      </c>
      <c r="F135" s="4">
        <v>10</v>
      </c>
      <c r="G135" s="4">
        <v>0</v>
      </c>
      <c r="H135" s="4">
        <v>0</v>
      </c>
      <c r="K135" s="4">
        <v>0</v>
      </c>
      <c r="N135" s="4">
        <v>0</v>
      </c>
      <c r="O135" s="4">
        <v>0</v>
      </c>
      <c r="P135" s="4" t="str">
        <f t="shared" si="2"/>
        <v>BDNDETL.TH_CAU_TL</v>
      </c>
      <c r="Q135" s="4" t="str">
        <f>VLOOKUP(Cobra8.5[[#This Row],[Table.Column]],ColumnMapping[Old Table.Column],1,)</f>
        <v>BDNDETL.TH_CAU_TL</v>
      </c>
    </row>
    <row r="136" spans="1:17" hidden="1" x14ac:dyDescent="0.2">
      <c r="A136" s="4" t="s">
        <v>2142</v>
      </c>
      <c r="B136" s="4">
        <v>0</v>
      </c>
      <c r="C136" s="4" t="s">
        <v>2142</v>
      </c>
      <c r="D136" s="4" t="s">
        <v>1556</v>
      </c>
      <c r="E136" s="4" t="s">
        <v>2124</v>
      </c>
      <c r="F136" s="4">
        <v>21</v>
      </c>
      <c r="G136" s="4">
        <v>6</v>
      </c>
      <c r="H136" s="4">
        <v>0</v>
      </c>
      <c r="K136" s="4">
        <v>0</v>
      </c>
      <c r="N136" s="4">
        <v>0</v>
      </c>
      <c r="O136" s="4">
        <v>0</v>
      </c>
      <c r="P136" s="4" t="str">
        <f t="shared" si="2"/>
        <v>BDNDETL.TH_CAVF</v>
      </c>
      <c r="Q136" s="4" t="str">
        <f>VLOOKUP(Cobra8.5[[#This Row],[Table.Column]],ColumnMapping[Old Table.Column],1,)</f>
        <v>BDNDETL.TH_CAVF</v>
      </c>
    </row>
    <row r="137" spans="1:17" hidden="1" x14ac:dyDescent="0.2">
      <c r="A137" s="4" t="s">
        <v>2142</v>
      </c>
      <c r="B137" s="4">
        <v>0</v>
      </c>
      <c r="C137" s="4" t="s">
        <v>2142</v>
      </c>
      <c r="D137" s="4" t="s">
        <v>1558</v>
      </c>
      <c r="E137" s="4" t="s">
        <v>2124</v>
      </c>
      <c r="F137" s="4">
        <v>21</v>
      </c>
      <c r="G137" s="4">
        <v>6</v>
      </c>
      <c r="H137" s="4">
        <v>0</v>
      </c>
      <c r="K137" s="4">
        <v>0</v>
      </c>
      <c r="N137" s="4">
        <v>0</v>
      </c>
      <c r="O137" s="4">
        <v>0</v>
      </c>
      <c r="P137" s="4" t="str">
        <f t="shared" si="2"/>
        <v>BDNDETL.TH_CAVU</v>
      </c>
      <c r="Q137" s="4" t="str">
        <f>VLOOKUP(Cobra8.5[[#This Row],[Table.Column]],ColumnMapping[Old Table.Column],1,)</f>
        <v>BDNDETL.TH_CAVU</v>
      </c>
    </row>
    <row r="138" spans="1:17" hidden="1" x14ac:dyDescent="0.2">
      <c r="A138" s="4" t="s">
        <v>2142</v>
      </c>
      <c r="B138" s="4">
        <v>0</v>
      </c>
      <c r="C138" s="4" t="s">
        <v>2142</v>
      </c>
      <c r="D138" s="4" t="s">
        <v>2149</v>
      </c>
      <c r="E138" s="4" t="s">
        <v>86</v>
      </c>
      <c r="F138" s="4">
        <v>10</v>
      </c>
      <c r="G138" s="4">
        <v>0</v>
      </c>
      <c r="H138" s="4">
        <v>0</v>
      </c>
      <c r="K138" s="4">
        <v>0</v>
      </c>
      <c r="N138" s="4">
        <v>0</v>
      </c>
      <c r="O138" s="4">
        <v>0</v>
      </c>
      <c r="P138" s="4" t="str">
        <f t="shared" si="2"/>
        <v>BDNDETL.TH_CCF_TL</v>
      </c>
      <c r="Q138" s="4" t="str">
        <f>VLOOKUP(Cobra8.5[[#This Row],[Table.Column]],ColumnMapping[Old Table.Column],1,)</f>
        <v>BDNDETL.TH_CCF_TL</v>
      </c>
    </row>
    <row r="139" spans="1:17" hidden="1" x14ac:dyDescent="0.2">
      <c r="A139" s="4" t="s">
        <v>2142</v>
      </c>
      <c r="B139" s="4">
        <v>0</v>
      </c>
      <c r="C139" s="4" t="s">
        <v>2142</v>
      </c>
      <c r="D139" s="4" t="s">
        <v>1560</v>
      </c>
      <c r="E139" s="4" t="s">
        <v>2124</v>
      </c>
      <c r="F139" s="4">
        <v>21</v>
      </c>
      <c r="G139" s="4">
        <v>6</v>
      </c>
      <c r="H139" s="4">
        <v>0</v>
      </c>
      <c r="K139" s="4">
        <v>0</v>
      </c>
      <c r="N139" s="4">
        <v>0</v>
      </c>
      <c r="O139" s="4">
        <v>0</v>
      </c>
      <c r="P139" s="4" t="str">
        <f t="shared" si="2"/>
        <v>BDNDETL.TH_CCPF</v>
      </c>
      <c r="Q139" s="4" t="str">
        <f>VLOOKUP(Cobra8.5[[#This Row],[Table.Column]],ColumnMapping[Old Table.Column],1,)</f>
        <v>BDNDETL.TH_CCPF</v>
      </c>
    </row>
    <row r="140" spans="1:17" hidden="1" x14ac:dyDescent="0.2">
      <c r="A140" s="4" t="s">
        <v>2142</v>
      </c>
      <c r="B140" s="4">
        <v>0</v>
      </c>
      <c r="C140" s="4" t="s">
        <v>2142</v>
      </c>
      <c r="D140" s="4" t="s">
        <v>1562</v>
      </c>
      <c r="E140" s="4" t="s">
        <v>2124</v>
      </c>
      <c r="F140" s="4">
        <v>21</v>
      </c>
      <c r="G140" s="4">
        <v>6</v>
      </c>
      <c r="H140" s="4">
        <v>0</v>
      </c>
      <c r="K140" s="4">
        <v>0</v>
      </c>
      <c r="N140" s="4">
        <v>0</v>
      </c>
      <c r="O140" s="4">
        <v>0</v>
      </c>
      <c r="P140" s="4" t="str">
        <f t="shared" si="2"/>
        <v>BDNDETL.TH_CCPU</v>
      </c>
      <c r="Q140" s="4" t="str">
        <f>VLOOKUP(Cobra8.5[[#This Row],[Table.Column]],ColumnMapping[Old Table.Column],1,)</f>
        <v>BDNDETL.TH_CCPU</v>
      </c>
    </row>
    <row r="141" spans="1:17" hidden="1" x14ac:dyDescent="0.2">
      <c r="A141" s="4" t="s">
        <v>2142</v>
      </c>
      <c r="B141" s="4">
        <v>0</v>
      </c>
      <c r="C141" s="4" t="s">
        <v>2142</v>
      </c>
      <c r="D141" s="4" t="s">
        <v>2150</v>
      </c>
      <c r="E141" s="4" t="s">
        <v>86</v>
      </c>
      <c r="F141" s="4">
        <v>10</v>
      </c>
      <c r="G141" s="4">
        <v>0</v>
      </c>
      <c r="H141" s="4">
        <v>0</v>
      </c>
      <c r="K141" s="4">
        <v>0</v>
      </c>
      <c r="N141" s="4">
        <v>0</v>
      </c>
      <c r="O141" s="4">
        <v>0</v>
      </c>
      <c r="P141" s="4" t="str">
        <f t="shared" si="2"/>
        <v>BDNDETL.TH_CCU_TL</v>
      </c>
      <c r="Q141" s="4" t="str">
        <f>VLOOKUP(Cobra8.5[[#This Row],[Table.Column]],ColumnMapping[Old Table.Column],1,)</f>
        <v>BDNDETL.TH_CCU_TL</v>
      </c>
    </row>
    <row r="142" spans="1:17" hidden="1" x14ac:dyDescent="0.2">
      <c r="A142" s="4" t="s">
        <v>2142</v>
      </c>
      <c r="B142" s="4">
        <v>0</v>
      </c>
      <c r="C142" s="4" t="s">
        <v>2142</v>
      </c>
      <c r="D142" s="4" t="s">
        <v>1564</v>
      </c>
      <c r="E142" s="4" t="s">
        <v>2124</v>
      </c>
      <c r="F142" s="4">
        <v>21</v>
      </c>
      <c r="G142" s="4">
        <v>6</v>
      </c>
      <c r="H142" s="4">
        <v>0</v>
      </c>
      <c r="K142" s="4">
        <v>0</v>
      </c>
      <c r="N142" s="4">
        <v>0</v>
      </c>
      <c r="O142" s="4">
        <v>0</v>
      </c>
      <c r="P142" s="4" t="str">
        <f t="shared" si="2"/>
        <v>BDNDETL.TH_CCVF</v>
      </c>
      <c r="Q142" s="4" t="str">
        <f>VLOOKUP(Cobra8.5[[#This Row],[Table.Column]],ColumnMapping[Old Table.Column],1,)</f>
        <v>BDNDETL.TH_CCVF</v>
      </c>
    </row>
    <row r="143" spans="1:17" hidden="1" x14ac:dyDescent="0.2">
      <c r="A143" s="4" t="s">
        <v>2142</v>
      </c>
      <c r="B143" s="4">
        <v>0</v>
      </c>
      <c r="C143" s="4" t="s">
        <v>2142</v>
      </c>
      <c r="D143" s="4" t="s">
        <v>1566</v>
      </c>
      <c r="E143" s="4" t="s">
        <v>2124</v>
      </c>
      <c r="F143" s="4">
        <v>21</v>
      </c>
      <c r="G143" s="4">
        <v>6</v>
      </c>
      <c r="H143" s="4">
        <v>0</v>
      </c>
      <c r="K143" s="4">
        <v>0</v>
      </c>
      <c r="N143" s="4">
        <v>0</v>
      </c>
      <c r="O143" s="4">
        <v>0</v>
      </c>
      <c r="P143" s="4" t="str">
        <f t="shared" si="2"/>
        <v>BDNDETL.TH_CCVU</v>
      </c>
      <c r="Q143" s="4" t="str">
        <f>VLOOKUP(Cobra8.5[[#This Row],[Table.Column]],ColumnMapping[Old Table.Column],1,)</f>
        <v>BDNDETL.TH_CCVU</v>
      </c>
    </row>
    <row r="144" spans="1:17" hidden="1" x14ac:dyDescent="0.2">
      <c r="A144" s="4" t="s">
        <v>2142</v>
      </c>
      <c r="B144" s="4">
        <v>0</v>
      </c>
      <c r="C144" s="4" t="s">
        <v>2142</v>
      </c>
      <c r="D144" s="4" t="s">
        <v>2151</v>
      </c>
      <c r="E144" s="4" t="s">
        <v>86</v>
      </c>
      <c r="F144" s="4">
        <v>10</v>
      </c>
      <c r="G144" s="4">
        <v>0</v>
      </c>
      <c r="H144" s="4">
        <v>0</v>
      </c>
      <c r="K144" s="4">
        <v>0</v>
      </c>
      <c r="N144" s="4">
        <v>0</v>
      </c>
      <c r="O144" s="4">
        <v>0</v>
      </c>
      <c r="P144" s="4" t="str">
        <f t="shared" si="2"/>
        <v>BDNDETL.TH_CPF_TL</v>
      </c>
      <c r="Q144" s="4" t="str">
        <f>VLOOKUP(Cobra8.5[[#This Row],[Table.Column]],ColumnMapping[Old Table.Column],1,)</f>
        <v>BDNDETL.TH_CPF_TL</v>
      </c>
    </row>
    <row r="145" spans="1:17" hidden="1" x14ac:dyDescent="0.2">
      <c r="A145" s="4" t="s">
        <v>2142</v>
      </c>
      <c r="B145" s="4">
        <v>0</v>
      </c>
      <c r="C145" s="4" t="s">
        <v>2142</v>
      </c>
      <c r="D145" s="4" t="s">
        <v>1568</v>
      </c>
      <c r="E145" s="4" t="s">
        <v>2124</v>
      </c>
      <c r="F145" s="4">
        <v>21</v>
      </c>
      <c r="G145" s="4">
        <v>6</v>
      </c>
      <c r="H145" s="4">
        <v>0</v>
      </c>
      <c r="K145" s="4">
        <v>0</v>
      </c>
      <c r="N145" s="4">
        <v>0</v>
      </c>
      <c r="O145" s="4">
        <v>0</v>
      </c>
      <c r="P145" s="4" t="str">
        <f t="shared" si="2"/>
        <v>BDNDETL.TH_CPPF</v>
      </c>
      <c r="Q145" s="4" t="str">
        <f>VLOOKUP(Cobra8.5[[#This Row],[Table.Column]],ColumnMapping[Old Table.Column],1,)</f>
        <v>BDNDETL.TH_CPPF</v>
      </c>
    </row>
    <row r="146" spans="1:17" hidden="1" x14ac:dyDescent="0.2">
      <c r="A146" s="4" t="s">
        <v>2142</v>
      </c>
      <c r="B146" s="4">
        <v>0</v>
      </c>
      <c r="C146" s="4" t="s">
        <v>2142</v>
      </c>
      <c r="D146" s="4" t="s">
        <v>1570</v>
      </c>
      <c r="E146" s="4" t="s">
        <v>2124</v>
      </c>
      <c r="F146" s="4">
        <v>21</v>
      </c>
      <c r="G146" s="4">
        <v>6</v>
      </c>
      <c r="H146" s="4">
        <v>0</v>
      </c>
      <c r="K146" s="4">
        <v>0</v>
      </c>
      <c r="N146" s="4">
        <v>0</v>
      </c>
      <c r="O146" s="4">
        <v>0</v>
      </c>
      <c r="P146" s="4" t="str">
        <f t="shared" si="2"/>
        <v>BDNDETL.TH_CPPU</v>
      </c>
      <c r="Q146" s="4" t="str">
        <f>VLOOKUP(Cobra8.5[[#This Row],[Table.Column]],ColumnMapping[Old Table.Column],1,)</f>
        <v>BDNDETL.TH_CPPU</v>
      </c>
    </row>
    <row r="147" spans="1:17" hidden="1" x14ac:dyDescent="0.2">
      <c r="A147" s="4" t="s">
        <v>2142</v>
      </c>
      <c r="B147" s="4">
        <v>0</v>
      </c>
      <c r="C147" s="4" t="s">
        <v>2142</v>
      </c>
      <c r="D147" s="4" t="s">
        <v>2152</v>
      </c>
      <c r="E147" s="4" t="s">
        <v>86</v>
      </c>
      <c r="F147" s="4">
        <v>10</v>
      </c>
      <c r="G147" s="4">
        <v>0</v>
      </c>
      <c r="H147" s="4">
        <v>0</v>
      </c>
      <c r="K147" s="4">
        <v>0</v>
      </c>
      <c r="N147" s="4">
        <v>0</v>
      </c>
      <c r="O147" s="4">
        <v>0</v>
      </c>
      <c r="P147" s="4" t="str">
        <f t="shared" si="2"/>
        <v>BDNDETL.TH_CPU_TL</v>
      </c>
      <c r="Q147" s="4" t="str">
        <f>VLOOKUP(Cobra8.5[[#This Row],[Table.Column]],ColumnMapping[Old Table.Column],1,)</f>
        <v>BDNDETL.TH_CPU_TL</v>
      </c>
    </row>
    <row r="148" spans="1:17" hidden="1" x14ac:dyDescent="0.2">
      <c r="A148" s="4" t="s">
        <v>2142</v>
      </c>
      <c r="B148" s="4">
        <v>0</v>
      </c>
      <c r="C148" s="4" t="s">
        <v>2142</v>
      </c>
      <c r="D148" s="4" t="s">
        <v>1572</v>
      </c>
      <c r="E148" s="4" t="s">
        <v>2124</v>
      </c>
      <c r="F148" s="4">
        <v>21</v>
      </c>
      <c r="G148" s="4">
        <v>6</v>
      </c>
      <c r="H148" s="4">
        <v>0</v>
      </c>
      <c r="K148" s="4">
        <v>0</v>
      </c>
      <c r="N148" s="4">
        <v>0</v>
      </c>
      <c r="O148" s="4">
        <v>0</v>
      </c>
      <c r="P148" s="4" t="str">
        <f t="shared" si="2"/>
        <v>BDNDETL.TH_CPVF</v>
      </c>
      <c r="Q148" s="4" t="str">
        <f>VLOOKUP(Cobra8.5[[#This Row],[Table.Column]],ColumnMapping[Old Table.Column],1,)</f>
        <v>BDNDETL.TH_CPVF</v>
      </c>
    </row>
    <row r="149" spans="1:17" hidden="1" x14ac:dyDescent="0.2">
      <c r="A149" s="4" t="s">
        <v>2142</v>
      </c>
      <c r="B149" s="4">
        <v>0</v>
      </c>
      <c r="C149" s="4" t="s">
        <v>2142</v>
      </c>
      <c r="D149" s="4" t="s">
        <v>1574</v>
      </c>
      <c r="E149" s="4" t="s">
        <v>2124</v>
      </c>
      <c r="F149" s="4">
        <v>21</v>
      </c>
      <c r="G149" s="4">
        <v>6</v>
      </c>
      <c r="H149" s="4">
        <v>0</v>
      </c>
      <c r="K149" s="4">
        <v>0</v>
      </c>
      <c r="N149" s="4">
        <v>0</v>
      </c>
      <c r="O149" s="4">
        <v>0</v>
      </c>
      <c r="P149" s="4" t="str">
        <f t="shared" si="2"/>
        <v>BDNDETL.TH_CPVU</v>
      </c>
      <c r="Q149" s="4" t="str">
        <f>VLOOKUP(Cobra8.5[[#This Row],[Table.Column]],ColumnMapping[Old Table.Column],1,)</f>
        <v>BDNDETL.TH_CPVU</v>
      </c>
    </row>
    <row r="150" spans="1:17" hidden="1" x14ac:dyDescent="0.2">
      <c r="A150" s="4" t="s">
        <v>2142</v>
      </c>
      <c r="B150" s="4">
        <v>0</v>
      </c>
      <c r="C150" s="4" t="s">
        <v>2142</v>
      </c>
      <c r="D150" s="4" t="s">
        <v>2153</v>
      </c>
      <c r="E150" s="4" t="s">
        <v>86</v>
      </c>
      <c r="F150" s="4">
        <v>10</v>
      </c>
      <c r="G150" s="4">
        <v>0</v>
      </c>
      <c r="H150" s="4">
        <v>0</v>
      </c>
      <c r="K150" s="4">
        <v>0</v>
      </c>
      <c r="N150" s="4">
        <v>0</v>
      </c>
      <c r="O150" s="4">
        <v>0</v>
      </c>
      <c r="P150" s="4" t="str">
        <f t="shared" si="2"/>
        <v>BDNDETL.TH_SCF_TL</v>
      </c>
      <c r="Q150" s="4" t="str">
        <f>VLOOKUP(Cobra8.5[[#This Row],[Table.Column]],ColumnMapping[Old Table.Column],1,)</f>
        <v>BDNDETL.TH_SCF_TL</v>
      </c>
    </row>
    <row r="151" spans="1:17" hidden="1" x14ac:dyDescent="0.2">
      <c r="A151" s="4" t="s">
        <v>2142</v>
      </c>
      <c r="B151" s="4">
        <v>0</v>
      </c>
      <c r="C151" s="4" t="s">
        <v>2142</v>
      </c>
      <c r="D151" s="4" t="s">
        <v>1576</v>
      </c>
      <c r="E151" s="4" t="s">
        <v>2124</v>
      </c>
      <c r="F151" s="4">
        <v>21</v>
      </c>
      <c r="G151" s="4">
        <v>6</v>
      </c>
      <c r="H151" s="4">
        <v>0</v>
      </c>
      <c r="K151" s="4">
        <v>0</v>
      </c>
      <c r="N151" s="4">
        <v>0</v>
      </c>
      <c r="O151" s="4">
        <v>0</v>
      </c>
      <c r="P151" s="4" t="str">
        <f t="shared" si="2"/>
        <v>BDNDETL.TH_SCPF</v>
      </c>
      <c r="Q151" s="4" t="str">
        <f>VLOOKUP(Cobra8.5[[#This Row],[Table.Column]],ColumnMapping[Old Table.Column],1,)</f>
        <v>BDNDETL.TH_SCPF</v>
      </c>
    </row>
    <row r="152" spans="1:17" hidden="1" x14ac:dyDescent="0.2">
      <c r="A152" s="4" t="s">
        <v>2142</v>
      </c>
      <c r="B152" s="4">
        <v>0</v>
      </c>
      <c r="C152" s="4" t="s">
        <v>2142</v>
      </c>
      <c r="D152" s="4" t="s">
        <v>1578</v>
      </c>
      <c r="E152" s="4" t="s">
        <v>2124</v>
      </c>
      <c r="F152" s="4">
        <v>21</v>
      </c>
      <c r="G152" s="4">
        <v>6</v>
      </c>
      <c r="H152" s="4">
        <v>0</v>
      </c>
      <c r="K152" s="4">
        <v>0</v>
      </c>
      <c r="N152" s="4">
        <v>0</v>
      </c>
      <c r="O152" s="4">
        <v>0</v>
      </c>
      <c r="P152" s="4" t="str">
        <f t="shared" si="2"/>
        <v>BDNDETL.TH_SCPU</v>
      </c>
      <c r="Q152" s="4" t="str">
        <f>VLOOKUP(Cobra8.5[[#This Row],[Table.Column]],ColumnMapping[Old Table.Column],1,)</f>
        <v>BDNDETL.TH_SCPU</v>
      </c>
    </row>
    <row r="153" spans="1:17" hidden="1" x14ac:dyDescent="0.2">
      <c r="A153" s="4" t="s">
        <v>2142</v>
      </c>
      <c r="B153" s="4">
        <v>0</v>
      </c>
      <c r="C153" s="4" t="s">
        <v>2142</v>
      </c>
      <c r="D153" s="4" t="s">
        <v>2154</v>
      </c>
      <c r="E153" s="4" t="s">
        <v>86</v>
      </c>
      <c r="F153" s="4">
        <v>10</v>
      </c>
      <c r="G153" s="4">
        <v>0</v>
      </c>
      <c r="H153" s="4">
        <v>0</v>
      </c>
      <c r="K153" s="4">
        <v>0</v>
      </c>
      <c r="N153" s="4">
        <v>0</v>
      </c>
      <c r="O153" s="4">
        <v>0</v>
      </c>
      <c r="P153" s="4" t="str">
        <f t="shared" si="2"/>
        <v>BDNDETL.TH_SCU_TL</v>
      </c>
      <c r="Q153" s="4" t="str">
        <f>VLOOKUP(Cobra8.5[[#This Row],[Table.Column]],ColumnMapping[Old Table.Column],1,)</f>
        <v>BDNDETL.TH_SCU_TL</v>
      </c>
    </row>
    <row r="154" spans="1:17" hidden="1" x14ac:dyDescent="0.2">
      <c r="A154" s="4" t="s">
        <v>2142</v>
      </c>
      <c r="B154" s="4">
        <v>0</v>
      </c>
      <c r="C154" s="4" t="s">
        <v>2142</v>
      </c>
      <c r="D154" s="4" t="s">
        <v>1580</v>
      </c>
      <c r="E154" s="4" t="s">
        <v>2124</v>
      </c>
      <c r="F154" s="4">
        <v>21</v>
      </c>
      <c r="G154" s="4">
        <v>6</v>
      </c>
      <c r="H154" s="4">
        <v>0</v>
      </c>
      <c r="K154" s="4">
        <v>0</v>
      </c>
      <c r="N154" s="4">
        <v>0</v>
      </c>
      <c r="O154" s="4">
        <v>0</v>
      </c>
      <c r="P154" s="4" t="str">
        <f t="shared" si="2"/>
        <v>BDNDETL.TH_SCVF</v>
      </c>
      <c r="Q154" s="4" t="str">
        <f>VLOOKUP(Cobra8.5[[#This Row],[Table.Column]],ColumnMapping[Old Table.Column],1,)</f>
        <v>BDNDETL.TH_SCVF</v>
      </c>
    </row>
    <row r="155" spans="1:17" hidden="1" x14ac:dyDescent="0.2">
      <c r="A155" s="4" t="s">
        <v>2142</v>
      </c>
      <c r="B155" s="4">
        <v>0</v>
      </c>
      <c r="C155" s="4" t="s">
        <v>2142</v>
      </c>
      <c r="D155" s="4" t="s">
        <v>1582</v>
      </c>
      <c r="E155" s="4" t="s">
        <v>2124</v>
      </c>
      <c r="F155" s="4">
        <v>21</v>
      </c>
      <c r="G155" s="4">
        <v>6</v>
      </c>
      <c r="H155" s="4">
        <v>0</v>
      </c>
      <c r="K155" s="4">
        <v>0</v>
      </c>
      <c r="N155" s="4">
        <v>0</v>
      </c>
      <c r="O155" s="4">
        <v>0</v>
      </c>
      <c r="P155" s="4" t="str">
        <f t="shared" si="2"/>
        <v>BDNDETL.TH_SCVU</v>
      </c>
      <c r="Q155" s="4" t="str">
        <f>VLOOKUP(Cobra8.5[[#This Row],[Table.Column]],ColumnMapping[Old Table.Column],1,)</f>
        <v>BDNDETL.TH_SCVU</v>
      </c>
    </row>
    <row r="156" spans="1:17" hidden="1" x14ac:dyDescent="0.2">
      <c r="A156" s="4" t="s">
        <v>2142</v>
      </c>
      <c r="B156" s="4">
        <v>0</v>
      </c>
      <c r="C156" s="4" t="s">
        <v>2142</v>
      </c>
      <c r="D156" s="4" t="s">
        <v>2155</v>
      </c>
      <c r="E156" s="4" t="s">
        <v>86</v>
      </c>
      <c r="F156" s="4">
        <v>10</v>
      </c>
      <c r="G156" s="4">
        <v>0</v>
      </c>
      <c r="H156" s="4">
        <v>0</v>
      </c>
      <c r="K156" s="4">
        <v>0</v>
      </c>
      <c r="N156" s="4">
        <v>0</v>
      </c>
      <c r="O156" s="4">
        <v>0</v>
      </c>
      <c r="P156" s="4" t="str">
        <f t="shared" si="2"/>
        <v>BDNDETL.TH_SPF_TL</v>
      </c>
      <c r="Q156" s="4" t="str">
        <f>VLOOKUP(Cobra8.5[[#This Row],[Table.Column]],ColumnMapping[Old Table.Column],1,)</f>
        <v>BDNDETL.TH_SPF_TL</v>
      </c>
    </row>
    <row r="157" spans="1:17" hidden="1" x14ac:dyDescent="0.2">
      <c r="A157" s="4" t="s">
        <v>2142</v>
      </c>
      <c r="B157" s="4">
        <v>0</v>
      </c>
      <c r="C157" s="4" t="s">
        <v>2142</v>
      </c>
      <c r="D157" s="4" t="s">
        <v>1584</v>
      </c>
      <c r="E157" s="4" t="s">
        <v>2124</v>
      </c>
      <c r="F157" s="4">
        <v>21</v>
      </c>
      <c r="G157" s="4">
        <v>6</v>
      </c>
      <c r="H157" s="4">
        <v>0</v>
      </c>
      <c r="K157" s="4">
        <v>0</v>
      </c>
      <c r="N157" s="4">
        <v>0</v>
      </c>
      <c r="O157" s="4">
        <v>0</v>
      </c>
      <c r="P157" s="4" t="str">
        <f t="shared" si="2"/>
        <v>BDNDETL.TH_SPPF</v>
      </c>
      <c r="Q157" s="4" t="str">
        <f>VLOOKUP(Cobra8.5[[#This Row],[Table.Column]],ColumnMapping[Old Table.Column],1,)</f>
        <v>BDNDETL.TH_SPPF</v>
      </c>
    </row>
    <row r="158" spans="1:17" hidden="1" x14ac:dyDescent="0.2">
      <c r="A158" s="4" t="s">
        <v>2142</v>
      </c>
      <c r="B158" s="4">
        <v>0</v>
      </c>
      <c r="C158" s="4" t="s">
        <v>2142</v>
      </c>
      <c r="D158" s="4" t="s">
        <v>1586</v>
      </c>
      <c r="E158" s="4" t="s">
        <v>2124</v>
      </c>
      <c r="F158" s="4">
        <v>21</v>
      </c>
      <c r="G158" s="4">
        <v>6</v>
      </c>
      <c r="H158" s="4">
        <v>0</v>
      </c>
      <c r="K158" s="4">
        <v>0</v>
      </c>
      <c r="N158" s="4">
        <v>0</v>
      </c>
      <c r="O158" s="4">
        <v>0</v>
      </c>
      <c r="P158" s="4" t="str">
        <f t="shared" si="2"/>
        <v>BDNDETL.TH_SPPU</v>
      </c>
      <c r="Q158" s="4" t="str">
        <f>VLOOKUP(Cobra8.5[[#This Row],[Table.Column]],ColumnMapping[Old Table.Column],1,)</f>
        <v>BDNDETL.TH_SPPU</v>
      </c>
    </row>
    <row r="159" spans="1:17" hidden="1" x14ac:dyDescent="0.2">
      <c r="A159" s="4" t="s">
        <v>2142</v>
      </c>
      <c r="B159" s="4">
        <v>0</v>
      </c>
      <c r="C159" s="4" t="s">
        <v>2142</v>
      </c>
      <c r="D159" s="4" t="s">
        <v>2156</v>
      </c>
      <c r="E159" s="4" t="s">
        <v>86</v>
      </c>
      <c r="F159" s="4">
        <v>10</v>
      </c>
      <c r="G159" s="4">
        <v>0</v>
      </c>
      <c r="H159" s="4">
        <v>0</v>
      </c>
      <c r="K159" s="4">
        <v>0</v>
      </c>
      <c r="N159" s="4">
        <v>0</v>
      </c>
      <c r="O159" s="4">
        <v>0</v>
      </c>
      <c r="P159" s="4" t="str">
        <f t="shared" si="2"/>
        <v>BDNDETL.TH_SPU_TL</v>
      </c>
      <c r="Q159" s="4" t="str">
        <f>VLOOKUP(Cobra8.5[[#This Row],[Table.Column]],ColumnMapping[Old Table.Column],1,)</f>
        <v>BDNDETL.TH_SPU_TL</v>
      </c>
    </row>
    <row r="160" spans="1:17" hidden="1" x14ac:dyDescent="0.2">
      <c r="A160" s="4" t="s">
        <v>2142</v>
      </c>
      <c r="B160" s="4">
        <v>0</v>
      </c>
      <c r="C160" s="4" t="s">
        <v>2142</v>
      </c>
      <c r="D160" s="4" t="s">
        <v>1588</v>
      </c>
      <c r="E160" s="4" t="s">
        <v>2124</v>
      </c>
      <c r="F160" s="4">
        <v>21</v>
      </c>
      <c r="G160" s="4">
        <v>6</v>
      </c>
      <c r="H160" s="4">
        <v>0</v>
      </c>
      <c r="K160" s="4">
        <v>0</v>
      </c>
      <c r="N160" s="4">
        <v>0</v>
      </c>
      <c r="O160" s="4">
        <v>0</v>
      </c>
      <c r="P160" s="4" t="str">
        <f t="shared" si="2"/>
        <v>BDNDETL.TH_SPVF</v>
      </c>
      <c r="Q160" s="4" t="str">
        <f>VLOOKUP(Cobra8.5[[#This Row],[Table.Column]],ColumnMapping[Old Table.Column],1,)</f>
        <v>BDNDETL.TH_SPVF</v>
      </c>
    </row>
    <row r="161" spans="1:17" hidden="1" x14ac:dyDescent="0.2">
      <c r="A161" s="4" t="s">
        <v>2142</v>
      </c>
      <c r="B161" s="4">
        <v>0</v>
      </c>
      <c r="C161" s="4" t="s">
        <v>2142</v>
      </c>
      <c r="D161" s="4" t="s">
        <v>1590</v>
      </c>
      <c r="E161" s="4" t="s">
        <v>2124</v>
      </c>
      <c r="F161" s="4">
        <v>21</v>
      </c>
      <c r="G161" s="4">
        <v>6</v>
      </c>
      <c r="H161" s="4">
        <v>0</v>
      </c>
      <c r="K161" s="4">
        <v>0</v>
      </c>
      <c r="N161" s="4">
        <v>0</v>
      </c>
      <c r="O161" s="4">
        <v>0</v>
      </c>
      <c r="P161" s="4" t="str">
        <f t="shared" si="2"/>
        <v>BDNDETL.TH_SPVU</v>
      </c>
      <c r="Q161" s="4" t="str">
        <f>VLOOKUP(Cobra8.5[[#This Row],[Table.Column]],ColumnMapping[Old Table.Column],1,)</f>
        <v>BDNDETL.TH_SPVU</v>
      </c>
    </row>
    <row r="162" spans="1:17" hidden="1" x14ac:dyDescent="0.2">
      <c r="A162" s="4" t="s">
        <v>2142</v>
      </c>
      <c r="B162" s="4">
        <v>0</v>
      </c>
      <c r="C162" s="4" t="s">
        <v>2142</v>
      </c>
      <c r="D162" s="4" t="s">
        <v>2112</v>
      </c>
      <c r="E162" s="4" t="s">
        <v>86</v>
      </c>
      <c r="F162" s="4">
        <v>20</v>
      </c>
      <c r="G162" s="4">
        <v>0</v>
      </c>
      <c r="H162" s="4">
        <v>0</v>
      </c>
      <c r="K162" s="4">
        <v>0</v>
      </c>
      <c r="N162" s="4">
        <v>0</v>
      </c>
      <c r="O162" s="4">
        <v>0</v>
      </c>
      <c r="P162" s="4" t="str">
        <f t="shared" si="2"/>
        <v>BDNDETL.USR_ID</v>
      </c>
      <c r="Q162" s="4" t="str">
        <f>VLOOKUP(Cobra8.5[[#This Row],[Table.Column]],ColumnMapping[Old Table.Column],1,)</f>
        <v>BDNDETL.USR_ID</v>
      </c>
    </row>
    <row r="163" spans="1:17" hidden="1" x14ac:dyDescent="0.2">
      <c r="A163" s="4" t="s">
        <v>2157</v>
      </c>
      <c r="B163" s="4">
        <v>0</v>
      </c>
      <c r="C163" s="4" t="s">
        <v>2157</v>
      </c>
      <c r="D163" s="4" t="s">
        <v>2158</v>
      </c>
      <c r="E163" s="4" t="s">
        <v>86</v>
      </c>
      <c r="F163" s="4">
        <v>1</v>
      </c>
      <c r="G163" s="4">
        <v>0</v>
      </c>
      <c r="H163" s="4">
        <v>0</v>
      </c>
      <c r="K163" s="4">
        <v>0</v>
      </c>
      <c r="N163" s="4">
        <v>0</v>
      </c>
      <c r="O163" s="4">
        <v>0</v>
      </c>
      <c r="P163" s="4" t="str">
        <f t="shared" si="2"/>
        <v>BREAKDWN.BREAK_TYPE</v>
      </c>
      <c r="Q163" s="4" t="e">
        <f>VLOOKUP(Cobra8.5[[#This Row],[Table.Column]],ColumnMapping[Old Table.Column],1,)</f>
        <v>#N/A</v>
      </c>
    </row>
    <row r="164" spans="1:17" hidden="1" x14ac:dyDescent="0.2">
      <c r="A164" s="4" t="s">
        <v>2157</v>
      </c>
      <c r="B164" s="4">
        <v>0</v>
      </c>
      <c r="C164" s="4" t="s">
        <v>2157</v>
      </c>
      <c r="D164" s="4" t="s">
        <v>87</v>
      </c>
      <c r="E164" s="4" t="s">
        <v>86</v>
      </c>
      <c r="F164" s="4">
        <v>22</v>
      </c>
      <c r="G164" s="4">
        <v>0</v>
      </c>
      <c r="H164" s="4">
        <v>0</v>
      </c>
      <c r="K164" s="4">
        <v>0</v>
      </c>
      <c r="N164" s="4">
        <v>0</v>
      </c>
      <c r="O164" s="4">
        <v>0</v>
      </c>
      <c r="P164" s="4" t="str">
        <f t="shared" si="2"/>
        <v>BREAKDWN.BREAKFILE</v>
      </c>
      <c r="Q164" s="4" t="str">
        <f>VLOOKUP(Cobra8.5[[#This Row],[Table.Column]],ColumnMapping[Old Table.Column],1,)</f>
        <v>BREAKDWN.BREAKFILE</v>
      </c>
    </row>
    <row r="165" spans="1:17" hidden="1" x14ac:dyDescent="0.2">
      <c r="A165" s="4" t="s">
        <v>2157</v>
      </c>
      <c r="B165" s="4">
        <v>0</v>
      </c>
      <c r="C165" s="4" t="s">
        <v>2157</v>
      </c>
      <c r="D165" s="4" t="s">
        <v>155</v>
      </c>
      <c r="E165" s="4" t="s">
        <v>2108</v>
      </c>
      <c r="F165" s="4">
        <v>-1</v>
      </c>
      <c r="G165" s="4">
        <v>0</v>
      </c>
      <c r="H165" s="4">
        <v>0</v>
      </c>
      <c r="K165" s="4">
        <v>0</v>
      </c>
      <c r="N165" s="4">
        <v>0</v>
      </c>
      <c r="O165" s="4">
        <v>0</v>
      </c>
      <c r="P165" s="4" t="str">
        <f t="shared" si="2"/>
        <v>BREAKDWN.CODELENGTH</v>
      </c>
      <c r="Q165" s="4" t="str">
        <f>VLOOKUP(Cobra8.5[[#This Row],[Table.Column]],ColumnMapping[Old Table.Column],1,)</f>
        <v>BREAKDWN.CODELENGTH</v>
      </c>
    </row>
    <row r="166" spans="1:17" hidden="1" x14ac:dyDescent="0.2">
      <c r="A166" s="4" t="s">
        <v>2157</v>
      </c>
      <c r="B166" s="4">
        <v>0</v>
      </c>
      <c r="C166" s="4" t="s">
        <v>2157</v>
      </c>
      <c r="D166" s="4" t="s">
        <v>2111</v>
      </c>
      <c r="E166" s="4" t="s">
        <v>356</v>
      </c>
      <c r="F166" s="4">
        <v>-1</v>
      </c>
      <c r="G166" s="4">
        <v>0</v>
      </c>
      <c r="H166" s="4">
        <v>0</v>
      </c>
      <c r="K166" s="4">
        <v>0</v>
      </c>
      <c r="N166" s="4">
        <v>0</v>
      </c>
      <c r="O166" s="4">
        <v>0</v>
      </c>
      <c r="P166" s="4" t="str">
        <f t="shared" si="2"/>
        <v>BREAKDWN.LASTUPDATE</v>
      </c>
      <c r="Q166" s="4" t="str">
        <f>VLOOKUP(Cobra8.5[[#This Row],[Table.Column]],ColumnMapping[Old Table.Column],1,)</f>
        <v>BREAKDWN.LASTUPDATE</v>
      </c>
    </row>
    <row r="167" spans="1:17" hidden="1" x14ac:dyDescent="0.2">
      <c r="A167" s="4" t="s">
        <v>2157</v>
      </c>
      <c r="B167" s="4">
        <v>0</v>
      </c>
      <c r="C167" s="4" t="s">
        <v>2157</v>
      </c>
      <c r="D167" s="4" t="s">
        <v>115</v>
      </c>
      <c r="E167" s="4" t="s">
        <v>2108</v>
      </c>
      <c r="F167" s="4">
        <v>-1</v>
      </c>
      <c r="G167" s="4">
        <v>0</v>
      </c>
      <c r="H167" s="4">
        <v>0</v>
      </c>
      <c r="K167" s="4">
        <v>0</v>
      </c>
      <c r="N167" s="4">
        <v>0</v>
      </c>
      <c r="O167" s="4">
        <v>0</v>
      </c>
      <c r="P167" s="4" t="str">
        <f t="shared" si="2"/>
        <v>BREAKDWN.LEVEL1</v>
      </c>
      <c r="Q167" s="4" t="str">
        <f>VLOOKUP(Cobra8.5[[#This Row],[Table.Column]],ColumnMapping[Old Table.Column],1,)</f>
        <v>BREAKDWN.LEVEL1</v>
      </c>
    </row>
    <row r="168" spans="1:17" hidden="1" x14ac:dyDescent="0.2">
      <c r="A168" s="4" t="s">
        <v>2157</v>
      </c>
      <c r="B168" s="4">
        <v>0</v>
      </c>
      <c r="C168" s="4" t="s">
        <v>2157</v>
      </c>
      <c r="D168" s="4" t="s">
        <v>133</v>
      </c>
      <c r="E168" s="4" t="s">
        <v>2108</v>
      </c>
      <c r="F168" s="4">
        <v>-1</v>
      </c>
      <c r="G168" s="4">
        <v>0</v>
      </c>
      <c r="H168" s="4">
        <v>0</v>
      </c>
      <c r="K168" s="4">
        <v>0</v>
      </c>
      <c r="N168" s="4">
        <v>0</v>
      </c>
      <c r="O168" s="4">
        <v>0</v>
      </c>
      <c r="P168" s="4" t="str">
        <f t="shared" si="2"/>
        <v>BREAKDWN.LEVEL10</v>
      </c>
      <c r="Q168" s="4" t="str">
        <f>VLOOKUP(Cobra8.5[[#This Row],[Table.Column]],ColumnMapping[Old Table.Column],1,)</f>
        <v>BREAKDWN.LEVEL10</v>
      </c>
    </row>
    <row r="169" spans="1:17" hidden="1" x14ac:dyDescent="0.2">
      <c r="A169" s="4" t="s">
        <v>2157</v>
      </c>
      <c r="B169" s="4">
        <v>0</v>
      </c>
      <c r="C169" s="4" t="s">
        <v>2157</v>
      </c>
      <c r="D169" s="4" t="s">
        <v>135</v>
      </c>
      <c r="E169" s="4" t="s">
        <v>2108</v>
      </c>
      <c r="F169" s="4">
        <v>-1</v>
      </c>
      <c r="G169" s="4">
        <v>0</v>
      </c>
      <c r="H169" s="4">
        <v>0</v>
      </c>
      <c r="K169" s="4">
        <v>0</v>
      </c>
      <c r="N169" s="4">
        <v>0</v>
      </c>
      <c r="O169" s="4">
        <v>0</v>
      </c>
      <c r="P169" s="4" t="str">
        <f t="shared" si="2"/>
        <v>BREAKDWN.LEVEL11</v>
      </c>
      <c r="Q169" s="4" t="str">
        <f>VLOOKUP(Cobra8.5[[#This Row],[Table.Column]],ColumnMapping[Old Table.Column],1,)</f>
        <v>BREAKDWN.LEVEL11</v>
      </c>
    </row>
    <row r="170" spans="1:17" hidden="1" x14ac:dyDescent="0.2">
      <c r="A170" s="4" t="s">
        <v>2157</v>
      </c>
      <c r="B170" s="4">
        <v>0</v>
      </c>
      <c r="C170" s="4" t="s">
        <v>2157</v>
      </c>
      <c r="D170" s="4" t="s">
        <v>137</v>
      </c>
      <c r="E170" s="4" t="s">
        <v>2108</v>
      </c>
      <c r="F170" s="4">
        <v>-1</v>
      </c>
      <c r="G170" s="4">
        <v>0</v>
      </c>
      <c r="H170" s="4">
        <v>0</v>
      </c>
      <c r="K170" s="4">
        <v>0</v>
      </c>
      <c r="N170" s="4">
        <v>0</v>
      </c>
      <c r="O170" s="4">
        <v>0</v>
      </c>
      <c r="P170" s="4" t="str">
        <f t="shared" si="2"/>
        <v>BREAKDWN.LEVEL12</v>
      </c>
      <c r="Q170" s="4" t="str">
        <f>VLOOKUP(Cobra8.5[[#This Row],[Table.Column]],ColumnMapping[Old Table.Column],1,)</f>
        <v>BREAKDWN.LEVEL12</v>
      </c>
    </row>
    <row r="171" spans="1:17" hidden="1" x14ac:dyDescent="0.2">
      <c r="A171" s="4" t="s">
        <v>2157</v>
      </c>
      <c r="B171" s="4">
        <v>0</v>
      </c>
      <c r="C171" s="4" t="s">
        <v>2157</v>
      </c>
      <c r="D171" s="4" t="s">
        <v>139</v>
      </c>
      <c r="E171" s="4" t="s">
        <v>2108</v>
      </c>
      <c r="F171" s="4">
        <v>-1</v>
      </c>
      <c r="G171" s="4">
        <v>0</v>
      </c>
      <c r="H171" s="4">
        <v>0</v>
      </c>
      <c r="K171" s="4">
        <v>0</v>
      </c>
      <c r="N171" s="4">
        <v>0</v>
      </c>
      <c r="O171" s="4">
        <v>0</v>
      </c>
      <c r="P171" s="4" t="str">
        <f t="shared" si="2"/>
        <v>BREAKDWN.LEVEL13</v>
      </c>
      <c r="Q171" s="4" t="str">
        <f>VLOOKUP(Cobra8.5[[#This Row],[Table.Column]],ColumnMapping[Old Table.Column],1,)</f>
        <v>BREAKDWN.LEVEL13</v>
      </c>
    </row>
    <row r="172" spans="1:17" hidden="1" x14ac:dyDescent="0.2">
      <c r="A172" s="4" t="s">
        <v>2157</v>
      </c>
      <c r="B172" s="4">
        <v>0</v>
      </c>
      <c r="C172" s="4" t="s">
        <v>2157</v>
      </c>
      <c r="D172" s="4" t="s">
        <v>141</v>
      </c>
      <c r="E172" s="4" t="s">
        <v>2108</v>
      </c>
      <c r="F172" s="4">
        <v>-1</v>
      </c>
      <c r="G172" s="4">
        <v>0</v>
      </c>
      <c r="H172" s="4">
        <v>0</v>
      </c>
      <c r="K172" s="4">
        <v>0</v>
      </c>
      <c r="N172" s="4">
        <v>0</v>
      </c>
      <c r="O172" s="4">
        <v>0</v>
      </c>
      <c r="P172" s="4" t="str">
        <f t="shared" si="2"/>
        <v>BREAKDWN.LEVEL14</v>
      </c>
      <c r="Q172" s="4" t="str">
        <f>VLOOKUP(Cobra8.5[[#This Row],[Table.Column]],ColumnMapping[Old Table.Column],1,)</f>
        <v>BREAKDWN.LEVEL14</v>
      </c>
    </row>
    <row r="173" spans="1:17" hidden="1" x14ac:dyDescent="0.2">
      <c r="A173" s="4" t="s">
        <v>2157</v>
      </c>
      <c r="B173" s="4">
        <v>0</v>
      </c>
      <c r="C173" s="4" t="s">
        <v>2157</v>
      </c>
      <c r="D173" s="4" t="s">
        <v>143</v>
      </c>
      <c r="E173" s="4" t="s">
        <v>2108</v>
      </c>
      <c r="F173" s="4">
        <v>-1</v>
      </c>
      <c r="G173" s="4">
        <v>0</v>
      </c>
      <c r="H173" s="4">
        <v>0</v>
      </c>
      <c r="K173" s="4">
        <v>0</v>
      </c>
      <c r="N173" s="4">
        <v>0</v>
      </c>
      <c r="O173" s="4">
        <v>0</v>
      </c>
      <c r="P173" s="4" t="str">
        <f t="shared" si="2"/>
        <v>BREAKDWN.LEVEL15</v>
      </c>
      <c r="Q173" s="4" t="str">
        <f>VLOOKUP(Cobra8.5[[#This Row],[Table.Column]],ColumnMapping[Old Table.Column],1,)</f>
        <v>BREAKDWN.LEVEL15</v>
      </c>
    </row>
    <row r="174" spans="1:17" hidden="1" x14ac:dyDescent="0.2">
      <c r="A174" s="4" t="s">
        <v>2157</v>
      </c>
      <c r="B174" s="4">
        <v>0</v>
      </c>
      <c r="C174" s="4" t="s">
        <v>2157</v>
      </c>
      <c r="D174" s="4" t="s">
        <v>145</v>
      </c>
      <c r="E174" s="4" t="s">
        <v>2108</v>
      </c>
      <c r="F174" s="4">
        <v>-1</v>
      </c>
      <c r="G174" s="4">
        <v>0</v>
      </c>
      <c r="H174" s="4">
        <v>0</v>
      </c>
      <c r="K174" s="4">
        <v>0</v>
      </c>
      <c r="N174" s="4">
        <v>0</v>
      </c>
      <c r="O174" s="4">
        <v>0</v>
      </c>
      <c r="P174" s="4" t="str">
        <f t="shared" si="2"/>
        <v>BREAKDWN.LEVEL16</v>
      </c>
      <c r="Q174" s="4" t="str">
        <f>VLOOKUP(Cobra8.5[[#This Row],[Table.Column]],ColumnMapping[Old Table.Column],1,)</f>
        <v>BREAKDWN.LEVEL16</v>
      </c>
    </row>
    <row r="175" spans="1:17" hidden="1" x14ac:dyDescent="0.2">
      <c r="A175" s="4" t="s">
        <v>2157</v>
      </c>
      <c r="B175" s="4">
        <v>0</v>
      </c>
      <c r="C175" s="4" t="s">
        <v>2157</v>
      </c>
      <c r="D175" s="4" t="s">
        <v>147</v>
      </c>
      <c r="E175" s="4" t="s">
        <v>2108</v>
      </c>
      <c r="F175" s="4">
        <v>-1</v>
      </c>
      <c r="G175" s="4">
        <v>0</v>
      </c>
      <c r="H175" s="4">
        <v>0</v>
      </c>
      <c r="K175" s="4">
        <v>0</v>
      </c>
      <c r="N175" s="4">
        <v>0</v>
      </c>
      <c r="O175" s="4">
        <v>0</v>
      </c>
      <c r="P175" s="4" t="str">
        <f t="shared" si="2"/>
        <v>BREAKDWN.LEVEL17</v>
      </c>
      <c r="Q175" s="4" t="str">
        <f>VLOOKUP(Cobra8.5[[#This Row],[Table.Column]],ColumnMapping[Old Table.Column],1,)</f>
        <v>BREAKDWN.LEVEL17</v>
      </c>
    </row>
    <row r="176" spans="1:17" hidden="1" x14ac:dyDescent="0.2">
      <c r="A176" s="4" t="s">
        <v>2157</v>
      </c>
      <c r="B176" s="4">
        <v>0</v>
      </c>
      <c r="C176" s="4" t="s">
        <v>2157</v>
      </c>
      <c r="D176" s="4" t="s">
        <v>149</v>
      </c>
      <c r="E176" s="4" t="s">
        <v>2108</v>
      </c>
      <c r="F176" s="4">
        <v>-1</v>
      </c>
      <c r="G176" s="4">
        <v>0</v>
      </c>
      <c r="H176" s="4">
        <v>0</v>
      </c>
      <c r="K176" s="4">
        <v>0</v>
      </c>
      <c r="N176" s="4">
        <v>0</v>
      </c>
      <c r="O176" s="4">
        <v>0</v>
      </c>
      <c r="P176" s="4" t="str">
        <f t="shared" si="2"/>
        <v>BREAKDWN.LEVEL18</v>
      </c>
      <c r="Q176" s="4" t="str">
        <f>VLOOKUP(Cobra8.5[[#This Row],[Table.Column]],ColumnMapping[Old Table.Column],1,)</f>
        <v>BREAKDWN.LEVEL18</v>
      </c>
    </row>
    <row r="177" spans="1:17" hidden="1" x14ac:dyDescent="0.2">
      <c r="A177" s="4" t="s">
        <v>2157</v>
      </c>
      <c r="B177" s="4">
        <v>0</v>
      </c>
      <c r="C177" s="4" t="s">
        <v>2157</v>
      </c>
      <c r="D177" s="4" t="s">
        <v>151</v>
      </c>
      <c r="E177" s="4" t="s">
        <v>2108</v>
      </c>
      <c r="F177" s="4">
        <v>-1</v>
      </c>
      <c r="G177" s="4">
        <v>0</v>
      </c>
      <c r="H177" s="4">
        <v>0</v>
      </c>
      <c r="K177" s="4">
        <v>0</v>
      </c>
      <c r="N177" s="4">
        <v>0</v>
      </c>
      <c r="O177" s="4">
        <v>0</v>
      </c>
      <c r="P177" s="4" t="str">
        <f t="shared" si="2"/>
        <v>BREAKDWN.LEVEL19</v>
      </c>
      <c r="Q177" s="4" t="str">
        <f>VLOOKUP(Cobra8.5[[#This Row],[Table.Column]],ColumnMapping[Old Table.Column],1,)</f>
        <v>BREAKDWN.LEVEL19</v>
      </c>
    </row>
    <row r="178" spans="1:17" hidden="1" x14ac:dyDescent="0.2">
      <c r="A178" s="4" t="s">
        <v>2157</v>
      </c>
      <c r="B178" s="4">
        <v>0</v>
      </c>
      <c r="C178" s="4" t="s">
        <v>2157</v>
      </c>
      <c r="D178" s="4" t="s">
        <v>117</v>
      </c>
      <c r="E178" s="4" t="s">
        <v>2108</v>
      </c>
      <c r="F178" s="4">
        <v>-1</v>
      </c>
      <c r="G178" s="4">
        <v>0</v>
      </c>
      <c r="H178" s="4">
        <v>0</v>
      </c>
      <c r="K178" s="4">
        <v>0</v>
      </c>
      <c r="N178" s="4">
        <v>0</v>
      </c>
      <c r="O178" s="4">
        <v>0</v>
      </c>
      <c r="P178" s="4" t="str">
        <f t="shared" si="2"/>
        <v>BREAKDWN.LEVEL2</v>
      </c>
      <c r="Q178" s="4" t="str">
        <f>VLOOKUP(Cobra8.5[[#This Row],[Table.Column]],ColumnMapping[Old Table.Column],1,)</f>
        <v>BREAKDWN.LEVEL2</v>
      </c>
    </row>
    <row r="179" spans="1:17" hidden="1" x14ac:dyDescent="0.2">
      <c r="A179" s="4" t="s">
        <v>2157</v>
      </c>
      <c r="B179" s="4">
        <v>0</v>
      </c>
      <c r="C179" s="4" t="s">
        <v>2157</v>
      </c>
      <c r="D179" s="4" t="s">
        <v>153</v>
      </c>
      <c r="E179" s="4" t="s">
        <v>2108</v>
      </c>
      <c r="F179" s="4">
        <v>-1</v>
      </c>
      <c r="G179" s="4">
        <v>0</v>
      </c>
      <c r="H179" s="4">
        <v>0</v>
      </c>
      <c r="K179" s="4">
        <v>0</v>
      </c>
      <c r="N179" s="4">
        <v>0</v>
      </c>
      <c r="O179" s="4">
        <v>0</v>
      </c>
      <c r="P179" s="4" t="str">
        <f t="shared" si="2"/>
        <v>BREAKDWN.LEVEL20</v>
      </c>
      <c r="Q179" s="4" t="str">
        <f>VLOOKUP(Cobra8.5[[#This Row],[Table.Column]],ColumnMapping[Old Table.Column],1,)</f>
        <v>BREAKDWN.LEVEL20</v>
      </c>
    </row>
    <row r="180" spans="1:17" hidden="1" x14ac:dyDescent="0.2">
      <c r="A180" s="4" t="s">
        <v>2157</v>
      </c>
      <c r="B180" s="4">
        <v>0</v>
      </c>
      <c r="C180" s="4" t="s">
        <v>2157</v>
      </c>
      <c r="D180" s="4" t="s">
        <v>119</v>
      </c>
      <c r="E180" s="4" t="s">
        <v>2108</v>
      </c>
      <c r="F180" s="4">
        <v>-1</v>
      </c>
      <c r="G180" s="4">
        <v>0</v>
      </c>
      <c r="H180" s="4">
        <v>0</v>
      </c>
      <c r="K180" s="4">
        <v>0</v>
      </c>
      <c r="N180" s="4">
        <v>0</v>
      </c>
      <c r="O180" s="4">
        <v>0</v>
      </c>
      <c r="P180" s="4" t="str">
        <f t="shared" si="2"/>
        <v>BREAKDWN.LEVEL3</v>
      </c>
      <c r="Q180" s="4" t="str">
        <f>VLOOKUP(Cobra8.5[[#This Row],[Table.Column]],ColumnMapping[Old Table.Column],1,)</f>
        <v>BREAKDWN.LEVEL3</v>
      </c>
    </row>
    <row r="181" spans="1:17" hidden="1" x14ac:dyDescent="0.2">
      <c r="A181" s="4" t="s">
        <v>2157</v>
      </c>
      <c r="B181" s="4">
        <v>0</v>
      </c>
      <c r="C181" s="4" t="s">
        <v>2157</v>
      </c>
      <c r="D181" s="4" t="s">
        <v>121</v>
      </c>
      <c r="E181" s="4" t="s">
        <v>2108</v>
      </c>
      <c r="F181" s="4">
        <v>-1</v>
      </c>
      <c r="G181" s="4">
        <v>0</v>
      </c>
      <c r="H181" s="4">
        <v>0</v>
      </c>
      <c r="K181" s="4">
        <v>0</v>
      </c>
      <c r="N181" s="4">
        <v>0</v>
      </c>
      <c r="O181" s="4">
        <v>0</v>
      </c>
      <c r="P181" s="4" t="str">
        <f t="shared" si="2"/>
        <v>BREAKDWN.LEVEL4</v>
      </c>
      <c r="Q181" s="4" t="str">
        <f>VLOOKUP(Cobra8.5[[#This Row],[Table.Column]],ColumnMapping[Old Table.Column],1,)</f>
        <v>BREAKDWN.LEVEL4</v>
      </c>
    </row>
    <row r="182" spans="1:17" hidden="1" x14ac:dyDescent="0.2">
      <c r="A182" s="4" t="s">
        <v>2157</v>
      </c>
      <c r="B182" s="4">
        <v>0</v>
      </c>
      <c r="C182" s="4" t="s">
        <v>2157</v>
      </c>
      <c r="D182" s="4" t="s">
        <v>123</v>
      </c>
      <c r="E182" s="4" t="s">
        <v>2108</v>
      </c>
      <c r="F182" s="4">
        <v>-1</v>
      </c>
      <c r="G182" s="4">
        <v>0</v>
      </c>
      <c r="H182" s="4">
        <v>0</v>
      </c>
      <c r="K182" s="4">
        <v>0</v>
      </c>
      <c r="N182" s="4">
        <v>0</v>
      </c>
      <c r="O182" s="4">
        <v>0</v>
      </c>
      <c r="P182" s="4" t="str">
        <f t="shared" si="2"/>
        <v>BREAKDWN.LEVEL5</v>
      </c>
      <c r="Q182" s="4" t="str">
        <f>VLOOKUP(Cobra8.5[[#This Row],[Table.Column]],ColumnMapping[Old Table.Column],1,)</f>
        <v>BREAKDWN.LEVEL5</v>
      </c>
    </row>
    <row r="183" spans="1:17" hidden="1" x14ac:dyDescent="0.2">
      <c r="A183" s="4" t="s">
        <v>2157</v>
      </c>
      <c r="B183" s="4">
        <v>0</v>
      </c>
      <c r="C183" s="4" t="s">
        <v>2157</v>
      </c>
      <c r="D183" s="4" t="s">
        <v>125</v>
      </c>
      <c r="E183" s="4" t="s">
        <v>2108</v>
      </c>
      <c r="F183" s="4">
        <v>-1</v>
      </c>
      <c r="G183" s="4">
        <v>0</v>
      </c>
      <c r="H183" s="4">
        <v>0</v>
      </c>
      <c r="K183" s="4">
        <v>0</v>
      </c>
      <c r="N183" s="4">
        <v>0</v>
      </c>
      <c r="O183" s="4">
        <v>0</v>
      </c>
      <c r="P183" s="4" t="str">
        <f t="shared" si="2"/>
        <v>BREAKDWN.LEVEL6</v>
      </c>
      <c r="Q183" s="4" t="str">
        <f>VLOOKUP(Cobra8.5[[#This Row],[Table.Column]],ColumnMapping[Old Table.Column],1,)</f>
        <v>BREAKDWN.LEVEL6</v>
      </c>
    </row>
    <row r="184" spans="1:17" hidden="1" x14ac:dyDescent="0.2">
      <c r="A184" s="4" t="s">
        <v>2157</v>
      </c>
      <c r="B184" s="4">
        <v>0</v>
      </c>
      <c r="C184" s="4" t="s">
        <v>2157</v>
      </c>
      <c r="D184" s="4" t="s">
        <v>127</v>
      </c>
      <c r="E184" s="4" t="s">
        <v>2108</v>
      </c>
      <c r="F184" s="4">
        <v>-1</v>
      </c>
      <c r="G184" s="4">
        <v>0</v>
      </c>
      <c r="H184" s="4">
        <v>0</v>
      </c>
      <c r="K184" s="4">
        <v>0</v>
      </c>
      <c r="N184" s="4">
        <v>0</v>
      </c>
      <c r="O184" s="4">
        <v>0</v>
      </c>
      <c r="P184" s="4" t="str">
        <f t="shared" si="2"/>
        <v>BREAKDWN.LEVEL7</v>
      </c>
      <c r="Q184" s="4" t="str">
        <f>VLOOKUP(Cobra8.5[[#This Row],[Table.Column]],ColumnMapping[Old Table.Column],1,)</f>
        <v>BREAKDWN.LEVEL7</v>
      </c>
    </row>
    <row r="185" spans="1:17" hidden="1" x14ac:dyDescent="0.2">
      <c r="A185" s="4" t="s">
        <v>2157</v>
      </c>
      <c r="B185" s="4">
        <v>0</v>
      </c>
      <c r="C185" s="4" t="s">
        <v>2157</v>
      </c>
      <c r="D185" s="4" t="s">
        <v>129</v>
      </c>
      <c r="E185" s="4" t="s">
        <v>2108</v>
      </c>
      <c r="F185" s="4">
        <v>-1</v>
      </c>
      <c r="G185" s="4">
        <v>0</v>
      </c>
      <c r="H185" s="4">
        <v>0</v>
      </c>
      <c r="K185" s="4">
        <v>0</v>
      </c>
      <c r="N185" s="4">
        <v>0</v>
      </c>
      <c r="O185" s="4">
        <v>0</v>
      </c>
      <c r="P185" s="4" t="str">
        <f t="shared" si="2"/>
        <v>BREAKDWN.LEVEL8</v>
      </c>
      <c r="Q185" s="4" t="str">
        <f>VLOOKUP(Cobra8.5[[#This Row],[Table.Column]],ColumnMapping[Old Table.Column],1,)</f>
        <v>BREAKDWN.LEVEL8</v>
      </c>
    </row>
    <row r="186" spans="1:17" hidden="1" x14ac:dyDescent="0.2">
      <c r="A186" s="4" t="s">
        <v>2157</v>
      </c>
      <c r="B186" s="4">
        <v>0</v>
      </c>
      <c r="C186" s="4" t="s">
        <v>2157</v>
      </c>
      <c r="D186" s="4" t="s">
        <v>131</v>
      </c>
      <c r="E186" s="4" t="s">
        <v>2108</v>
      </c>
      <c r="F186" s="4">
        <v>-1</v>
      </c>
      <c r="G186" s="4">
        <v>0</v>
      </c>
      <c r="H186" s="4">
        <v>0</v>
      </c>
      <c r="K186" s="4">
        <v>0</v>
      </c>
      <c r="N186" s="4">
        <v>0</v>
      </c>
      <c r="O186" s="4">
        <v>0</v>
      </c>
      <c r="P186" s="4" t="str">
        <f t="shared" si="2"/>
        <v>BREAKDWN.LEVEL9</v>
      </c>
      <c r="Q186" s="4" t="str">
        <f>VLOOKUP(Cobra8.5[[#This Row],[Table.Column]],ColumnMapping[Old Table.Column],1,)</f>
        <v>BREAKDWN.LEVEL9</v>
      </c>
    </row>
    <row r="187" spans="1:17" hidden="1" x14ac:dyDescent="0.2">
      <c r="A187" s="4" t="s">
        <v>2157</v>
      </c>
      <c r="B187" s="4">
        <v>0</v>
      </c>
      <c r="C187" s="4" t="s">
        <v>2157</v>
      </c>
      <c r="D187" s="4" t="s">
        <v>113</v>
      </c>
      <c r="E187" s="4" t="s">
        <v>2108</v>
      </c>
      <c r="F187" s="4">
        <v>-1</v>
      </c>
      <c r="G187" s="4">
        <v>0</v>
      </c>
      <c r="H187" s="4">
        <v>0</v>
      </c>
      <c r="K187" s="4">
        <v>0</v>
      </c>
      <c r="N187" s="4">
        <v>0</v>
      </c>
      <c r="O187" s="4">
        <v>0</v>
      </c>
      <c r="P187" s="4" t="str">
        <f t="shared" si="2"/>
        <v>BREAKDWN.MAX_LEVEL</v>
      </c>
      <c r="Q187" s="4" t="str">
        <f>VLOOKUP(Cobra8.5[[#This Row],[Table.Column]],ColumnMapping[Old Table.Column],1,)</f>
        <v>BREAKDWN.MAX_LEVEL</v>
      </c>
    </row>
    <row r="188" spans="1:17" hidden="1" x14ac:dyDescent="0.2">
      <c r="A188" s="4" t="s">
        <v>2157</v>
      </c>
      <c r="B188" s="4">
        <v>0</v>
      </c>
      <c r="C188" s="4" t="s">
        <v>2157</v>
      </c>
      <c r="D188" s="4" t="s">
        <v>111</v>
      </c>
      <c r="E188" s="4" t="s">
        <v>86</v>
      </c>
      <c r="F188" s="4">
        <v>1</v>
      </c>
      <c r="G188" s="4">
        <v>0</v>
      </c>
      <c r="H188" s="4">
        <v>0</v>
      </c>
      <c r="K188" s="4">
        <v>0</v>
      </c>
      <c r="N188" s="4">
        <v>0</v>
      </c>
      <c r="O188" s="4">
        <v>0</v>
      </c>
      <c r="P188" s="4" t="str">
        <f t="shared" si="2"/>
        <v>BREAKDWN.PAD_CHAR</v>
      </c>
      <c r="Q188" s="4" t="str">
        <f>VLOOKUP(Cobra8.5[[#This Row],[Table.Column]],ColumnMapping[Old Table.Column],1,)</f>
        <v>BREAKDWN.PAD_CHAR</v>
      </c>
    </row>
    <row r="189" spans="1:17" hidden="1" x14ac:dyDescent="0.2">
      <c r="A189" s="4" t="s">
        <v>2157</v>
      </c>
      <c r="B189" s="4">
        <v>0</v>
      </c>
      <c r="C189" s="4" t="s">
        <v>2157</v>
      </c>
      <c r="D189" s="4" t="s">
        <v>35</v>
      </c>
      <c r="E189" s="4" t="s">
        <v>2108</v>
      </c>
      <c r="F189" s="4">
        <v>-1</v>
      </c>
      <c r="G189" s="4">
        <v>0</v>
      </c>
      <c r="H189" s="4">
        <v>0</v>
      </c>
      <c r="K189" s="4">
        <v>0</v>
      </c>
      <c r="N189" s="4">
        <v>0</v>
      </c>
      <c r="O189" s="4">
        <v>0</v>
      </c>
      <c r="P189" s="4" t="str">
        <f t="shared" si="2"/>
        <v>BREAKDWN.SEQUENCE</v>
      </c>
      <c r="Q189" s="4" t="str">
        <f>VLOOKUP(Cobra8.5[[#This Row],[Table.Column]],ColumnMapping[Old Table.Column],1,)</f>
        <v>BREAKDWN.SEQUENCE</v>
      </c>
    </row>
    <row r="190" spans="1:17" hidden="1" x14ac:dyDescent="0.2">
      <c r="A190" s="4" t="s">
        <v>2157</v>
      </c>
      <c r="B190" s="4">
        <v>0</v>
      </c>
      <c r="C190" s="4" t="s">
        <v>2157</v>
      </c>
      <c r="D190" s="4" t="s">
        <v>93</v>
      </c>
      <c r="E190" s="4" t="s">
        <v>86</v>
      </c>
      <c r="F190" s="4">
        <v>10</v>
      </c>
      <c r="G190" s="4">
        <v>0</v>
      </c>
      <c r="H190" s="4">
        <v>0</v>
      </c>
      <c r="K190" s="4">
        <v>0</v>
      </c>
      <c r="N190" s="4">
        <v>0</v>
      </c>
      <c r="O190" s="4">
        <v>0</v>
      </c>
      <c r="P190" s="4" t="str">
        <f t="shared" si="2"/>
        <v>BREAKDWN.TH_FLAGS</v>
      </c>
      <c r="Q190" s="4" t="str">
        <f>VLOOKUP(Cobra8.5[[#This Row],[Table.Column]],ColumnMapping[Old Table.Column],1,)</f>
        <v>BREAKDWN.TH_FLAGS</v>
      </c>
    </row>
    <row r="191" spans="1:17" hidden="1" x14ac:dyDescent="0.2">
      <c r="A191" s="4" t="s">
        <v>2157</v>
      </c>
      <c r="B191" s="4">
        <v>0</v>
      </c>
      <c r="C191" s="4" t="s">
        <v>2157</v>
      </c>
      <c r="D191" s="4" t="s">
        <v>2112</v>
      </c>
      <c r="E191" s="4" t="s">
        <v>86</v>
      </c>
      <c r="F191" s="4">
        <v>20</v>
      </c>
      <c r="G191" s="4">
        <v>0</v>
      </c>
      <c r="H191" s="4">
        <v>0</v>
      </c>
      <c r="K191" s="4">
        <v>0</v>
      </c>
      <c r="N191" s="4">
        <v>0</v>
      </c>
      <c r="O191" s="4">
        <v>0</v>
      </c>
      <c r="P191" s="4" t="str">
        <f t="shared" si="2"/>
        <v>BREAKDWN.USR_ID</v>
      </c>
      <c r="Q191" s="4" t="str">
        <f>VLOOKUP(Cobra8.5[[#This Row],[Table.Column]],ColumnMapping[Old Table.Column],1,)</f>
        <v>BREAKDWN.USR_ID</v>
      </c>
    </row>
    <row r="192" spans="1:17" hidden="1" x14ac:dyDescent="0.2">
      <c r="A192" s="4" t="s">
        <v>2159</v>
      </c>
      <c r="B192" s="4">
        <v>0</v>
      </c>
      <c r="C192" s="4" t="s">
        <v>2159</v>
      </c>
      <c r="D192" s="4" t="s">
        <v>1501</v>
      </c>
      <c r="E192" s="4" t="s">
        <v>86</v>
      </c>
      <c r="F192" s="4">
        <v>22</v>
      </c>
      <c r="G192" s="4">
        <v>0</v>
      </c>
      <c r="H192" s="4">
        <v>0</v>
      </c>
      <c r="K192" s="4">
        <v>0</v>
      </c>
      <c r="N192" s="4">
        <v>0</v>
      </c>
      <c r="O192" s="4">
        <v>0</v>
      </c>
      <c r="P192" s="4" t="str">
        <f t="shared" si="2"/>
        <v>CALC.CALCFILE</v>
      </c>
      <c r="Q192" s="4" t="str">
        <f>VLOOKUP(Cobra8.5[[#This Row],[Table.Column]],ColumnMapping[Old Table.Column],1,)</f>
        <v>CALC.CALCFILE</v>
      </c>
    </row>
    <row r="193" spans="1:17" hidden="1" x14ac:dyDescent="0.2">
      <c r="A193" s="4" t="s">
        <v>2159</v>
      </c>
      <c r="B193" s="4">
        <v>0</v>
      </c>
      <c r="C193" s="4" t="s">
        <v>2159</v>
      </c>
      <c r="D193" s="4" t="s">
        <v>90</v>
      </c>
      <c r="E193" s="4" t="s">
        <v>86</v>
      </c>
      <c r="F193" s="4">
        <v>1</v>
      </c>
      <c r="G193" s="4">
        <v>0</v>
      </c>
      <c r="H193" s="4">
        <v>0</v>
      </c>
      <c r="K193" s="4">
        <v>0</v>
      </c>
      <c r="N193" s="4">
        <v>0</v>
      </c>
      <c r="O193" s="4">
        <v>0</v>
      </c>
      <c r="P193" s="4" t="str">
        <f t="shared" si="2"/>
        <v>CALC.CODE_TYPE</v>
      </c>
      <c r="Q193" s="4" t="str">
        <f>VLOOKUP(Cobra8.5[[#This Row],[Table.Column]],ColumnMapping[Old Table.Column],1,)</f>
        <v>CALC.CODE_TYPE</v>
      </c>
    </row>
    <row r="194" spans="1:17" hidden="1" x14ac:dyDescent="0.2">
      <c r="A194" s="4" t="s">
        <v>2159</v>
      </c>
      <c r="B194" s="4">
        <v>0</v>
      </c>
      <c r="C194" s="4" t="s">
        <v>2159</v>
      </c>
      <c r="D194" s="4" t="s">
        <v>155</v>
      </c>
      <c r="E194" s="4" t="s">
        <v>2108</v>
      </c>
      <c r="F194" s="4">
        <v>-1</v>
      </c>
      <c r="G194" s="4">
        <v>0</v>
      </c>
      <c r="H194" s="4">
        <v>0</v>
      </c>
      <c r="K194" s="4">
        <v>0</v>
      </c>
      <c r="N194" s="4">
        <v>0</v>
      </c>
      <c r="O194" s="4">
        <v>0</v>
      </c>
      <c r="P194" s="4" t="str">
        <f t="shared" ref="P194:P257" si="3">_xlfn.CONCAT(A194,".",D194)</f>
        <v>CALC.CODELENGTH</v>
      </c>
      <c r="Q194" s="4" t="str">
        <f>VLOOKUP(Cobra8.5[[#This Row],[Table.Column]],ColumnMapping[Old Table.Column],1,)</f>
        <v>CALC.CODELENGTH</v>
      </c>
    </row>
    <row r="195" spans="1:17" hidden="1" x14ac:dyDescent="0.2">
      <c r="A195" s="4" t="s">
        <v>2159</v>
      </c>
      <c r="B195" s="4">
        <v>0</v>
      </c>
      <c r="C195" s="4" t="s">
        <v>2159</v>
      </c>
      <c r="D195" s="4" t="s">
        <v>2111</v>
      </c>
      <c r="E195" s="4" t="s">
        <v>356</v>
      </c>
      <c r="F195" s="4">
        <v>-1</v>
      </c>
      <c r="G195" s="4">
        <v>0</v>
      </c>
      <c r="H195" s="4">
        <v>0</v>
      </c>
      <c r="K195" s="4">
        <v>0</v>
      </c>
      <c r="N195" s="4">
        <v>0</v>
      </c>
      <c r="O195" s="4">
        <v>0</v>
      </c>
      <c r="P195" s="4" t="str">
        <f t="shared" si="3"/>
        <v>CALC.LASTUPDATE</v>
      </c>
      <c r="Q195" s="4" t="str">
        <f>VLOOKUP(Cobra8.5[[#This Row],[Table.Column]],ColumnMapping[Old Table.Column],1,)</f>
        <v>CALC.LASTUPDATE</v>
      </c>
    </row>
    <row r="196" spans="1:17" hidden="1" x14ac:dyDescent="0.2">
      <c r="A196" s="4" t="s">
        <v>2159</v>
      </c>
      <c r="B196" s="4">
        <v>0</v>
      </c>
      <c r="C196" s="4" t="s">
        <v>2159</v>
      </c>
      <c r="D196" s="4" t="s">
        <v>115</v>
      </c>
      <c r="E196" s="4" t="s">
        <v>2108</v>
      </c>
      <c r="F196" s="4">
        <v>-1</v>
      </c>
      <c r="G196" s="4">
        <v>0</v>
      </c>
      <c r="H196" s="4">
        <v>0</v>
      </c>
      <c r="K196" s="4">
        <v>0</v>
      </c>
      <c r="N196" s="4">
        <v>0</v>
      </c>
      <c r="O196" s="4">
        <v>0</v>
      </c>
      <c r="P196" s="4" t="str">
        <f t="shared" si="3"/>
        <v>CALC.LEVEL1</v>
      </c>
      <c r="Q196" s="4" t="str">
        <f>VLOOKUP(Cobra8.5[[#This Row],[Table.Column]],ColumnMapping[Old Table.Column],1,)</f>
        <v>CALC.LEVEL1</v>
      </c>
    </row>
    <row r="197" spans="1:17" hidden="1" x14ac:dyDescent="0.2">
      <c r="A197" s="4" t="s">
        <v>2159</v>
      </c>
      <c r="B197" s="4">
        <v>0</v>
      </c>
      <c r="C197" s="4" t="s">
        <v>2159</v>
      </c>
      <c r="D197" s="4" t="s">
        <v>133</v>
      </c>
      <c r="E197" s="4" t="s">
        <v>2108</v>
      </c>
      <c r="F197" s="4">
        <v>-1</v>
      </c>
      <c r="G197" s="4">
        <v>0</v>
      </c>
      <c r="H197" s="4">
        <v>0</v>
      </c>
      <c r="K197" s="4">
        <v>0</v>
      </c>
      <c r="N197" s="4">
        <v>0</v>
      </c>
      <c r="O197" s="4">
        <v>0</v>
      </c>
      <c r="P197" s="4" t="str">
        <f t="shared" si="3"/>
        <v>CALC.LEVEL10</v>
      </c>
      <c r="Q197" s="4" t="str">
        <f>VLOOKUP(Cobra8.5[[#This Row],[Table.Column]],ColumnMapping[Old Table.Column],1,)</f>
        <v>CALC.LEVEL10</v>
      </c>
    </row>
    <row r="198" spans="1:17" hidden="1" x14ac:dyDescent="0.2">
      <c r="A198" s="4" t="s">
        <v>2159</v>
      </c>
      <c r="B198" s="4">
        <v>0</v>
      </c>
      <c r="C198" s="4" t="s">
        <v>2159</v>
      </c>
      <c r="D198" s="4" t="s">
        <v>135</v>
      </c>
      <c r="E198" s="4" t="s">
        <v>2108</v>
      </c>
      <c r="F198" s="4">
        <v>-1</v>
      </c>
      <c r="G198" s="4">
        <v>0</v>
      </c>
      <c r="H198" s="4">
        <v>0</v>
      </c>
      <c r="K198" s="4">
        <v>0</v>
      </c>
      <c r="N198" s="4">
        <v>0</v>
      </c>
      <c r="O198" s="4">
        <v>0</v>
      </c>
      <c r="P198" s="4" t="str">
        <f t="shared" si="3"/>
        <v>CALC.LEVEL11</v>
      </c>
      <c r="Q198" s="4" t="str">
        <f>VLOOKUP(Cobra8.5[[#This Row],[Table.Column]],ColumnMapping[Old Table.Column],1,)</f>
        <v>CALC.LEVEL11</v>
      </c>
    </row>
    <row r="199" spans="1:17" hidden="1" x14ac:dyDescent="0.2">
      <c r="A199" s="4" t="s">
        <v>2159</v>
      </c>
      <c r="B199" s="4">
        <v>0</v>
      </c>
      <c r="C199" s="4" t="s">
        <v>2159</v>
      </c>
      <c r="D199" s="4" t="s">
        <v>137</v>
      </c>
      <c r="E199" s="4" t="s">
        <v>2108</v>
      </c>
      <c r="F199" s="4">
        <v>-1</v>
      </c>
      <c r="G199" s="4">
        <v>0</v>
      </c>
      <c r="H199" s="4">
        <v>0</v>
      </c>
      <c r="K199" s="4">
        <v>0</v>
      </c>
      <c r="N199" s="4">
        <v>0</v>
      </c>
      <c r="O199" s="4">
        <v>0</v>
      </c>
      <c r="P199" s="4" t="str">
        <f t="shared" si="3"/>
        <v>CALC.LEVEL12</v>
      </c>
      <c r="Q199" s="4" t="str">
        <f>VLOOKUP(Cobra8.5[[#This Row],[Table.Column]],ColumnMapping[Old Table.Column],1,)</f>
        <v>CALC.LEVEL12</v>
      </c>
    </row>
    <row r="200" spans="1:17" hidden="1" x14ac:dyDescent="0.2">
      <c r="A200" s="4" t="s">
        <v>2159</v>
      </c>
      <c r="B200" s="4">
        <v>0</v>
      </c>
      <c r="C200" s="4" t="s">
        <v>2159</v>
      </c>
      <c r="D200" s="4" t="s">
        <v>139</v>
      </c>
      <c r="E200" s="4" t="s">
        <v>2108</v>
      </c>
      <c r="F200" s="4">
        <v>-1</v>
      </c>
      <c r="G200" s="4">
        <v>0</v>
      </c>
      <c r="H200" s="4">
        <v>0</v>
      </c>
      <c r="K200" s="4">
        <v>0</v>
      </c>
      <c r="N200" s="4">
        <v>0</v>
      </c>
      <c r="O200" s="4">
        <v>0</v>
      </c>
      <c r="P200" s="4" t="str">
        <f t="shared" si="3"/>
        <v>CALC.LEVEL13</v>
      </c>
      <c r="Q200" s="4" t="str">
        <f>VLOOKUP(Cobra8.5[[#This Row],[Table.Column]],ColumnMapping[Old Table.Column],1,)</f>
        <v>CALC.LEVEL13</v>
      </c>
    </row>
    <row r="201" spans="1:17" hidden="1" x14ac:dyDescent="0.2">
      <c r="A201" s="4" t="s">
        <v>2159</v>
      </c>
      <c r="B201" s="4">
        <v>0</v>
      </c>
      <c r="C201" s="4" t="s">
        <v>2159</v>
      </c>
      <c r="D201" s="4" t="s">
        <v>141</v>
      </c>
      <c r="E201" s="4" t="s">
        <v>2108</v>
      </c>
      <c r="F201" s="4">
        <v>-1</v>
      </c>
      <c r="G201" s="4">
        <v>0</v>
      </c>
      <c r="H201" s="4">
        <v>0</v>
      </c>
      <c r="K201" s="4">
        <v>0</v>
      </c>
      <c r="N201" s="4">
        <v>0</v>
      </c>
      <c r="O201" s="4">
        <v>0</v>
      </c>
      <c r="P201" s="4" t="str">
        <f t="shared" si="3"/>
        <v>CALC.LEVEL14</v>
      </c>
      <c r="Q201" s="4" t="str">
        <f>VLOOKUP(Cobra8.5[[#This Row],[Table.Column]],ColumnMapping[Old Table.Column],1,)</f>
        <v>CALC.LEVEL14</v>
      </c>
    </row>
    <row r="202" spans="1:17" hidden="1" x14ac:dyDescent="0.2">
      <c r="A202" s="4" t="s">
        <v>2159</v>
      </c>
      <c r="B202" s="4">
        <v>0</v>
      </c>
      <c r="C202" s="4" t="s">
        <v>2159</v>
      </c>
      <c r="D202" s="4" t="s">
        <v>143</v>
      </c>
      <c r="E202" s="4" t="s">
        <v>2108</v>
      </c>
      <c r="F202" s="4">
        <v>-1</v>
      </c>
      <c r="G202" s="4">
        <v>0</v>
      </c>
      <c r="H202" s="4">
        <v>0</v>
      </c>
      <c r="K202" s="4">
        <v>0</v>
      </c>
      <c r="N202" s="4">
        <v>0</v>
      </c>
      <c r="O202" s="4">
        <v>0</v>
      </c>
      <c r="P202" s="4" t="str">
        <f t="shared" si="3"/>
        <v>CALC.LEVEL15</v>
      </c>
      <c r="Q202" s="4" t="str">
        <f>VLOOKUP(Cobra8.5[[#This Row],[Table.Column]],ColumnMapping[Old Table.Column],1,)</f>
        <v>CALC.LEVEL15</v>
      </c>
    </row>
    <row r="203" spans="1:17" hidden="1" x14ac:dyDescent="0.2">
      <c r="A203" s="4" t="s">
        <v>2159</v>
      </c>
      <c r="B203" s="4">
        <v>0</v>
      </c>
      <c r="C203" s="4" t="s">
        <v>2159</v>
      </c>
      <c r="D203" s="4" t="s">
        <v>145</v>
      </c>
      <c r="E203" s="4" t="s">
        <v>2108</v>
      </c>
      <c r="F203" s="4">
        <v>-1</v>
      </c>
      <c r="G203" s="4">
        <v>0</v>
      </c>
      <c r="H203" s="4">
        <v>0</v>
      </c>
      <c r="K203" s="4">
        <v>0</v>
      </c>
      <c r="N203" s="4">
        <v>0</v>
      </c>
      <c r="O203" s="4">
        <v>0</v>
      </c>
      <c r="P203" s="4" t="str">
        <f t="shared" si="3"/>
        <v>CALC.LEVEL16</v>
      </c>
      <c r="Q203" s="4" t="str">
        <f>VLOOKUP(Cobra8.5[[#This Row],[Table.Column]],ColumnMapping[Old Table.Column],1,)</f>
        <v>CALC.LEVEL16</v>
      </c>
    </row>
    <row r="204" spans="1:17" hidden="1" x14ac:dyDescent="0.2">
      <c r="A204" s="4" t="s">
        <v>2159</v>
      </c>
      <c r="B204" s="4">
        <v>0</v>
      </c>
      <c r="C204" s="4" t="s">
        <v>2159</v>
      </c>
      <c r="D204" s="4" t="s">
        <v>147</v>
      </c>
      <c r="E204" s="4" t="s">
        <v>2108</v>
      </c>
      <c r="F204" s="4">
        <v>-1</v>
      </c>
      <c r="G204" s="4">
        <v>0</v>
      </c>
      <c r="H204" s="4">
        <v>0</v>
      </c>
      <c r="K204" s="4">
        <v>0</v>
      </c>
      <c r="N204" s="4">
        <v>0</v>
      </c>
      <c r="O204" s="4">
        <v>0</v>
      </c>
      <c r="P204" s="4" t="str">
        <f t="shared" si="3"/>
        <v>CALC.LEVEL17</v>
      </c>
      <c r="Q204" s="4" t="str">
        <f>VLOOKUP(Cobra8.5[[#This Row],[Table.Column]],ColumnMapping[Old Table.Column],1,)</f>
        <v>CALC.LEVEL17</v>
      </c>
    </row>
    <row r="205" spans="1:17" hidden="1" x14ac:dyDescent="0.2">
      <c r="A205" s="4" t="s">
        <v>2159</v>
      </c>
      <c r="B205" s="4">
        <v>0</v>
      </c>
      <c r="C205" s="4" t="s">
        <v>2159</v>
      </c>
      <c r="D205" s="4" t="s">
        <v>149</v>
      </c>
      <c r="E205" s="4" t="s">
        <v>2108</v>
      </c>
      <c r="F205" s="4">
        <v>-1</v>
      </c>
      <c r="G205" s="4">
        <v>0</v>
      </c>
      <c r="H205" s="4">
        <v>0</v>
      </c>
      <c r="K205" s="4">
        <v>0</v>
      </c>
      <c r="N205" s="4">
        <v>0</v>
      </c>
      <c r="O205" s="4">
        <v>0</v>
      </c>
      <c r="P205" s="4" t="str">
        <f t="shared" si="3"/>
        <v>CALC.LEVEL18</v>
      </c>
      <c r="Q205" s="4" t="str">
        <f>VLOOKUP(Cobra8.5[[#This Row],[Table.Column]],ColumnMapping[Old Table.Column],1,)</f>
        <v>CALC.LEVEL18</v>
      </c>
    </row>
    <row r="206" spans="1:17" hidden="1" x14ac:dyDescent="0.2">
      <c r="A206" s="4" t="s">
        <v>2159</v>
      </c>
      <c r="B206" s="4">
        <v>0</v>
      </c>
      <c r="C206" s="4" t="s">
        <v>2159</v>
      </c>
      <c r="D206" s="4" t="s">
        <v>151</v>
      </c>
      <c r="E206" s="4" t="s">
        <v>2108</v>
      </c>
      <c r="F206" s="4">
        <v>-1</v>
      </c>
      <c r="G206" s="4">
        <v>0</v>
      </c>
      <c r="H206" s="4">
        <v>0</v>
      </c>
      <c r="K206" s="4">
        <v>0</v>
      </c>
      <c r="N206" s="4">
        <v>0</v>
      </c>
      <c r="O206" s="4">
        <v>0</v>
      </c>
      <c r="P206" s="4" t="str">
        <f t="shared" si="3"/>
        <v>CALC.LEVEL19</v>
      </c>
      <c r="Q206" s="4" t="str">
        <f>VLOOKUP(Cobra8.5[[#This Row],[Table.Column]],ColumnMapping[Old Table.Column],1,)</f>
        <v>CALC.LEVEL19</v>
      </c>
    </row>
    <row r="207" spans="1:17" hidden="1" x14ac:dyDescent="0.2">
      <c r="A207" s="4" t="s">
        <v>2159</v>
      </c>
      <c r="B207" s="4">
        <v>0</v>
      </c>
      <c r="C207" s="4" t="s">
        <v>2159</v>
      </c>
      <c r="D207" s="4" t="s">
        <v>117</v>
      </c>
      <c r="E207" s="4" t="s">
        <v>2108</v>
      </c>
      <c r="F207" s="4">
        <v>-1</v>
      </c>
      <c r="G207" s="4">
        <v>0</v>
      </c>
      <c r="H207" s="4">
        <v>0</v>
      </c>
      <c r="K207" s="4">
        <v>0</v>
      </c>
      <c r="N207" s="4">
        <v>0</v>
      </c>
      <c r="O207" s="4">
        <v>0</v>
      </c>
      <c r="P207" s="4" t="str">
        <f t="shared" si="3"/>
        <v>CALC.LEVEL2</v>
      </c>
      <c r="Q207" s="4" t="str">
        <f>VLOOKUP(Cobra8.5[[#This Row],[Table.Column]],ColumnMapping[Old Table.Column],1,)</f>
        <v>CALC.LEVEL2</v>
      </c>
    </row>
    <row r="208" spans="1:17" hidden="1" x14ac:dyDescent="0.2">
      <c r="A208" s="4" t="s">
        <v>2159</v>
      </c>
      <c r="B208" s="4">
        <v>0</v>
      </c>
      <c r="C208" s="4" t="s">
        <v>2159</v>
      </c>
      <c r="D208" s="4" t="s">
        <v>153</v>
      </c>
      <c r="E208" s="4" t="s">
        <v>2108</v>
      </c>
      <c r="F208" s="4">
        <v>-1</v>
      </c>
      <c r="G208" s="4">
        <v>0</v>
      </c>
      <c r="H208" s="4">
        <v>0</v>
      </c>
      <c r="K208" s="4">
        <v>0</v>
      </c>
      <c r="N208" s="4">
        <v>0</v>
      </c>
      <c r="O208" s="4">
        <v>0</v>
      </c>
      <c r="P208" s="4" t="str">
        <f t="shared" si="3"/>
        <v>CALC.LEVEL20</v>
      </c>
      <c r="Q208" s="4" t="str">
        <f>VLOOKUP(Cobra8.5[[#This Row],[Table.Column]],ColumnMapping[Old Table.Column],1,)</f>
        <v>CALC.LEVEL20</v>
      </c>
    </row>
    <row r="209" spans="1:17" hidden="1" x14ac:dyDescent="0.2">
      <c r="A209" s="4" t="s">
        <v>2159</v>
      </c>
      <c r="B209" s="4">
        <v>0</v>
      </c>
      <c r="C209" s="4" t="s">
        <v>2159</v>
      </c>
      <c r="D209" s="4" t="s">
        <v>119</v>
      </c>
      <c r="E209" s="4" t="s">
        <v>2108</v>
      </c>
      <c r="F209" s="4">
        <v>-1</v>
      </c>
      <c r="G209" s="4">
        <v>0</v>
      </c>
      <c r="H209" s="4">
        <v>0</v>
      </c>
      <c r="K209" s="4">
        <v>0</v>
      </c>
      <c r="N209" s="4">
        <v>0</v>
      </c>
      <c r="O209" s="4">
        <v>0</v>
      </c>
      <c r="P209" s="4" t="str">
        <f t="shared" si="3"/>
        <v>CALC.LEVEL3</v>
      </c>
      <c r="Q209" s="4" t="str">
        <f>VLOOKUP(Cobra8.5[[#This Row],[Table.Column]],ColumnMapping[Old Table.Column],1,)</f>
        <v>CALC.LEVEL3</v>
      </c>
    </row>
    <row r="210" spans="1:17" hidden="1" x14ac:dyDescent="0.2">
      <c r="A210" s="4" t="s">
        <v>2159</v>
      </c>
      <c r="B210" s="4">
        <v>0</v>
      </c>
      <c r="C210" s="4" t="s">
        <v>2159</v>
      </c>
      <c r="D210" s="4" t="s">
        <v>121</v>
      </c>
      <c r="E210" s="4" t="s">
        <v>2108</v>
      </c>
      <c r="F210" s="4">
        <v>-1</v>
      </c>
      <c r="G210" s="4">
        <v>0</v>
      </c>
      <c r="H210" s="4">
        <v>0</v>
      </c>
      <c r="K210" s="4">
        <v>0</v>
      </c>
      <c r="N210" s="4">
        <v>0</v>
      </c>
      <c r="O210" s="4">
        <v>0</v>
      </c>
      <c r="P210" s="4" t="str">
        <f t="shared" si="3"/>
        <v>CALC.LEVEL4</v>
      </c>
      <c r="Q210" s="4" t="str">
        <f>VLOOKUP(Cobra8.5[[#This Row],[Table.Column]],ColumnMapping[Old Table.Column],1,)</f>
        <v>CALC.LEVEL4</v>
      </c>
    </row>
    <row r="211" spans="1:17" hidden="1" x14ac:dyDescent="0.2">
      <c r="A211" s="4" t="s">
        <v>2159</v>
      </c>
      <c r="B211" s="4">
        <v>0</v>
      </c>
      <c r="C211" s="4" t="s">
        <v>2159</v>
      </c>
      <c r="D211" s="4" t="s">
        <v>123</v>
      </c>
      <c r="E211" s="4" t="s">
        <v>2108</v>
      </c>
      <c r="F211" s="4">
        <v>-1</v>
      </c>
      <c r="G211" s="4">
        <v>0</v>
      </c>
      <c r="H211" s="4">
        <v>0</v>
      </c>
      <c r="K211" s="4">
        <v>0</v>
      </c>
      <c r="N211" s="4">
        <v>0</v>
      </c>
      <c r="O211" s="4">
        <v>0</v>
      </c>
      <c r="P211" s="4" t="str">
        <f t="shared" si="3"/>
        <v>CALC.LEVEL5</v>
      </c>
      <c r="Q211" s="4" t="str">
        <f>VLOOKUP(Cobra8.5[[#This Row],[Table.Column]],ColumnMapping[Old Table.Column],1,)</f>
        <v>CALC.LEVEL5</v>
      </c>
    </row>
    <row r="212" spans="1:17" hidden="1" x14ac:dyDescent="0.2">
      <c r="A212" s="4" t="s">
        <v>2159</v>
      </c>
      <c r="B212" s="4">
        <v>0</v>
      </c>
      <c r="C212" s="4" t="s">
        <v>2159</v>
      </c>
      <c r="D212" s="4" t="s">
        <v>125</v>
      </c>
      <c r="E212" s="4" t="s">
        <v>2108</v>
      </c>
      <c r="F212" s="4">
        <v>-1</v>
      </c>
      <c r="G212" s="4">
        <v>0</v>
      </c>
      <c r="H212" s="4">
        <v>0</v>
      </c>
      <c r="K212" s="4">
        <v>0</v>
      </c>
      <c r="N212" s="4">
        <v>0</v>
      </c>
      <c r="O212" s="4">
        <v>0</v>
      </c>
      <c r="P212" s="4" t="str">
        <f t="shared" si="3"/>
        <v>CALC.LEVEL6</v>
      </c>
      <c r="Q212" s="4" t="str">
        <f>VLOOKUP(Cobra8.5[[#This Row],[Table.Column]],ColumnMapping[Old Table.Column],1,)</f>
        <v>CALC.LEVEL6</v>
      </c>
    </row>
    <row r="213" spans="1:17" hidden="1" x14ac:dyDescent="0.2">
      <c r="A213" s="4" t="s">
        <v>2159</v>
      </c>
      <c r="B213" s="4">
        <v>0</v>
      </c>
      <c r="C213" s="4" t="s">
        <v>2159</v>
      </c>
      <c r="D213" s="4" t="s">
        <v>127</v>
      </c>
      <c r="E213" s="4" t="s">
        <v>2108</v>
      </c>
      <c r="F213" s="4">
        <v>-1</v>
      </c>
      <c r="G213" s="4">
        <v>0</v>
      </c>
      <c r="H213" s="4">
        <v>0</v>
      </c>
      <c r="K213" s="4">
        <v>0</v>
      </c>
      <c r="N213" s="4">
        <v>0</v>
      </c>
      <c r="O213" s="4">
        <v>0</v>
      </c>
      <c r="P213" s="4" t="str">
        <f t="shared" si="3"/>
        <v>CALC.LEVEL7</v>
      </c>
      <c r="Q213" s="4" t="str">
        <f>VLOOKUP(Cobra8.5[[#This Row],[Table.Column]],ColumnMapping[Old Table.Column],1,)</f>
        <v>CALC.LEVEL7</v>
      </c>
    </row>
    <row r="214" spans="1:17" hidden="1" x14ac:dyDescent="0.2">
      <c r="A214" s="4" t="s">
        <v>2159</v>
      </c>
      <c r="B214" s="4">
        <v>0</v>
      </c>
      <c r="C214" s="4" t="s">
        <v>2159</v>
      </c>
      <c r="D214" s="4" t="s">
        <v>129</v>
      </c>
      <c r="E214" s="4" t="s">
        <v>2108</v>
      </c>
      <c r="F214" s="4">
        <v>-1</v>
      </c>
      <c r="G214" s="4">
        <v>0</v>
      </c>
      <c r="H214" s="4">
        <v>0</v>
      </c>
      <c r="K214" s="4">
        <v>0</v>
      </c>
      <c r="N214" s="4">
        <v>0</v>
      </c>
      <c r="O214" s="4">
        <v>0</v>
      </c>
      <c r="P214" s="4" t="str">
        <f t="shared" si="3"/>
        <v>CALC.LEVEL8</v>
      </c>
      <c r="Q214" s="4" t="str">
        <f>VLOOKUP(Cobra8.5[[#This Row],[Table.Column]],ColumnMapping[Old Table.Column],1,)</f>
        <v>CALC.LEVEL8</v>
      </c>
    </row>
    <row r="215" spans="1:17" hidden="1" x14ac:dyDescent="0.2">
      <c r="A215" s="4" t="s">
        <v>2159</v>
      </c>
      <c r="B215" s="4">
        <v>0</v>
      </c>
      <c r="C215" s="4" t="s">
        <v>2159</v>
      </c>
      <c r="D215" s="4" t="s">
        <v>131</v>
      </c>
      <c r="E215" s="4" t="s">
        <v>2108</v>
      </c>
      <c r="F215" s="4">
        <v>-1</v>
      </c>
      <c r="G215" s="4">
        <v>0</v>
      </c>
      <c r="H215" s="4">
        <v>0</v>
      </c>
      <c r="K215" s="4">
        <v>0</v>
      </c>
      <c r="N215" s="4">
        <v>0</v>
      </c>
      <c r="O215" s="4">
        <v>0</v>
      </c>
      <c r="P215" s="4" t="str">
        <f t="shared" si="3"/>
        <v>CALC.LEVEL9</v>
      </c>
      <c r="Q215" s="4" t="str">
        <f>VLOOKUP(Cobra8.5[[#This Row],[Table.Column]],ColumnMapping[Old Table.Column],1,)</f>
        <v>CALC.LEVEL9</v>
      </c>
    </row>
    <row r="216" spans="1:17" hidden="1" x14ac:dyDescent="0.2">
      <c r="A216" s="4" t="s">
        <v>2159</v>
      </c>
      <c r="B216" s="4">
        <v>0</v>
      </c>
      <c r="C216" s="4" t="s">
        <v>2159</v>
      </c>
      <c r="D216" s="4" t="s">
        <v>113</v>
      </c>
      <c r="E216" s="4" t="s">
        <v>2108</v>
      </c>
      <c r="F216" s="4">
        <v>-1</v>
      </c>
      <c r="G216" s="4">
        <v>0</v>
      </c>
      <c r="H216" s="4">
        <v>0</v>
      </c>
      <c r="K216" s="4">
        <v>0</v>
      </c>
      <c r="N216" s="4">
        <v>0</v>
      </c>
      <c r="O216" s="4">
        <v>0</v>
      </c>
      <c r="P216" s="4" t="str">
        <f t="shared" si="3"/>
        <v>CALC.MAX_LEVEL</v>
      </c>
      <c r="Q216" s="4" t="str">
        <f>VLOOKUP(Cobra8.5[[#This Row],[Table.Column]],ColumnMapping[Old Table.Column],1,)</f>
        <v>CALC.MAX_LEVEL</v>
      </c>
    </row>
    <row r="217" spans="1:17" hidden="1" x14ac:dyDescent="0.2">
      <c r="A217" s="4" t="s">
        <v>2159</v>
      </c>
      <c r="B217" s="4">
        <v>0</v>
      </c>
      <c r="C217" s="4" t="s">
        <v>2159</v>
      </c>
      <c r="D217" s="4" t="s">
        <v>111</v>
      </c>
      <c r="E217" s="4" t="s">
        <v>86</v>
      </c>
      <c r="F217" s="4">
        <v>1</v>
      </c>
      <c r="G217" s="4">
        <v>0</v>
      </c>
      <c r="H217" s="4">
        <v>0</v>
      </c>
      <c r="K217" s="4">
        <v>0</v>
      </c>
      <c r="N217" s="4">
        <v>0</v>
      </c>
      <c r="O217" s="4">
        <v>0</v>
      </c>
      <c r="P217" s="4" t="str">
        <f t="shared" si="3"/>
        <v>CALC.PAD_CHAR</v>
      </c>
      <c r="Q217" s="4" t="str">
        <f>VLOOKUP(Cobra8.5[[#This Row],[Table.Column]],ColumnMapping[Old Table.Column],1,)</f>
        <v>CALC.PAD_CHAR</v>
      </c>
    </row>
    <row r="218" spans="1:17" hidden="1" x14ac:dyDescent="0.2">
      <c r="A218" s="4" t="s">
        <v>2159</v>
      </c>
      <c r="B218" s="4">
        <v>0</v>
      </c>
      <c r="C218" s="4" t="s">
        <v>2159</v>
      </c>
      <c r="D218" s="4" t="s">
        <v>1433</v>
      </c>
      <c r="E218" s="4" t="s">
        <v>86</v>
      </c>
      <c r="F218" s="4">
        <v>22</v>
      </c>
      <c r="G218" s="4">
        <v>0</v>
      </c>
      <c r="H218" s="4">
        <v>0</v>
      </c>
      <c r="K218" s="4">
        <v>0</v>
      </c>
      <c r="N218" s="4">
        <v>0</v>
      </c>
      <c r="O218" s="4">
        <v>0</v>
      </c>
      <c r="P218" s="4" t="str">
        <f t="shared" si="3"/>
        <v>CALC.RATEFILE</v>
      </c>
      <c r="Q218" s="4" t="str">
        <f>VLOOKUP(Cobra8.5[[#This Row],[Table.Column]],ColumnMapping[Old Table.Column],1,)</f>
        <v>CALC.RATEFILE</v>
      </c>
    </row>
    <row r="219" spans="1:17" hidden="1" x14ac:dyDescent="0.2">
      <c r="A219" s="4" t="s">
        <v>2159</v>
      </c>
      <c r="B219" s="4">
        <v>0</v>
      </c>
      <c r="C219" s="4" t="s">
        <v>2159</v>
      </c>
      <c r="D219" s="4" t="s">
        <v>1508</v>
      </c>
      <c r="E219" s="4" t="s">
        <v>86</v>
      </c>
      <c r="F219" s="4">
        <v>250</v>
      </c>
      <c r="G219" s="4">
        <v>0</v>
      </c>
      <c r="H219" s="4">
        <v>0</v>
      </c>
      <c r="K219" s="4">
        <v>0</v>
      </c>
      <c r="N219" s="4">
        <v>0</v>
      </c>
      <c r="O219" s="4">
        <v>0</v>
      </c>
      <c r="P219" s="4" t="str">
        <f t="shared" si="3"/>
        <v>CALC.RSLTALL</v>
      </c>
      <c r="Q219" s="4" t="str">
        <f>VLOOKUP(Cobra8.5[[#This Row],[Table.Column]],ColumnMapping[Old Table.Column],1,)</f>
        <v>CALC.RSLTALL</v>
      </c>
    </row>
    <row r="220" spans="1:17" hidden="1" x14ac:dyDescent="0.2">
      <c r="A220" s="4" t="s">
        <v>2159</v>
      </c>
      <c r="B220" s="4">
        <v>0</v>
      </c>
      <c r="C220" s="4" t="s">
        <v>2159</v>
      </c>
      <c r="D220" s="4" t="s">
        <v>1511</v>
      </c>
      <c r="E220" s="4" t="s">
        <v>86</v>
      </c>
      <c r="F220" s="4">
        <v>250</v>
      </c>
      <c r="G220" s="4">
        <v>0</v>
      </c>
      <c r="H220" s="4">
        <v>0</v>
      </c>
      <c r="K220" s="4">
        <v>0</v>
      </c>
      <c r="N220" s="4">
        <v>0</v>
      </c>
      <c r="O220" s="4">
        <v>0</v>
      </c>
      <c r="P220" s="4" t="str">
        <f t="shared" si="3"/>
        <v>CALC.RSLTCURR</v>
      </c>
      <c r="Q220" s="4" t="str">
        <f>VLOOKUP(Cobra8.5[[#This Row],[Table.Column]],ColumnMapping[Old Table.Column],1,)</f>
        <v>CALC.RSLTCURR</v>
      </c>
    </row>
    <row r="221" spans="1:17" hidden="1" x14ac:dyDescent="0.2">
      <c r="A221" s="4" t="s">
        <v>2159</v>
      </c>
      <c r="B221" s="4">
        <v>0</v>
      </c>
      <c r="C221" s="4" t="s">
        <v>2159</v>
      </c>
      <c r="D221" s="4" t="s">
        <v>35</v>
      </c>
      <c r="E221" s="4" t="s">
        <v>2108</v>
      </c>
      <c r="F221" s="4">
        <v>-1</v>
      </c>
      <c r="G221" s="4">
        <v>0</v>
      </c>
      <c r="H221" s="4">
        <v>0</v>
      </c>
      <c r="K221" s="4">
        <v>0</v>
      </c>
      <c r="N221" s="4">
        <v>0</v>
      </c>
      <c r="O221" s="4">
        <v>0</v>
      </c>
      <c r="P221" s="4" t="str">
        <f t="shared" si="3"/>
        <v>CALC.SEQUENCE</v>
      </c>
      <c r="Q221" s="4" t="str">
        <f>VLOOKUP(Cobra8.5[[#This Row],[Table.Column]],ColumnMapping[Old Table.Column],1,)</f>
        <v>CALC.SEQUENCE</v>
      </c>
    </row>
    <row r="222" spans="1:17" hidden="1" x14ac:dyDescent="0.2">
      <c r="A222" s="4" t="s">
        <v>2159</v>
      </c>
      <c r="B222" s="4">
        <v>0</v>
      </c>
      <c r="C222" s="4" t="s">
        <v>2159</v>
      </c>
      <c r="D222" s="4" t="s">
        <v>93</v>
      </c>
      <c r="E222" s="4" t="s">
        <v>86</v>
      </c>
      <c r="F222" s="4">
        <v>10</v>
      </c>
      <c r="G222" s="4">
        <v>0</v>
      </c>
      <c r="H222" s="4">
        <v>0</v>
      </c>
      <c r="K222" s="4">
        <v>0</v>
      </c>
      <c r="N222" s="4">
        <v>0</v>
      </c>
      <c r="O222" s="4">
        <v>0</v>
      </c>
      <c r="P222" s="4" t="str">
        <f t="shared" si="3"/>
        <v>CALC.TH_FLAGS</v>
      </c>
      <c r="Q222" s="4" t="str">
        <f>VLOOKUP(Cobra8.5[[#This Row],[Table.Column]],ColumnMapping[Old Table.Column],1,)</f>
        <v>CALC.TH_FLAGS</v>
      </c>
    </row>
    <row r="223" spans="1:17" hidden="1" x14ac:dyDescent="0.2">
      <c r="A223" s="4" t="s">
        <v>2159</v>
      </c>
      <c r="B223" s="4">
        <v>0</v>
      </c>
      <c r="C223" s="4" t="s">
        <v>2159</v>
      </c>
      <c r="D223" s="4" t="s">
        <v>2112</v>
      </c>
      <c r="E223" s="4" t="s">
        <v>86</v>
      </c>
      <c r="F223" s="4">
        <v>20</v>
      </c>
      <c r="G223" s="4">
        <v>0</v>
      </c>
      <c r="H223" s="4">
        <v>0</v>
      </c>
      <c r="K223" s="4">
        <v>0</v>
      </c>
      <c r="N223" s="4">
        <v>0</v>
      </c>
      <c r="O223" s="4">
        <v>0</v>
      </c>
      <c r="P223" s="4" t="str">
        <f t="shared" si="3"/>
        <v>CALC.USR_ID</v>
      </c>
      <c r="Q223" s="4" t="str">
        <f>VLOOKUP(Cobra8.5[[#This Row],[Table.Column]],ColumnMapping[Old Table.Column],1,)</f>
        <v>CALC.USR_ID</v>
      </c>
    </row>
    <row r="224" spans="1:17" hidden="1" x14ac:dyDescent="0.2">
      <c r="A224" s="4" t="s">
        <v>2160</v>
      </c>
      <c r="B224" s="4">
        <v>0</v>
      </c>
      <c r="C224" s="4" t="s">
        <v>2160</v>
      </c>
      <c r="D224" s="4" t="s">
        <v>1501</v>
      </c>
      <c r="E224" s="4" t="s">
        <v>86</v>
      </c>
      <c r="F224" s="4">
        <v>22</v>
      </c>
      <c r="G224" s="4">
        <v>0</v>
      </c>
      <c r="H224" s="4">
        <v>0</v>
      </c>
      <c r="K224" s="4">
        <v>0</v>
      </c>
      <c r="N224" s="4">
        <v>0</v>
      </c>
      <c r="O224" s="4">
        <v>0</v>
      </c>
      <c r="P224" s="4" t="str">
        <f t="shared" si="3"/>
        <v>CALCDESC.CALCFILE</v>
      </c>
      <c r="Q224" s="4" t="str">
        <f>VLOOKUP(Cobra8.5[[#This Row],[Table.Column]],ColumnMapping[Old Table.Column],1,)</f>
        <v>CALCDESC.CALCFILE</v>
      </c>
    </row>
    <row r="225" spans="1:17" hidden="1" x14ac:dyDescent="0.2">
      <c r="A225" s="4" t="s">
        <v>2160</v>
      </c>
      <c r="B225" s="4">
        <v>0</v>
      </c>
      <c r="C225" s="4" t="s">
        <v>2160</v>
      </c>
      <c r="D225" s="4" t="s">
        <v>2161</v>
      </c>
      <c r="E225" s="4" t="s">
        <v>2108</v>
      </c>
      <c r="F225" s="4">
        <v>-1</v>
      </c>
      <c r="G225" s="4">
        <v>0</v>
      </c>
      <c r="H225" s="4">
        <v>0</v>
      </c>
      <c r="K225" s="4">
        <v>0</v>
      </c>
      <c r="N225" s="4">
        <v>0</v>
      </c>
      <c r="O225" s="4">
        <v>0</v>
      </c>
      <c r="P225" s="4" t="str">
        <f t="shared" si="3"/>
        <v>CALCDESC.CE_LEVEL</v>
      </c>
      <c r="Q225" s="4" t="str">
        <f>VLOOKUP(Cobra8.5[[#This Row],[Table.Column]],ColumnMapping[Old Table.Column],1,)</f>
        <v>CALCDESC.CE_LEVEL</v>
      </c>
    </row>
    <row r="226" spans="1:17" hidden="1" x14ac:dyDescent="0.2">
      <c r="A226" s="4" t="s">
        <v>2160</v>
      </c>
      <c r="B226" s="4">
        <v>0</v>
      </c>
      <c r="C226" s="4" t="s">
        <v>2160</v>
      </c>
      <c r="D226" s="4" t="s">
        <v>1098</v>
      </c>
      <c r="E226" s="4" t="s">
        <v>86</v>
      </c>
      <c r="F226" s="4">
        <v>59</v>
      </c>
      <c r="G226" s="4">
        <v>0</v>
      </c>
      <c r="H226" s="4">
        <v>0</v>
      </c>
      <c r="K226" s="4">
        <v>0</v>
      </c>
      <c r="N226" s="4">
        <v>0</v>
      </c>
      <c r="O226" s="4">
        <v>0</v>
      </c>
      <c r="P226" s="4" t="str">
        <f t="shared" si="3"/>
        <v>CALCDESC.CECODE</v>
      </c>
      <c r="Q226" s="4" t="str">
        <f>VLOOKUP(Cobra8.5[[#This Row],[Table.Column]],ColumnMapping[Old Table.Column],1,)</f>
        <v>CALCDESC.CECODE</v>
      </c>
    </row>
    <row r="227" spans="1:17" hidden="1" x14ac:dyDescent="0.2">
      <c r="A227" s="4" t="s">
        <v>2160</v>
      </c>
      <c r="B227" s="4">
        <v>0</v>
      </c>
      <c r="C227" s="4" t="s">
        <v>2160</v>
      </c>
      <c r="D227" s="4" t="s">
        <v>2162</v>
      </c>
      <c r="E227" s="4" t="s">
        <v>86</v>
      </c>
      <c r="F227" s="4">
        <v>254</v>
      </c>
      <c r="G227" s="4">
        <v>0</v>
      </c>
      <c r="H227" s="4">
        <v>0</v>
      </c>
      <c r="K227" s="4">
        <v>0</v>
      </c>
      <c r="N227" s="4">
        <v>0</v>
      </c>
      <c r="O227" s="4">
        <v>0</v>
      </c>
      <c r="P227" s="4" t="str">
        <f t="shared" si="3"/>
        <v>CALCDESC.CEDESC</v>
      </c>
      <c r="Q227" s="4" t="str">
        <f>VLOOKUP(Cobra8.5[[#This Row],[Table.Column]],ColumnMapping[Old Table.Column],1,)</f>
        <v>CALCDESC.CEDESC</v>
      </c>
    </row>
    <row r="228" spans="1:17" hidden="1" x14ac:dyDescent="0.2">
      <c r="A228" s="4" t="s">
        <v>2160</v>
      </c>
      <c r="B228" s="4">
        <v>0</v>
      </c>
      <c r="C228" s="4" t="s">
        <v>2160</v>
      </c>
      <c r="D228" s="4" t="s">
        <v>76</v>
      </c>
      <c r="E228" s="4" t="s">
        <v>86</v>
      </c>
      <c r="F228" s="4">
        <v>59</v>
      </c>
      <c r="G228" s="4">
        <v>0</v>
      </c>
      <c r="H228" s="4">
        <v>0</v>
      </c>
      <c r="K228" s="4">
        <v>0</v>
      </c>
      <c r="N228" s="4">
        <v>0</v>
      </c>
      <c r="O228" s="4">
        <v>0</v>
      </c>
      <c r="P228" s="4" t="str">
        <f t="shared" si="3"/>
        <v>CALCDESC.D1</v>
      </c>
      <c r="Q228" s="4" t="str">
        <f>VLOOKUP(Cobra8.5[[#This Row],[Table.Column]],ColumnMapping[Old Table.Column],1,)</f>
        <v>CALCDESC.D1</v>
      </c>
    </row>
    <row r="229" spans="1:17" hidden="1" x14ac:dyDescent="0.2">
      <c r="A229" s="4" t="s">
        <v>2160</v>
      </c>
      <c r="B229" s="4">
        <v>0</v>
      </c>
      <c r="C229" s="4" t="s">
        <v>2160</v>
      </c>
      <c r="D229" s="4" t="s">
        <v>77</v>
      </c>
      <c r="E229" s="4" t="s">
        <v>86</v>
      </c>
      <c r="F229" s="4">
        <v>59</v>
      </c>
      <c r="G229" s="4">
        <v>0</v>
      </c>
      <c r="H229" s="4">
        <v>0</v>
      </c>
      <c r="K229" s="4">
        <v>0</v>
      </c>
      <c r="N229" s="4">
        <v>0</v>
      </c>
      <c r="O229" s="4">
        <v>0</v>
      </c>
      <c r="P229" s="4" t="str">
        <f t="shared" si="3"/>
        <v>CALCDESC.D2</v>
      </c>
      <c r="Q229" s="4" t="str">
        <f>VLOOKUP(Cobra8.5[[#This Row],[Table.Column]],ColumnMapping[Old Table.Column],1,)</f>
        <v>CALCDESC.D2</v>
      </c>
    </row>
    <row r="230" spans="1:17" hidden="1" x14ac:dyDescent="0.2">
      <c r="A230" s="4" t="s">
        <v>2160</v>
      </c>
      <c r="B230" s="4">
        <v>0</v>
      </c>
      <c r="C230" s="4" t="s">
        <v>2160</v>
      </c>
      <c r="D230" s="4" t="s">
        <v>78</v>
      </c>
      <c r="E230" s="4" t="s">
        <v>86</v>
      </c>
      <c r="F230" s="4">
        <v>59</v>
      </c>
      <c r="G230" s="4">
        <v>0</v>
      </c>
      <c r="H230" s="4">
        <v>0</v>
      </c>
      <c r="K230" s="4">
        <v>0</v>
      </c>
      <c r="N230" s="4">
        <v>0</v>
      </c>
      <c r="O230" s="4">
        <v>0</v>
      </c>
      <c r="P230" s="4" t="str">
        <f t="shared" si="3"/>
        <v>CALCDESC.D3</v>
      </c>
      <c r="Q230" s="4" t="str">
        <f>VLOOKUP(Cobra8.5[[#This Row],[Table.Column]],ColumnMapping[Old Table.Column],1,)</f>
        <v>CALCDESC.D3</v>
      </c>
    </row>
    <row r="231" spans="1:17" hidden="1" x14ac:dyDescent="0.2">
      <c r="A231" s="4" t="s">
        <v>2160</v>
      </c>
      <c r="B231" s="4">
        <v>0</v>
      </c>
      <c r="C231" s="4" t="s">
        <v>2160</v>
      </c>
      <c r="D231" s="4" t="s">
        <v>79</v>
      </c>
      <c r="E231" s="4" t="s">
        <v>86</v>
      </c>
      <c r="F231" s="4">
        <v>59</v>
      </c>
      <c r="G231" s="4">
        <v>0</v>
      </c>
      <c r="H231" s="4">
        <v>0</v>
      </c>
      <c r="K231" s="4">
        <v>0</v>
      </c>
      <c r="N231" s="4">
        <v>0</v>
      </c>
      <c r="O231" s="4">
        <v>0</v>
      </c>
      <c r="P231" s="4" t="str">
        <f t="shared" si="3"/>
        <v>CALCDESC.D4</v>
      </c>
      <c r="Q231" s="4" t="str">
        <f>VLOOKUP(Cobra8.5[[#This Row],[Table.Column]],ColumnMapping[Old Table.Column],1,)</f>
        <v>CALCDESC.D4</v>
      </c>
    </row>
    <row r="232" spans="1:17" hidden="1" x14ac:dyDescent="0.2">
      <c r="A232" s="4" t="s">
        <v>2160</v>
      </c>
      <c r="B232" s="4">
        <v>0</v>
      </c>
      <c r="C232" s="4" t="s">
        <v>2160</v>
      </c>
      <c r="D232" s="4" t="s">
        <v>80</v>
      </c>
      <c r="E232" s="4" t="s">
        <v>86</v>
      </c>
      <c r="F232" s="4">
        <v>59</v>
      </c>
      <c r="G232" s="4">
        <v>0</v>
      </c>
      <c r="H232" s="4">
        <v>0</v>
      </c>
      <c r="K232" s="4">
        <v>0</v>
      </c>
      <c r="N232" s="4">
        <v>0</v>
      </c>
      <c r="O232" s="4">
        <v>0</v>
      </c>
      <c r="P232" s="4" t="str">
        <f t="shared" si="3"/>
        <v>CALCDESC.D5</v>
      </c>
      <c r="Q232" s="4" t="str">
        <f>VLOOKUP(Cobra8.5[[#This Row],[Table.Column]],ColumnMapping[Old Table.Column],1,)</f>
        <v>CALCDESC.D5</v>
      </c>
    </row>
    <row r="233" spans="1:17" hidden="1" x14ac:dyDescent="0.2">
      <c r="A233" s="4" t="s">
        <v>2160</v>
      </c>
      <c r="B233" s="4">
        <v>0</v>
      </c>
      <c r="C233" s="4" t="s">
        <v>2160</v>
      </c>
      <c r="D233" s="4" t="s">
        <v>81</v>
      </c>
      <c r="E233" s="4" t="s">
        <v>86</v>
      </c>
      <c r="F233" s="4">
        <v>59</v>
      </c>
      <c r="G233" s="4">
        <v>0</v>
      </c>
      <c r="H233" s="4">
        <v>0</v>
      </c>
      <c r="K233" s="4">
        <v>0</v>
      </c>
      <c r="N233" s="4">
        <v>0</v>
      </c>
      <c r="O233" s="4">
        <v>0</v>
      </c>
      <c r="P233" s="4" t="str">
        <f t="shared" si="3"/>
        <v>CALCDESC.D6</v>
      </c>
      <c r="Q233" s="4" t="str">
        <f>VLOOKUP(Cobra8.5[[#This Row],[Table.Column]],ColumnMapping[Old Table.Column],1,)</f>
        <v>CALCDESC.D6</v>
      </c>
    </row>
    <row r="234" spans="1:17" hidden="1" x14ac:dyDescent="0.2">
      <c r="A234" s="4" t="s">
        <v>2160</v>
      </c>
      <c r="B234" s="4">
        <v>0</v>
      </c>
      <c r="C234" s="4" t="s">
        <v>2160</v>
      </c>
      <c r="D234" s="4" t="s">
        <v>82</v>
      </c>
      <c r="E234" s="4" t="s">
        <v>86</v>
      </c>
      <c r="F234" s="4">
        <v>59</v>
      </c>
      <c r="G234" s="4">
        <v>0</v>
      </c>
      <c r="H234" s="4">
        <v>0</v>
      </c>
      <c r="K234" s="4">
        <v>0</v>
      </c>
      <c r="N234" s="4">
        <v>0</v>
      </c>
      <c r="O234" s="4">
        <v>0</v>
      </c>
      <c r="P234" s="4" t="str">
        <f t="shared" si="3"/>
        <v>CALCDESC.D7</v>
      </c>
      <c r="Q234" s="4" t="str">
        <f>VLOOKUP(Cobra8.5[[#This Row],[Table.Column]],ColumnMapping[Old Table.Column],1,)</f>
        <v>CALCDESC.D7</v>
      </c>
    </row>
    <row r="235" spans="1:17" hidden="1" x14ac:dyDescent="0.2">
      <c r="A235" s="4" t="s">
        <v>2160</v>
      </c>
      <c r="B235" s="4">
        <v>0</v>
      </c>
      <c r="C235" s="4" t="s">
        <v>2160</v>
      </c>
      <c r="D235" s="4" t="s">
        <v>83</v>
      </c>
      <c r="E235" s="4" t="s">
        <v>86</v>
      </c>
      <c r="F235" s="4">
        <v>59</v>
      </c>
      <c r="G235" s="4">
        <v>0</v>
      </c>
      <c r="H235" s="4">
        <v>0</v>
      </c>
      <c r="K235" s="4">
        <v>0</v>
      </c>
      <c r="N235" s="4">
        <v>0</v>
      </c>
      <c r="O235" s="4">
        <v>0</v>
      </c>
      <c r="P235" s="4" t="str">
        <f t="shared" si="3"/>
        <v>CALCDESC.D8</v>
      </c>
      <c r="Q235" s="4" t="str">
        <f>VLOOKUP(Cobra8.5[[#This Row],[Table.Column]],ColumnMapping[Old Table.Column],1,)</f>
        <v>CALCDESC.D8</v>
      </c>
    </row>
    <row r="236" spans="1:17" hidden="1" x14ac:dyDescent="0.2">
      <c r="A236" s="4" t="s">
        <v>2160</v>
      </c>
      <c r="B236" s="4">
        <v>0</v>
      </c>
      <c r="C236" s="4" t="s">
        <v>2160</v>
      </c>
      <c r="D236" s="4" t="s">
        <v>84</v>
      </c>
      <c r="E236" s="4" t="s">
        <v>86</v>
      </c>
      <c r="F236" s="4">
        <v>59</v>
      </c>
      <c r="G236" s="4">
        <v>0</v>
      </c>
      <c r="H236" s="4">
        <v>0</v>
      </c>
      <c r="K236" s="4">
        <v>0</v>
      </c>
      <c r="N236" s="4">
        <v>0</v>
      </c>
      <c r="O236" s="4">
        <v>0</v>
      </c>
      <c r="P236" s="4" t="str">
        <f t="shared" si="3"/>
        <v>CALCDESC.D9</v>
      </c>
      <c r="Q236" s="4" t="str">
        <f>VLOOKUP(Cobra8.5[[#This Row],[Table.Column]],ColumnMapping[Old Table.Column],1,)</f>
        <v>CALCDESC.D9</v>
      </c>
    </row>
    <row r="237" spans="1:17" hidden="1" x14ac:dyDescent="0.2">
      <c r="A237" s="4" t="s">
        <v>2160</v>
      </c>
      <c r="B237" s="4">
        <v>0</v>
      </c>
      <c r="C237" s="4" t="s">
        <v>2160</v>
      </c>
      <c r="D237" s="4" t="s">
        <v>1015</v>
      </c>
      <c r="E237" s="4" t="s">
        <v>86</v>
      </c>
      <c r="F237" s="4">
        <v>59</v>
      </c>
      <c r="G237" s="4">
        <v>0</v>
      </c>
      <c r="H237" s="4">
        <v>0</v>
      </c>
      <c r="K237" s="4">
        <v>0</v>
      </c>
      <c r="N237" s="4">
        <v>0</v>
      </c>
      <c r="O237" s="4">
        <v>0</v>
      </c>
      <c r="P237" s="4" t="str">
        <f t="shared" si="3"/>
        <v>CALCDESC.EOC</v>
      </c>
      <c r="Q237" s="4" t="str">
        <f>VLOOKUP(Cobra8.5[[#This Row],[Table.Column]],ColumnMapping[Old Table.Column],1,)</f>
        <v>CALCDESC.EOC</v>
      </c>
    </row>
    <row r="238" spans="1:17" hidden="1" x14ac:dyDescent="0.2">
      <c r="A238" s="4" t="s">
        <v>2160</v>
      </c>
      <c r="B238" s="4">
        <v>0</v>
      </c>
      <c r="C238" s="4" t="s">
        <v>2160</v>
      </c>
      <c r="D238" s="4" t="s">
        <v>2111</v>
      </c>
      <c r="E238" s="4" t="s">
        <v>356</v>
      </c>
      <c r="F238" s="4">
        <v>-1</v>
      </c>
      <c r="G238" s="4">
        <v>0</v>
      </c>
      <c r="H238" s="4">
        <v>0</v>
      </c>
      <c r="K238" s="4">
        <v>0</v>
      </c>
      <c r="N238" s="4">
        <v>0</v>
      </c>
      <c r="O238" s="4">
        <v>0</v>
      </c>
      <c r="P238" s="4" t="str">
        <f t="shared" si="3"/>
        <v>CALCDESC.LASTUPDATE</v>
      </c>
      <c r="Q238" s="4" t="str">
        <f>VLOOKUP(Cobra8.5[[#This Row],[Table.Column]],ColumnMapping[Old Table.Column],1,)</f>
        <v>CALCDESC.LASTUPDATE</v>
      </c>
    </row>
    <row r="239" spans="1:17" hidden="1" x14ac:dyDescent="0.2">
      <c r="A239" s="4" t="s">
        <v>2160</v>
      </c>
      <c r="B239" s="4">
        <v>0</v>
      </c>
      <c r="C239" s="4" t="s">
        <v>2160</v>
      </c>
      <c r="D239" s="4" t="s">
        <v>2145</v>
      </c>
      <c r="E239" s="4" t="s">
        <v>2108</v>
      </c>
      <c r="F239" s="4">
        <v>-1</v>
      </c>
      <c r="G239" s="4">
        <v>0</v>
      </c>
      <c r="H239" s="4">
        <v>0</v>
      </c>
      <c r="K239" s="4">
        <v>0</v>
      </c>
      <c r="N239" s="4">
        <v>0</v>
      </c>
      <c r="O239" s="4">
        <v>0</v>
      </c>
      <c r="P239" s="4" t="str">
        <f t="shared" si="3"/>
        <v>CALCDESC.NUMCHILD</v>
      </c>
      <c r="Q239" s="4" t="str">
        <f>VLOOKUP(Cobra8.5[[#This Row],[Table.Column]],ColumnMapping[Old Table.Column],1,)</f>
        <v>CALCDESC.NUMCHILD</v>
      </c>
    </row>
    <row r="240" spans="1:17" hidden="1" x14ac:dyDescent="0.2">
      <c r="A240" s="4" t="s">
        <v>2160</v>
      </c>
      <c r="B240" s="4">
        <v>0</v>
      </c>
      <c r="C240" s="4" t="s">
        <v>2160</v>
      </c>
      <c r="D240" s="4" t="s">
        <v>2146</v>
      </c>
      <c r="E240" s="4" t="s">
        <v>86</v>
      </c>
      <c r="F240" s="4">
        <v>59</v>
      </c>
      <c r="G240" s="4">
        <v>0</v>
      </c>
      <c r="H240" s="4">
        <v>0</v>
      </c>
      <c r="K240" s="4">
        <v>0</v>
      </c>
      <c r="N240" s="4">
        <v>0</v>
      </c>
      <c r="O240" s="4">
        <v>0</v>
      </c>
      <c r="P240" s="4" t="str">
        <f t="shared" si="3"/>
        <v>CALCDESC.PARENT</v>
      </c>
      <c r="Q240" s="4" t="str">
        <f>VLOOKUP(Cobra8.5[[#This Row],[Table.Column]],ColumnMapping[Old Table.Column],1,)</f>
        <v>CALCDESC.PARENT</v>
      </c>
    </row>
    <row r="241" spans="1:17" hidden="1" x14ac:dyDescent="0.2">
      <c r="A241" s="4" t="s">
        <v>2160</v>
      </c>
      <c r="B241" s="4">
        <v>0</v>
      </c>
      <c r="C241" s="4" t="s">
        <v>2160</v>
      </c>
      <c r="D241" s="4" t="s">
        <v>35</v>
      </c>
      <c r="E241" s="4" t="s">
        <v>2108</v>
      </c>
      <c r="F241" s="4">
        <v>-1</v>
      </c>
      <c r="G241" s="4">
        <v>0</v>
      </c>
      <c r="H241" s="4">
        <v>0</v>
      </c>
      <c r="K241" s="4">
        <v>0</v>
      </c>
      <c r="N241" s="4">
        <v>0</v>
      </c>
      <c r="O241" s="4">
        <v>0</v>
      </c>
      <c r="P241" s="4" t="str">
        <f t="shared" si="3"/>
        <v>CALCDESC.SEQUENCE</v>
      </c>
      <c r="Q241" s="4" t="str">
        <f>VLOOKUP(Cobra8.5[[#This Row],[Table.Column]],ColumnMapping[Old Table.Column],1,)</f>
        <v>CALCDESC.SEQUENCE</v>
      </c>
    </row>
    <row r="242" spans="1:17" hidden="1" x14ac:dyDescent="0.2">
      <c r="A242" s="4" t="s">
        <v>2160</v>
      </c>
      <c r="B242" s="4">
        <v>0</v>
      </c>
      <c r="C242" s="4" t="s">
        <v>2160</v>
      </c>
      <c r="D242" s="4" t="s">
        <v>85</v>
      </c>
      <c r="E242" s="4" t="s">
        <v>86</v>
      </c>
      <c r="F242" s="4">
        <v>60</v>
      </c>
      <c r="G242" s="4">
        <v>0</v>
      </c>
      <c r="H242" s="4">
        <v>0</v>
      </c>
      <c r="K242" s="4">
        <v>0</v>
      </c>
      <c r="N242" s="4">
        <v>0</v>
      </c>
      <c r="O242" s="4">
        <v>0</v>
      </c>
      <c r="P242" s="4" t="str">
        <f t="shared" si="3"/>
        <v>CALCDESC.TAG</v>
      </c>
      <c r="Q242" s="4" t="str">
        <f>VLOOKUP(Cobra8.5[[#This Row],[Table.Column]],ColumnMapping[Old Table.Column],1,)</f>
        <v>CALCDESC.TAG</v>
      </c>
    </row>
    <row r="243" spans="1:17" hidden="1" x14ac:dyDescent="0.2">
      <c r="A243" s="4" t="s">
        <v>2160</v>
      </c>
      <c r="B243" s="4">
        <v>0</v>
      </c>
      <c r="C243" s="4" t="s">
        <v>2160</v>
      </c>
      <c r="D243" s="4" t="s">
        <v>1552</v>
      </c>
      <c r="E243" s="4" t="s">
        <v>2124</v>
      </c>
      <c r="F243" s="4">
        <v>5</v>
      </c>
      <c r="G243" s="4">
        <v>2</v>
      </c>
      <c r="H243" s="4">
        <v>0</v>
      </c>
      <c r="K243" s="4">
        <v>0</v>
      </c>
      <c r="N243" s="4">
        <v>0</v>
      </c>
      <c r="O243" s="4">
        <v>0</v>
      </c>
      <c r="P243" s="4" t="str">
        <f t="shared" si="3"/>
        <v>CALCDESC.TH_CAPF</v>
      </c>
      <c r="Q243" s="4" t="str">
        <f>VLOOKUP(Cobra8.5[[#This Row],[Table.Column]],ColumnMapping[Old Table.Column],1,)</f>
        <v>CALCDESC.TH_CAPF</v>
      </c>
    </row>
    <row r="244" spans="1:17" hidden="1" x14ac:dyDescent="0.2">
      <c r="A244" s="4" t="s">
        <v>2160</v>
      </c>
      <c r="B244" s="4">
        <v>0</v>
      </c>
      <c r="C244" s="4" t="s">
        <v>2160</v>
      </c>
      <c r="D244" s="4" t="s">
        <v>1554</v>
      </c>
      <c r="E244" s="4" t="s">
        <v>2124</v>
      </c>
      <c r="F244" s="4">
        <v>5</v>
      </c>
      <c r="G244" s="4">
        <v>2</v>
      </c>
      <c r="H244" s="4">
        <v>0</v>
      </c>
      <c r="K244" s="4">
        <v>0</v>
      </c>
      <c r="N244" s="4">
        <v>0</v>
      </c>
      <c r="O244" s="4">
        <v>0</v>
      </c>
      <c r="P244" s="4" t="str">
        <f t="shared" si="3"/>
        <v>CALCDESC.TH_CAPU</v>
      </c>
      <c r="Q244" s="4" t="str">
        <f>VLOOKUP(Cobra8.5[[#This Row],[Table.Column]],ColumnMapping[Old Table.Column],1,)</f>
        <v>CALCDESC.TH_CAPU</v>
      </c>
    </row>
    <row r="245" spans="1:17" hidden="1" x14ac:dyDescent="0.2">
      <c r="A245" s="4" t="s">
        <v>2160</v>
      </c>
      <c r="B245" s="4">
        <v>0</v>
      </c>
      <c r="C245" s="4" t="s">
        <v>2160</v>
      </c>
      <c r="D245" s="4" t="s">
        <v>1556</v>
      </c>
      <c r="E245" s="4" t="s">
        <v>2124</v>
      </c>
      <c r="F245" s="4">
        <v>21</v>
      </c>
      <c r="G245" s="4">
        <v>6</v>
      </c>
      <c r="H245" s="4">
        <v>0</v>
      </c>
      <c r="K245" s="4">
        <v>0</v>
      </c>
      <c r="N245" s="4">
        <v>0</v>
      </c>
      <c r="O245" s="4">
        <v>0</v>
      </c>
      <c r="P245" s="4" t="str">
        <f t="shared" si="3"/>
        <v>CALCDESC.TH_CAVF</v>
      </c>
      <c r="Q245" s="4" t="str">
        <f>VLOOKUP(Cobra8.5[[#This Row],[Table.Column]],ColumnMapping[Old Table.Column],1,)</f>
        <v>CALCDESC.TH_CAVF</v>
      </c>
    </row>
    <row r="246" spans="1:17" hidden="1" x14ac:dyDescent="0.2">
      <c r="A246" s="4" t="s">
        <v>2160</v>
      </c>
      <c r="B246" s="4">
        <v>0</v>
      </c>
      <c r="C246" s="4" t="s">
        <v>2160</v>
      </c>
      <c r="D246" s="4" t="s">
        <v>1558</v>
      </c>
      <c r="E246" s="4" t="s">
        <v>2124</v>
      </c>
      <c r="F246" s="4">
        <v>21</v>
      </c>
      <c r="G246" s="4">
        <v>6</v>
      </c>
      <c r="H246" s="4">
        <v>0</v>
      </c>
      <c r="K246" s="4">
        <v>0</v>
      </c>
      <c r="N246" s="4">
        <v>0</v>
      </c>
      <c r="O246" s="4">
        <v>0</v>
      </c>
      <c r="P246" s="4" t="str">
        <f t="shared" si="3"/>
        <v>CALCDESC.TH_CAVU</v>
      </c>
      <c r="Q246" s="4" t="str">
        <f>VLOOKUP(Cobra8.5[[#This Row],[Table.Column]],ColumnMapping[Old Table.Column],1,)</f>
        <v>CALCDESC.TH_CAVU</v>
      </c>
    </row>
    <row r="247" spans="1:17" hidden="1" x14ac:dyDescent="0.2">
      <c r="A247" s="4" t="s">
        <v>2160</v>
      </c>
      <c r="B247" s="4">
        <v>0</v>
      </c>
      <c r="C247" s="4" t="s">
        <v>2160</v>
      </c>
      <c r="D247" s="4" t="s">
        <v>1560</v>
      </c>
      <c r="E247" s="4" t="s">
        <v>2124</v>
      </c>
      <c r="F247" s="4">
        <v>5</v>
      </c>
      <c r="G247" s="4">
        <v>2</v>
      </c>
      <c r="H247" s="4">
        <v>0</v>
      </c>
      <c r="K247" s="4">
        <v>0</v>
      </c>
      <c r="N247" s="4">
        <v>0</v>
      </c>
      <c r="O247" s="4">
        <v>0</v>
      </c>
      <c r="P247" s="4" t="str">
        <f t="shared" si="3"/>
        <v>CALCDESC.TH_CCPF</v>
      </c>
      <c r="Q247" s="4" t="str">
        <f>VLOOKUP(Cobra8.5[[#This Row],[Table.Column]],ColumnMapping[Old Table.Column],1,)</f>
        <v>CALCDESC.TH_CCPF</v>
      </c>
    </row>
    <row r="248" spans="1:17" hidden="1" x14ac:dyDescent="0.2">
      <c r="A248" s="4" t="s">
        <v>2160</v>
      </c>
      <c r="B248" s="4">
        <v>0</v>
      </c>
      <c r="C248" s="4" t="s">
        <v>2160</v>
      </c>
      <c r="D248" s="4" t="s">
        <v>1562</v>
      </c>
      <c r="E248" s="4" t="s">
        <v>2124</v>
      </c>
      <c r="F248" s="4">
        <v>5</v>
      </c>
      <c r="G248" s="4">
        <v>2</v>
      </c>
      <c r="H248" s="4">
        <v>0</v>
      </c>
      <c r="K248" s="4">
        <v>0</v>
      </c>
      <c r="N248" s="4">
        <v>0</v>
      </c>
      <c r="O248" s="4">
        <v>0</v>
      </c>
      <c r="P248" s="4" t="str">
        <f t="shared" si="3"/>
        <v>CALCDESC.TH_CCPU</v>
      </c>
      <c r="Q248" s="4" t="str">
        <f>VLOOKUP(Cobra8.5[[#This Row],[Table.Column]],ColumnMapping[Old Table.Column],1,)</f>
        <v>CALCDESC.TH_CCPU</v>
      </c>
    </row>
    <row r="249" spans="1:17" hidden="1" x14ac:dyDescent="0.2">
      <c r="A249" s="4" t="s">
        <v>2160</v>
      </c>
      <c r="B249" s="4">
        <v>0</v>
      </c>
      <c r="C249" s="4" t="s">
        <v>2160</v>
      </c>
      <c r="D249" s="4" t="s">
        <v>1564</v>
      </c>
      <c r="E249" s="4" t="s">
        <v>2124</v>
      </c>
      <c r="F249" s="4">
        <v>21</v>
      </c>
      <c r="G249" s="4">
        <v>6</v>
      </c>
      <c r="H249" s="4">
        <v>0</v>
      </c>
      <c r="K249" s="4">
        <v>0</v>
      </c>
      <c r="N249" s="4">
        <v>0</v>
      </c>
      <c r="O249" s="4">
        <v>0</v>
      </c>
      <c r="P249" s="4" t="str">
        <f t="shared" si="3"/>
        <v>CALCDESC.TH_CCVF</v>
      </c>
      <c r="Q249" s="4" t="str">
        <f>VLOOKUP(Cobra8.5[[#This Row],[Table.Column]],ColumnMapping[Old Table.Column],1,)</f>
        <v>CALCDESC.TH_CCVF</v>
      </c>
    </row>
    <row r="250" spans="1:17" hidden="1" x14ac:dyDescent="0.2">
      <c r="A250" s="4" t="s">
        <v>2160</v>
      </c>
      <c r="B250" s="4">
        <v>0</v>
      </c>
      <c r="C250" s="4" t="s">
        <v>2160</v>
      </c>
      <c r="D250" s="4" t="s">
        <v>1566</v>
      </c>
      <c r="E250" s="4" t="s">
        <v>2124</v>
      </c>
      <c r="F250" s="4">
        <v>21</v>
      </c>
      <c r="G250" s="4">
        <v>6</v>
      </c>
      <c r="H250" s="4">
        <v>0</v>
      </c>
      <c r="K250" s="4">
        <v>0</v>
      </c>
      <c r="N250" s="4">
        <v>0</v>
      </c>
      <c r="O250" s="4">
        <v>0</v>
      </c>
      <c r="P250" s="4" t="str">
        <f t="shared" si="3"/>
        <v>CALCDESC.TH_CCVU</v>
      </c>
      <c r="Q250" s="4" t="str">
        <f>VLOOKUP(Cobra8.5[[#This Row],[Table.Column]],ColumnMapping[Old Table.Column],1,)</f>
        <v>CALCDESC.TH_CCVU</v>
      </c>
    </row>
    <row r="251" spans="1:17" hidden="1" x14ac:dyDescent="0.2">
      <c r="A251" s="4" t="s">
        <v>2160</v>
      </c>
      <c r="B251" s="4">
        <v>0</v>
      </c>
      <c r="C251" s="4" t="s">
        <v>2160</v>
      </c>
      <c r="D251" s="4" t="s">
        <v>1568</v>
      </c>
      <c r="E251" s="4" t="s">
        <v>2124</v>
      </c>
      <c r="F251" s="4">
        <v>5</v>
      </c>
      <c r="G251" s="4">
        <v>2</v>
      </c>
      <c r="H251" s="4">
        <v>0</v>
      </c>
      <c r="K251" s="4">
        <v>0</v>
      </c>
      <c r="N251" s="4">
        <v>0</v>
      </c>
      <c r="O251" s="4">
        <v>0</v>
      </c>
      <c r="P251" s="4" t="str">
        <f t="shared" si="3"/>
        <v>CALCDESC.TH_CPPF</v>
      </c>
      <c r="Q251" s="4" t="str">
        <f>VLOOKUP(Cobra8.5[[#This Row],[Table.Column]],ColumnMapping[Old Table.Column],1,)</f>
        <v>CALCDESC.TH_CPPF</v>
      </c>
    </row>
    <row r="252" spans="1:17" hidden="1" x14ac:dyDescent="0.2">
      <c r="A252" s="4" t="s">
        <v>2160</v>
      </c>
      <c r="B252" s="4">
        <v>0</v>
      </c>
      <c r="C252" s="4" t="s">
        <v>2160</v>
      </c>
      <c r="D252" s="4" t="s">
        <v>1570</v>
      </c>
      <c r="E252" s="4" t="s">
        <v>2124</v>
      </c>
      <c r="F252" s="4">
        <v>5</v>
      </c>
      <c r="G252" s="4">
        <v>2</v>
      </c>
      <c r="H252" s="4">
        <v>0</v>
      </c>
      <c r="K252" s="4">
        <v>0</v>
      </c>
      <c r="N252" s="4">
        <v>0</v>
      </c>
      <c r="O252" s="4">
        <v>0</v>
      </c>
      <c r="P252" s="4" t="str">
        <f t="shared" si="3"/>
        <v>CALCDESC.TH_CPPU</v>
      </c>
      <c r="Q252" s="4" t="str">
        <f>VLOOKUP(Cobra8.5[[#This Row],[Table.Column]],ColumnMapping[Old Table.Column],1,)</f>
        <v>CALCDESC.TH_CPPU</v>
      </c>
    </row>
    <row r="253" spans="1:17" hidden="1" x14ac:dyDescent="0.2">
      <c r="A253" s="4" t="s">
        <v>2160</v>
      </c>
      <c r="B253" s="4">
        <v>0</v>
      </c>
      <c r="C253" s="4" t="s">
        <v>2160</v>
      </c>
      <c r="D253" s="4" t="s">
        <v>1572</v>
      </c>
      <c r="E253" s="4" t="s">
        <v>2124</v>
      </c>
      <c r="F253" s="4">
        <v>21</v>
      </c>
      <c r="G253" s="4">
        <v>6</v>
      </c>
      <c r="H253" s="4">
        <v>0</v>
      </c>
      <c r="K253" s="4">
        <v>0</v>
      </c>
      <c r="N253" s="4">
        <v>0</v>
      </c>
      <c r="O253" s="4">
        <v>0</v>
      </c>
      <c r="P253" s="4" t="str">
        <f t="shared" si="3"/>
        <v>CALCDESC.TH_CPVF</v>
      </c>
      <c r="Q253" s="4" t="str">
        <f>VLOOKUP(Cobra8.5[[#This Row],[Table.Column]],ColumnMapping[Old Table.Column],1,)</f>
        <v>CALCDESC.TH_CPVF</v>
      </c>
    </row>
    <row r="254" spans="1:17" hidden="1" x14ac:dyDescent="0.2">
      <c r="A254" s="4" t="s">
        <v>2160</v>
      </c>
      <c r="B254" s="4">
        <v>0</v>
      </c>
      <c r="C254" s="4" t="s">
        <v>2160</v>
      </c>
      <c r="D254" s="4" t="s">
        <v>1574</v>
      </c>
      <c r="E254" s="4" t="s">
        <v>2124</v>
      </c>
      <c r="F254" s="4">
        <v>21</v>
      </c>
      <c r="G254" s="4">
        <v>6</v>
      </c>
      <c r="H254" s="4">
        <v>0</v>
      </c>
      <c r="K254" s="4">
        <v>0</v>
      </c>
      <c r="N254" s="4">
        <v>0</v>
      </c>
      <c r="O254" s="4">
        <v>0</v>
      </c>
      <c r="P254" s="4" t="str">
        <f t="shared" si="3"/>
        <v>CALCDESC.TH_CPVU</v>
      </c>
      <c r="Q254" s="4" t="str">
        <f>VLOOKUP(Cobra8.5[[#This Row],[Table.Column]],ColumnMapping[Old Table.Column],1,)</f>
        <v>CALCDESC.TH_CPVU</v>
      </c>
    </row>
    <row r="255" spans="1:17" hidden="1" x14ac:dyDescent="0.2">
      <c r="A255" s="4" t="s">
        <v>2160</v>
      </c>
      <c r="B255" s="4">
        <v>0</v>
      </c>
      <c r="C255" s="4" t="s">
        <v>2160</v>
      </c>
      <c r="D255" s="4" t="s">
        <v>1576</v>
      </c>
      <c r="E255" s="4" t="s">
        <v>2124</v>
      </c>
      <c r="F255" s="4">
        <v>5</v>
      </c>
      <c r="G255" s="4">
        <v>2</v>
      </c>
      <c r="H255" s="4">
        <v>0</v>
      </c>
      <c r="K255" s="4">
        <v>0</v>
      </c>
      <c r="N255" s="4">
        <v>0</v>
      </c>
      <c r="O255" s="4">
        <v>0</v>
      </c>
      <c r="P255" s="4" t="str">
        <f t="shared" si="3"/>
        <v>CALCDESC.TH_SCPF</v>
      </c>
      <c r="Q255" s="4" t="str">
        <f>VLOOKUP(Cobra8.5[[#This Row],[Table.Column]],ColumnMapping[Old Table.Column],1,)</f>
        <v>CALCDESC.TH_SCPF</v>
      </c>
    </row>
    <row r="256" spans="1:17" hidden="1" x14ac:dyDescent="0.2">
      <c r="A256" s="4" t="s">
        <v>2160</v>
      </c>
      <c r="B256" s="4">
        <v>0</v>
      </c>
      <c r="C256" s="4" t="s">
        <v>2160</v>
      </c>
      <c r="D256" s="4" t="s">
        <v>1578</v>
      </c>
      <c r="E256" s="4" t="s">
        <v>2124</v>
      </c>
      <c r="F256" s="4">
        <v>5</v>
      </c>
      <c r="G256" s="4">
        <v>2</v>
      </c>
      <c r="H256" s="4">
        <v>0</v>
      </c>
      <c r="K256" s="4">
        <v>0</v>
      </c>
      <c r="N256" s="4">
        <v>0</v>
      </c>
      <c r="O256" s="4">
        <v>0</v>
      </c>
      <c r="P256" s="4" t="str">
        <f t="shared" si="3"/>
        <v>CALCDESC.TH_SCPU</v>
      </c>
      <c r="Q256" s="4" t="str">
        <f>VLOOKUP(Cobra8.5[[#This Row],[Table.Column]],ColumnMapping[Old Table.Column],1,)</f>
        <v>CALCDESC.TH_SCPU</v>
      </c>
    </row>
    <row r="257" spans="1:17" hidden="1" x14ac:dyDescent="0.2">
      <c r="A257" s="4" t="s">
        <v>2160</v>
      </c>
      <c r="B257" s="4">
        <v>0</v>
      </c>
      <c r="C257" s="4" t="s">
        <v>2160</v>
      </c>
      <c r="D257" s="4" t="s">
        <v>1580</v>
      </c>
      <c r="E257" s="4" t="s">
        <v>2124</v>
      </c>
      <c r="F257" s="4">
        <v>21</v>
      </c>
      <c r="G257" s="4">
        <v>6</v>
      </c>
      <c r="H257" s="4">
        <v>0</v>
      </c>
      <c r="K257" s="4">
        <v>0</v>
      </c>
      <c r="N257" s="4">
        <v>0</v>
      </c>
      <c r="O257" s="4">
        <v>0</v>
      </c>
      <c r="P257" s="4" t="str">
        <f t="shared" si="3"/>
        <v>CALCDESC.TH_SCVF</v>
      </c>
      <c r="Q257" s="4" t="str">
        <f>VLOOKUP(Cobra8.5[[#This Row],[Table.Column]],ColumnMapping[Old Table.Column],1,)</f>
        <v>CALCDESC.TH_SCVF</v>
      </c>
    </row>
    <row r="258" spans="1:17" hidden="1" x14ac:dyDescent="0.2">
      <c r="A258" s="4" t="s">
        <v>2160</v>
      </c>
      <c r="B258" s="4">
        <v>0</v>
      </c>
      <c r="C258" s="4" t="s">
        <v>2160</v>
      </c>
      <c r="D258" s="4" t="s">
        <v>1582</v>
      </c>
      <c r="E258" s="4" t="s">
        <v>2124</v>
      </c>
      <c r="F258" s="4">
        <v>21</v>
      </c>
      <c r="G258" s="4">
        <v>6</v>
      </c>
      <c r="H258" s="4">
        <v>0</v>
      </c>
      <c r="K258" s="4">
        <v>0</v>
      </c>
      <c r="N258" s="4">
        <v>0</v>
      </c>
      <c r="O258" s="4">
        <v>0</v>
      </c>
      <c r="P258" s="4" t="str">
        <f t="shared" ref="P258:P321" si="4">_xlfn.CONCAT(A258,".",D258)</f>
        <v>CALCDESC.TH_SCVU</v>
      </c>
      <c r="Q258" s="4" t="str">
        <f>VLOOKUP(Cobra8.5[[#This Row],[Table.Column]],ColumnMapping[Old Table.Column],1,)</f>
        <v>CALCDESC.TH_SCVU</v>
      </c>
    </row>
    <row r="259" spans="1:17" hidden="1" x14ac:dyDescent="0.2">
      <c r="A259" s="4" t="s">
        <v>2160</v>
      </c>
      <c r="B259" s="4">
        <v>0</v>
      </c>
      <c r="C259" s="4" t="s">
        <v>2160</v>
      </c>
      <c r="D259" s="4" t="s">
        <v>1584</v>
      </c>
      <c r="E259" s="4" t="s">
        <v>2124</v>
      </c>
      <c r="F259" s="4">
        <v>5</v>
      </c>
      <c r="G259" s="4">
        <v>2</v>
      </c>
      <c r="H259" s="4">
        <v>0</v>
      </c>
      <c r="K259" s="4">
        <v>0</v>
      </c>
      <c r="N259" s="4">
        <v>0</v>
      </c>
      <c r="O259" s="4">
        <v>0</v>
      </c>
      <c r="P259" s="4" t="str">
        <f t="shared" si="4"/>
        <v>CALCDESC.TH_SPPF</v>
      </c>
      <c r="Q259" s="4" t="str">
        <f>VLOOKUP(Cobra8.5[[#This Row],[Table.Column]],ColumnMapping[Old Table.Column],1,)</f>
        <v>CALCDESC.TH_SPPF</v>
      </c>
    </row>
    <row r="260" spans="1:17" hidden="1" x14ac:dyDescent="0.2">
      <c r="A260" s="4" t="s">
        <v>2160</v>
      </c>
      <c r="B260" s="4">
        <v>0</v>
      </c>
      <c r="C260" s="4" t="s">
        <v>2160</v>
      </c>
      <c r="D260" s="4" t="s">
        <v>1586</v>
      </c>
      <c r="E260" s="4" t="s">
        <v>2124</v>
      </c>
      <c r="F260" s="4">
        <v>5</v>
      </c>
      <c r="G260" s="4">
        <v>2</v>
      </c>
      <c r="H260" s="4">
        <v>0</v>
      </c>
      <c r="K260" s="4">
        <v>0</v>
      </c>
      <c r="N260" s="4">
        <v>0</v>
      </c>
      <c r="O260" s="4">
        <v>0</v>
      </c>
      <c r="P260" s="4" t="str">
        <f t="shared" si="4"/>
        <v>CALCDESC.TH_SPPU</v>
      </c>
      <c r="Q260" s="4" t="str">
        <f>VLOOKUP(Cobra8.5[[#This Row],[Table.Column]],ColumnMapping[Old Table.Column],1,)</f>
        <v>CALCDESC.TH_SPPU</v>
      </c>
    </row>
    <row r="261" spans="1:17" hidden="1" x14ac:dyDescent="0.2">
      <c r="A261" s="4" t="s">
        <v>2160</v>
      </c>
      <c r="B261" s="4">
        <v>0</v>
      </c>
      <c r="C261" s="4" t="s">
        <v>2160</v>
      </c>
      <c r="D261" s="4" t="s">
        <v>1588</v>
      </c>
      <c r="E261" s="4" t="s">
        <v>2124</v>
      </c>
      <c r="F261" s="4">
        <v>21</v>
      </c>
      <c r="G261" s="4">
        <v>6</v>
      </c>
      <c r="H261" s="4">
        <v>0</v>
      </c>
      <c r="K261" s="4">
        <v>0</v>
      </c>
      <c r="N261" s="4">
        <v>0</v>
      </c>
      <c r="O261" s="4">
        <v>0</v>
      </c>
      <c r="P261" s="4" t="str">
        <f t="shared" si="4"/>
        <v>CALCDESC.TH_SPVF</v>
      </c>
      <c r="Q261" s="4" t="str">
        <f>VLOOKUP(Cobra8.5[[#This Row],[Table.Column]],ColumnMapping[Old Table.Column],1,)</f>
        <v>CALCDESC.TH_SPVF</v>
      </c>
    </row>
    <row r="262" spans="1:17" hidden="1" x14ac:dyDescent="0.2">
      <c r="A262" s="4" t="s">
        <v>2160</v>
      </c>
      <c r="B262" s="4">
        <v>0</v>
      </c>
      <c r="C262" s="4" t="s">
        <v>2160</v>
      </c>
      <c r="D262" s="4" t="s">
        <v>1590</v>
      </c>
      <c r="E262" s="4" t="s">
        <v>2124</v>
      </c>
      <c r="F262" s="4">
        <v>21</v>
      </c>
      <c r="G262" s="4">
        <v>6</v>
      </c>
      <c r="H262" s="4">
        <v>0</v>
      </c>
      <c r="K262" s="4">
        <v>0</v>
      </c>
      <c r="N262" s="4">
        <v>0</v>
      </c>
      <c r="O262" s="4">
        <v>0</v>
      </c>
      <c r="P262" s="4" t="str">
        <f t="shared" si="4"/>
        <v>CALCDESC.TH_SPVU</v>
      </c>
      <c r="Q262" s="4" t="str">
        <f>VLOOKUP(Cobra8.5[[#This Row],[Table.Column]],ColumnMapping[Old Table.Column],1,)</f>
        <v>CALCDESC.TH_SPVU</v>
      </c>
    </row>
    <row r="263" spans="1:17" hidden="1" x14ac:dyDescent="0.2">
      <c r="A263" s="4" t="s">
        <v>2160</v>
      </c>
      <c r="B263" s="4">
        <v>0</v>
      </c>
      <c r="C263" s="4" t="s">
        <v>2160</v>
      </c>
      <c r="D263" s="4" t="s">
        <v>2112</v>
      </c>
      <c r="E263" s="4" t="s">
        <v>86</v>
      </c>
      <c r="F263" s="4">
        <v>20</v>
      </c>
      <c r="G263" s="4">
        <v>0</v>
      </c>
      <c r="H263" s="4">
        <v>0</v>
      </c>
      <c r="K263" s="4">
        <v>0</v>
      </c>
      <c r="N263" s="4">
        <v>0</v>
      </c>
      <c r="O263" s="4">
        <v>0</v>
      </c>
      <c r="P263" s="4" t="str">
        <f t="shared" si="4"/>
        <v>CALCDESC.USR_ID</v>
      </c>
      <c r="Q263" s="4" t="str">
        <f>VLOOKUP(Cobra8.5[[#This Row],[Table.Column]],ColumnMapping[Old Table.Column],1,)</f>
        <v>CALCDESC.USR_ID</v>
      </c>
    </row>
    <row r="264" spans="1:17" hidden="1" x14ac:dyDescent="0.2">
      <c r="A264" s="4" t="s">
        <v>2163</v>
      </c>
      <c r="B264" s="4">
        <v>0</v>
      </c>
      <c r="C264" s="4" t="s">
        <v>2163</v>
      </c>
      <c r="D264" s="4" t="s">
        <v>2164</v>
      </c>
      <c r="E264" s="4" t="s">
        <v>86</v>
      </c>
      <c r="F264" s="4">
        <v>20</v>
      </c>
      <c r="G264" s="4">
        <v>0</v>
      </c>
      <c r="H264" s="4">
        <v>0</v>
      </c>
      <c r="K264" s="4">
        <v>0</v>
      </c>
      <c r="N264" s="4">
        <v>0</v>
      </c>
      <c r="O264" s="4">
        <v>0</v>
      </c>
      <c r="P264" s="4" t="str">
        <f t="shared" si="4"/>
        <v>CALCDETL.ALIAS</v>
      </c>
      <c r="Q264" s="4" t="str">
        <f>VLOOKUP(Cobra8.5[[#This Row],[Table.Column]],ColumnMapping[Old Table.Column],1,)</f>
        <v>CALCDETL.ALIAS</v>
      </c>
    </row>
    <row r="265" spans="1:17" hidden="1" x14ac:dyDescent="0.2">
      <c r="A265" s="4" t="s">
        <v>2163</v>
      </c>
      <c r="B265" s="4">
        <v>0</v>
      </c>
      <c r="C265" s="4" t="s">
        <v>2163</v>
      </c>
      <c r="D265" s="4" t="s">
        <v>1501</v>
      </c>
      <c r="E265" s="4" t="s">
        <v>86</v>
      </c>
      <c r="F265" s="4">
        <v>22</v>
      </c>
      <c r="G265" s="4">
        <v>0</v>
      </c>
      <c r="H265" s="4">
        <v>0</v>
      </c>
      <c r="K265" s="4">
        <v>0</v>
      </c>
      <c r="N265" s="4">
        <v>0</v>
      </c>
      <c r="O265" s="4">
        <v>0</v>
      </c>
      <c r="P265" s="4" t="str">
        <f t="shared" si="4"/>
        <v>CALCDETL.CALCFILE</v>
      </c>
      <c r="Q265" s="4" t="str">
        <f>VLOOKUP(Cobra8.5[[#This Row],[Table.Column]],ColumnMapping[Old Table.Column],1,)</f>
        <v>CALCDETL.CALCFILE</v>
      </c>
    </row>
    <row r="266" spans="1:17" hidden="1" x14ac:dyDescent="0.2">
      <c r="A266" s="4" t="s">
        <v>2163</v>
      </c>
      <c r="B266" s="4">
        <v>0</v>
      </c>
      <c r="C266" s="4" t="s">
        <v>2163</v>
      </c>
      <c r="D266" s="4" t="s">
        <v>1098</v>
      </c>
      <c r="E266" s="4" t="s">
        <v>86</v>
      </c>
      <c r="F266" s="4">
        <v>59</v>
      </c>
      <c r="G266" s="4">
        <v>0</v>
      </c>
      <c r="H266" s="4">
        <v>0</v>
      </c>
      <c r="K266" s="4">
        <v>0</v>
      </c>
      <c r="N266" s="4">
        <v>0</v>
      </c>
      <c r="O266" s="4">
        <v>0</v>
      </c>
      <c r="P266" s="4" t="str">
        <f t="shared" si="4"/>
        <v>CALCDETL.CECODE</v>
      </c>
      <c r="Q266" s="4" t="str">
        <f>VLOOKUP(Cobra8.5[[#This Row],[Table.Column]],ColumnMapping[Old Table.Column],1,)</f>
        <v>CALCDETL.CECODE</v>
      </c>
    </row>
    <row r="267" spans="1:17" hidden="1" x14ac:dyDescent="0.2">
      <c r="A267" s="4" t="s">
        <v>2163</v>
      </c>
      <c r="B267" s="4">
        <v>0</v>
      </c>
      <c r="C267" s="4" t="s">
        <v>2163</v>
      </c>
      <c r="D267" s="4" t="s">
        <v>2165</v>
      </c>
      <c r="E267" s="4" t="s">
        <v>86</v>
      </c>
      <c r="F267" s="4">
        <v>1</v>
      </c>
      <c r="G267" s="4">
        <v>0</v>
      </c>
      <c r="H267" s="4">
        <v>0</v>
      </c>
      <c r="K267" s="4">
        <v>0</v>
      </c>
      <c r="N267" s="4">
        <v>0</v>
      </c>
      <c r="O267" s="4">
        <v>0</v>
      </c>
      <c r="P267" s="4" t="str">
        <f t="shared" si="4"/>
        <v>CALCDETL.CURRNCY</v>
      </c>
      <c r="Q267" s="4" t="e">
        <f>VLOOKUP(Cobra8.5[[#This Row],[Table.Column]],ColumnMapping[Old Table.Column],1,)</f>
        <v>#N/A</v>
      </c>
    </row>
    <row r="268" spans="1:17" hidden="1" x14ac:dyDescent="0.2">
      <c r="A268" s="4" t="s">
        <v>2163</v>
      </c>
      <c r="B268" s="4">
        <v>0</v>
      </c>
      <c r="C268" s="4" t="s">
        <v>2163</v>
      </c>
      <c r="D268" s="4" t="s">
        <v>2111</v>
      </c>
      <c r="E268" s="4" t="s">
        <v>356</v>
      </c>
      <c r="F268" s="4">
        <v>-1</v>
      </c>
      <c r="G268" s="4">
        <v>0</v>
      </c>
      <c r="H268" s="4">
        <v>0</v>
      </c>
      <c r="K268" s="4">
        <v>0</v>
      </c>
      <c r="N268" s="4">
        <v>0</v>
      </c>
      <c r="O268" s="4">
        <v>0</v>
      </c>
      <c r="P268" s="4" t="str">
        <f t="shared" si="4"/>
        <v>CALCDETL.LASTUPDATE</v>
      </c>
      <c r="Q268" s="4" t="str">
        <f>VLOOKUP(Cobra8.5[[#This Row],[Table.Column]],ColumnMapping[Old Table.Column],1,)</f>
        <v>CALCDETL.LASTUPDATE</v>
      </c>
    </row>
    <row r="269" spans="1:17" hidden="1" x14ac:dyDescent="0.2">
      <c r="A269" s="4" t="s">
        <v>2163</v>
      </c>
      <c r="B269" s="4">
        <v>0</v>
      </c>
      <c r="C269" s="4" t="s">
        <v>2163</v>
      </c>
      <c r="D269" s="4" t="s">
        <v>1454</v>
      </c>
      <c r="E269" s="4" t="s">
        <v>2108</v>
      </c>
      <c r="F269" s="4">
        <v>-1</v>
      </c>
      <c r="G269" s="4">
        <v>0</v>
      </c>
      <c r="H269" s="4">
        <v>0</v>
      </c>
      <c r="K269" s="4">
        <v>0</v>
      </c>
      <c r="N269" s="4">
        <v>0</v>
      </c>
      <c r="O269" s="4">
        <v>0</v>
      </c>
      <c r="P269" s="4" t="str">
        <f t="shared" si="4"/>
        <v>CALCDETL.LINE</v>
      </c>
      <c r="Q269" s="4" t="str">
        <f>VLOOKUP(Cobra8.5[[#This Row],[Table.Column]],ColumnMapping[Old Table.Column],1,)</f>
        <v>CALCDETL.LINE</v>
      </c>
    </row>
    <row r="270" spans="1:17" hidden="1" x14ac:dyDescent="0.2">
      <c r="A270" s="4" t="s">
        <v>2163</v>
      </c>
      <c r="B270" s="4">
        <v>0</v>
      </c>
      <c r="C270" s="4" t="s">
        <v>2163</v>
      </c>
      <c r="D270" s="4" t="s">
        <v>1434</v>
      </c>
      <c r="E270" s="4" t="s">
        <v>86</v>
      </c>
      <c r="F270" s="4">
        <v>59</v>
      </c>
      <c r="G270" s="4">
        <v>0</v>
      </c>
      <c r="H270" s="4">
        <v>0</v>
      </c>
      <c r="K270" s="4">
        <v>0</v>
      </c>
      <c r="N270" s="4">
        <v>0</v>
      </c>
      <c r="O270" s="4">
        <v>0</v>
      </c>
      <c r="P270" s="4" t="str">
        <f t="shared" si="4"/>
        <v>CALCDETL.RATE_TABLE</v>
      </c>
      <c r="Q270" s="4" t="str">
        <f>VLOOKUP(Cobra8.5[[#This Row],[Table.Column]],ColumnMapping[Old Table.Column],1,)</f>
        <v>CALCDETL.RATE_TABLE</v>
      </c>
    </row>
    <row r="271" spans="1:17" hidden="1" x14ac:dyDescent="0.2">
      <c r="A271" s="4" t="s">
        <v>2163</v>
      </c>
      <c r="B271" s="4">
        <v>0</v>
      </c>
      <c r="C271" s="4" t="s">
        <v>2163</v>
      </c>
      <c r="D271" s="4" t="s">
        <v>865</v>
      </c>
      <c r="E271" s="4" t="s">
        <v>86</v>
      </c>
      <c r="F271" s="4">
        <v>10</v>
      </c>
      <c r="G271" s="4">
        <v>0</v>
      </c>
      <c r="H271" s="4">
        <v>0</v>
      </c>
      <c r="K271" s="4">
        <v>0</v>
      </c>
      <c r="N271" s="4">
        <v>0</v>
      </c>
      <c r="O271" s="4">
        <v>0</v>
      </c>
      <c r="P271" s="4" t="str">
        <f t="shared" si="4"/>
        <v>CALCDETL.RESULT</v>
      </c>
      <c r="Q271" s="4" t="str">
        <f>VLOOKUP(Cobra8.5[[#This Row],[Table.Column]],ColumnMapping[Old Table.Column],1,)</f>
        <v>CALCDETL.RESULT</v>
      </c>
    </row>
    <row r="272" spans="1:17" hidden="1" x14ac:dyDescent="0.2">
      <c r="A272" s="4" t="s">
        <v>2163</v>
      </c>
      <c r="B272" s="4">
        <v>0</v>
      </c>
      <c r="C272" s="4" t="s">
        <v>2163</v>
      </c>
      <c r="D272" s="4" t="s">
        <v>35</v>
      </c>
      <c r="E272" s="4" t="s">
        <v>2108</v>
      </c>
      <c r="F272" s="4">
        <v>-1</v>
      </c>
      <c r="G272" s="4">
        <v>0</v>
      </c>
      <c r="H272" s="4">
        <v>0</v>
      </c>
      <c r="K272" s="4">
        <v>0</v>
      </c>
      <c r="N272" s="4">
        <v>0</v>
      </c>
      <c r="O272" s="4">
        <v>0</v>
      </c>
      <c r="P272" s="4" t="str">
        <f t="shared" si="4"/>
        <v>CALCDETL.SEQUENCE</v>
      </c>
      <c r="Q272" s="4" t="str">
        <f>VLOOKUP(Cobra8.5[[#This Row],[Table.Column]],ColumnMapping[Old Table.Column],1,)</f>
        <v>CALCDETL.SEQUENCE</v>
      </c>
    </row>
    <row r="273" spans="1:17" hidden="1" x14ac:dyDescent="0.2">
      <c r="A273" s="4" t="s">
        <v>2163</v>
      </c>
      <c r="C273" s="4" t="s">
        <v>2163</v>
      </c>
      <c r="D273" s="4" t="s">
        <v>2166</v>
      </c>
      <c r="E273" s="4" t="s">
        <v>86</v>
      </c>
      <c r="F273" s="4">
        <v>1</v>
      </c>
      <c r="G273" s="4">
        <v>0</v>
      </c>
      <c r="H273" s="4">
        <v>0</v>
      </c>
      <c r="K273" s="4">
        <v>0</v>
      </c>
      <c r="N273" s="4">
        <v>0</v>
      </c>
      <c r="O273" s="4">
        <v>0</v>
      </c>
      <c r="P273" s="4" t="str">
        <f t="shared" si="4"/>
        <v>CALCDETL.SORT_CODE</v>
      </c>
      <c r="Q273" s="4" t="str">
        <f>VLOOKUP(Cobra8.5[[#This Row],[Table.Column]],ColumnMapping[Old Table.Column],1,)</f>
        <v>CALCDETL.SORT_CODE</v>
      </c>
    </row>
    <row r="274" spans="1:17" hidden="1" x14ac:dyDescent="0.2">
      <c r="A274" s="4" t="s">
        <v>2163</v>
      </c>
      <c r="B274" s="4">
        <v>0</v>
      </c>
      <c r="C274" s="4" t="s">
        <v>2163</v>
      </c>
      <c r="D274" s="4" t="s">
        <v>1467</v>
      </c>
      <c r="E274" s="4" t="s">
        <v>86</v>
      </c>
      <c r="F274" s="4">
        <v>10</v>
      </c>
      <c r="G274" s="4">
        <v>0</v>
      </c>
      <c r="H274" s="4">
        <v>0</v>
      </c>
      <c r="K274" s="4">
        <v>0</v>
      </c>
      <c r="N274" s="4">
        <v>0</v>
      </c>
      <c r="O274" s="4">
        <v>0</v>
      </c>
      <c r="P274" s="4" t="str">
        <f t="shared" si="4"/>
        <v>CALCDETL.SOURCE1</v>
      </c>
      <c r="Q274" s="4" t="e">
        <f>VLOOKUP(Cobra8.5[[#This Row],[Table.Column]],ColumnMapping[Old Table.Column],1,)</f>
        <v>#N/A</v>
      </c>
    </row>
    <row r="275" spans="1:17" hidden="1" x14ac:dyDescent="0.2">
      <c r="A275" s="4" t="s">
        <v>2163</v>
      </c>
      <c r="B275" s="4">
        <v>0</v>
      </c>
      <c r="C275" s="4" t="s">
        <v>2163</v>
      </c>
      <c r="D275" s="4" t="s">
        <v>1494</v>
      </c>
      <c r="E275" s="4" t="s">
        <v>86</v>
      </c>
      <c r="F275" s="4">
        <v>10</v>
      </c>
      <c r="G275" s="4">
        <v>0</v>
      </c>
      <c r="H275" s="4">
        <v>0</v>
      </c>
      <c r="K275" s="4">
        <v>0</v>
      </c>
      <c r="N275" s="4">
        <v>0</v>
      </c>
      <c r="O275" s="4">
        <v>0</v>
      </c>
      <c r="P275" s="4" t="str">
        <f t="shared" si="4"/>
        <v>CALCDETL.SOURCE10</v>
      </c>
      <c r="Q275" s="4" t="e">
        <f>VLOOKUP(Cobra8.5[[#This Row],[Table.Column]],ColumnMapping[Old Table.Column],1,)</f>
        <v>#N/A</v>
      </c>
    </row>
    <row r="276" spans="1:17" hidden="1" x14ac:dyDescent="0.2">
      <c r="A276" s="4" t="s">
        <v>2163</v>
      </c>
      <c r="B276" s="4">
        <v>0</v>
      </c>
      <c r="C276" s="4" t="s">
        <v>2163</v>
      </c>
      <c r="D276" s="4" t="s">
        <v>1470</v>
      </c>
      <c r="E276" s="4" t="s">
        <v>86</v>
      </c>
      <c r="F276" s="4">
        <v>10</v>
      </c>
      <c r="G276" s="4">
        <v>0</v>
      </c>
      <c r="H276" s="4">
        <v>0</v>
      </c>
      <c r="K276" s="4">
        <v>0</v>
      </c>
      <c r="N276" s="4">
        <v>0</v>
      </c>
      <c r="O276" s="4">
        <v>0</v>
      </c>
      <c r="P276" s="4" t="str">
        <f t="shared" si="4"/>
        <v>CALCDETL.SOURCE2</v>
      </c>
      <c r="Q276" s="4" t="e">
        <f>VLOOKUP(Cobra8.5[[#This Row],[Table.Column]],ColumnMapping[Old Table.Column],1,)</f>
        <v>#N/A</v>
      </c>
    </row>
    <row r="277" spans="1:17" hidden="1" x14ac:dyDescent="0.2">
      <c r="A277" s="4" t="s">
        <v>2163</v>
      </c>
      <c r="B277" s="4">
        <v>0</v>
      </c>
      <c r="C277" s="4" t="s">
        <v>2163</v>
      </c>
      <c r="D277" s="4" t="s">
        <v>1473</v>
      </c>
      <c r="E277" s="4" t="s">
        <v>86</v>
      </c>
      <c r="F277" s="4">
        <v>10</v>
      </c>
      <c r="G277" s="4">
        <v>0</v>
      </c>
      <c r="H277" s="4">
        <v>0</v>
      </c>
      <c r="K277" s="4">
        <v>0</v>
      </c>
      <c r="N277" s="4">
        <v>0</v>
      </c>
      <c r="O277" s="4">
        <v>0</v>
      </c>
      <c r="P277" s="4" t="str">
        <f t="shared" si="4"/>
        <v>CALCDETL.SOURCE3</v>
      </c>
      <c r="Q277" s="4" t="e">
        <f>VLOOKUP(Cobra8.5[[#This Row],[Table.Column]],ColumnMapping[Old Table.Column],1,)</f>
        <v>#N/A</v>
      </c>
    </row>
    <row r="278" spans="1:17" hidden="1" x14ac:dyDescent="0.2">
      <c r="A278" s="4" t="s">
        <v>2163</v>
      </c>
      <c r="B278" s="4">
        <v>0</v>
      </c>
      <c r="C278" s="4" t="s">
        <v>2163</v>
      </c>
      <c r="D278" s="4" t="s">
        <v>1476</v>
      </c>
      <c r="E278" s="4" t="s">
        <v>86</v>
      </c>
      <c r="F278" s="4">
        <v>10</v>
      </c>
      <c r="G278" s="4">
        <v>0</v>
      </c>
      <c r="H278" s="4">
        <v>0</v>
      </c>
      <c r="K278" s="4">
        <v>0</v>
      </c>
      <c r="N278" s="4">
        <v>0</v>
      </c>
      <c r="O278" s="4">
        <v>0</v>
      </c>
      <c r="P278" s="4" t="str">
        <f t="shared" si="4"/>
        <v>CALCDETL.SOURCE4</v>
      </c>
      <c r="Q278" s="4" t="e">
        <f>VLOOKUP(Cobra8.5[[#This Row],[Table.Column]],ColumnMapping[Old Table.Column],1,)</f>
        <v>#N/A</v>
      </c>
    </row>
    <row r="279" spans="1:17" hidden="1" x14ac:dyDescent="0.2">
      <c r="A279" s="4" t="s">
        <v>2163</v>
      </c>
      <c r="B279" s="4">
        <v>0</v>
      </c>
      <c r="C279" s="4" t="s">
        <v>2163</v>
      </c>
      <c r="D279" s="4" t="s">
        <v>1479</v>
      </c>
      <c r="E279" s="4" t="s">
        <v>86</v>
      </c>
      <c r="F279" s="4">
        <v>10</v>
      </c>
      <c r="G279" s="4">
        <v>0</v>
      </c>
      <c r="H279" s="4">
        <v>0</v>
      </c>
      <c r="K279" s="4">
        <v>0</v>
      </c>
      <c r="N279" s="4">
        <v>0</v>
      </c>
      <c r="O279" s="4">
        <v>0</v>
      </c>
      <c r="P279" s="4" t="str">
        <f t="shared" si="4"/>
        <v>CALCDETL.SOURCE5</v>
      </c>
      <c r="Q279" s="4" t="e">
        <f>VLOOKUP(Cobra8.5[[#This Row],[Table.Column]],ColumnMapping[Old Table.Column],1,)</f>
        <v>#N/A</v>
      </c>
    </row>
    <row r="280" spans="1:17" hidden="1" x14ac:dyDescent="0.2">
      <c r="A280" s="4" t="s">
        <v>2163</v>
      </c>
      <c r="B280" s="4">
        <v>0</v>
      </c>
      <c r="C280" s="4" t="s">
        <v>2163</v>
      </c>
      <c r="D280" s="4" t="s">
        <v>1482</v>
      </c>
      <c r="E280" s="4" t="s">
        <v>86</v>
      </c>
      <c r="F280" s="4">
        <v>10</v>
      </c>
      <c r="G280" s="4">
        <v>0</v>
      </c>
      <c r="H280" s="4">
        <v>0</v>
      </c>
      <c r="K280" s="4">
        <v>0</v>
      </c>
      <c r="N280" s="4">
        <v>0</v>
      </c>
      <c r="O280" s="4">
        <v>0</v>
      </c>
      <c r="P280" s="4" t="str">
        <f t="shared" si="4"/>
        <v>CALCDETL.SOURCE6</v>
      </c>
      <c r="Q280" s="4" t="e">
        <f>VLOOKUP(Cobra8.5[[#This Row],[Table.Column]],ColumnMapping[Old Table.Column],1,)</f>
        <v>#N/A</v>
      </c>
    </row>
    <row r="281" spans="1:17" hidden="1" x14ac:dyDescent="0.2">
      <c r="A281" s="4" t="s">
        <v>2163</v>
      </c>
      <c r="B281" s="4">
        <v>0</v>
      </c>
      <c r="C281" s="4" t="s">
        <v>2163</v>
      </c>
      <c r="D281" s="4" t="s">
        <v>1485</v>
      </c>
      <c r="E281" s="4" t="s">
        <v>86</v>
      </c>
      <c r="F281" s="4">
        <v>10</v>
      </c>
      <c r="G281" s="4">
        <v>0</v>
      </c>
      <c r="H281" s="4">
        <v>0</v>
      </c>
      <c r="K281" s="4">
        <v>0</v>
      </c>
      <c r="N281" s="4">
        <v>0</v>
      </c>
      <c r="O281" s="4">
        <v>0</v>
      </c>
      <c r="P281" s="4" t="str">
        <f t="shared" si="4"/>
        <v>CALCDETL.SOURCE7</v>
      </c>
      <c r="Q281" s="4" t="e">
        <f>VLOOKUP(Cobra8.5[[#This Row],[Table.Column]],ColumnMapping[Old Table.Column],1,)</f>
        <v>#N/A</v>
      </c>
    </row>
    <row r="282" spans="1:17" hidden="1" x14ac:dyDescent="0.2">
      <c r="A282" s="4" t="s">
        <v>2163</v>
      </c>
      <c r="B282" s="4">
        <v>0</v>
      </c>
      <c r="C282" s="4" t="s">
        <v>2163</v>
      </c>
      <c r="D282" s="4" t="s">
        <v>1488</v>
      </c>
      <c r="E282" s="4" t="s">
        <v>86</v>
      </c>
      <c r="F282" s="4">
        <v>10</v>
      </c>
      <c r="G282" s="4">
        <v>0</v>
      </c>
      <c r="H282" s="4">
        <v>0</v>
      </c>
      <c r="K282" s="4">
        <v>0</v>
      </c>
      <c r="N282" s="4">
        <v>0</v>
      </c>
      <c r="O282" s="4">
        <v>0</v>
      </c>
      <c r="P282" s="4" t="str">
        <f t="shared" si="4"/>
        <v>CALCDETL.SOURCE8</v>
      </c>
      <c r="Q282" s="4" t="e">
        <f>VLOOKUP(Cobra8.5[[#This Row],[Table.Column]],ColumnMapping[Old Table.Column],1,)</f>
        <v>#N/A</v>
      </c>
    </row>
    <row r="283" spans="1:17" hidden="1" x14ac:dyDescent="0.2">
      <c r="A283" s="4" t="s">
        <v>2163</v>
      </c>
      <c r="B283" s="4">
        <v>0</v>
      </c>
      <c r="C283" s="4" t="s">
        <v>2163</v>
      </c>
      <c r="D283" s="4" t="s">
        <v>1491</v>
      </c>
      <c r="E283" s="4" t="s">
        <v>86</v>
      </c>
      <c r="F283" s="4">
        <v>10</v>
      </c>
      <c r="G283" s="4">
        <v>0</v>
      </c>
      <c r="H283" s="4">
        <v>0</v>
      </c>
      <c r="K283" s="4">
        <v>0</v>
      </c>
      <c r="N283" s="4">
        <v>0</v>
      </c>
      <c r="O283" s="4">
        <v>0</v>
      </c>
      <c r="P283" s="4" t="str">
        <f t="shared" si="4"/>
        <v>CALCDETL.SOURCE9</v>
      </c>
      <c r="Q283" s="4" t="e">
        <f>VLOOKUP(Cobra8.5[[#This Row],[Table.Column]],ColumnMapping[Old Table.Column],1,)</f>
        <v>#N/A</v>
      </c>
    </row>
    <row r="284" spans="1:17" hidden="1" x14ac:dyDescent="0.2">
      <c r="A284" s="4" t="s">
        <v>2163</v>
      </c>
      <c r="B284" s="4">
        <v>0</v>
      </c>
      <c r="C284" s="4" t="s">
        <v>2163</v>
      </c>
      <c r="D284" s="4" t="s">
        <v>1463</v>
      </c>
      <c r="E284" s="4" t="s">
        <v>86</v>
      </c>
      <c r="F284" s="4">
        <v>10</v>
      </c>
      <c r="G284" s="4">
        <v>0</v>
      </c>
      <c r="H284" s="4">
        <v>0</v>
      </c>
      <c r="K284" s="4">
        <v>0</v>
      </c>
      <c r="N284" s="4">
        <v>0</v>
      </c>
      <c r="O284" s="4">
        <v>0</v>
      </c>
      <c r="P284" s="4" t="str">
        <f t="shared" si="4"/>
        <v>CALCDETL.UNITS</v>
      </c>
      <c r="Q284" s="4" t="str">
        <f>VLOOKUP(Cobra8.5[[#This Row],[Table.Column]],ColumnMapping[Old Table.Column],1,)</f>
        <v>CALCDETL.UNITS</v>
      </c>
    </row>
    <row r="285" spans="1:17" hidden="1" x14ac:dyDescent="0.2">
      <c r="A285" s="4" t="s">
        <v>2163</v>
      </c>
      <c r="B285" s="4">
        <v>0</v>
      </c>
      <c r="C285" s="4" t="s">
        <v>2163</v>
      </c>
      <c r="D285" s="4" t="s">
        <v>2112</v>
      </c>
      <c r="E285" s="4" t="s">
        <v>86</v>
      </c>
      <c r="F285" s="4">
        <v>20</v>
      </c>
      <c r="G285" s="4">
        <v>0</v>
      </c>
      <c r="H285" s="4">
        <v>0</v>
      </c>
      <c r="K285" s="4">
        <v>0</v>
      </c>
      <c r="N285" s="4">
        <v>0</v>
      </c>
      <c r="O285" s="4">
        <v>0</v>
      </c>
      <c r="P285" s="4" t="str">
        <f t="shared" si="4"/>
        <v>CALCDETL.USR_ID</v>
      </c>
      <c r="Q285" s="4" t="str">
        <f>VLOOKUP(Cobra8.5[[#This Row],[Table.Column]],ColumnMapping[Old Table.Column],1,)</f>
        <v>CALCDETL.USR_ID</v>
      </c>
    </row>
    <row r="286" spans="1:17" hidden="1" x14ac:dyDescent="0.2">
      <c r="A286" s="4" t="s">
        <v>2167</v>
      </c>
      <c r="B286" s="4">
        <v>0</v>
      </c>
      <c r="C286" s="4" t="s">
        <v>2167</v>
      </c>
      <c r="D286" s="4" t="s">
        <v>2168</v>
      </c>
      <c r="E286" s="4" t="s">
        <v>86</v>
      </c>
      <c r="F286" s="4">
        <v>59</v>
      </c>
      <c r="G286" s="4">
        <v>0</v>
      </c>
      <c r="H286" s="4">
        <v>0</v>
      </c>
      <c r="K286" s="4">
        <v>0</v>
      </c>
      <c r="N286" s="4">
        <v>0</v>
      </c>
      <c r="O286" s="4">
        <v>0</v>
      </c>
      <c r="P286" s="4" t="str">
        <f t="shared" si="4"/>
        <v>CALCEXPR.CALCEXPR_ID</v>
      </c>
      <c r="Q286" s="4" t="str">
        <f>VLOOKUP(Cobra8.5[[#This Row],[Table.Column]],ColumnMapping[Old Table.Column],1,)</f>
        <v>CALCEXPR.CALCEXPR_ID</v>
      </c>
    </row>
    <row r="287" spans="1:17" hidden="1" x14ac:dyDescent="0.2">
      <c r="A287" s="4" t="s">
        <v>2167</v>
      </c>
      <c r="B287" s="4">
        <v>0</v>
      </c>
      <c r="C287" s="4" t="s">
        <v>2167</v>
      </c>
      <c r="D287" s="4" t="s">
        <v>2169</v>
      </c>
      <c r="E287" s="4" t="s">
        <v>31</v>
      </c>
      <c r="F287" s="4">
        <v>22</v>
      </c>
      <c r="G287" s="4">
        <v>0</v>
      </c>
      <c r="H287" s="4">
        <v>0</v>
      </c>
      <c r="K287" s="4">
        <v>0</v>
      </c>
      <c r="N287" s="4">
        <v>0</v>
      </c>
      <c r="O287" s="4">
        <v>0</v>
      </c>
      <c r="P287" s="4" t="str">
        <f t="shared" si="4"/>
        <v>CALCEXPR.CALCEXPR_UID</v>
      </c>
      <c r="Q287" s="4" t="e">
        <f>VLOOKUP(Cobra8.5[[#This Row],[Table.Column]],ColumnMapping[Old Table.Column],1,)</f>
        <v>#N/A</v>
      </c>
    </row>
    <row r="288" spans="1:17" hidden="1" x14ac:dyDescent="0.2">
      <c r="A288" s="4" t="s">
        <v>2167</v>
      </c>
      <c r="B288" s="4">
        <v>0</v>
      </c>
      <c r="C288" s="4" t="s">
        <v>2167</v>
      </c>
      <c r="D288" s="4" t="s">
        <v>875</v>
      </c>
      <c r="E288" s="4" t="s">
        <v>86</v>
      </c>
      <c r="F288" s="4">
        <v>250</v>
      </c>
      <c r="G288" s="4">
        <v>0</v>
      </c>
      <c r="H288" s="4">
        <v>0</v>
      </c>
      <c r="K288" s="4">
        <v>0</v>
      </c>
      <c r="N288" s="4">
        <v>0</v>
      </c>
      <c r="O288" s="4">
        <v>0</v>
      </c>
      <c r="P288" s="4" t="str">
        <f t="shared" si="4"/>
        <v>CALCEXPR.EXPRESSION</v>
      </c>
      <c r="Q288" s="4" t="e">
        <f>VLOOKUP(Cobra8.5[[#This Row],[Table.Column]],ColumnMapping[Old Table.Column],1,)</f>
        <v>#N/A</v>
      </c>
    </row>
    <row r="289" spans="1:17" hidden="1" x14ac:dyDescent="0.2">
      <c r="A289" s="4" t="s">
        <v>2167</v>
      </c>
      <c r="B289" s="4">
        <v>0</v>
      </c>
      <c r="C289" s="4" t="s">
        <v>2167</v>
      </c>
      <c r="D289" s="4" t="s">
        <v>2170</v>
      </c>
      <c r="E289" s="4" t="s">
        <v>2108</v>
      </c>
      <c r="F289" s="4">
        <v>-1</v>
      </c>
      <c r="G289" s="4">
        <v>0</v>
      </c>
      <c r="H289" s="4">
        <v>0</v>
      </c>
      <c r="K289" s="4">
        <v>0</v>
      </c>
      <c r="N289" s="4">
        <v>0</v>
      </c>
      <c r="O289" s="4">
        <v>0</v>
      </c>
      <c r="P289" s="4" t="str">
        <f t="shared" si="4"/>
        <v>CALCEXPR.FLAGS</v>
      </c>
      <c r="Q289" s="4" t="e">
        <f>VLOOKUP(Cobra8.5[[#This Row],[Table.Column]],ColumnMapping[Old Table.Column],1,)</f>
        <v>#N/A</v>
      </c>
    </row>
    <row r="290" spans="1:17" hidden="1" x14ac:dyDescent="0.2">
      <c r="A290" s="4" t="s">
        <v>2167</v>
      </c>
      <c r="B290" s="4">
        <v>0</v>
      </c>
      <c r="C290" s="4" t="s">
        <v>2167</v>
      </c>
      <c r="D290" s="4" t="s">
        <v>2111</v>
      </c>
      <c r="E290" s="4" t="s">
        <v>356</v>
      </c>
      <c r="F290" s="4">
        <v>-1</v>
      </c>
      <c r="G290" s="4">
        <v>0</v>
      </c>
      <c r="H290" s="4">
        <v>0</v>
      </c>
      <c r="K290" s="4">
        <v>0</v>
      </c>
      <c r="N290" s="4">
        <v>0</v>
      </c>
      <c r="O290" s="4">
        <v>0</v>
      </c>
      <c r="P290" s="4" t="str">
        <f t="shared" si="4"/>
        <v>CALCEXPR.LASTUPDATE</v>
      </c>
      <c r="Q290" s="4" t="e">
        <f>VLOOKUP(Cobra8.5[[#This Row],[Table.Column]],ColumnMapping[Old Table.Column],1,)</f>
        <v>#N/A</v>
      </c>
    </row>
    <row r="291" spans="1:17" hidden="1" x14ac:dyDescent="0.2">
      <c r="A291" s="4" t="s">
        <v>2167</v>
      </c>
      <c r="B291" s="4">
        <v>0</v>
      </c>
      <c r="C291" s="4" t="s">
        <v>2167</v>
      </c>
      <c r="D291" s="4" t="s">
        <v>1936</v>
      </c>
      <c r="E291" s="4" t="s">
        <v>86</v>
      </c>
      <c r="F291" s="4">
        <v>20</v>
      </c>
      <c r="G291" s="4">
        <v>0</v>
      </c>
      <c r="H291" s="4">
        <v>0</v>
      </c>
      <c r="K291" s="4">
        <v>0</v>
      </c>
      <c r="N291" s="4">
        <v>0</v>
      </c>
      <c r="O291" s="4">
        <v>0</v>
      </c>
      <c r="P291" s="4" t="str">
        <f t="shared" si="4"/>
        <v>CALCEXPR.OWNER_ID</v>
      </c>
      <c r="Q291" s="4" t="e">
        <f>VLOOKUP(Cobra8.5[[#This Row],[Table.Column]],ColumnMapping[Old Table.Column],1,)</f>
        <v>#N/A</v>
      </c>
    </row>
    <row r="292" spans="1:17" hidden="1" x14ac:dyDescent="0.2">
      <c r="A292" s="4" t="s">
        <v>2167</v>
      </c>
      <c r="B292" s="4">
        <v>0</v>
      </c>
      <c r="C292" s="4" t="s">
        <v>2167</v>
      </c>
      <c r="D292" s="4" t="s">
        <v>35</v>
      </c>
      <c r="E292" s="4" t="s">
        <v>2108</v>
      </c>
      <c r="F292" s="4">
        <v>-1</v>
      </c>
      <c r="G292" s="4">
        <v>0</v>
      </c>
      <c r="H292" s="4">
        <v>0</v>
      </c>
      <c r="K292" s="4">
        <v>0</v>
      </c>
      <c r="N292" s="4">
        <v>0</v>
      </c>
      <c r="O292" s="4">
        <v>0</v>
      </c>
      <c r="P292" s="4" t="str">
        <f t="shared" si="4"/>
        <v>CALCEXPR.SEQUENCE</v>
      </c>
      <c r="Q292" s="4" t="e">
        <f>VLOOKUP(Cobra8.5[[#This Row],[Table.Column]],ColumnMapping[Old Table.Column],1,)</f>
        <v>#N/A</v>
      </c>
    </row>
    <row r="293" spans="1:17" hidden="1" x14ac:dyDescent="0.2">
      <c r="A293" s="4" t="s">
        <v>2167</v>
      </c>
      <c r="B293" s="4">
        <v>0</v>
      </c>
      <c r="C293" s="4" t="s">
        <v>2167</v>
      </c>
      <c r="D293" s="4" t="s">
        <v>2005</v>
      </c>
      <c r="E293" s="4" t="s">
        <v>86</v>
      </c>
      <c r="F293" s="4">
        <v>30</v>
      </c>
      <c r="G293" s="4">
        <v>0</v>
      </c>
      <c r="H293" s="4">
        <v>0</v>
      </c>
      <c r="K293" s="4">
        <v>0</v>
      </c>
      <c r="N293" s="4">
        <v>0</v>
      </c>
      <c r="O293" s="4">
        <v>0</v>
      </c>
      <c r="P293" s="4" t="str">
        <f t="shared" si="4"/>
        <v>CALCEXPR.TABLE_TYPE</v>
      </c>
      <c r="Q293" s="4" t="e">
        <f>VLOOKUP(Cobra8.5[[#This Row],[Table.Column]],ColumnMapping[Old Table.Column],1,)</f>
        <v>#N/A</v>
      </c>
    </row>
    <row r="294" spans="1:17" hidden="1" x14ac:dyDescent="0.2">
      <c r="A294" s="4" t="s">
        <v>2167</v>
      </c>
      <c r="B294" s="4">
        <v>0</v>
      </c>
      <c r="C294" s="4" t="s">
        <v>2167</v>
      </c>
      <c r="D294" s="4" t="s">
        <v>258</v>
      </c>
      <c r="E294" s="4" t="s">
        <v>86</v>
      </c>
      <c r="F294" s="4">
        <v>4</v>
      </c>
      <c r="G294" s="4">
        <v>0</v>
      </c>
      <c r="H294" s="4">
        <v>0</v>
      </c>
      <c r="K294" s="4">
        <v>0</v>
      </c>
      <c r="N294" s="4">
        <v>0</v>
      </c>
      <c r="O294" s="4">
        <v>0</v>
      </c>
      <c r="P294" s="4" t="str">
        <f t="shared" si="4"/>
        <v>CALCEXPR.TYPE</v>
      </c>
      <c r="Q294" s="4" t="e">
        <f>VLOOKUP(Cobra8.5[[#This Row],[Table.Column]],ColumnMapping[Old Table.Column],1,)</f>
        <v>#N/A</v>
      </c>
    </row>
    <row r="295" spans="1:17" hidden="1" x14ac:dyDescent="0.2">
      <c r="A295" s="4" t="s">
        <v>2167</v>
      </c>
      <c r="B295" s="4">
        <v>0</v>
      </c>
      <c r="C295" s="4" t="s">
        <v>2167</v>
      </c>
      <c r="D295" s="4" t="s">
        <v>2112</v>
      </c>
      <c r="E295" s="4" t="s">
        <v>86</v>
      </c>
      <c r="F295" s="4">
        <v>20</v>
      </c>
      <c r="G295" s="4">
        <v>0</v>
      </c>
      <c r="H295" s="4">
        <v>0</v>
      </c>
      <c r="K295" s="4">
        <v>0</v>
      </c>
      <c r="N295" s="4">
        <v>0</v>
      </c>
      <c r="O295" s="4">
        <v>0</v>
      </c>
      <c r="P295" s="4" t="str">
        <f t="shared" si="4"/>
        <v>CALCEXPR.USR_ID</v>
      </c>
      <c r="Q295" s="4" t="e">
        <f>VLOOKUP(Cobra8.5[[#This Row],[Table.Column]],ColumnMapping[Old Table.Column],1,)</f>
        <v>#N/A</v>
      </c>
    </row>
    <row r="296" spans="1:17" hidden="1" x14ac:dyDescent="0.2">
      <c r="A296" s="4" t="s">
        <v>2171</v>
      </c>
      <c r="B296" s="4">
        <v>0</v>
      </c>
      <c r="C296" s="4" t="s">
        <v>2171</v>
      </c>
      <c r="D296" s="4" t="s">
        <v>2172</v>
      </c>
      <c r="E296" s="4" t="s">
        <v>86</v>
      </c>
      <c r="F296" s="4">
        <v>10</v>
      </c>
      <c r="G296" s="4">
        <v>0</v>
      </c>
      <c r="H296" s="4">
        <v>0</v>
      </c>
      <c r="K296" s="4">
        <v>0</v>
      </c>
      <c r="N296" s="4">
        <v>0</v>
      </c>
      <c r="O296" s="4">
        <v>0</v>
      </c>
      <c r="P296" s="4" t="str">
        <f t="shared" si="4"/>
        <v>CALCFLDS.CALCFIELD</v>
      </c>
      <c r="Q296" s="4" t="str">
        <f>VLOOKUP(Cobra8.5[[#This Row],[Table.Column]],ColumnMapping[Old Table.Column],1,)</f>
        <v>CALCFLDS.CALCFIELD</v>
      </c>
    </row>
    <row r="297" spans="1:17" hidden="1" x14ac:dyDescent="0.2">
      <c r="A297" s="4" t="s">
        <v>2171</v>
      </c>
      <c r="B297" s="4">
        <v>0</v>
      </c>
      <c r="C297" s="4" t="s">
        <v>2171</v>
      </c>
      <c r="D297" s="4" t="s">
        <v>2165</v>
      </c>
      <c r="E297" s="4" t="s">
        <v>86</v>
      </c>
      <c r="F297" s="4">
        <v>1</v>
      </c>
      <c r="G297" s="4">
        <v>0</v>
      </c>
      <c r="H297" s="4">
        <v>0</v>
      </c>
      <c r="K297" s="4">
        <v>0</v>
      </c>
      <c r="N297" s="4">
        <v>0</v>
      </c>
      <c r="O297" s="4">
        <v>0</v>
      </c>
      <c r="P297" s="4" t="str">
        <f t="shared" si="4"/>
        <v>CALCFLDS.CURRNCY</v>
      </c>
      <c r="Q297" s="4" t="str">
        <f>VLOOKUP(Cobra8.5[[#This Row],[Table.Column]],ColumnMapping[Old Table.Column],1,)</f>
        <v>CALCFLDS.CURRNCY</v>
      </c>
    </row>
    <row r="298" spans="1:17" hidden="1" x14ac:dyDescent="0.2">
      <c r="A298" s="4" t="s">
        <v>2171</v>
      </c>
      <c r="B298" s="4">
        <v>0</v>
      </c>
      <c r="C298" s="4" t="s">
        <v>2171</v>
      </c>
      <c r="D298" s="4" t="s">
        <v>2173</v>
      </c>
      <c r="E298" s="4" t="s">
        <v>86</v>
      </c>
      <c r="F298" s="4">
        <v>250</v>
      </c>
      <c r="G298" s="4">
        <v>0</v>
      </c>
      <c r="H298" s="4">
        <v>0</v>
      </c>
      <c r="K298" s="4">
        <v>0</v>
      </c>
      <c r="N298" s="4">
        <v>0</v>
      </c>
      <c r="O298" s="4">
        <v>0</v>
      </c>
      <c r="P298" s="4" t="str">
        <f t="shared" si="4"/>
        <v>CALCFLDS.EXPR</v>
      </c>
      <c r="Q298" s="4" t="str">
        <f>VLOOKUP(Cobra8.5[[#This Row],[Table.Column]],ColumnMapping[Old Table.Column],1,)</f>
        <v>CALCFLDS.EXPR</v>
      </c>
    </row>
    <row r="299" spans="1:17" hidden="1" x14ac:dyDescent="0.2">
      <c r="A299" s="4" t="s">
        <v>2171</v>
      </c>
      <c r="B299" s="4">
        <v>0</v>
      </c>
      <c r="C299" s="4" t="s">
        <v>2171</v>
      </c>
      <c r="D299" s="4" t="s">
        <v>2111</v>
      </c>
      <c r="E299" s="4" t="s">
        <v>356</v>
      </c>
      <c r="F299" s="4">
        <v>-1</v>
      </c>
      <c r="G299" s="4">
        <v>0</v>
      </c>
      <c r="H299" s="4">
        <v>0</v>
      </c>
      <c r="K299" s="4">
        <v>0</v>
      </c>
      <c r="N299" s="4">
        <v>0</v>
      </c>
      <c r="O299" s="4">
        <v>0</v>
      </c>
      <c r="P299" s="4" t="str">
        <f t="shared" si="4"/>
        <v>CALCFLDS.LASTUPDATE</v>
      </c>
      <c r="Q299" s="4" t="str">
        <f>VLOOKUP(Cobra8.5[[#This Row],[Table.Column]],ColumnMapping[Old Table.Column],1,)</f>
        <v>CALCFLDS.LASTUPDATE</v>
      </c>
    </row>
    <row r="300" spans="1:17" hidden="1" x14ac:dyDescent="0.2">
      <c r="A300" s="4" t="s">
        <v>2171</v>
      </c>
      <c r="B300" s="4">
        <v>0</v>
      </c>
      <c r="C300" s="4" t="s">
        <v>2171</v>
      </c>
      <c r="D300" s="4" t="s">
        <v>744</v>
      </c>
      <c r="E300" s="4" t="s">
        <v>86</v>
      </c>
      <c r="F300" s="4">
        <v>22</v>
      </c>
      <c r="G300" s="4">
        <v>0</v>
      </c>
      <c r="H300" s="4">
        <v>0</v>
      </c>
      <c r="K300" s="4">
        <v>0</v>
      </c>
      <c r="N300" s="4">
        <v>0</v>
      </c>
      <c r="O300" s="4">
        <v>0</v>
      </c>
      <c r="P300" s="4" t="str">
        <f t="shared" si="4"/>
        <v>CALCFLDS.PROGRAM</v>
      </c>
      <c r="Q300" s="4" t="str">
        <f>VLOOKUP(Cobra8.5[[#This Row],[Table.Column]],ColumnMapping[Old Table.Column],1,)</f>
        <v>CALCFLDS.PROGRAM</v>
      </c>
    </row>
    <row r="301" spans="1:17" hidden="1" x14ac:dyDescent="0.2">
      <c r="A301" s="4" t="s">
        <v>2171</v>
      </c>
      <c r="B301" s="4">
        <v>0</v>
      </c>
      <c r="C301" s="4" t="s">
        <v>2171</v>
      </c>
      <c r="D301" s="4" t="s">
        <v>35</v>
      </c>
      <c r="E301" s="4" t="s">
        <v>2108</v>
      </c>
      <c r="F301" s="4">
        <v>-1</v>
      </c>
      <c r="G301" s="4">
        <v>0</v>
      </c>
      <c r="H301" s="4">
        <v>0</v>
      </c>
      <c r="K301" s="4">
        <v>0</v>
      </c>
      <c r="N301" s="4">
        <v>0</v>
      </c>
      <c r="O301" s="4">
        <v>0</v>
      </c>
      <c r="P301" s="4" t="str">
        <f t="shared" si="4"/>
        <v>CALCFLDS.SEQUENCE</v>
      </c>
      <c r="Q301" s="4" t="str">
        <f>VLOOKUP(Cobra8.5[[#This Row],[Table.Column]],ColumnMapping[Old Table.Column],1,)</f>
        <v>CALCFLDS.SEQUENCE</v>
      </c>
    </row>
    <row r="302" spans="1:17" hidden="1" x14ac:dyDescent="0.2">
      <c r="A302" s="4" t="s">
        <v>2171</v>
      </c>
      <c r="B302" s="4">
        <v>0</v>
      </c>
      <c r="C302" s="4" t="s">
        <v>2171</v>
      </c>
      <c r="D302" s="4" t="s">
        <v>2166</v>
      </c>
      <c r="E302" s="4" t="s">
        <v>86</v>
      </c>
      <c r="F302" s="4">
        <v>1</v>
      </c>
      <c r="G302" s="4">
        <v>0</v>
      </c>
      <c r="H302" s="4">
        <v>0</v>
      </c>
      <c r="K302" s="4">
        <v>0</v>
      </c>
      <c r="N302" s="4">
        <v>0</v>
      </c>
      <c r="O302" s="4">
        <v>0</v>
      </c>
      <c r="P302" s="4" t="str">
        <f t="shared" si="4"/>
        <v>CALCFLDS.SORT_CODE</v>
      </c>
      <c r="Q302" s="4" t="str">
        <f>VLOOKUP(Cobra8.5[[#This Row],[Table.Column]],ColumnMapping[Old Table.Column],1,)</f>
        <v>CALCFLDS.SORT_CODE</v>
      </c>
    </row>
    <row r="303" spans="1:17" hidden="1" x14ac:dyDescent="0.2">
      <c r="A303" s="4" t="s">
        <v>2171</v>
      </c>
      <c r="B303" s="4">
        <v>0</v>
      </c>
      <c r="C303" s="4" t="s">
        <v>2171</v>
      </c>
      <c r="D303" s="4" t="s">
        <v>2112</v>
      </c>
      <c r="E303" s="4" t="s">
        <v>86</v>
      </c>
      <c r="F303" s="4">
        <v>20</v>
      </c>
      <c r="G303" s="4">
        <v>0</v>
      </c>
      <c r="H303" s="4">
        <v>0</v>
      </c>
      <c r="K303" s="4">
        <v>0</v>
      </c>
      <c r="N303" s="4">
        <v>0</v>
      </c>
      <c r="O303" s="4">
        <v>0</v>
      </c>
      <c r="P303" s="4" t="str">
        <f t="shared" si="4"/>
        <v>CALCFLDS.USR_ID</v>
      </c>
      <c r="Q303" s="4" t="str">
        <f>VLOOKUP(Cobra8.5[[#This Row],[Table.Column]],ColumnMapping[Old Table.Column],1,)</f>
        <v>CALCFLDS.USR_ID</v>
      </c>
    </row>
    <row r="304" spans="1:17" hidden="1" x14ac:dyDescent="0.2">
      <c r="A304" s="4" t="s">
        <v>2174</v>
      </c>
      <c r="B304" s="4">
        <v>0</v>
      </c>
      <c r="C304" s="4" t="s">
        <v>2174</v>
      </c>
      <c r="D304" s="4" t="s">
        <v>2164</v>
      </c>
      <c r="E304" s="4" t="s">
        <v>86</v>
      </c>
      <c r="F304" s="4">
        <v>20</v>
      </c>
      <c r="G304" s="4">
        <v>0</v>
      </c>
      <c r="H304" s="4">
        <v>0</v>
      </c>
      <c r="K304" s="4">
        <v>0</v>
      </c>
      <c r="N304" s="4">
        <v>0</v>
      </c>
      <c r="O304" s="4">
        <v>0</v>
      </c>
      <c r="P304" s="4" t="str">
        <f t="shared" si="4"/>
        <v>CALCRESULT.ALIAS</v>
      </c>
      <c r="Q304" s="4" t="str">
        <f>VLOOKUP(Cobra8.5[[#This Row],[Table.Column]],ColumnMapping[Old Table.Column],1,)</f>
        <v>CALCRESULT.ALIAS</v>
      </c>
    </row>
    <row r="305" spans="1:17" hidden="1" x14ac:dyDescent="0.2">
      <c r="A305" s="4" t="s">
        <v>2174</v>
      </c>
      <c r="B305" s="4">
        <v>0</v>
      </c>
      <c r="C305" s="4" t="s">
        <v>2174</v>
      </c>
      <c r="D305" s="4" t="s">
        <v>1501</v>
      </c>
      <c r="E305" s="4" t="s">
        <v>86</v>
      </c>
      <c r="F305" s="4">
        <v>22</v>
      </c>
      <c r="G305" s="4">
        <v>0</v>
      </c>
      <c r="H305" s="4">
        <v>0</v>
      </c>
      <c r="K305" s="4">
        <v>0</v>
      </c>
      <c r="N305" s="4">
        <v>0</v>
      </c>
      <c r="O305" s="4">
        <v>0</v>
      </c>
      <c r="P305" s="4" t="str">
        <f t="shared" si="4"/>
        <v>CALCRESULT.CALCFILE</v>
      </c>
      <c r="Q305" s="4" t="str">
        <f>VLOOKUP(Cobra8.5[[#This Row],[Table.Column]],ColumnMapping[Old Table.Column],1,)</f>
        <v>CALCRESULT.CALCFILE</v>
      </c>
    </row>
    <row r="306" spans="1:17" hidden="1" x14ac:dyDescent="0.2">
      <c r="A306" s="4" t="s">
        <v>2174</v>
      </c>
      <c r="B306" s="4">
        <v>0</v>
      </c>
      <c r="C306" s="4" t="s">
        <v>2174</v>
      </c>
      <c r="D306" s="4" t="s">
        <v>2165</v>
      </c>
      <c r="E306" s="4" t="s">
        <v>86</v>
      </c>
      <c r="F306" s="4">
        <v>1</v>
      </c>
      <c r="G306" s="4">
        <v>0</v>
      </c>
      <c r="H306" s="4">
        <v>0</v>
      </c>
      <c r="K306" s="4">
        <v>0</v>
      </c>
      <c r="N306" s="4">
        <v>0</v>
      </c>
      <c r="O306" s="4">
        <v>0</v>
      </c>
      <c r="P306" s="4" t="str">
        <f t="shared" si="4"/>
        <v>CALCRESULT.CURRNCY</v>
      </c>
      <c r="Q306" s="4" t="str">
        <f>VLOOKUP(Cobra8.5[[#This Row],[Table.Column]],ColumnMapping[Old Table.Column],1,)</f>
        <v>CALCRESULT.CURRNCY</v>
      </c>
    </row>
    <row r="307" spans="1:17" hidden="1" x14ac:dyDescent="0.2">
      <c r="A307" s="4" t="s">
        <v>2174</v>
      </c>
      <c r="B307" s="4">
        <v>0</v>
      </c>
      <c r="C307" s="4" t="s">
        <v>2174</v>
      </c>
      <c r="D307" s="4" t="s">
        <v>2111</v>
      </c>
      <c r="E307" s="4" t="s">
        <v>356</v>
      </c>
      <c r="F307" s="4">
        <v>-1</v>
      </c>
      <c r="G307" s="4">
        <v>0</v>
      </c>
      <c r="H307" s="4">
        <v>0</v>
      </c>
      <c r="K307" s="4">
        <v>0</v>
      </c>
      <c r="N307" s="4">
        <v>0</v>
      </c>
      <c r="O307" s="4">
        <v>0</v>
      </c>
      <c r="P307" s="4" t="str">
        <f t="shared" si="4"/>
        <v>CALCRESULT.LASTUPDATE</v>
      </c>
      <c r="Q307" s="4" t="str">
        <f>VLOOKUP(Cobra8.5[[#This Row],[Table.Column]],ColumnMapping[Old Table.Column],1,)</f>
        <v>CALCRESULT.LASTUPDATE</v>
      </c>
    </row>
    <row r="308" spans="1:17" hidden="1" x14ac:dyDescent="0.2">
      <c r="A308" s="4" t="s">
        <v>2174</v>
      </c>
      <c r="B308" s="4">
        <v>0</v>
      </c>
      <c r="C308" s="4" t="s">
        <v>2174</v>
      </c>
      <c r="D308" s="4" t="s">
        <v>1454</v>
      </c>
      <c r="E308" s="4" t="s">
        <v>2108</v>
      </c>
      <c r="F308" s="4">
        <v>-1</v>
      </c>
      <c r="G308" s="4">
        <v>0</v>
      </c>
      <c r="H308" s="4">
        <v>0</v>
      </c>
      <c r="K308" s="4">
        <v>0</v>
      </c>
      <c r="N308" s="4">
        <v>0</v>
      </c>
      <c r="O308" s="4">
        <v>0</v>
      </c>
      <c r="P308" s="4" t="str">
        <f t="shared" si="4"/>
        <v>CALCRESULT.LINE</v>
      </c>
      <c r="Q308" s="4" t="str">
        <f>VLOOKUP(Cobra8.5[[#This Row],[Table.Column]],ColumnMapping[Old Table.Column],1,)</f>
        <v>CALCRESULT.LINE</v>
      </c>
    </row>
    <row r="309" spans="1:17" hidden="1" x14ac:dyDescent="0.2">
      <c r="A309" s="4" t="s">
        <v>2174</v>
      </c>
      <c r="B309" s="4">
        <v>0</v>
      </c>
      <c r="C309" s="4" t="s">
        <v>2174</v>
      </c>
      <c r="D309" s="4" t="s">
        <v>1434</v>
      </c>
      <c r="E309" s="4" t="s">
        <v>86</v>
      </c>
      <c r="F309" s="4">
        <v>59</v>
      </c>
      <c r="G309" s="4">
        <v>0</v>
      </c>
      <c r="H309" s="4">
        <v>0</v>
      </c>
      <c r="K309" s="4">
        <v>0</v>
      </c>
      <c r="N309" s="4">
        <v>0</v>
      </c>
      <c r="O309" s="4">
        <v>0</v>
      </c>
      <c r="P309" s="4" t="str">
        <f t="shared" si="4"/>
        <v>CALCRESULT.RATE_TABLE</v>
      </c>
      <c r="Q309" s="4" t="str">
        <f>VLOOKUP(Cobra8.5[[#This Row],[Table.Column]],ColumnMapping[Old Table.Column],1,)</f>
        <v>CALCRESULT.RATE_TABLE</v>
      </c>
    </row>
    <row r="310" spans="1:17" hidden="1" x14ac:dyDescent="0.2">
      <c r="A310" s="4" t="s">
        <v>2174</v>
      </c>
      <c r="B310" s="4">
        <v>0</v>
      </c>
      <c r="C310" s="4" t="s">
        <v>2174</v>
      </c>
      <c r="D310" s="4" t="s">
        <v>865</v>
      </c>
      <c r="E310" s="4" t="s">
        <v>86</v>
      </c>
      <c r="F310" s="4">
        <v>10</v>
      </c>
      <c r="G310" s="4">
        <v>0</v>
      </c>
      <c r="H310" s="4">
        <v>0</v>
      </c>
      <c r="K310" s="4">
        <v>0</v>
      </c>
      <c r="N310" s="4">
        <v>0</v>
      </c>
      <c r="O310" s="4">
        <v>0</v>
      </c>
      <c r="P310" s="4" t="str">
        <f t="shared" si="4"/>
        <v>CALCRESULT.RESULT</v>
      </c>
      <c r="Q310" s="4" t="str">
        <f>VLOOKUP(Cobra8.5[[#This Row],[Table.Column]],ColumnMapping[Old Table.Column],1,)</f>
        <v>CALCRESULT.RESULT</v>
      </c>
    </row>
    <row r="311" spans="1:17" hidden="1" x14ac:dyDescent="0.2">
      <c r="A311" s="4" t="s">
        <v>2174</v>
      </c>
      <c r="B311" s="4">
        <v>0</v>
      </c>
      <c r="C311" s="4" t="s">
        <v>2174</v>
      </c>
      <c r="D311" s="4" t="s">
        <v>35</v>
      </c>
      <c r="E311" s="4" t="s">
        <v>2108</v>
      </c>
      <c r="F311" s="4">
        <v>-1</v>
      </c>
      <c r="G311" s="4">
        <v>0</v>
      </c>
      <c r="H311" s="4">
        <v>0</v>
      </c>
      <c r="K311" s="4">
        <v>0</v>
      </c>
      <c r="N311" s="4">
        <v>0</v>
      </c>
      <c r="O311" s="4">
        <v>0</v>
      </c>
      <c r="P311" s="4" t="str">
        <f t="shared" si="4"/>
        <v>CALCRESULT.SEQUENCE</v>
      </c>
      <c r="Q311" s="4" t="str">
        <f>VLOOKUP(Cobra8.5[[#This Row],[Table.Column]],ColumnMapping[Old Table.Column],1,)</f>
        <v>CALCRESULT.SEQUENCE</v>
      </c>
    </row>
    <row r="312" spans="1:17" hidden="1" x14ac:dyDescent="0.2">
      <c r="A312" s="4" t="s">
        <v>2174</v>
      </c>
      <c r="B312" s="4">
        <v>0</v>
      </c>
      <c r="C312" s="4" t="s">
        <v>2174</v>
      </c>
      <c r="D312" s="4" t="s">
        <v>2166</v>
      </c>
      <c r="E312" s="4" t="s">
        <v>86</v>
      </c>
      <c r="F312" s="4">
        <v>1</v>
      </c>
      <c r="G312" s="4">
        <v>0</v>
      </c>
      <c r="H312" s="4">
        <v>0</v>
      </c>
      <c r="K312" s="4">
        <v>0</v>
      </c>
      <c r="N312" s="4">
        <v>0</v>
      </c>
      <c r="O312" s="4">
        <v>0</v>
      </c>
      <c r="P312" s="4" t="str">
        <f t="shared" si="4"/>
        <v>CALCRESULT.SORT_CODE</v>
      </c>
      <c r="Q312" s="4" t="str">
        <f>VLOOKUP(Cobra8.5[[#This Row],[Table.Column]],ColumnMapping[Old Table.Column],1,)</f>
        <v>CALCRESULT.SORT_CODE</v>
      </c>
    </row>
    <row r="313" spans="1:17" hidden="1" x14ac:dyDescent="0.2">
      <c r="A313" s="4" t="s">
        <v>2174</v>
      </c>
      <c r="B313" s="4">
        <v>0</v>
      </c>
      <c r="C313" s="4" t="s">
        <v>2174</v>
      </c>
      <c r="D313" s="4" t="s">
        <v>1463</v>
      </c>
      <c r="E313" s="4" t="s">
        <v>86</v>
      </c>
      <c r="F313" s="4">
        <v>10</v>
      </c>
      <c r="G313" s="4">
        <v>0</v>
      </c>
      <c r="H313" s="4">
        <v>0</v>
      </c>
      <c r="K313" s="4">
        <v>0</v>
      </c>
      <c r="N313" s="4">
        <v>0</v>
      </c>
      <c r="O313" s="4">
        <v>0</v>
      </c>
      <c r="P313" s="4" t="str">
        <f t="shared" si="4"/>
        <v>CALCRESULT.UNITS</v>
      </c>
      <c r="Q313" s="4" t="str">
        <f>VLOOKUP(Cobra8.5[[#This Row],[Table.Column]],ColumnMapping[Old Table.Column],1,)</f>
        <v>CALCRESULT.UNITS</v>
      </c>
    </row>
    <row r="314" spans="1:17" hidden="1" x14ac:dyDescent="0.2">
      <c r="A314" s="4" t="s">
        <v>2174</v>
      </c>
      <c r="B314" s="4">
        <v>0</v>
      </c>
      <c r="C314" s="4" t="s">
        <v>2174</v>
      </c>
      <c r="D314" s="4" t="s">
        <v>2112</v>
      </c>
      <c r="E314" s="4" t="s">
        <v>86</v>
      </c>
      <c r="F314" s="4">
        <v>20</v>
      </c>
      <c r="G314" s="4">
        <v>0</v>
      </c>
      <c r="H314" s="4">
        <v>0</v>
      </c>
      <c r="K314" s="4">
        <v>0</v>
      </c>
      <c r="N314" s="4">
        <v>0</v>
      </c>
      <c r="O314" s="4">
        <v>0</v>
      </c>
      <c r="P314" s="4" t="str">
        <f t="shared" si="4"/>
        <v>CALCRESULT.USR_ID</v>
      </c>
      <c r="Q314" s="4" t="str">
        <f>VLOOKUP(Cobra8.5[[#This Row],[Table.Column]],ColumnMapping[Old Table.Column],1,)</f>
        <v>CALCRESULT.USR_ID</v>
      </c>
    </row>
    <row r="315" spans="1:17" hidden="1" x14ac:dyDescent="0.2">
      <c r="A315" s="4" t="s">
        <v>849</v>
      </c>
      <c r="B315" s="4">
        <v>0</v>
      </c>
      <c r="C315" s="4" t="s">
        <v>849</v>
      </c>
      <c r="D315" s="4" t="s">
        <v>600</v>
      </c>
      <c r="E315" s="4" t="s">
        <v>2124</v>
      </c>
      <c r="F315" s="4">
        <v>21</v>
      </c>
      <c r="G315" s="4">
        <v>6</v>
      </c>
      <c r="H315" s="4">
        <v>0</v>
      </c>
      <c r="K315" s="4">
        <v>0</v>
      </c>
      <c r="N315" s="4">
        <v>0</v>
      </c>
      <c r="O315" s="4">
        <v>0</v>
      </c>
      <c r="P315" s="4" t="str">
        <f t="shared" si="4"/>
        <v>CAWP.ACWP</v>
      </c>
      <c r="Q315" s="4" t="str">
        <f>VLOOKUP(Cobra8.5[[#This Row],[Table.Column]],ColumnMapping[Old Table.Column],1,)</f>
        <v>CAWP.ACWP</v>
      </c>
    </row>
    <row r="316" spans="1:17" hidden="1" x14ac:dyDescent="0.2">
      <c r="A316" s="4" t="s">
        <v>849</v>
      </c>
      <c r="B316" s="4">
        <v>0</v>
      </c>
      <c r="C316" s="4" t="s">
        <v>849</v>
      </c>
      <c r="D316" s="4" t="s">
        <v>602</v>
      </c>
      <c r="E316" s="4" t="s">
        <v>2124</v>
      </c>
      <c r="F316" s="4">
        <v>21</v>
      </c>
      <c r="G316" s="4">
        <v>6</v>
      </c>
      <c r="H316" s="4">
        <v>0</v>
      </c>
      <c r="K316" s="4">
        <v>0</v>
      </c>
      <c r="N316" s="4">
        <v>0</v>
      </c>
      <c r="O316" s="4">
        <v>0</v>
      </c>
      <c r="P316" s="4" t="str">
        <f t="shared" si="4"/>
        <v>CAWP.ACWP_HRS</v>
      </c>
      <c r="Q316" s="4" t="str">
        <f>VLOOKUP(Cobra8.5[[#This Row],[Table.Column]],ColumnMapping[Old Table.Column],1,)</f>
        <v>CAWP.ACWP_HRS</v>
      </c>
    </row>
    <row r="317" spans="1:17" hidden="1" x14ac:dyDescent="0.2">
      <c r="A317" s="4" t="s">
        <v>849</v>
      </c>
      <c r="B317" s="4">
        <v>0</v>
      </c>
      <c r="C317" s="4" t="s">
        <v>849</v>
      </c>
      <c r="D317" s="4" t="s">
        <v>949</v>
      </c>
      <c r="E317" s="4" t="s">
        <v>2124</v>
      </c>
      <c r="F317" s="4">
        <v>21</v>
      </c>
      <c r="G317" s="4">
        <v>6</v>
      </c>
      <c r="H317" s="4">
        <v>0</v>
      </c>
      <c r="K317" s="4">
        <v>0</v>
      </c>
      <c r="N317" s="4">
        <v>0</v>
      </c>
      <c r="O317" s="4">
        <v>0</v>
      </c>
      <c r="P317" s="4" t="str">
        <f t="shared" si="4"/>
        <v>CAWP.ACWPCP</v>
      </c>
      <c r="Q317" s="4" t="str">
        <f>VLOOKUP(Cobra8.5[[#This Row],[Table.Column]],ColumnMapping[Old Table.Column],1,)</f>
        <v>CAWP.ACWPCP</v>
      </c>
    </row>
    <row r="318" spans="1:17" hidden="1" x14ac:dyDescent="0.2">
      <c r="A318" s="4" t="s">
        <v>849</v>
      </c>
      <c r="B318" s="4">
        <v>0</v>
      </c>
      <c r="C318" s="4" t="s">
        <v>849</v>
      </c>
      <c r="D318" s="4" t="s">
        <v>951</v>
      </c>
      <c r="E318" s="4" t="s">
        <v>2124</v>
      </c>
      <c r="F318" s="4">
        <v>21</v>
      </c>
      <c r="G318" s="4">
        <v>6</v>
      </c>
      <c r="H318" s="4">
        <v>0</v>
      </c>
      <c r="K318" s="4">
        <v>0</v>
      </c>
      <c r="N318" s="4">
        <v>0</v>
      </c>
      <c r="O318" s="4">
        <v>0</v>
      </c>
      <c r="P318" s="4" t="str">
        <f t="shared" si="4"/>
        <v>CAWP.ACWPCP_HRS</v>
      </c>
      <c r="Q318" s="4" t="str">
        <f>VLOOKUP(Cobra8.5[[#This Row],[Table.Column]],ColumnMapping[Old Table.Column],1,)</f>
        <v>CAWP.ACWPCP_HRS</v>
      </c>
    </row>
    <row r="319" spans="1:17" hidden="1" x14ac:dyDescent="0.2">
      <c r="A319" s="4" t="s">
        <v>849</v>
      </c>
      <c r="B319" s="4">
        <v>0</v>
      </c>
      <c r="C319" s="4" t="s">
        <v>849</v>
      </c>
      <c r="D319" s="4" t="s">
        <v>2175</v>
      </c>
      <c r="E319" s="4" t="s">
        <v>356</v>
      </c>
      <c r="F319" s="4">
        <v>-1</v>
      </c>
      <c r="G319" s="4">
        <v>0</v>
      </c>
      <c r="H319" s="4">
        <v>0</v>
      </c>
      <c r="K319" s="4">
        <v>0</v>
      </c>
      <c r="N319" s="4">
        <v>0</v>
      </c>
      <c r="O319" s="4">
        <v>0</v>
      </c>
      <c r="P319" s="4" t="str">
        <f t="shared" si="4"/>
        <v>CAWP.AFD</v>
      </c>
      <c r="Q319" s="4" t="str">
        <f>VLOOKUP(Cobra8.5[[#This Row],[Table.Column]],ColumnMapping[Old Table.Column],1,)</f>
        <v>CAWP.AFD</v>
      </c>
    </row>
    <row r="320" spans="1:17" hidden="1" x14ac:dyDescent="0.2">
      <c r="A320" s="4" t="s">
        <v>849</v>
      </c>
      <c r="B320" s="4">
        <v>0</v>
      </c>
      <c r="C320" s="4" t="s">
        <v>849</v>
      </c>
      <c r="D320" s="4" t="s">
        <v>953</v>
      </c>
      <c r="E320" s="4" t="s">
        <v>2108</v>
      </c>
      <c r="F320" s="4">
        <v>-1</v>
      </c>
      <c r="G320" s="4">
        <v>0</v>
      </c>
      <c r="H320" s="4">
        <v>0</v>
      </c>
      <c r="K320" s="4">
        <v>0</v>
      </c>
      <c r="N320" s="4">
        <v>0</v>
      </c>
      <c r="O320" s="4">
        <v>0</v>
      </c>
      <c r="P320" s="4" t="str">
        <f t="shared" si="4"/>
        <v>CAWP.APPLINK</v>
      </c>
      <c r="Q320" s="4" t="str">
        <f>VLOOKUP(Cobra8.5[[#This Row],[Table.Column]],ColumnMapping[Old Table.Column],1,)</f>
        <v>CAWP.APPLINK</v>
      </c>
    </row>
    <row r="321" spans="1:17" hidden="1" x14ac:dyDescent="0.2">
      <c r="A321" s="4" t="s">
        <v>849</v>
      </c>
      <c r="B321" s="4">
        <v>0</v>
      </c>
      <c r="C321" s="4" t="s">
        <v>849</v>
      </c>
      <c r="D321" s="4" t="s">
        <v>2176</v>
      </c>
      <c r="E321" s="4" t="s">
        <v>356</v>
      </c>
      <c r="F321" s="4">
        <v>-1</v>
      </c>
      <c r="G321" s="4">
        <v>0</v>
      </c>
      <c r="H321" s="4">
        <v>0</v>
      </c>
      <c r="K321" s="4">
        <v>0</v>
      </c>
      <c r="N321" s="4">
        <v>0</v>
      </c>
      <c r="O321" s="4">
        <v>0</v>
      </c>
      <c r="P321" s="4" t="str">
        <f t="shared" si="4"/>
        <v>CAWP.ASD</v>
      </c>
      <c r="Q321" s="4" t="str">
        <f>VLOOKUP(Cobra8.5[[#This Row],[Table.Column]],ColumnMapping[Old Table.Column],1,)</f>
        <v>CAWP.ASD</v>
      </c>
    </row>
    <row r="322" spans="1:17" hidden="1" x14ac:dyDescent="0.2">
      <c r="A322" s="4" t="s">
        <v>849</v>
      </c>
      <c r="B322" s="4">
        <v>0</v>
      </c>
      <c r="C322" s="4" t="s">
        <v>849</v>
      </c>
      <c r="D322" s="4" t="s">
        <v>607</v>
      </c>
      <c r="E322" s="4" t="s">
        <v>2124</v>
      </c>
      <c r="F322" s="4">
        <v>21</v>
      </c>
      <c r="G322" s="4">
        <v>6</v>
      </c>
      <c r="H322" s="4">
        <v>0</v>
      </c>
      <c r="K322" s="4">
        <v>0</v>
      </c>
      <c r="N322" s="4">
        <v>0</v>
      </c>
      <c r="O322" s="4">
        <v>0</v>
      </c>
      <c r="P322" s="4" t="str">
        <f t="shared" ref="P322:P385" si="5">_xlfn.CONCAT(A322,".",D322)</f>
        <v>CAWP.BAC</v>
      </c>
      <c r="Q322" s="4" t="str">
        <f>VLOOKUP(Cobra8.5[[#This Row],[Table.Column]],ColumnMapping[Old Table.Column],1,)</f>
        <v>CAWP.BAC</v>
      </c>
    </row>
    <row r="323" spans="1:17" hidden="1" x14ac:dyDescent="0.2">
      <c r="A323" s="4" t="s">
        <v>849</v>
      </c>
      <c r="B323" s="4">
        <v>0</v>
      </c>
      <c r="C323" s="4" t="s">
        <v>849</v>
      </c>
      <c r="D323" s="4" t="s">
        <v>609</v>
      </c>
      <c r="E323" s="4" t="s">
        <v>2124</v>
      </c>
      <c r="F323" s="4">
        <v>21</v>
      </c>
      <c r="G323" s="4">
        <v>6</v>
      </c>
      <c r="H323" s="4">
        <v>0</v>
      </c>
      <c r="K323" s="4">
        <v>0</v>
      </c>
      <c r="N323" s="4">
        <v>0</v>
      </c>
      <c r="O323" s="4">
        <v>0</v>
      </c>
      <c r="P323" s="4" t="str">
        <f t="shared" si="5"/>
        <v>CAWP.BAC_HRS</v>
      </c>
      <c r="Q323" s="4" t="str">
        <f>VLOOKUP(Cobra8.5[[#This Row],[Table.Column]],ColumnMapping[Old Table.Column],1,)</f>
        <v>CAWP.BAC_HRS</v>
      </c>
    </row>
    <row r="324" spans="1:17" hidden="1" x14ac:dyDescent="0.2">
      <c r="A324" s="4" t="s">
        <v>849</v>
      </c>
      <c r="B324" s="4">
        <v>0</v>
      </c>
      <c r="C324" s="4" t="s">
        <v>849</v>
      </c>
      <c r="D324" s="4" t="s">
        <v>613</v>
      </c>
      <c r="E324" s="4" t="s">
        <v>2124</v>
      </c>
      <c r="F324" s="4">
        <v>21</v>
      </c>
      <c r="G324" s="4">
        <v>6</v>
      </c>
      <c r="H324" s="4">
        <v>0</v>
      </c>
      <c r="K324" s="4">
        <v>0</v>
      </c>
      <c r="N324" s="4">
        <v>0</v>
      </c>
      <c r="O324" s="4">
        <v>0</v>
      </c>
      <c r="P324" s="4" t="str">
        <f t="shared" si="5"/>
        <v>CAWP.BCWP</v>
      </c>
      <c r="Q324" s="4" t="str">
        <f>VLOOKUP(Cobra8.5[[#This Row],[Table.Column]],ColumnMapping[Old Table.Column],1,)</f>
        <v>CAWP.BCWP</v>
      </c>
    </row>
    <row r="325" spans="1:17" hidden="1" x14ac:dyDescent="0.2">
      <c r="A325" s="4" t="s">
        <v>849</v>
      </c>
      <c r="B325" s="4">
        <v>0</v>
      </c>
      <c r="C325" s="4" t="s">
        <v>849</v>
      </c>
      <c r="D325" s="4" t="s">
        <v>615</v>
      </c>
      <c r="E325" s="4" t="s">
        <v>2124</v>
      </c>
      <c r="F325" s="4">
        <v>21</v>
      </c>
      <c r="G325" s="4">
        <v>6</v>
      </c>
      <c r="H325" s="4">
        <v>0</v>
      </c>
      <c r="K325" s="4">
        <v>0</v>
      </c>
      <c r="N325" s="4">
        <v>0</v>
      </c>
      <c r="O325" s="4">
        <v>0</v>
      </c>
      <c r="P325" s="4" t="str">
        <f t="shared" si="5"/>
        <v>CAWP.BCWP_HRS</v>
      </c>
      <c r="Q325" s="4" t="str">
        <f>VLOOKUP(Cobra8.5[[#This Row],[Table.Column]],ColumnMapping[Old Table.Column],1,)</f>
        <v>CAWP.BCWP_HRS</v>
      </c>
    </row>
    <row r="326" spans="1:17" hidden="1" x14ac:dyDescent="0.2">
      <c r="A326" s="4" t="s">
        <v>849</v>
      </c>
      <c r="B326" s="4">
        <v>0</v>
      </c>
      <c r="C326" s="4" t="s">
        <v>849</v>
      </c>
      <c r="D326" s="4" t="s">
        <v>955</v>
      </c>
      <c r="E326" s="4" t="s">
        <v>2124</v>
      </c>
      <c r="F326" s="4">
        <v>21</v>
      </c>
      <c r="G326" s="4">
        <v>6</v>
      </c>
      <c r="H326" s="4">
        <v>0</v>
      </c>
      <c r="K326" s="4">
        <v>0</v>
      </c>
      <c r="N326" s="4">
        <v>0</v>
      </c>
      <c r="O326" s="4">
        <v>0</v>
      </c>
      <c r="P326" s="4" t="str">
        <f t="shared" si="5"/>
        <v>CAWP.BCWPCP</v>
      </c>
      <c r="Q326" s="4" t="str">
        <f>VLOOKUP(Cobra8.5[[#This Row],[Table.Column]],ColumnMapping[Old Table.Column],1,)</f>
        <v>CAWP.BCWPCP</v>
      </c>
    </row>
    <row r="327" spans="1:17" hidden="1" x14ac:dyDescent="0.2">
      <c r="A327" s="4" t="s">
        <v>849</v>
      </c>
      <c r="B327" s="4">
        <v>0</v>
      </c>
      <c r="C327" s="4" t="s">
        <v>849</v>
      </c>
      <c r="D327" s="4" t="s">
        <v>957</v>
      </c>
      <c r="E327" s="4" t="s">
        <v>2124</v>
      </c>
      <c r="F327" s="4">
        <v>21</v>
      </c>
      <c r="G327" s="4">
        <v>6</v>
      </c>
      <c r="H327" s="4">
        <v>0</v>
      </c>
      <c r="K327" s="4">
        <v>0</v>
      </c>
      <c r="N327" s="4">
        <v>0</v>
      </c>
      <c r="O327" s="4">
        <v>0</v>
      </c>
      <c r="P327" s="4" t="str">
        <f t="shared" si="5"/>
        <v>CAWP.BCWPCP_HRS</v>
      </c>
      <c r="Q327" s="4" t="str">
        <f>VLOOKUP(Cobra8.5[[#This Row],[Table.Column]],ColumnMapping[Old Table.Column],1,)</f>
        <v>CAWP.BCWPCP_HRS</v>
      </c>
    </row>
    <row r="328" spans="1:17" hidden="1" x14ac:dyDescent="0.2">
      <c r="A328" s="4" t="s">
        <v>849</v>
      </c>
      <c r="B328" s="4">
        <v>0</v>
      </c>
      <c r="C328" s="4" t="s">
        <v>849</v>
      </c>
      <c r="D328" s="4" t="s">
        <v>617</v>
      </c>
      <c r="E328" s="4" t="s">
        <v>2124</v>
      </c>
      <c r="F328" s="4">
        <v>21</v>
      </c>
      <c r="G328" s="4">
        <v>6</v>
      </c>
      <c r="H328" s="4">
        <v>0</v>
      </c>
      <c r="K328" s="4">
        <v>0</v>
      </c>
      <c r="N328" s="4">
        <v>0</v>
      </c>
      <c r="O328" s="4">
        <v>0</v>
      </c>
      <c r="P328" s="4" t="str">
        <f t="shared" si="5"/>
        <v>CAWP.BCWS</v>
      </c>
      <c r="Q328" s="4" t="str">
        <f>VLOOKUP(Cobra8.5[[#This Row],[Table.Column]],ColumnMapping[Old Table.Column],1,)</f>
        <v>CAWP.BCWS</v>
      </c>
    </row>
    <row r="329" spans="1:17" hidden="1" x14ac:dyDescent="0.2">
      <c r="A329" s="4" t="s">
        <v>849</v>
      </c>
      <c r="B329" s="4">
        <v>0</v>
      </c>
      <c r="C329" s="4" t="s">
        <v>849</v>
      </c>
      <c r="D329" s="4" t="s">
        <v>619</v>
      </c>
      <c r="E329" s="4" t="s">
        <v>2124</v>
      </c>
      <c r="F329" s="4">
        <v>21</v>
      </c>
      <c r="G329" s="4">
        <v>6</v>
      </c>
      <c r="H329" s="4">
        <v>0</v>
      </c>
      <c r="K329" s="4">
        <v>0</v>
      </c>
      <c r="N329" s="4">
        <v>0</v>
      </c>
      <c r="O329" s="4">
        <v>0</v>
      </c>
      <c r="P329" s="4" t="str">
        <f t="shared" si="5"/>
        <v>CAWP.BCWS_HRS</v>
      </c>
      <c r="Q329" s="4" t="str">
        <f>VLOOKUP(Cobra8.5[[#This Row],[Table.Column]],ColumnMapping[Old Table.Column],1,)</f>
        <v>CAWP.BCWS_HRS</v>
      </c>
    </row>
    <row r="330" spans="1:17" hidden="1" x14ac:dyDescent="0.2">
      <c r="A330" s="4" t="s">
        <v>849</v>
      </c>
      <c r="B330" s="4">
        <v>0</v>
      </c>
      <c r="C330" s="4" t="s">
        <v>849</v>
      </c>
      <c r="D330" s="4" t="s">
        <v>959</v>
      </c>
      <c r="E330" s="4" t="s">
        <v>2124</v>
      </c>
      <c r="F330" s="4">
        <v>21</v>
      </c>
      <c r="G330" s="4">
        <v>6</v>
      </c>
      <c r="H330" s="4">
        <v>0</v>
      </c>
      <c r="K330" s="4">
        <v>0</v>
      </c>
      <c r="N330" s="4">
        <v>0</v>
      </c>
      <c r="O330" s="4">
        <v>0</v>
      </c>
      <c r="P330" s="4" t="str">
        <f t="shared" si="5"/>
        <v>CAWP.BCWSCP</v>
      </c>
      <c r="Q330" s="4" t="str">
        <f>VLOOKUP(Cobra8.5[[#This Row],[Table.Column]],ColumnMapping[Old Table.Column],1,)</f>
        <v>CAWP.BCWSCP</v>
      </c>
    </row>
    <row r="331" spans="1:17" hidden="1" x14ac:dyDescent="0.2">
      <c r="A331" s="4" t="s">
        <v>849</v>
      </c>
      <c r="B331" s="4">
        <v>0</v>
      </c>
      <c r="C331" s="4" t="s">
        <v>849</v>
      </c>
      <c r="D331" s="4" t="s">
        <v>961</v>
      </c>
      <c r="E331" s="4" t="s">
        <v>2124</v>
      </c>
      <c r="F331" s="4">
        <v>21</v>
      </c>
      <c r="G331" s="4">
        <v>6</v>
      </c>
      <c r="H331" s="4">
        <v>0</v>
      </c>
      <c r="K331" s="4">
        <v>0</v>
      </c>
      <c r="N331" s="4">
        <v>0</v>
      </c>
      <c r="O331" s="4">
        <v>0</v>
      </c>
      <c r="P331" s="4" t="str">
        <f t="shared" si="5"/>
        <v>CAWP.BCWSCP_HRS</v>
      </c>
      <c r="Q331" s="4" t="str">
        <f>VLOOKUP(Cobra8.5[[#This Row],[Table.Column]],ColumnMapping[Old Table.Column],1,)</f>
        <v>CAWP.BCWSCP_HRS</v>
      </c>
    </row>
    <row r="332" spans="1:17" hidden="1" x14ac:dyDescent="0.2">
      <c r="A332" s="4" t="s">
        <v>849</v>
      </c>
      <c r="B332" s="4">
        <v>0</v>
      </c>
      <c r="C332" s="4" t="s">
        <v>849</v>
      </c>
      <c r="D332" s="4" t="s">
        <v>963</v>
      </c>
      <c r="E332" s="4" t="s">
        <v>86</v>
      </c>
      <c r="F332" s="4">
        <v>59</v>
      </c>
      <c r="G332" s="4">
        <v>0</v>
      </c>
      <c r="H332" s="4">
        <v>0</v>
      </c>
      <c r="K332" s="4">
        <v>0</v>
      </c>
      <c r="N332" s="4">
        <v>0</v>
      </c>
      <c r="O332" s="4">
        <v>0</v>
      </c>
      <c r="P332" s="4" t="str">
        <f t="shared" si="5"/>
        <v>CAWP.C1</v>
      </c>
      <c r="Q332" s="4" t="str">
        <f>VLOOKUP(Cobra8.5[[#This Row],[Table.Column]],ColumnMapping[Old Table.Column],1,)</f>
        <v>CAWP.C1</v>
      </c>
    </row>
    <row r="333" spans="1:17" hidden="1" x14ac:dyDescent="0.2">
      <c r="A333" s="4" t="s">
        <v>849</v>
      </c>
      <c r="B333" s="4">
        <v>0</v>
      </c>
      <c r="C333" s="4" t="s">
        <v>849</v>
      </c>
      <c r="D333" s="4" t="s">
        <v>965</v>
      </c>
      <c r="E333" s="4" t="s">
        <v>86</v>
      </c>
      <c r="F333" s="4">
        <v>59</v>
      </c>
      <c r="G333" s="4">
        <v>0</v>
      </c>
      <c r="H333" s="4">
        <v>0</v>
      </c>
      <c r="K333" s="4">
        <v>0</v>
      </c>
      <c r="N333" s="4">
        <v>0</v>
      </c>
      <c r="O333" s="4">
        <v>0</v>
      </c>
      <c r="P333" s="4" t="str">
        <f t="shared" si="5"/>
        <v>CAWP.C10</v>
      </c>
      <c r="Q333" s="4" t="str">
        <f>VLOOKUP(Cobra8.5[[#This Row],[Table.Column]],ColumnMapping[Old Table.Column],1,)</f>
        <v>CAWP.C10</v>
      </c>
    </row>
    <row r="334" spans="1:17" hidden="1" x14ac:dyDescent="0.2">
      <c r="A334" s="4" t="s">
        <v>849</v>
      </c>
      <c r="B334" s="4">
        <v>0</v>
      </c>
      <c r="C334" s="4" t="s">
        <v>849</v>
      </c>
      <c r="D334" s="4" t="s">
        <v>967</v>
      </c>
      <c r="E334" s="4" t="s">
        <v>86</v>
      </c>
      <c r="F334" s="4">
        <v>59</v>
      </c>
      <c r="G334" s="4">
        <v>0</v>
      </c>
      <c r="H334" s="4">
        <v>0</v>
      </c>
      <c r="K334" s="4">
        <v>0</v>
      </c>
      <c r="N334" s="4">
        <v>0</v>
      </c>
      <c r="O334" s="4">
        <v>0</v>
      </c>
      <c r="P334" s="4" t="str">
        <f t="shared" si="5"/>
        <v>CAWP.C11</v>
      </c>
      <c r="Q334" s="4" t="str">
        <f>VLOOKUP(Cobra8.5[[#This Row],[Table.Column]],ColumnMapping[Old Table.Column],1,)</f>
        <v>CAWP.C11</v>
      </c>
    </row>
    <row r="335" spans="1:17" hidden="1" x14ac:dyDescent="0.2">
      <c r="A335" s="4" t="s">
        <v>849</v>
      </c>
      <c r="B335" s="4">
        <v>0</v>
      </c>
      <c r="C335" s="4" t="s">
        <v>849</v>
      </c>
      <c r="D335" s="4" t="s">
        <v>969</v>
      </c>
      <c r="E335" s="4" t="s">
        <v>86</v>
      </c>
      <c r="F335" s="4">
        <v>59</v>
      </c>
      <c r="G335" s="4">
        <v>0</v>
      </c>
      <c r="H335" s="4">
        <v>0</v>
      </c>
      <c r="K335" s="4">
        <v>0</v>
      </c>
      <c r="N335" s="4">
        <v>0</v>
      </c>
      <c r="O335" s="4">
        <v>0</v>
      </c>
      <c r="P335" s="4" t="str">
        <f t="shared" si="5"/>
        <v>CAWP.C12</v>
      </c>
      <c r="Q335" s="4" t="str">
        <f>VLOOKUP(Cobra8.5[[#This Row],[Table.Column]],ColumnMapping[Old Table.Column],1,)</f>
        <v>CAWP.C12</v>
      </c>
    </row>
    <row r="336" spans="1:17" hidden="1" x14ac:dyDescent="0.2">
      <c r="A336" s="4" t="s">
        <v>849</v>
      </c>
      <c r="B336" s="4">
        <v>0</v>
      </c>
      <c r="C336" s="4" t="s">
        <v>849</v>
      </c>
      <c r="D336" s="4" t="s">
        <v>971</v>
      </c>
      <c r="E336" s="4" t="s">
        <v>86</v>
      </c>
      <c r="F336" s="4">
        <v>59</v>
      </c>
      <c r="G336" s="4">
        <v>0</v>
      </c>
      <c r="H336" s="4">
        <v>0</v>
      </c>
      <c r="K336" s="4">
        <v>0</v>
      </c>
      <c r="N336" s="4">
        <v>0</v>
      </c>
      <c r="O336" s="4">
        <v>0</v>
      </c>
      <c r="P336" s="4" t="str">
        <f t="shared" si="5"/>
        <v>CAWP.C13</v>
      </c>
      <c r="Q336" s="4" t="str">
        <f>VLOOKUP(Cobra8.5[[#This Row],[Table.Column]],ColumnMapping[Old Table.Column],1,)</f>
        <v>CAWP.C13</v>
      </c>
    </row>
    <row r="337" spans="1:17" hidden="1" x14ac:dyDescent="0.2">
      <c r="A337" s="4" t="s">
        <v>849</v>
      </c>
      <c r="B337" s="4">
        <v>0</v>
      </c>
      <c r="C337" s="4" t="s">
        <v>849</v>
      </c>
      <c r="D337" s="4" t="s">
        <v>973</v>
      </c>
      <c r="E337" s="4" t="s">
        <v>86</v>
      </c>
      <c r="F337" s="4">
        <v>59</v>
      </c>
      <c r="G337" s="4">
        <v>0</v>
      </c>
      <c r="H337" s="4">
        <v>0</v>
      </c>
      <c r="K337" s="4">
        <v>0</v>
      </c>
      <c r="N337" s="4">
        <v>0</v>
      </c>
      <c r="O337" s="4">
        <v>0</v>
      </c>
      <c r="P337" s="4" t="str">
        <f t="shared" si="5"/>
        <v>CAWP.C14</v>
      </c>
      <c r="Q337" s="4" t="str">
        <f>VLOOKUP(Cobra8.5[[#This Row],[Table.Column]],ColumnMapping[Old Table.Column],1,)</f>
        <v>CAWP.C14</v>
      </c>
    </row>
    <row r="338" spans="1:17" hidden="1" x14ac:dyDescent="0.2">
      <c r="A338" s="4" t="s">
        <v>849</v>
      </c>
      <c r="B338" s="4">
        <v>0</v>
      </c>
      <c r="C338" s="4" t="s">
        <v>849</v>
      </c>
      <c r="D338" s="4" t="s">
        <v>975</v>
      </c>
      <c r="E338" s="4" t="s">
        <v>86</v>
      </c>
      <c r="F338" s="4">
        <v>59</v>
      </c>
      <c r="G338" s="4">
        <v>0</v>
      </c>
      <c r="H338" s="4">
        <v>0</v>
      </c>
      <c r="K338" s="4">
        <v>0</v>
      </c>
      <c r="N338" s="4">
        <v>0</v>
      </c>
      <c r="O338" s="4">
        <v>0</v>
      </c>
      <c r="P338" s="4" t="str">
        <f t="shared" si="5"/>
        <v>CAWP.C15</v>
      </c>
      <c r="Q338" s="4" t="str">
        <f>VLOOKUP(Cobra8.5[[#This Row],[Table.Column]],ColumnMapping[Old Table.Column],1,)</f>
        <v>CAWP.C15</v>
      </c>
    </row>
    <row r="339" spans="1:17" hidden="1" x14ac:dyDescent="0.2">
      <c r="A339" s="4" t="s">
        <v>849</v>
      </c>
      <c r="B339" s="4">
        <v>0</v>
      </c>
      <c r="C339" s="4" t="s">
        <v>849</v>
      </c>
      <c r="D339" s="4" t="s">
        <v>977</v>
      </c>
      <c r="E339" s="4" t="s">
        <v>86</v>
      </c>
      <c r="F339" s="4">
        <v>59</v>
      </c>
      <c r="G339" s="4">
        <v>0</v>
      </c>
      <c r="H339" s="4">
        <v>0</v>
      </c>
      <c r="K339" s="4">
        <v>0</v>
      </c>
      <c r="N339" s="4">
        <v>0</v>
      </c>
      <c r="O339" s="4">
        <v>0</v>
      </c>
      <c r="P339" s="4" t="str">
        <f t="shared" si="5"/>
        <v>CAWP.C16</v>
      </c>
      <c r="Q339" s="4" t="str">
        <f>VLOOKUP(Cobra8.5[[#This Row],[Table.Column]],ColumnMapping[Old Table.Column],1,)</f>
        <v>CAWP.C16</v>
      </c>
    </row>
    <row r="340" spans="1:17" hidden="1" x14ac:dyDescent="0.2">
      <c r="A340" s="4" t="s">
        <v>849</v>
      </c>
      <c r="B340" s="4">
        <v>0</v>
      </c>
      <c r="C340" s="4" t="s">
        <v>849</v>
      </c>
      <c r="D340" s="4" t="s">
        <v>979</v>
      </c>
      <c r="E340" s="4" t="s">
        <v>86</v>
      </c>
      <c r="F340" s="4">
        <v>59</v>
      </c>
      <c r="G340" s="4">
        <v>0</v>
      </c>
      <c r="H340" s="4">
        <v>0</v>
      </c>
      <c r="K340" s="4">
        <v>0</v>
      </c>
      <c r="N340" s="4">
        <v>0</v>
      </c>
      <c r="O340" s="4">
        <v>0</v>
      </c>
      <c r="P340" s="4" t="str">
        <f t="shared" si="5"/>
        <v>CAWP.C17</v>
      </c>
      <c r="Q340" s="4" t="str">
        <f>VLOOKUP(Cobra8.5[[#This Row],[Table.Column]],ColumnMapping[Old Table.Column],1,)</f>
        <v>CAWP.C17</v>
      </c>
    </row>
    <row r="341" spans="1:17" hidden="1" x14ac:dyDescent="0.2">
      <c r="A341" s="4" t="s">
        <v>849</v>
      </c>
      <c r="B341" s="4">
        <v>0</v>
      </c>
      <c r="C341" s="4" t="s">
        <v>849</v>
      </c>
      <c r="D341" s="4" t="s">
        <v>981</v>
      </c>
      <c r="E341" s="4" t="s">
        <v>86</v>
      </c>
      <c r="F341" s="4">
        <v>59</v>
      </c>
      <c r="G341" s="4">
        <v>0</v>
      </c>
      <c r="H341" s="4">
        <v>0</v>
      </c>
      <c r="K341" s="4">
        <v>0</v>
      </c>
      <c r="N341" s="4">
        <v>0</v>
      </c>
      <c r="O341" s="4">
        <v>0</v>
      </c>
      <c r="P341" s="4" t="str">
        <f t="shared" si="5"/>
        <v>CAWP.C18</v>
      </c>
      <c r="Q341" s="4" t="str">
        <f>VLOOKUP(Cobra8.5[[#This Row],[Table.Column]],ColumnMapping[Old Table.Column],1,)</f>
        <v>CAWP.C18</v>
      </c>
    </row>
    <row r="342" spans="1:17" hidden="1" x14ac:dyDescent="0.2">
      <c r="A342" s="4" t="s">
        <v>849</v>
      </c>
      <c r="B342" s="4">
        <v>0</v>
      </c>
      <c r="C342" s="4" t="s">
        <v>849</v>
      </c>
      <c r="D342" s="4" t="s">
        <v>983</v>
      </c>
      <c r="E342" s="4" t="s">
        <v>86</v>
      </c>
      <c r="F342" s="4">
        <v>59</v>
      </c>
      <c r="G342" s="4">
        <v>0</v>
      </c>
      <c r="H342" s="4">
        <v>0</v>
      </c>
      <c r="K342" s="4">
        <v>0</v>
      </c>
      <c r="N342" s="4">
        <v>0</v>
      </c>
      <c r="O342" s="4">
        <v>0</v>
      </c>
      <c r="P342" s="4" t="str">
        <f t="shared" si="5"/>
        <v>CAWP.C19</v>
      </c>
      <c r="Q342" s="4" t="str">
        <f>VLOOKUP(Cobra8.5[[#This Row],[Table.Column]],ColumnMapping[Old Table.Column],1,)</f>
        <v>CAWP.C19</v>
      </c>
    </row>
    <row r="343" spans="1:17" hidden="1" x14ac:dyDescent="0.2">
      <c r="A343" s="4" t="s">
        <v>849</v>
      </c>
      <c r="B343" s="4">
        <v>0</v>
      </c>
      <c r="C343" s="4" t="s">
        <v>849</v>
      </c>
      <c r="D343" s="4" t="s">
        <v>985</v>
      </c>
      <c r="E343" s="4" t="s">
        <v>86</v>
      </c>
      <c r="F343" s="4">
        <v>59</v>
      </c>
      <c r="G343" s="4">
        <v>0</v>
      </c>
      <c r="H343" s="4">
        <v>0</v>
      </c>
      <c r="K343" s="4">
        <v>0</v>
      </c>
      <c r="N343" s="4">
        <v>0</v>
      </c>
      <c r="O343" s="4">
        <v>0</v>
      </c>
      <c r="P343" s="4" t="str">
        <f t="shared" si="5"/>
        <v>CAWP.C2</v>
      </c>
      <c r="Q343" s="4" t="str">
        <f>VLOOKUP(Cobra8.5[[#This Row],[Table.Column]],ColumnMapping[Old Table.Column],1,)</f>
        <v>CAWP.C2</v>
      </c>
    </row>
    <row r="344" spans="1:17" hidden="1" x14ac:dyDescent="0.2">
      <c r="A344" s="4" t="s">
        <v>849</v>
      </c>
      <c r="B344" s="4">
        <v>0</v>
      </c>
      <c r="C344" s="4" t="s">
        <v>849</v>
      </c>
      <c r="D344" s="4" t="s">
        <v>987</v>
      </c>
      <c r="E344" s="4" t="s">
        <v>86</v>
      </c>
      <c r="F344" s="4">
        <v>59</v>
      </c>
      <c r="G344" s="4">
        <v>0</v>
      </c>
      <c r="H344" s="4">
        <v>0</v>
      </c>
      <c r="K344" s="4">
        <v>0</v>
      </c>
      <c r="N344" s="4">
        <v>0</v>
      </c>
      <c r="O344" s="4">
        <v>0</v>
      </c>
      <c r="P344" s="4" t="str">
        <f t="shared" si="5"/>
        <v>CAWP.C20</v>
      </c>
      <c r="Q344" s="4" t="str">
        <f>VLOOKUP(Cobra8.5[[#This Row],[Table.Column]],ColumnMapping[Old Table.Column],1,)</f>
        <v>CAWP.C20</v>
      </c>
    </row>
    <row r="345" spans="1:17" hidden="1" x14ac:dyDescent="0.2">
      <c r="A345" s="4" t="s">
        <v>849</v>
      </c>
      <c r="B345" s="4">
        <v>0</v>
      </c>
      <c r="C345" s="4" t="s">
        <v>849</v>
      </c>
      <c r="D345" s="4" t="s">
        <v>989</v>
      </c>
      <c r="E345" s="4" t="s">
        <v>86</v>
      </c>
      <c r="F345" s="4">
        <v>59</v>
      </c>
      <c r="G345" s="4">
        <v>0</v>
      </c>
      <c r="H345" s="4">
        <v>0</v>
      </c>
      <c r="K345" s="4">
        <v>0</v>
      </c>
      <c r="N345" s="4">
        <v>0</v>
      </c>
      <c r="O345" s="4">
        <v>0</v>
      </c>
      <c r="P345" s="4" t="str">
        <f t="shared" si="5"/>
        <v>CAWP.C3</v>
      </c>
      <c r="Q345" s="4" t="str">
        <f>VLOOKUP(Cobra8.5[[#This Row],[Table.Column]],ColumnMapping[Old Table.Column],1,)</f>
        <v>CAWP.C3</v>
      </c>
    </row>
    <row r="346" spans="1:17" hidden="1" x14ac:dyDescent="0.2">
      <c r="A346" s="4" t="s">
        <v>849</v>
      </c>
      <c r="B346" s="4">
        <v>0</v>
      </c>
      <c r="C346" s="4" t="s">
        <v>849</v>
      </c>
      <c r="D346" s="4" t="s">
        <v>991</v>
      </c>
      <c r="E346" s="4" t="s">
        <v>86</v>
      </c>
      <c r="F346" s="4">
        <v>59</v>
      </c>
      <c r="G346" s="4">
        <v>0</v>
      </c>
      <c r="H346" s="4">
        <v>0</v>
      </c>
      <c r="K346" s="4">
        <v>0</v>
      </c>
      <c r="N346" s="4">
        <v>0</v>
      </c>
      <c r="O346" s="4">
        <v>0</v>
      </c>
      <c r="P346" s="4" t="str">
        <f t="shared" si="5"/>
        <v>CAWP.C4</v>
      </c>
      <c r="Q346" s="4" t="str">
        <f>VLOOKUP(Cobra8.5[[#This Row],[Table.Column]],ColumnMapping[Old Table.Column],1,)</f>
        <v>CAWP.C4</v>
      </c>
    </row>
    <row r="347" spans="1:17" hidden="1" x14ac:dyDescent="0.2">
      <c r="A347" s="4" t="s">
        <v>849</v>
      </c>
      <c r="B347" s="4">
        <v>0</v>
      </c>
      <c r="C347" s="4" t="s">
        <v>849</v>
      </c>
      <c r="D347" s="4" t="s">
        <v>993</v>
      </c>
      <c r="E347" s="4" t="s">
        <v>86</v>
      </c>
      <c r="F347" s="4">
        <v>59</v>
      </c>
      <c r="G347" s="4">
        <v>0</v>
      </c>
      <c r="H347" s="4">
        <v>0</v>
      </c>
      <c r="K347" s="4">
        <v>0</v>
      </c>
      <c r="N347" s="4">
        <v>0</v>
      </c>
      <c r="O347" s="4">
        <v>0</v>
      </c>
      <c r="P347" s="4" t="str">
        <f t="shared" si="5"/>
        <v>CAWP.C5</v>
      </c>
      <c r="Q347" s="4" t="str">
        <f>VLOOKUP(Cobra8.5[[#This Row],[Table.Column]],ColumnMapping[Old Table.Column],1,)</f>
        <v>CAWP.C5</v>
      </c>
    </row>
    <row r="348" spans="1:17" hidden="1" x14ac:dyDescent="0.2">
      <c r="A348" s="4" t="s">
        <v>849</v>
      </c>
      <c r="B348" s="4">
        <v>0</v>
      </c>
      <c r="C348" s="4" t="s">
        <v>849</v>
      </c>
      <c r="D348" s="4" t="s">
        <v>995</v>
      </c>
      <c r="E348" s="4" t="s">
        <v>86</v>
      </c>
      <c r="F348" s="4">
        <v>59</v>
      </c>
      <c r="G348" s="4">
        <v>0</v>
      </c>
      <c r="H348" s="4">
        <v>0</v>
      </c>
      <c r="K348" s="4">
        <v>0</v>
      </c>
      <c r="N348" s="4">
        <v>0</v>
      </c>
      <c r="O348" s="4">
        <v>0</v>
      </c>
      <c r="P348" s="4" t="str">
        <f t="shared" si="5"/>
        <v>CAWP.C6</v>
      </c>
      <c r="Q348" s="4" t="str">
        <f>VLOOKUP(Cobra8.5[[#This Row],[Table.Column]],ColumnMapping[Old Table.Column],1,)</f>
        <v>CAWP.C6</v>
      </c>
    </row>
    <row r="349" spans="1:17" hidden="1" x14ac:dyDescent="0.2">
      <c r="A349" s="4" t="s">
        <v>849</v>
      </c>
      <c r="B349" s="4">
        <v>0</v>
      </c>
      <c r="C349" s="4" t="s">
        <v>849</v>
      </c>
      <c r="D349" s="4" t="s">
        <v>997</v>
      </c>
      <c r="E349" s="4" t="s">
        <v>86</v>
      </c>
      <c r="F349" s="4">
        <v>59</v>
      </c>
      <c r="G349" s="4">
        <v>0</v>
      </c>
      <c r="H349" s="4">
        <v>0</v>
      </c>
      <c r="K349" s="4">
        <v>0</v>
      </c>
      <c r="N349" s="4">
        <v>0</v>
      </c>
      <c r="O349" s="4">
        <v>0</v>
      </c>
      <c r="P349" s="4" t="str">
        <f t="shared" si="5"/>
        <v>CAWP.C7</v>
      </c>
      <c r="Q349" s="4" t="str">
        <f>VLOOKUP(Cobra8.5[[#This Row],[Table.Column]],ColumnMapping[Old Table.Column],1,)</f>
        <v>CAWP.C7</v>
      </c>
    </row>
    <row r="350" spans="1:17" hidden="1" x14ac:dyDescent="0.2">
      <c r="A350" s="4" t="s">
        <v>849</v>
      </c>
      <c r="B350" s="4">
        <v>0</v>
      </c>
      <c r="C350" s="4" t="s">
        <v>849</v>
      </c>
      <c r="D350" s="4" t="s">
        <v>999</v>
      </c>
      <c r="E350" s="4" t="s">
        <v>86</v>
      </c>
      <c r="F350" s="4">
        <v>59</v>
      </c>
      <c r="G350" s="4">
        <v>0</v>
      </c>
      <c r="H350" s="4">
        <v>0</v>
      </c>
      <c r="K350" s="4">
        <v>0</v>
      </c>
      <c r="N350" s="4">
        <v>0</v>
      </c>
      <c r="O350" s="4">
        <v>0</v>
      </c>
      <c r="P350" s="4" t="str">
        <f t="shared" si="5"/>
        <v>CAWP.C8</v>
      </c>
      <c r="Q350" s="4" t="str">
        <f>VLOOKUP(Cobra8.5[[#This Row],[Table.Column]],ColumnMapping[Old Table.Column],1,)</f>
        <v>CAWP.C8</v>
      </c>
    </row>
    <row r="351" spans="1:17" hidden="1" x14ac:dyDescent="0.2">
      <c r="A351" s="4" t="s">
        <v>849</v>
      </c>
      <c r="B351" s="4">
        <v>0</v>
      </c>
      <c r="C351" s="4" t="s">
        <v>849</v>
      </c>
      <c r="D351" s="4" t="s">
        <v>1001</v>
      </c>
      <c r="E351" s="4" t="s">
        <v>86</v>
      </c>
      <c r="F351" s="4">
        <v>59</v>
      </c>
      <c r="G351" s="4">
        <v>0</v>
      </c>
      <c r="H351" s="4">
        <v>0</v>
      </c>
      <c r="K351" s="4">
        <v>0</v>
      </c>
      <c r="N351" s="4">
        <v>0</v>
      </c>
      <c r="O351" s="4">
        <v>0</v>
      </c>
      <c r="P351" s="4" t="str">
        <f t="shared" si="5"/>
        <v>CAWP.C9</v>
      </c>
      <c r="Q351" s="4" t="str">
        <f>VLOOKUP(Cobra8.5[[#This Row],[Table.Column]],ColumnMapping[Old Table.Column],1,)</f>
        <v>CAWP.C9</v>
      </c>
    </row>
    <row r="352" spans="1:17" hidden="1" x14ac:dyDescent="0.2">
      <c r="A352" s="4" t="s">
        <v>849</v>
      </c>
      <c r="B352" s="4">
        <v>0</v>
      </c>
      <c r="C352" s="4" t="s">
        <v>849</v>
      </c>
      <c r="D352" s="4" t="s">
        <v>1003</v>
      </c>
      <c r="E352" s="4" t="s">
        <v>86</v>
      </c>
      <c r="F352" s="4">
        <v>59</v>
      </c>
      <c r="G352" s="4">
        <v>0</v>
      </c>
      <c r="H352" s="4">
        <v>0</v>
      </c>
      <c r="K352" s="4">
        <v>0</v>
      </c>
      <c r="N352" s="4">
        <v>0</v>
      </c>
      <c r="O352" s="4">
        <v>0</v>
      </c>
      <c r="P352" s="4" t="str">
        <f t="shared" si="5"/>
        <v>CAWP.CA1</v>
      </c>
      <c r="Q352" s="4" t="str">
        <f>VLOOKUP(Cobra8.5[[#This Row],[Table.Column]],ColumnMapping[Old Table.Column],1,)</f>
        <v>CAWP.CA1</v>
      </c>
    </row>
    <row r="353" spans="1:17" hidden="1" x14ac:dyDescent="0.2">
      <c r="A353" s="4" t="s">
        <v>849</v>
      </c>
      <c r="B353" s="4">
        <v>0</v>
      </c>
      <c r="C353" s="4" t="s">
        <v>849</v>
      </c>
      <c r="D353" s="4" t="s">
        <v>1005</v>
      </c>
      <c r="E353" s="4" t="s">
        <v>86</v>
      </c>
      <c r="F353" s="4">
        <v>59</v>
      </c>
      <c r="G353" s="4">
        <v>0</v>
      </c>
      <c r="H353" s="4">
        <v>0</v>
      </c>
      <c r="K353" s="4">
        <v>0</v>
      </c>
      <c r="N353" s="4">
        <v>0</v>
      </c>
      <c r="O353" s="4">
        <v>0</v>
      </c>
      <c r="P353" s="4" t="str">
        <f t="shared" si="5"/>
        <v>CAWP.CA2</v>
      </c>
      <c r="Q353" s="4" t="str">
        <f>VLOOKUP(Cobra8.5[[#This Row],[Table.Column]],ColumnMapping[Old Table.Column],1,)</f>
        <v>CAWP.CA2</v>
      </c>
    </row>
    <row r="354" spans="1:17" hidden="1" x14ac:dyDescent="0.2">
      <c r="A354" s="4" t="s">
        <v>849</v>
      </c>
      <c r="B354" s="4">
        <v>0</v>
      </c>
      <c r="C354" s="4" t="s">
        <v>849</v>
      </c>
      <c r="D354" s="4" t="s">
        <v>1007</v>
      </c>
      <c r="E354" s="4" t="s">
        <v>86</v>
      </c>
      <c r="F354" s="4">
        <v>59</v>
      </c>
      <c r="G354" s="4">
        <v>0</v>
      </c>
      <c r="H354" s="4">
        <v>0</v>
      </c>
      <c r="K354" s="4">
        <v>0</v>
      </c>
      <c r="N354" s="4">
        <v>0</v>
      </c>
      <c r="O354" s="4">
        <v>0</v>
      </c>
      <c r="P354" s="4" t="str">
        <f t="shared" si="5"/>
        <v>CAWP.CA3</v>
      </c>
      <c r="Q354" s="4" t="str">
        <f>VLOOKUP(Cobra8.5[[#This Row],[Table.Column]],ColumnMapping[Old Table.Column],1,)</f>
        <v>CAWP.CA3</v>
      </c>
    </row>
    <row r="355" spans="1:17" hidden="1" x14ac:dyDescent="0.2">
      <c r="A355" s="4" t="s">
        <v>849</v>
      </c>
      <c r="B355" s="4">
        <v>0</v>
      </c>
      <c r="C355" s="4" t="s">
        <v>849</v>
      </c>
      <c r="D355" s="4" t="s">
        <v>1009</v>
      </c>
      <c r="E355" s="4" t="s">
        <v>2108</v>
      </c>
      <c r="F355" s="4">
        <v>-1</v>
      </c>
      <c r="G355" s="4">
        <v>0</v>
      </c>
      <c r="H355" s="4">
        <v>0</v>
      </c>
      <c r="K355" s="4">
        <v>0</v>
      </c>
      <c r="N355" s="4">
        <v>0</v>
      </c>
      <c r="O355" s="4">
        <v>0</v>
      </c>
      <c r="P355" s="4" t="str">
        <f t="shared" si="5"/>
        <v>CAWP.CAWPID</v>
      </c>
      <c r="Q355" s="4" t="str">
        <f>VLOOKUP(Cobra8.5[[#This Row],[Table.Column]],ColumnMapping[Old Table.Column],1,)</f>
        <v>CAWP.CAWPID</v>
      </c>
    </row>
    <row r="356" spans="1:17" hidden="1" x14ac:dyDescent="0.2">
      <c r="A356" s="4" t="s">
        <v>849</v>
      </c>
      <c r="B356" s="4">
        <v>0</v>
      </c>
      <c r="C356" s="4" t="s">
        <v>849</v>
      </c>
      <c r="D356" s="4" t="s">
        <v>1011</v>
      </c>
      <c r="E356" s="4" t="s">
        <v>2108</v>
      </c>
      <c r="F356" s="4">
        <v>-1</v>
      </c>
      <c r="G356" s="4">
        <v>0</v>
      </c>
      <c r="H356" s="4">
        <v>0</v>
      </c>
      <c r="K356" s="4">
        <v>0</v>
      </c>
      <c r="N356" s="4">
        <v>0</v>
      </c>
      <c r="O356" s="4">
        <v>0</v>
      </c>
      <c r="P356" s="4" t="str">
        <f t="shared" si="5"/>
        <v>CAWP.CL_BATCH</v>
      </c>
      <c r="Q356" s="4" t="str">
        <f>VLOOKUP(Cobra8.5[[#This Row],[Table.Column]],ColumnMapping[Old Table.Column],1,)</f>
        <v>CAWP.CL_BATCH</v>
      </c>
    </row>
    <row r="357" spans="1:17" hidden="1" x14ac:dyDescent="0.2">
      <c r="A357" s="4" t="s">
        <v>849</v>
      </c>
      <c r="B357" s="4">
        <v>0</v>
      </c>
      <c r="C357" s="4" t="s">
        <v>849</v>
      </c>
      <c r="D357" s="4" t="s">
        <v>2141</v>
      </c>
      <c r="E357" s="4" t="s">
        <v>86</v>
      </c>
      <c r="F357" s="4">
        <v>254</v>
      </c>
      <c r="G357" s="4">
        <v>0</v>
      </c>
      <c r="H357" s="4">
        <v>0</v>
      </c>
      <c r="K357" s="4">
        <v>0</v>
      </c>
      <c r="N357" s="4">
        <v>0</v>
      </c>
      <c r="O357" s="4">
        <v>0</v>
      </c>
      <c r="P357" s="4" t="str">
        <f t="shared" si="5"/>
        <v>CAWP.DESCRIP</v>
      </c>
      <c r="Q357" s="4" t="str">
        <f>VLOOKUP(Cobra8.5[[#This Row],[Table.Column]],ColumnMapping[Old Table.Column],1,)</f>
        <v>CAWP.DESCRIP</v>
      </c>
    </row>
    <row r="358" spans="1:17" hidden="1" x14ac:dyDescent="0.2">
      <c r="A358" s="4" t="s">
        <v>849</v>
      </c>
      <c r="B358" s="4">
        <v>0</v>
      </c>
      <c r="C358" s="4" t="s">
        <v>849</v>
      </c>
      <c r="D358" s="4" t="s">
        <v>690</v>
      </c>
      <c r="E358" s="4" t="s">
        <v>2124</v>
      </c>
      <c r="F358" s="4">
        <v>21</v>
      </c>
      <c r="G358" s="4">
        <v>6</v>
      </c>
      <c r="H358" s="4">
        <v>0</v>
      </c>
      <c r="K358" s="4">
        <v>0</v>
      </c>
      <c r="N358" s="4">
        <v>0</v>
      </c>
      <c r="O358" s="4">
        <v>0</v>
      </c>
      <c r="P358" s="4" t="str">
        <f t="shared" si="5"/>
        <v>CAWP.EAC</v>
      </c>
      <c r="Q358" s="4" t="str">
        <f>VLOOKUP(Cobra8.5[[#This Row],[Table.Column]],ColumnMapping[Old Table.Column],1,)</f>
        <v>CAWP.EAC</v>
      </c>
    </row>
    <row r="359" spans="1:17" hidden="1" x14ac:dyDescent="0.2">
      <c r="A359" s="4" t="s">
        <v>849</v>
      </c>
      <c r="B359" s="4">
        <v>0</v>
      </c>
      <c r="C359" s="4" t="s">
        <v>849</v>
      </c>
      <c r="D359" s="4" t="s">
        <v>692</v>
      </c>
      <c r="E359" s="4" t="s">
        <v>2124</v>
      </c>
      <c r="F359" s="4">
        <v>21</v>
      </c>
      <c r="G359" s="4">
        <v>6</v>
      </c>
      <c r="H359" s="4">
        <v>0</v>
      </c>
      <c r="K359" s="4">
        <v>0</v>
      </c>
      <c r="N359" s="4">
        <v>0</v>
      </c>
      <c r="O359" s="4">
        <v>0</v>
      </c>
      <c r="P359" s="4" t="str">
        <f t="shared" si="5"/>
        <v>CAWP.EAC_HRS</v>
      </c>
      <c r="Q359" s="4" t="str">
        <f>VLOOKUP(Cobra8.5[[#This Row],[Table.Column]],ColumnMapping[Old Table.Column],1,)</f>
        <v>CAWP.EAC_HRS</v>
      </c>
    </row>
    <row r="360" spans="1:17" hidden="1" x14ac:dyDescent="0.2">
      <c r="A360" s="4" t="s">
        <v>849</v>
      </c>
      <c r="B360" s="4">
        <v>0</v>
      </c>
      <c r="C360" s="4" t="s">
        <v>849</v>
      </c>
      <c r="D360" s="4" t="s">
        <v>1013</v>
      </c>
      <c r="E360" s="4" t="s">
        <v>2124</v>
      </c>
      <c r="F360" s="4">
        <v>21</v>
      </c>
      <c r="G360" s="4">
        <v>6</v>
      </c>
      <c r="H360" s="4">
        <v>0</v>
      </c>
      <c r="K360" s="4">
        <v>0</v>
      </c>
      <c r="N360" s="4">
        <v>0</v>
      </c>
      <c r="O360" s="4">
        <v>0</v>
      </c>
      <c r="P360" s="4" t="str">
        <f t="shared" si="5"/>
        <v>CAWP.EAC_NONLAB</v>
      </c>
      <c r="Q360" s="4" t="str">
        <f>VLOOKUP(Cobra8.5[[#This Row],[Table.Column]],ColumnMapping[Old Table.Column],1,)</f>
        <v>CAWP.EAC_NONLAB</v>
      </c>
    </row>
    <row r="361" spans="1:17" hidden="1" x14ac:dyDescent="0.2">
      <c r="A361" s="4" t="s">
        <v>849</v>
      </c>
      <c r="B361" s="4">
        <v>0</v>
      </c>
      <c r="C361" s="4" t="s">
        <v>849</v>
      </c>
      <c r="D361" s="4" t="s">
        <v>2177</v>
      </c>
      <c r="E361" s="4" t="s">
        <v>356</v>
      </c>
      <c r="F361" s="4">
        <v>-1</v>
      </c>
      <c r="G361" s="4">
        <v>0</v>
      </c>
      <c r="H361" s="4">
        <v>0</v>
      </c>
      <c r="K361" s="4">
        <v>0</v>
      </c>
      <c r="N361" s="4">
        <v>0</v>
      </c>
      <c r="O361" s="4">
        <v>0</v>
      </c>
      <c r="P361" s="4" t="str">
        <f t="shared" si="5"/>
        <v>CAWP.EFD</v>
      </c>
      <c r="Q361" s="4" t="str">
        <f>VLOOKUP(Cobra8.5[[#This Row],[Table.Column]],ColumnMapping[Old Table.Column],1,)</f>
        <v>CAWP.EFD</v>
      </c>
    </row>
    <row r="362" spans="1:17" hidden="1" x14ac:dyDescent="0.2">
      <c r="A362" s="4" t="s">
        <v>849</v>
      </c>
      <c r="B362" s="4">
        <v>0</v>
      </c>
      <c r="C362" s="4" t="s">
        <v>849</v>
      </c>
      <c r="D362" s="4" t="s">
        <v>1015</v>
      </c>
      <c r="E362" s="4" t="s">
        <v>86</v>
      </c>
      <c r="F362" s="4">
        <v>59</v>
      </c>
      <c r="G362" s="4">
        <v>0</v>
      </c>
      <c r="H362" s="4">
        <v>0</v>
      </c>
      <c r="K362" s="4">
        <v>0</v>
      </c>
      <c r="N362" s="4">
        <v>0</v>
      </c>
      <c r="O362" s="4">
        <v>0</v>
      </c>
      <c r="P362" s="4" t="str">
        <f t="shared" si="5"/>
        <v>CAWP.EOC</v>
      </c>
      <c r="Q362" s="4" t="str">
        <f>VLOOKUP(Cobra8.5[[#This Row],[Table.Column]],ColumnMapping[Old Table.Column],1,)</f>
        <v>CAWP.EOC</v>
      </c>
    </row>
    <row r="363" spans="1:17" hidden="1" x14ac:dyDescent="0.2">
      <c r="A363" s="4" t="s">
        <v>849</v>
      </c>
      <c r="B363" s="4">
        <v>0</v>
      </c>
      <c r="C363" s="4" t="s">
        <v>849</v>
      </c>
      <c r="D363" s="4" t="s">
        <v>2178</v>
      </c>
      <c r="E363" s="4" t="s">
        <v>356</v>
      </c>
      <c r="F363" s="4">
        <v>-1</v>
      </c>
      <c r="G363" s="4">
        <v>0</v>
      </c>
      <c r="H363" s="4">
        <v>0</v>
      </c>
      <c r="K363" s="4">
        <v>0</v>
      </c>
      <c r="N363" s="4">
        <v>0</v>
      </c>
      <c r="O363" s="4">
        <v>0</v>
      </c>
      <c r="P363" s="4" t="str">
        <f t="shared" si="5"/>
        <v>CAWP.ESD</v>
      </c>
      <c r="Q363" s="4" t="str">
        <f>VLOOKUP(Cobra8.5[[#This Row],[Table.Column]],ColumnMapping[Old Table.Column],1,)</f>
        <v>CAWP.ESD</v>
      </c>
    </row>
    <row r="364" spans="1:17" hidden="1" x14ac:dyDescent="0.2">
      <c r="A364" s="4" t="s">
        <v>849</v>
      </c>
      <c r="B364" s="4">
        <v>0</v>
      </c>
      <c r="C364" s="4" t="s">
        <v>849</v>
      </c>
      <c r="D364" s="4" t="s">
        <v>443</v>
      </c>
      <c r="E364" s="4" t="s">
        <v>86</v>
      </c>
      <c r="F364" s="4">
        <v>1</v>
      </c>
      <c r="G364" s="4">
        <v>0</v>
      </c>
      <c r="H364" s="4">
        <v>0</v>
      </c>
      <c r="K364" s="4">
        <v>0</v>
      </c>
      <c r="N364" s="4">
        <v>0</v>
      </c>
      <c r="O364" s="4">
        <v>0</v>
      </c>
      <c r="P364" s="4" t="str">
        <f t="shared" si="5"/>
        <v>CAWP.FLAG</v>
      </c>
      <c r="Q364" s="4" t="str">
        <f>VLOOKUP(Cobra8.5[[#This Row],[Table.Column]],ColumnMapping[Old Table.Column],1,)</f>
        <v>CAWP.FLAG</v>
      </c>
    </row>
    <row r="365" spans="1:17" hidden="1" x14ac:dyDescent="0.2">
      <c r="A365" s="4" t="s">
        <v>849</v>
      </c>
      <c r="B365" s="4">
        <v>0</v>
      </c>
      <c r="C365" s="4" t="s">
        <v>849</v>
      </c>
      <c r="D365" s="4" t="s">
        <v>2111</v>
      </c>
      <c r="E365" s="4" t="s">
        <v>356</v>
      </c>
      <c r="F365" s="4">
        <v>-1</v>
      </c>
      <c r="G365" s="4">
        <v>0</v>
      </c>
      <c r="H365" s="4">
        <v>0</v>
      </c>
      <c r="K365" s="4">
        <v>0</v>
      </c>
      <c r="N365" s="4">
        <v>0</v>
      </c>
      <c r="O365" s="4">
        <v>0</v>
      </c>
      <c r="P365" s="4" t="str">
        <f t="shared" si="5"/>
        <v>CAWP.LASTUPDATE</v>
      </c>
      <c r="Q365" s="4" t="str">
        <f>VLOOKUP(Cobra8.5[[#This Row],[Table.Column]],ColumnMapping[Old Table.Column],1,)</f>
        <v>CAWP.LASTUPDATE</v>
      </c>
    </row>
    <row r="366" spans="1:17" hidden="1" x14ac:dyDescent="0.2">
      <c r="A366" s="4" t="s">
        <v>849</v>
      </c>
      <c r="B366" s="4">
        <v>0</v>
      </c>
      <c r="C366" s="4" t="s">
        <v>849</v>
      </c>
      <c r="D366" s="4" t="s">
        <v>2179</v>
      </c>
      <c r="E366" s="4" t="s">
        <v>356</v>
      </c>
      <c r="F366" s="4">
        <v>-1</v>
      </c>
      <c r="G366" s="4">
        <v>0</v>
      </c>
      <c r="H366" s="4">
        <v>0</v>
      </c>
      <c r="K366" s="4">
        <v>0</v>
      </c>
      <c r="N366" s="4">
        <v>0</v>
      </c>
      <c r="O366" s="4">
        <v>0</v>
      </c>
      <c r="P366" s="4" t="str">
        <f t="shared" si="5"/>
        <v>CAWP.LFD</v>
      </c>
      <c r="Q366" s="4" t="str">
        <f>VLOOKUP(Cobra8.5[[#This Row],[Table.Column]],ColumnMapping[Old Table.Column],1,)</f>
        <v>CAWP.LFD</v>
      </c>
    </row>
    <row r="367" spans="1:17" hidden="1" x14ac:dyDescent="0.2">
      <c r="A367" s="4" t="s">
        <v>849</v>
      </c>
      <c r="B367" s="4">
        <v>0</v>
      </c>
      <c r="C367" s="4" t="s">
        <v>849</v>
      </c>
      <c r="D367" s="4" t="s">
        <v>2180</v>
      </c>
      <c r="E367" s="4" t="s">
        <v>356</v>
      </c>
      <c r="F367" s="4">
        <v>-1</v>
      </c>
      <c r="G367" s="4">
        <v>0</v>
      </c>
      <c r="H367" s="4">
        <v>0</v>
      </c>
      <c r="K367" s="4">
        <v>0</v>
      </c>
      <c r="N367" s="4">
        <v>0</v>
      </c>
      <c r="O367" s="4">
        <v>0</v>
      </c>
      <c r="P367" s="4" t="str">
        <f t="shared" si="5"/>
        <v>CAWP.LSD</v>
      </c>
      <c r="Q367" s="4" t="str">
        <f>VLOOKUP(Cobra8.5[[#This Row],[Table.Column]],ColumnMapping[Old Table.Column],1,)</f>
        <v>CAWP.LSD</v>
      </c>
    </row>
    <row r="368" spans="1:17" hidden="1" x14ac:dyDescent="0.2">
      <c r="A368" s="4" t="s">
        <v>849</v>
      </c>
      <c r="B368" s="4">
        <v>0</v>
      </c>
      <c r="C368" s="4" t="s">
        <v>849</v>
      </c>
      <c r="D368" s="4" t="s">
        <v>2181</v>
      </c>
      <c r="E368" s="4" t="s">
        <v>86</v>
      </c>
      <c r="F368" s="4">
        <v>59</v>
      </c>
      <c r="G368" s="4">
        <v>0</v>
      </c>
      <c r="H368" s="4">
        <v>0</v>
      </c>
      <c r="K368" s="4">
        <v>0</v>
      </c>
      <c r="N368" s="4">
        <v>0</v>
      </c>
      <c r="O368" s="4">
        <v>0</v>
      </c>
      <c r="P368" s="4" t="str">
        <f t="shared" si="5"/>
        <v>CAWP.MANAGER</v>
      </c>
      <c r="Q368" s="4" t="str">
        <f>VLOOKUP(Cobra8.5[[#This Row],[Table.Column]],ColumnMapping[Old Table.Column],1,)</f>
        <v>CAWP.MANAGER</v>
      </c>
    </row>
    <row r="369" spans="1:17" hidden="1" x14ac:dyDescent="0.2">
      <c r="A369" s="4" t="s">
        <v>849</v>
      </c>
      <c r="B369" s="4">
        <v>0</v>
      </c>
      <c r="C369" s="4" t="s">
        <v>849</v>
      </c>
      <c r="D369" s="4" t="s">
        <v>1018</v>
      </c>
      <c r="E369" s="4" t="s">
        <v>2108</v>
      </c>
      <c r="F369" s="4">
        <v>-1</v>
      </c>
      <c r="G369" s="4">
        <v>0</v>
      </c>
      <c r="H369" s="4">
        <v>0</v>
      </c>
      <c r="K369" s="4">
        <v>0</v>
      </c>
      <c r="N369" s="4">
        <v>0</v>
      </c>
      <c r="O369" s="4">
        <v>0</v>
      </c>
      <c r="P369" s="4" t="str">
        <f t="shared" si="5"/>
        <v>CAWP.OP_BATCH</v>
      </c>
      <c r="Q369" s="4" t="str">
        <f>VLOOKUP(Cobra8.5[[#This Row],[Table.Column]],ColumnMapping[Old Table.Column],1,)</f>
        <v>CAWP.OP_BATCH</v>
      </c>
    </row>
    <row r="370" spans="1:17" hidden="1" x14ac:dyDescent="0.2">
      <c r="A370" s="4" t="s">
        <v>849</v>
      </c>
      <c r="B370" s="4">
        <v>0</v>
      </c>
      <c r="C370" s="4" t="s">
        <v>849</v>
      </c>
      <c r="D370" s="4" t="s">
        <v>1241</v>
      </c>
      <c r="E370" s="4" t="s">
        <v>2124</v>
      </c>
      <c r="F370" s="4">
        <v>11</v>
      </c>
      <c r="G370" s="4">
        <v>6</v>
      </c>
      <c r="H370" s="4">
        <v>0</v>
      </c>
      <c r="K370" s="4">
        <v>0</v>
      </c>
      <c r="N370" s="4">
        <v>0</v>
      </c>
      <c r="O370" s="4">
        <v>0</v>
      </c>
      <c r="P370" s="4" t="str">
        <f t="shared" si="5"/>
        <v>CAWP.PC_COMP</v>
      </c>
      <c r="Q370" s="4" t="str">
        <f>VLOOKUP(Cobra8.5[[#This Row],[Table.Column]],ColumnMapping[Old Table.Column],1,)</f>
        <v>CAWP.PC_COMP</v>
      </c>
    </row>
    <row r="371" spans="1:17" hidden="1" x14ac:dyDescent="0.2">
      <c r="A371" s="4" t="s">
        <v>849</v>
      </c>
      <c r="B371" s="4">
        <v>0</v>
      </c>
      <c r="C371" s="4" t="s">
        <v>849</v>
      </c>
      <c r="D371" s="4" t="s">
        <v>2182</v>
      </c>
      <c r="E371" s="4" t="s">
        <v>356</v>
      </c>
      <c r="F371" s="4">
        <v>-1</v>
      </c>
      <c r="G371" s="4">
        <v>0</v>
      </c>
      <c r="H371" s="4">
        <v>0</v>
      </c>
      <c r="K371" s="4">
        <v>0</v>
      </c>
      <c r="N371" s="4">
        <v>0</v>
      </c>
      <c r="O371" s="4">
        <v>0</v>
      </c>
      <c r="P371" s="4" t="str">
        <f t="shared" si="5"/>
        <v>CAWP.PFD</v>
      </c>
      <c r="Q371" s="4" t="str">
        <f>VLOOKUP(Cobra8.5[[#This Row],[Table.Column]],ColumnMapping[Old Table.Column],1,)</f>
        <v>CAWP.PFD</v>
      </c>
    </row>
    <row r="372" spans="1:17" hidden="1" x14ac:dyDescent="0.2">
      <c r="A372" s="4" t="s">
        <v>849</v>
      </c>
      <c r="B372" s="4">
        <v>0</v>
      </c>
      <c r="C372" s="4" t="s">
        <v>849</v>
      </c>
      <c r="D372" s="4" t="s">
        <v>1242</v>
      </c>
      <c r="E372" s="4" t="s">
        <v>86</v>
      </c>
      <c r="F372" s="4">
        <v>1</v>
      </c>
      <c r="G372" s="4">
        <v>0</v>
      </c>
      <c r="H372" s="4">
        <v>0</v>
      </c>
      <c r="K372" s="4">
        <v>0</v>
      </c>
      <c r="N372" s="4">
        <v>0</v>
      </c>
      <c r="O372" s="4">
        <v>0</v>
      </c>
      <c r="P372" s="4" t="str">
        <f t="shared" si="5"/>
        <v>CAWP.PMT</v>
      </c>
      <c r="Q372" s="4" t="str">
        <f>VLOOKUP(Cobra8.5[[#This Row],[Table.Column]],ColumnMapping[Old Table.Column],1,)</f>
        <v>CAWP.PMT</v>
      </c>
    </row>
    <row r="373" spans="1:17" hidden="1" x14ac:dyDescent="0.2">
      <c r="A373" s="4" t="s">
        <v>849</v>
      </c>
      <c r="B373" s="4">
        <v>0</v>
      </c>
      <c r="C373" s="4" t="s">
        <v>849</v>
      </c>
      <c r="D373" s="4" t="s">
        <v>744</v>
      </c>
      <c r="E373" s="4" t="s">
        <v>86</v>
      </c>
      <c r="F373" s="4">
        <v>22</v>
      </c>
      <c r="G373" s="4">
        <v>0</v>
      </c>
      <c r="H373" s="4">
        <v>0</v>
      </c>
      <c r="K373" s="4">
        <v>0</v>
      </c>
      <c r="N373" s="4">
        <v>0</v>
      </c>
      <c r="O373" s="4">
        <v>0</v>
      </c>
      <c r="P373" s="4" t="str">
        <f t="shared" si="5"/>
        <v>CAWP.PROGRAM</v>
      </c>
      <c r="Q373" s="4" t="str">
        <f>VLOOKUP(Cobra8.5[[#This Row],[Table.Column]],ColumnMapping[Old Table.Column],1,)</f>
        <v>CAWP.PROGRAM</v>
      </c>
    </row>
    <row r="374" spans="1:17" hidden="1" x14ac:dyDescent="0.2">
      <c r="A374" s="4" t="s">
        <v>849</v>
      </c>
      <c r="B374" s="4">
        <v>0</v>
      </c>
      <c r="C374" s="4" t="s">
        <v>849</v>
      </c>
      <c r="D374" s="4" t="s">
        <v>2183</v>
      </c>
      <c r="E374" s="4" t="s">
        <v>356</v>
      </c>
      <c r="F374" s="4">
        <v>-1</v>
      </c>
      <c r="G374" s="4">
        <v>0</v>
      </c>
      <c r="H374" s="4">
        <v>0</v>
      </c>
      <c r="K374" s="4">
        <v>0</v>
      </c>
      <c r="N374" s="4">
        <v>0</v>
      </c>
      <c r="O374" s="4">
        <v>0</v>
      </c>
      <c r="P374" s="4" t="str">
        <f t="shared" si="5"/>
        <v>CAWP.PSD</v>
      </c>
      <c r="Q374" s="4" t="str">
        <f>VLOOKUP(Cobra8.5[[#This Row],[Table.Column]],ColumnMapping[Old Table.Column],1,)</f>
        <v>CAWP.PSD</v>
      </c>
    </row>
    <row r="375" spans="1:17" hidden="1" x14ac:dyDescent="0.2">
      <c r="A375" s="4" t="s">
        <v>849</v>
      </c>
      <c r="B375" s="4">
        <v>0</v>
      </c>
      <c r="C375" s="4" t="s">
        <v>849</v>
      </c>
      <c r="D375" s="4" t="s">
        <v>1056</v>
      </c>
      <c r="E375" s="4" t="s">
        <v>86</v>
      </c>
      <c r="F375" s="4">
        <v>239</v>
      </c>
      <c r="G375" s="4">
        <v>0</v>
      </c>
      <c r="H375" s="4">
        <v>0</v>
      </c>
      <c r="K375" s="4">
        <v>0</v>
      </c>
      <c r="N375" s="4">
        <v>0</v>
      </c>
      <c r="O375" s="4">
        <v>0</v>
      </c>
      <c r="P375" s="4" t="str">
        <f t="shared" si="5"/>
        <v>CAWP.RESERVED1</v>
      </c>
      <c r="Q375" s="4" t="str">
        <f>VLOOKUP(Cobra8.5[[#This Row],[Table.Column]],ColumnMapping[Old Table.Column],1,)</f>
        <v>CAWP.RESERVED1</v>
      </c>
    </row>
    <row r="376" spans="1:17" hidden="1" x14ac:dyDescent="0.2">
      <c r="A376" s="4" t="s">
        <v>849</v>
      </c>
      <c r="B376" s="4">
        <v>0</v>
      </c>
      <c r="C376" s="4" t="s">
        <v>849</v>
      </c>
      <c r="D376" s="4" t="s">
        <v>35</v>
      </c>
      <c r="E376" s="4" t="s">
        <v>2108</v>
      </c>
      <c r="F376" s="4">
        <v>-1</v>
      </c>
      <c r="G376" s="4">
        <v>0</v>
      </c>
      <c r="H376" s="4">
        <v>0</v>
      </c>
      <c r="K376" s="4">
        <v>0</v>
      </c>
      <c r="N376" s="4">
        <v>0</v>
      </c>
      <c r="O376" s="4">
        <v>0</v>
      </c>
      <c r="P376" s="4" t="str">
        <f t="shared" si="5"/>
        <v>CAWP.SEQUENCE</v>
      </c>
      <c r="Q376" s="4" t="str">
        <f>VLOOKUP(Cobra8.5[[#This Row],[Table.Column]],ColumnMapping[Old Table.Column],1,)</f>
        <v>CAWP.SEQUENCE</v>
      </c>
    </row>
    <row r="377" spans="1:17" hidden="1" x14ac:dyDescent="0.2">
      <c r="A377" s="4" t="s">
        <v>849</v>
      </c>
      <c r="B377" s="4">
        <v>0</v>
      </c>
      <c r="C377" s="4" t="s">
        <v>849</v>
      </c>
      <c r="D377" s="4" t="s">
        <v>2184</v>
      </c>
      <c r="E377" s="4" t="s">
        <v>356</v>
      </c>
      <c r="F377" s="4">
        <v>-1</v>
      </c>
      <c r="G377" s="4">
        <v>0</v>
      </c>
      <c r="H377" s="4">
        <v>0</v>
      </c>
      <c r="K377" s="4">
        <v>0</v>
      </c>
      <c r="N377" s="4">
        <v>0</v>
      </c>
      <c r="O377" s="4">
        <v>0</v>
      </c>
      <c r="P377" s="4" t="str">
        <f t="shared" si="5"/>
        <v>CAWP.SFD</v>
      </c>
      <c r="Q377" s="4" t="str">
        <f>VLOOKUP(Cobra8.5[[#This Row],[Table.Column]],ColumnMapping[Old Table.Column],1,)</f>
        <v>CAWP.SFD</v>
      </c>
    </row>
    <row r="378" spans="1:17" hidden="1" x14ac:dyDescent="0.2">
      <c r="A378" s="4" t="s">
        <v>849</v>
      </c>
      <c r="B378" s="4">
        <v>0</v>
      </c>
      <c r="C378" s="4" t="s">
        <v>849</v>
      </c>
      <c r="D378" s="4" t="s">
        <v>2185</v>
      </c>
      <c r="E378" s="4" t="s">
        <v>356</v>
      </c>
      <c r="F378" s="4">
        <v>-1</v>
      </c>
      <c r="G378" s="4">
        <v>0</v>
      </c>
      <c r="H378" s="4">
        <v>0</v>
      </c>
      <c r="K378" s="4">
        <v>0</v>
      </c>
      <c r="N378" s="4">
        <v>0</v>
      </c>
      <c r="O378" s="4">
        <v>0</v>
      </c>
      <c r="P378" s="4" t="str">
        <f t="shared" si="5"/>
        <v>CAWP.SSD</v>
      </c>
      <c r="Q378" s="4" t="str">
        <f>VLOOKUP(Cobra8.5[[#This Row],[Table.Column]],ColumnMapping[Old Table.Column],1,)</f>
        <v>CAWP.SSD</v>
      </c>
    </row>
    <row r="379" spans="1:17" hidden="1" x14ac:dyDescent="0.2">
      <c r="A379" s="4" t="s">
        <v>849</v>
      </c>
      <c r="B379" s="4">
        <v>0</v>
      </c>
      <c r="C379" s="4" t="s">
        <v>849</v>
      </c>
      <c r="D379" s="4" t="s">
        <v>1394</v>
      </c>
      <c r="E379" s="4" t="s">
        <v>2108</v>
      </c>
      <c r="F379" s="4">
        <v>-1</v>
      </c>
      <c r="G379" s="4">
        <v>0</v>
      </c>
      <c r="H379" s="4">
        <v>0</v>
      </c>
      <c r="K379" s="4">
        <v>0</v>
      </c>
      <c r="N379" s="4">
        <v>0</v>
      </c>
      <c r="O379" s="4">
        <v>0</v>
      </c>
      <c r="P379" s="4" t="str">
        <f t="shared" si="5"/>
        <v>CAWP.STARTPC</v>
      </c>
      <c r="Q379" s="4" t="str">
        <f>VLOOKUP(Cobra8.5[[#This Row],[Table.Column]],ColumnMapping[Old Table.Column],1,)</f>
        <v>CAWP.STARTPC</v>
      </c>
    </row>
    <row r="380" spans="1:17" hidden="1" x14ac:dyDescent="0.2">
      <c r="A380" s="4" t="s">
        <v>849</v>
      </c>
      <c r="B380" s="4">
        <v>0</v>
      </c>
      <c r="C380" s="4" t="s">
        <v>849</v>
      </c>
      <c r="D380" s="4" t="s">
        <v>1395</v>
      </c>
      <c r="E380" s="4" t="s">
        <v>2124</v>
      </c>
      <c r="F380" s="4">
        <v>21</v>
      </c>
      <c r="G380" s="4">
        <v>6</v>
      </c>
      <c r="H380" s="4">
        <v>0</v>
      </c>
      <c r="K380" s="4">
        <v>0</v>
      </c>
      <c r="N380" s="4">
        <v>0</v>
      </c>
      <c r="O380" s="4">
        <v>0</v>
      </c>
      <c r="P380" s="4" t="str">
        <f t="shared" si="5"/>
        <v>CAWP.UNITS_COMP</v>
      </c>
      <c r="Q380" s="4" t="str">
        <f>VLOOKUP(Cobra8.5[[#This Row],[Table.Column]],ColumnMapping[Old Table.Column],1,)</f>
        <v>CAWP.UNITS_COMP</v>
      </c>
    </row>
    <row r="381" spans="1:17" hidden="1" x14ac:dyDescent="0.2">
      <c r="A381" s="4" t="s">
        <v>849</v>
      </c>
      <c r="B381" s="4">
        <v>0</v>
      </c>
      <c r="C381" s="4" t="s">
        <v>849</v>
      </c>
      <c r="D381" s="4" t="s">
        <v>1396</v>
      </c>
      <c r="E381" s="4" t="s">
        <v>2124</v>
      </c>
      <c r="F381" s="4">
        <v>21</v>
      </c>
      <c r="G381" s="4">
        <v>6</v>
      </c>
      <c r="H381" s="4">
        <v>0</v>
      </c>
      <c r="K381" s="4">
        <v>0</v>
      </c>
      <c r="N381" s="4">
        <v>0</v>
      </c>
      <c r="O381" s="4">
        <v>0</v>
      </c>
      <c r="P381" s="4" t="str">
        <f t="shared" si="5"/>
        <v>CAWP.UNITSTODO</v>
      </c>
      <c r="Q381" s="4" t="str">
        <f>VLOOKUP(Cobra8.5[[#This Row],[Table.Column]],ColumnMapping[Old Table.Column],1,)</f>
        <v>CAWP.UNITSTODO</v>
      </c>
    </row>
    <row r="382" spans="1:17" hidden="1" x14ac:dyDescent="0.2">
      <c r="A382" s="4" t="s">
        <v>849</v>
      </c>
      <c r="B382" s="4">
        <v>0</v>
      </c>
      <c r="C382" s="4" t="s">
        <v>849</v>
      </c>
      <c r="D382" s="4" t="s">
        <v>1020</v>
      </c>
      <c r="E382" s="4" t="s">
        <v>86</v>
      </c>
      <c r="F382" s="4">
        <v>100</v>
      </c>
      <c r="G382" s="4">
        <v>0</v>
      </c>
      <c r="H382" s="4">
        <v>0</v>
      </c>
      <c r="K382" s="4">
        <v>0</v>
      </c>
      <c r="N382" s="4">
        <v>0</v>
      </c>
      <c r="O382" s="4">
        <v>0</v>
      </c>
      <c r="P382" s="4" t="str">
        <f t="shared" si="5"/>
        <v>CAWP.USER_CHR01</v>
      </c>
      <c r="Q382" s="4" t="str">
        <f>VLOOKUP(Cobra8.5[[#This Row],[Table.Column]],ColumnMapping[Old Table.Column],1,)</f>
        <v>CAWP.USER_CHR01</v>
      </c>
    </row>
    <row r="383" spans="1:17" hidden="1" x14ac:dyDescent="0.2">
      <c r="A383" s="4" t="s">
        <v>849</v>
      </c>
      <c r="B383" s="4">
        <v>0</v>
      </c>
      <c r="C383" s="4" t="s">
        <v>849</v>
      </c>
      <c r="D383" s="4" t="s">
        <v>1022</v>
      </c>
      <c r="E383" s="4" t="s">
        <v>86</v>
      </c>
      <c r="F383" s="4">
        <v>100</v>
      </c>
      <c r="G383" s="4">
        <v>0</v>
      </c>
      <c r="H383" s="4">
        <v>0</v>
      </c>
      <c r="K383" s="4">
        <v>0</v>
      </c>
      <c r="N383" s="4">
        <v>0</v>
      </c>
      <c r="O383" s="4">
        <v>0</v>
      </c>
      <c r="P383" s="4" t="str">
        <f t="shared" si="5"/>
        <v>CAWP.USER_CHR02</v>
      </c>
      <c r="Q383" s="4" t="str">
        <f>VLOOKUP(Cobra8.5[[#This Row],[Table.Column]],ColumnMapping[Old Table.Column],1,)</f>
        <v>CAWP.USER_CHR02</v>
      </c>
    </row>
    <row r="384" spans="1:17" hidden="1" x14ac:dyDescent="0.2">
      <c r="A384" s="4" t="s">
        <v>849</v>
      </c>
      <c r="B384" s="4">
        <v>0</v>
      </c>
      <c r="C384" s="4" t="s">
        <v>849</v>
      </c>
      <c r="D384" s="4" t="s">
        <v>1024</v>
      </c>
      <c r="E384" s="4" t="s">
        <v>86</v>
      </c>
      <c r="F384" s="4">
        <v>100</v>
      </c>
      <c r="G384" s="4">
        <v>0</v>
      </c>
      <c r="H384" s="4">
        <v>0</v>
      </c>
      <c r="K384" s="4">
        <v>0</v>
      </c>
      <c r="N384" s="4">
        <v>0</v>
      </c>
      <c r="O384" s="4">
        <v>0</v>
      </c>
      <c r="P384" s="4" t="str">
        <f t="shared" si="5"/>
        <v>CAWP.USER_CHR03</v>
      </c>
      <c r="Q384" s="4" t="str">
        <f>VLOOKUP(Cobra8.5[[#This Row],[Table.Column]],ColumnMapping[Old Table.Column],1,)</f>
        <v>CAWP.USER_CHR03</v>
      </c>
    </row>
    <row r="385" spans="1:17" hidden="1" x14ac:dyDescent="0.2">
      <c r="A385" s="4" t="s">
        <v>849</v>
      </c>
      <c r="B385" s="4">
        <v>0</v>
      </c>
      <c r="C385" s="4" t="s">
        <v>849</v>
      </c>
      <c r="D385" s="4" t="s">
        <v>1026</v>
      </c>
      <c r="E385" s="4" t="s">
        <v>86</v>
      </c>
      <c r="F385" s="4">
        <v>100</v>
      </c>
      <c r="G385" s="4">
        <v>0</v>
      </c>
      <c r="H385" s="4">
        <v>0</v>
      </c>
      <c r="K385" s="4">
        <v>0</v>
      </c>
      <c r="N385" s="4">
        <v>0</v>
      </c>
      <c r="O385" s="4">
        <v>0</v>
      </c>
      <c r="P385" s="4" t="str">
        <f t="shared" si="5"/>
        <v>CAWP.USER_CHR04</v>
      </c>
      <c r="Q385" s="4" t="str">
        <f>VLOOKUP(Cobra8.5[[#This Row],[Table.Column]],ColumnMapping[Old Table.Column],1,)</f>
        <v>CAWP.USER_CHR04</v>
      </c>
    </row>
    <row r="386" spans="1:17" hidden="1" x14ac:dyDescent="0.2">
      <c r="A386" s="4" t="s">
        <v>849</v>
      </c>
      <c r="B386" s="4">
        <v>0</v>
      </c>
      <c r="C386" s="4" t="s">
        <v>849</v>
      </c>
      <c r="D386" s="4" t="s">
        <v>1028</v>
      </c>
      <c r="E386" s="4" t="s">
        <v>86</v>
      </c>
      <c r="F386" s="4">
        <v>100</v>
      </c>
      <c r="G386" s="4">
        <v>0</v>
      </c>
      <c r="H386" s="4">
        <v>0</v>
      </c>
      <c r="K386" s="4">
        <v>0</v>
      </c>
      <c r="N386" s="4">
        <v>0</v>
      </c>
      <c r="O386" s="4">
        <v>0</v>
      </c>
      <c r="P386" s="4" t="str">
        <f t="shared" ref="P386:P449" si="6">_xlfn.CONCAT(A386,".",D386)</f>
        <v>CAWP.USER_CHR05</v>
      </c>
      <c r="Q386" s="4" t="str">
        <f>VLOOKUP(Cobra8.5[[#This Row],[Table.Column]],ColumnMapping[Old Table.Column],1,)</f>
        <v>CAWP.USER_CHR05</v>
      </c>
    </row>
    <row r="387" spans="1:17" hidden="1" x14ac:dyDescent="0.2">
      <c r="A387" s="4" t="s">
        <v>849</v>
      </c>
      <c r="B387" s="4">
        <v>0</v>
      </c>
      <c r="C387" s="4" t="s">
        <v>849</v>
      </c>
      <c r="D387" s="4" t="s">
        <v>1030</v>
      </c>
      <c r="E387" s="4" t="s">
        <v>356</v>
      </c>
      <c r="F387" s="4">
        <v>-1</v>
      </c>
      <c r="G387" s="4">
        <v>0</v>
      </c>
      <c r="H387" s="4">
        <v>0</v>
      </c>
      <c r="K387" s="4">
        <v>0</v>
      </c>
      <c r="N387" s="4">
        <v>0</v>
      </c>
      <c r="O387" s="4">
        <v>0</v>
      </c>
      <c r="P387" s="4" t="str">
        <f t="shared" si="6"/>
        <v>CAWP.USER_DTE01</v>
      </c>
      <c r="Q387" s="4" t="str">
        <f>VLOOKUP(Cobra8.5[[#This Row],[Table.Column]],ColumnMapping[Old Table.Column],1,)</f>
        <v>CAWP.USER_DTE01</v>
      </c>
    </row>
    <row r="388" spans="1:17" hidden="1" x14ac:dyDescent="0.2">
      <c r="A388" s="4" t="s">
        <v>849</v>
      </c>
      <c r="B388" s="4">
        <v>0</v>
      </c>
      <c r="C388" s="4" t="s">
        <v>849</v>
      </c>
      <c r="D388" s="4" t="s">
        <v>1032</v>
      </c>
      <c r="E388" s="4" t="s">
        <v>356</v>
      </c>
      <c r="F388" s="4">
        <v>-1</v>
      </c>
      <c r="G388" s="4">
        <v>0</v>
      </c>
      <c r="H388" s="4">
        <v>0</v>
      </c>
      <c r="K388" s="4">
        <v>0</v>
      </c>
      <c r="N388" s="4">
        <v>0</v>
      </c>
      <c r="O388" s="4">
        <v>0</v>
      </c>
      <c r="P388" s="4" t="str">
        <f t="shared" si="6"/>
        <v>CAWP.USER_DTE02</v>
      </c>
      <c r="Q388" s="4" t="str">
        <f>VLOOKUP(Cobra8.5[[#This Row],[Table.Column]],ColumnMapping[Old Table.Column],1,)</f>
        <v>CAWP.USER_DTE02</v>
      </c>
    </row>
    <row r="389" spans="1:17" hidden="1" x14ac:dyDescent="0.2">
      <c r="A389" s="4" t="s">
        <v>849</v>
      </c>
      <c r="B389" s="4">
        <v>0</v>
      </c>
      <c r="C389" s="4" t="s">
        <v>849</v>
      </c>
      <c r="D389" s="4" t="s">
        <v>1034</v>
      </c>
      <c r="E389" s="4" t="s">
        <v>356</v>
      </c>
      <c r="F389" s="4">
        <v>-1</v>
      </c>
      <c r="G389" s="4">
        <v>0</v>
      </c>
      <c r="H389" s="4">
        <v>0</v>
      </c>
      <c r="K389" s="4">
        <v>0</v>
      </c>
      <c r="N389" s="4">
        <v>0</v>
      </c>
      <c r="O389" s="4">
        <v>0</v>
      </c>
      <c r="P389" s="4" t="str">
        <f t="shared" si="6"/>
        <v>CAWP.USER_DTE03</v>
      </c>
      <c r="Q389" s="4" t="str">
        <f>VLOOKUP(Cobra8.5[[#This Row],[Table.Column]],ColumnMapping[Old Table.Column],1,)</f>
        <v>CAWP.USER_DTE03</v>
      </c>
    </row>
    <row r="390" spans="1:17" hidden="1" x14ac:dyDescent="0.2">
      <c r="A390" s="4" t="s">
        <v>849</v>
      </c>
      <c r="B390" s="4">
        <v>0</v>
      </c>
      <c r="C390" s="4" t="s">
        <v>849</v>
      </c>
      <c r="D390" s="4" t="s">
        <v>1036</v>
      </c>
      <c r="E390" s="4" t="s">
        <v>356</v>
      </c>
      <c r="F390" s="4">
        <v>-1</v>
      </c>
      <c r="G390" s="4">
        <v>0</v>
      </c>
      <c r="H390" s="4">
        <v>0</v>
      </c>
      <c r="K390" s="4">
        <v>0</v>
      </c>
      <c r="N390" s="4">
        <v>0</v>
      </c>
      <c r="O390" s="4">
        <v>0</v>
      </c>
      <c r="P390" s="4" t="str">
        <f t="shared" si="6"/>
        <v>CAWP.USER_DTE04</v>
      </c>
      <c r="Q390" s="4" t="str">
        <f>VLOOKUP(Cobra8.5[[#This Row],[Table.Column]],ColumnMapping[Old Table.Column],1,)</f>
        <v>CAWP.USER_DTE04</v>
      </c>
    </row>
    <row r="391" spans="1:17" hidden="1" x14ac:dyDescent="0.2">
      <c r="A391" s="4" t="s">
        <v>849</v>
      </c>
      <c r="B391" s="4">
        <v>0</v>
      </c>
      <c r="C391" s="4" t="s">
        <v>849</v>
      </c>
      <c r="D391" s="4" t="s">
        <v>1038</v>
      </c>
      <c r="E391" s="4" t="s">
        <v>356</v>
      </c>
      <c r="F391" s="4">
        <v>-1</v>
      </c>
      <c r="G391" s="4">
        <v>0</v>
      </c>
      <c r="H391" s="4">
        <v>0</v>
      </c>
      <c r="K391" s="4">
        <v>0</v>
      </c>
      <c r="N391" s="4">
        <v>0</v>
      </c>
      <c r="O391" s="4">
        <v>0</v>
      </c>
      <c r="P391" s="4" t="str">
        <f t="shared" si="6"/>
        <v>CAWP.USER_DTE05</v>
      </c>
      <c r="Q391" s="4" t="str">
        <f>VLOOKUP(Cobra8.5[[#This Row],[Table.Column]],ColumnMapping[Old Table.Column],1,)</f>
        <v>CAWP.USER_DTE05</v>
      </c>
    </row>
    <row r="392" spans="1:17" hidden="1" x14ac:dyDescent="0.2">
      <c r="A392" s="4" t="s">
        <v>849</v>
      </c>
      <c r="B392" s="4">
        <v>0</v>
      </c>
      <c r="C392" s="4" t="s">
        <v>849</v>
      </c>
      <c r="D392" s="4" t="s">
        <v>1397</v>
      </c>
      <c r="E392" s="4" t="s">
        <v>2124</v>
      </c>
      <c r="F392" s="4">
        <v>21</v>
      </c>
      <c r="G392" s="4">
        <v>6</v>
      </c>
      <c r="H392" s="4">
        <v>0</v>
      </c>
      <c r="K392" s="4">
        <v>0</v>
      </c>
      <c r="N392" s="4">
        <v>0</v>
      </c>
      <c r="O392" s="4">
        <v>0</v>
      </c>
      <c r="P392" s="4" t="str">
        <f t="shared" si="6"/>
        <v>CAWP.USER_NUM01</v>
      </c>
      <c r="Q392" s="4" t="str">
        <f>VLOOKUP(Cobra8.5[[#This Row],[Table.Column]],ColumnMapping[Old Table.Column],1,)</f>
        <v>CAWP.USER_NUM01</v>
      </c>
    </row>
    <row r="393" spans="1:17" hidden="1" x14ac:dyDescent="0.2">
      <c r="A393" s="4" t="s">
        <v>849</v>
      </c>
      <c r="B393" s="4">
        <v>0</v>
      </c>
      <c r="C393" s="4" t="s">
        <v>849</v>
      </c>
      <c r="D393" s="4" t="s">
        <v>1042</v>
      </c>
      <c r="E393" s="4" t="s">
        <v>2124</v>
      </c>
      <c r="F393" s="4">
        <v>21</v>
      </c>
      <c r="G393" s="4">
        <v>6</v>
      </c>
      <c r="H393" s="4">
        <v>0</v>
      </c>
      <c r="K393" s="4">
        <v>0</v>
      </c>
      <c r="N393" s="4">
        <v>0</v>
      </c>
      <c r="O393" s="4">
        <v>0</v>
      </c>
      <c r="P393" s="4" t="str">
        <f t="shared" si="6"/>
        <v>CAWP.USER_NUM02</v>
      </c>
      <c r="Q393" s="4" t="str">
        <f>VLOOKUP(Cobra8.5[[#This Row],[Table.Column]],ColumnMapping[Old Table.Column],1,)</f>
        <v>CAWP.USER_NUM02</v>
      </c>
    </row>
    <row r="394" spans="1:17" hidden="1" x14ac:dyDescent="0.2">
      <c r="A394" s="4" t="s">
        <v>849</v>
      </c>
      <c r="B394" s="4">
        <v>0</v>
      </c>
      <c r="C394" s="4" t="s">
        <v>849</v>
      </c>
      <c r="D394" s="4" t="s">
        <v>1044</v>
      </c>
      <c r="E394" s="4" t="s">
        <v>2124</v>
      </c>
      <c r="F394" s="4">
        <v>21</v>
      </c>
      <c r="G394" s="4">
        <v>6</v>
      </c>
      <c r="H394" s="4">
        <v>0</v>
      </c>
      <c r="K394" s="4">
        <v>0</v>
      </c>
      <c r="N394" s="4">
        <v>0</v>
      </c>
      <c r="O394" s="4">
        <v>0</v>
      </c>
      <c r="P394" s="4" t="str">
        <f t="shared" si="6"/>
        <v>CAWP.USER_NUM03</v>
      </c>
      <c r="Q394" s="4" t="str">
        <f>VLOOKUP(Cobra8.5[[#This Row],[Table.Column]],ColumnMapping[Old Table.Column],1,)</f>
        <v>CAWP.USER_NUM03</v>
      </c>
    </row>
    <row r="395" spans="1:17" hidden="1" x14ac:dyDescent="0.2">
      <c r="A395" s="4" t="s">
        <v>849</v>
      </c>
      <c r="B395" s="4">
        <v>0</v>
      </c>
      <c r="C395" s="4" t="s">
        <v>849</v>
      </c>
      <c r="D395" s="4" t="s">
        <v>1046</v>
      </c>
      <c r="E395" s="4" t="s">
        <v>2124</v>
      </c>
      <c r="F395" s="4">
        <v>21</v>
      </c>
      <c r="G395" s="4">
        <v>6</v>
      </c>
      <c r="H395" s="4">
        <v>0</v>
      </c>
      <c r="K395" s="4">
        <v>0</v>
      </c>
      <c r="N395" s="4">
        <v>0</v>
      </c>
      <c r="O395" s="4">
        <v>0</v>
      </c>
      <c r="P395" s="4" t="str">
        <f t="shared" si="6"/>
        <v>CAWP.USER_NUM04</v>
      </c>
      <c r="Q395" s="4" t="str">
        <f>VLOOKUP(Cobra8.5[[#This Row],[Table.Column]],ColumnMapping[Old Table.Column],1,)</f>
        <v>CAWP.USER_NUM04</v>
      </c>
    </row>
    <row r="396" spans="1:17" hidden="1" x14ac:dyDescent="0.2">
      <c r="A396" s="4" t="s">
        <v>849</v>
      </c>
      <c r="B396" s="4">
        <v>0</v>
      </c>
      <c r="C396" s="4" t="s">
        <v>849</v>
      </c>
      <c r="D396" s="4" t="s">
        <v>1048</v>
      </c>
      <c r="E396" s="4" t="s">
        <v>2124</v>
      </c>
      <c r="F396" s="4">
        <v>21</v>
      </c>
      <c r="G396" s="4">
        <v>6</v>
      </c>
      <c r="H396" s="4">
        <v>0</v>
      </c>
      <c r="K396" s="4">
        <v>0</v>
      </c>
      <c r="N396" s="4">
        <v>0</v>
      </c>
      <c r="O396" s="4">
        <v>0</v>
      </c>
      <c r="P396" s="4" t="str">
        <f t="shared" si="6"/>
        <v>CAWP.USER_NUM05</v>
      </c>
      <c r="Q396" s="4" t="str">
        <f>VLOOKUP(Cobra8.5[[#This Row],[Table.Column]],ColumnMapping[Old Table.Column],1,)</f>
        <v>CAWP.USER_NUM05</v>
      </c>
    </row>
    <row r="397" spans="1:17" hidden="1" x14ac:dyDescent="0.2">
      <c r="A397" s="4" t="s">
        <v>849</v>
      </c>
      <c r="B397" s="4">
        <v>0</v>
      </c>
      <c r="C397" s="4" t="s">
        <v>849</v>
      </c>
      <c r="D397" s="4" t="s">
        <v>2112</v>
      </c>
      <c r="E397" s="4" t="s">
        <v>86</v>
      </c>
      <c r="F397" s="4">
        <v>20</v>
      </c>
      <c r="G397" s="4">
        <v>0</v>
      </c>
      <c r="H397" s="4">
        <v>0</v>
      </c>
      <c r="K397" s="4">
        <v>0</v>
      </c>
      <c r="N397" s="4">
        <v>0</v>
      </c>
      <c r="O397" s="4">
        <v>0</v>
      </c>
      <c r="P397" s="4" t="str">
        <f t="shared" si="6"/>
        <v>CAWP.USR_ID</v>
      </c>
      <c r="Q397" s="4" t="str">
        <f>VLOOKUP(Cobra8.5[[#This Row],[Table.Column]],ColumnMapping[Old Table.Column],1,)</f>
        <v>CAWP.USR_ID</v>
      </c>
    </row>
    <row r="398" spans="1:17" hidden="1" x14ac:dyDescent="0.2">
      <c r="A398" s="4" t="s">
        <v>849</v>
      </c>
      <c r="B398" s="4">
        <v>0</v>
      </c>
      <c r="C398" s="4" t="s">
        <v>849</v>
      </c>
      <c r="D398" s="4" t="s">
        <v>1398</v>
      </c>
      <c r="E398" s="4" t="s">
        <v>86</v>
      </c>
      <c r="F398" s="4">
        <v>59</v>
      </c>
      <c r="G398" s="4">
        <v>0</v>
      </c>
      <c r="H398" s="4">
        <v>0</v>
      </c>
      <c r="K398" s="4">
        <v>0</v>
      </c>
      <c r="N398" s="4">
        <v>0</v>
      </c>
      <c r="O398" s="4">
        <v>0</v>
      </c>
      <c r="P398" s="4" t="str">
        <f t="shared" si="6"/>
        <v>CAWP.WP</v>
      </c>
      <c r="Q398" s="4" t="str">
        <f>VLOOKUP(Cobra8.5[[#This Row],[Table.Column]],ColumnMapping[Old Table.Column],1,)</f>
        <v>CAWP.WP</v>
      </c>
    </row>
    <row r="399" spans="1:17" hidden="1" x14ac:dyDescent="0.2">
      <c r="A399" s="4" t="s">
        <v>1915</v>
      </c>
      <c r="B399" s="4">
        <v>0</v>
      </c>
      <c r="C399" s="4" t="s">
        <v>1915</v>
      </c>
      <c r="D399" s="4" t="s">
        <v>1916</v>
      </c>
      <c r="E399" s="4" t="s">
        <v>356</v>
      </c>
      <c r="F399" s="4">
        <v>-1</v>
      </c>
      <c r="G399" s="4">
        <v>0</v>
      </c>
      <c r="H399" s="4">
        <v>0</v>
      </c>
      <c r="K399" s="4">
        <v>0</v>
      </c>
      <c r="N399" s="4">
        <v>0</v>
      </c>
      <c r="O399" s="4">
        <v>0</v>
      </c>
      <c r="P399" s="4" t="str">
        <f t="shared" si="6"/>
        <v>CHNG_REQST.BFINISH</v>
      </c>
      <c r="Q399" s="4" t="str">
        <f>VLOOKUP(Cobra8.5[[#This Row],[Table.Column]],ColumnMapping[Old Table.Column],1,)</f>
        <v>CHNG_REQST.BFINISH</v>
      </c>
    </row>
    <row r="400" spans="1:17" hidden="1" x14ac:dyDescent="0.2">
      <c r="A400" s="4" t="s">
        <v>1915</v>
      </c>
      <c r="B400" s="4">
        <v>0</v>
      </c>
      <c r="C400" s="4" t="s">
        <v>1915</v>
      </c>
      <c r="D400" s="4" t="s">
        <v>1917</v>
      </c>
      <c r="E400" s="4" t="s">
        <v>356</v>
      </c>
      <c r="F400" s="4">
        <v>-1</v>
      </c>
      <c r="G400" s="4">
        <v>0</v>
      </c>
      <c r="H400" s="4">
        <v>0</v>
      </c>
      <c r="K400" s="4">
        <v>0</v>
      </c>
      <c r="N400" s="4">
        <v>0</v>
      </c>
      <c r="O400" s="4">
        <v>0</v>
      </c>
      <c r="P400" s="4" t="str">
        <f t="shared" si="6"/>
        <v>CHNG_REQST.BSTART</v>
      </c>
      <c r="Q400" s="4" t="str">
        <f>VLOOKUP(Cobra8.5[[#This Row],[Table.Column]],ColumnMapping[Old Table.Column],1,)</f>
        <v>CHNG_REQST.BSTART</v>
      </c>
    </row>
    <row r="401" spans="1:17" hidden="1" x14ac:dyDescent="0.2">
      <c r="A401" s="4" t="s">
        <v>1915</v>
      </c>
      <c r="B401" s="4">
        <v>0</v>
      </c>
      <c r="C401" s="4" t="s">
        <v>1915</v>
      </c>
      <c r="D401" s="4" t="s">
        <v>1918</v>
      </c>
      <c r="E401" s="4" t="s">
        <v>86</v>
      </c>
      <c r="F401" s="4">
        <v>22</v>
      </c>
      <c r="G401" s="4">
        <v>0</v>
      </c>
      <c r="H401" s="4">
        <v>0</v>
      </c>
      <c r="K401" s="4">
        <v>0</v>
      </c>
      <c r="N401" s="4">
        <v>0</v>
      </c>
      <c r="O401" s="4">
        <v>0</v>
      </c>
      <c r="P401" s="4" t="str">
        <f t="shared" si="6"/>
        <v>CHNG_REQST.CHNG_NUM</v>
      </c>
      <c r="Q401" s="4" t="str">
        <f>VLOOKUP(Cobra8.5[[#This Row],[Table.Column]],ColumnMapping[Old Table.Column],1,)</f>
        <v>CHNG_REQST.CHNG_NUM</v>
      </c>
    </row>
    <row r="402" spans="1:17" hidden="1" x14ac:dyDescent="0.2">
      <c r="A402" s="4" t="s">
        <v>1915</v>
      </c>
      <c r="B402" s="4">
        <v>0</v>
      </c>
      <c r="C402" s="4" t="s">
        <v>1915</v>
      </c>
      <c r="D402" s="4" t="s">
        <v>2111</v>
      </c>
      <c r="E402" s="4" t="s">
        <v>356</v>
      </c>
      <c r="F402" s="4">
        <v>-1</v>
      </c>
      <c r="G402" s="4">
        <v>0</v>
      </c>
      <c r="H402" s="4">
        <v>0</v>
      </c>
      <c r="K402" s="4">
        <v>0</v>
      </c>
      <c r="N402" s="4">
        <v>0</v>
      </c>
      <c r="O402" s="4">
        <v>0</v>
      </c>
      <c r="P402" s="4" t="str">
        <f t="shared" si="6"/>
        <v>CHNG_REQST.LASTUPDATE</v>
      </c>
      <c r="Q402" s="4" t="str">
        <f>VLOOKUP(Cobra8.5[[#This Row],[Table.Column]],ColumnMapping[Old Table.Column],1,)</f>
        <v>CHNG_REQST.LASTUPDATE</v>
      </c>
    </row>
    <row r="403" spans="1:17" hidden="1" x14ac:dyDescent="0.2">
      <c r="A403" s="4" t="s">
        <v>1915</v>
      </c>
      <c r="B403" s="4">
        <v>0</v>
      </c>
      <c r="C403" s="4" t="s">
        <v>1915</v>
      </c>
      <c r="D403" s="4" t="s">
        <v>1919</v>
      </c>
      <c r="E403" s="4" t="s">
        <v>356</v>
      </c>
      <c r="F403" s="4">
        <v>-1</v>
      </c>
      <c r="G403" s="4">
        <v>0</v>
      </c>
      <c r="H403" s="4">
        <v>0</v>
      </c>
      <c r="K403" s="4">
        <v>0</v>
      </c>
      <c r="N403" s="4">
        <v>0</v>
      </c>
      <c r="O403" s="4">
        <v>0</v>
      </c>
      <c r="P403" s="4" t="str">
        <f t="shared" si="6"/>
        <v>CHNG_REQST.PERIOD</v>
      </c>
      <c r="Q403" s="4" t="str">
        <f>VLOOKUP(Cobra8.5[[#This Row],[Table.Column]],ColumnMapping[Old Table.Column],1,)</f>
        <v>CHNG_REQST.PERIOD</v>
      </c>
    </row>
    <row r="404" spans="1:17" hidden="1" x14ac:dyDescent="0.2">
      <c r="A404" s="4" t="s">
        <v>1915</v>
      </c>
      <c r="B404" s="4">
        <v>0</v>
      </c>
      <c r="C404" s="4" t="s">
        <v>1915</v>
      </c>
      <c r="D404" s="4" t="s">
        <v>1920</v>
      </c>
      <c r="E404" s="4" t="s">
        <v>86</v>
      </c>
      <c r="F404" s="4">
        <v>2</v>
      </c>
      <c r="G404" s="4">
        <v>0</v>
      </c>
      <c r="H404" s="4">
        <v>0</v>
      </c>
      <c r="K404" s="4">
        <v>0</v>
      </c>
      <c r="N404" s="4">
        <v>0</v>
      </c>
      <c r="O404" s="4">
        <v>0</v>
      </c>
      <c r="P404" s="4" t="str">
        <f t="shared" si="6"/>
        <v>CHNG_REQST.REQST_TYPE</v>
      </c>
      <c r="Q404" s="4" t="str">
        <f>VLOOKUP(Cobra8.5[[#This Row],[Table.Column]],ColumnMapping[Old Table.Column],1,)</f>
        <v>CHNG_REQST.REQST_TYPE</v>
      </c>
    </row>
    <row r="405" spans="1:17" hidden="1" x14ac:dyDescent="0.2">
      <c r="A405" s="4" t="s">
        <v>1915</v>
      </c>
      <c r="B405" s="4">
        <v>0</v>
      </c>
      <c r="C405" s="4" t="s">
        <v>1915</v>
      </c>
      <c r="D405" s="4" t="s">
        <v>1921</v>
      </c>
      <c r="E405" s="4" t="s">
        <v>86</v>
      </c>
      <c r="F405" s="4">
        <v>22</v>
      </c>
      <c r="G405" s="4">
        <v>0</v>
      </c>
      <c r="H405" s="4">
        <v>0</v>
      </c>
      <c r="K405" s="4">
        <v>0</v>
      </c>
      <c r="N405" s="4">
        <v>0</v>
      </c>
      <c r="O405" s="4">
        <v>0</v>
      </c>
      <c r="P405" s="4" t="str">
        <f t="shared" si="6"/>
        <v>CHNG_REQST.SOURCE_PROGRAM</v>
      </c>
      <c r="Q405" s="4" t="str">
        <f>VLOOKUP(Cobra8.5[[#This Row],[Table.Column]],ColumnMapping[Old Table.Column],1,)</f>
        <v>CHNG_REQST.SOURCE_PROGRAM</v>
      </c>
    </row>
    <row r="406" spans="1:17" hidden="1" x14ac:dyDescent="0.2">
      <c r="A406" s="4" t="s">
        <v>1915</v>
      </c>
      <c r="B406" s="4">
        <v>0</v>
      </c>
      <c r="C406" s="4" t="s">
        <v>1915</v>
      </c>
      <c r="D406" s="4" t="s">
        <v>1922</v>
      </c>
      <c r="E406" s="4" t="s">
        <v>86</v>
      </c>
      <c r="F406" s="4">
        <v>2</v>
      </c>
      <c r="G406" s="4">
        <v>0</v>
      </c>
      <c r="H406" s="4">
        <v>0</v>
      </c>
      <c r="K406" s="4">
        <v>0</v>
      </c>
      <c r="N406" s="4">
        <v>0</v>
      </c>
      <c r="O406" s="4">
        <v>0</v>
      </c>
      <c r="P406" s="4" t="str">
        <f t="shared" si="6"/>
        <v>CHNG_REQST.STAGE</v>
      </c>
      <c r="Q406" s="4" t="str">
        <f>VLOOKUP(Cobra8.5[[#This Row],[Table.Column]],ColumnMapping[Old Table.Column],1,)</f>
        <v>CHNG_REQST.STAGE</v>
      </c>
    </row>
    <row r="407" spans="1:17" hidden="1" x14ac:dyDescent="0.2">
      <c r="A407" s="4" t="s">
        <v>1915</v>
      </c>
      <c r="B407" s="4">
        <v>0</v>
      </c>
      <c r="C407" s="4" t="s">
        <v>1915</v>
      </c>
      <c r="D407" s="4" t="s">
        <v>1923</v>
      </c>
      <c r="E407" s="4" t="s">
        <v>86</v>
      </c>
      <c r="F407" s="4">
        <v>120</v>
      </c>
      <c r="G407" s="4">
        <v>0</v>
      </c>
      <c r="H407" s="4">
        <v>0</v>
      </c>
      <c r="K407" s="4">
        <v>0</v>
      </c>
      <c r="N407" s="4">
        <v>0</v>
      </c>
      <c r="O407" s="4">
        <v>0</v>
      </c>
      <c r="P407" s="4" t="str">
        <f t="shared" si="6"/>
        <v>CHNG_REQST.TITLE</v>
      </c>
      <c r="Q407" s="4" t="str">
        <f>VLOOKUP(Cobra8.5[[#This Row],[Table.Column]],ColumnMapping[Old Table.Column],1,)</f>
        <v>CHNG_REQST.TITLE</v>
      </c>
    </row>
    <row r="408" spans="1:17" hidden="1" x14ac:dyDescent="0.2">
      <c r="A408" s="4" t="s">
        <v>1915</v>
      </c>
      <c r="B408" s="4">
        <v>0</v>
      </c>
      <c r="C408" s="4" t="s">
        <v>1915</v>
      </c>
      <c r="D408" s="4" t="s">
        <v>2112</v>
      </c>
      <c r="E408" s="4" t="s">
        <v>86</v>
      </c>
      <c r="F408" s="4">
        <v>20</v>
      </c>
      <c r="G408" s="4">
        <v>0</v>
      </c>
      <c r="H408" s="4">
        <v>0</v>
      </c>
      <c r="K408" s="4">
        <v>0</v>
      </c>
      <c r="N408" s="4">
        <v>0</v>
      </c>
      <c r="O408" s="4">
        <v>0</v>
      </c>
      <c r="P408" s="4" t="str">
        <f t="shared" si="6"/>
        <v>CHNG_REQST.USR_ID</v>
      </c>
      <c r="Q408" s="4" t="str">
        <f>VLOOKUP(Cobra8.5[[#This Row],[Table.Column]],ColumnMapping[Old Table.Column],1,)</f>
        <v>CHNG_REQST.USR_ID</v>
      </c>
    </row>
    <row r="409" spans="1:17" hidden="1" x14ac:dyDescent="0.2">
      <c r="A409" s="4" t="s">
        <v>1924</v>
      </c>
      <c r="B409" s="4">
        <v>0</v>
      </c>
      <c r="C409" s="4" t="s">
        <v>1924</v>
      </c>
      <c r="D409" s="4" t="s">
        <v>1918</v>
      </c>
      <c r="E409" s="4" t="s">
        <v>86</v>
      </c>
      <c r="F409" s="4">
        <v>22</v>
      </c>
      <c r="G409" s="4">
        <v>0</v>
      </c>
      <c r="H409" s="4">
        <v>0</v>
      </c>
      <c r="K409" s="4">
        <v>0</v>
      </c>
      <c r="N409" s="4">
        <v>0</v>
      </c>
      <c r="O409" s="4">
        <v>0</v>
      </c>
      <c r="P409" s="4" t="str">
        <f t="shared" si="6"/>
        <v>CHNG_REQST_PROGRAM.CHNG_NUM</v>
      </c>
      <c r="Q409" s="4" t="str">
        <f>VLOOKUP(Cobra8.5[[#This Row],[Table.Column]],ColumnMapping[Old Table.Column],1,)</f>
        <v>CHNG_REQST_PROGRAM.CHNG_NUM</v>
      </c>
    </row>
    <row r="410" spans="1:17" hidden="1" x14ac:dyDescent="0.2">
      <c r="A410" s="4" t="s">
        <v>1924</v>
      </c>
      <c r="B410" s="4">
        <v>0</v>
      </c>
      <c r="C410" s="4" t="s">
        <v>1924</v>
      </c>
      <c r="D410" s="4" t="s">
        <v>2111</v>
      </c>
      <c r="E410" s="4" t="s">
        <v>356</v>
      </c>
      <c r="F410" s="4">
        <v>-1</v>
      </c>
      <c r="G410" s="4">
        <v>0</v>
      </c>
      <c r="H410" s="4">
        <v>0</v>
      </c>
      <c r="K410" s="4">
        <v>0</v>
      </c>
      <c r="N410" s="4">
        <v>0</v>
      </c>
      <c r="O410" s="4">
        <v>0</v>
      </c>
      <c r="P410" s="4" t="str">
        <f t="shared" si="6"/>
        <v>CHNG_REQST_PROGRAM.LASTUPDATE</v>
      </c>
      <c r="Q410" s="4" t="str">
        <f>VLOOKUP(Cobra8.5[[#This Row],[Table.Column]],ColumnMapping[Old Table.Column],1,)</f>
        <v>CHNG_REQST_PROGRAM.LASTUPDATE</v>
      </c>
    </row>
    <row r="411" spans="1:17" hidden="1" x14ac:dyDescent="0.2">
      <c r="A411" s="4" t="s">
        <v>1924</v>
      </c>
      <c r="B411" s="4">
        <v>0</v>
      </c>
      <c r="C411" s="4" t="s">
        <v>1924</v>
      </c>
      <c r="D411" s="4" t="s">
        <v>1926</v>
      </c>
      <c r="E411" s="4" t="s">
        <v>86</v>
      </c>
      <c r="F411" s="4">
        <v>2</v>
      </c>
      <c r="G411" s="4">
        <v>0</v>
      </c>
      <c r="H411" s="4">
        <v>0</v>
      </c>
      <c r="K411" s="4">
        <v>0</v>
      </c>
      <c r="N411" s="4">
        <v>0</v>
      </c>
      <c r="O411" s="4">
        <v>0</v>
      </c>
      <c r="P411" s="4" t="str">
        <f t="shared" si="6"/>
        <v>CHNG_REQST_PROGRAM.PHASE</v>
      </c>
      <c r="Q411" s="4" t="str">
        <f>VLOOKUP(Cobra8.5[[#This Row],[Table.Column]],ColumnMapping[Old Table.Column],1,)</f>
        <v>CHNG_REQST_PROGRAM.PHASE</v>
      </c>
    </row>
    <row r="412" spans="1:17" hidden="1" x14ac:dyDescent="0.2">
      <c r="A412" s="4" t="s">
        <v>1924</v>
      </c>
      <c r="B412" s="4">
        <v>0</v>
      </c>
      <c r="C412" s="4" t="s">
        <v>1924</v>
      </c>
      <c r="D412" s="4" t="s">
        <v>744</v>
      </c>
      <c r="E412" s="4" t="s">
        <v>86</v>
      </c>
      <c r="F412" s="4">
        <v>22</v>
      </c>
      <c r="G412" s="4">
        <v>0</v>
      </c>
      <c r="H412" s="4">
        <v>0</v>
      </c>
      <c r="K412" s="4">
        <v>0</v>
      </c>
      <c r="N412" s="4">
        <v>0</v>
      </c>
      <c r="O412" s="4">
        <v>0</v>
      </c>
      <c r="P412" s="4" t="str">
        <f t="shared" si="6"/>
        <v>CHNG_REQST_PROGRAM.PROGRAM</v>
      </c>
      <c r="Q412" s="4" t="str">
        <f>VLOOKUP(Cobra8.5[[#This Row],[Table.Column]],ColumnMapping[Old Table.Column],1,)</f>
        <v>CHNG_REQST_PROGRAM.PROGRAM</v>
      </c>
    </row>
    <row r="413" spans="1:17" hidden="1" x14ac:dyDescent="0.2">
      <c r="A413" s="4" t="s">
        <v>1924</v>
      </c>
      <c r="B413" s="4">
        <v>0</v>
      </c>
      <c r="C413" s="4" t="s">
        <v>1924</v>
      </c>
      <c r="D413" s="4" t="s">
        <v>2112</v>
      </c>
      <c r="E413" s="4" t="s">
        <v>86</v>
      </c>
      <c r="F413" s="4">
        <v>20</v>
      </c>
      <c r="G413" s="4">
        <v>0</v>
      </c>
      <c r="H413" s="4">
        <v>0</v>
      </c>
      <c r="K413" s="4">
        <v>0</v>
      </c>
      <c r="N413" s="4">
        <v>0</v>
      </c>
      <c r="O413" s="4">
        <v>0</v>
      </c>
      <c r="P413" s="4" t="str">
        <f t="shared" si="6"/>
        <v>CHNG_REQST_PROGRAM.USR_ID</v>
      </c>
      <c r="Q413" s="4" t="str">
        <f>VLOOKUP(Cobra8.5[[#This Row],[Table.Column]],ColumnMapping[Old Table.Column],1,)</f>
        <v>CHNG_REQST_PROGRAM.USR_ID</v>
      </c>
    </row>
    <row r="414" spans="1:17" x14ac:dyDescent="0.2">
      <c r="A414" s="4" t="s">
        <v>2186</v>
      </c>
      <c r="B414" s="4">
        <v>0</v>
      </c>
      <c r="C414" s="4" t="s">
        <v>2186</v>
      </c>
      <c r="D414" s="4" t="s">
        <v>2187</v>
      </c>
      <c r="E414" s="4" t="s">
        <v>86</v>
      </c>
      <c r="F414" s="4">
        <v>1</v>
      </c>
      <c r="G414" s="4">
        <v>0</v>
      </c>
      <c r="H414" s="4">
        <v>0</v>
      </c>
      <c r="K414" s="4">
        <v>0</v>
      </c>
      <c r="N414" s="4">
        <v>0</v>
      </c>
      <c r="O414" s="4">
        <v>0</v>
      </c>
      <c r="P414" s="4" t="str">
        <f t="shared" si="6"/>
        <v>CLASSES.BUDDATESET</v>
      </c>
      <c r="Q414" s="4" t="str">
        <f>VLOOKUP(Cobra8.5[[#This Row],[Table.Column]],ColumnMapping[Old Table.Column],1,)</f>
        <v>CLASSES.BUDDATESET</v>
      </c>
    </row>
    <row r="415" spans="1:17" x14ac:dyDescent="0.2">
      <c r="A415" s="4" t="s">
        <v>2186</v>
      </c>
      <c r="B415" s="4">
        <v>0</v>
      </c>
      <c r="C415" s="4" t="s">
        <v>2186</v>
      </c>
      <c r="D415" s="4" t="s">
        <v>1100</v>
      </c>
      <c r="E415" s="4" t="s">
        <v>86</v>
      </c>
      <c r="F415" s="4">
        <v>20</v>
      </c>
      <c r="G415" s="4">
        <v>0</v>
      </c>
      <c r="H415" s="4">
        <v>0</v>
      </c>
      <c r="K415" s="4">
        <v>0</v>
      </c>
      <c r="N415" s="4">
        <v>0</v>
      </c>
      <c r="O415" s="4">
        <v>0</v>
      </c>
      <c r="P415" s="4" t="str">
        <f t="shared" si="6"/>
        <v>CLASSES.CLASS</v>
      </c>
      <c r="Q415" s="4" t="str">
        <f>VLOOKUP(Cobra8.5[[#This Row],[Table.Column]],ColumnMapping[Old Table.Column],1,)</f>
        <v>CLASSES.CLASS</v>
      </c>
    </row>
    <row r="416" spans="1:17" x14ac:dyDescent="0.2">
      <c r="A416" s="4" t="s">
        <v>2186</v>
      </c>
      <c r="B416" s="4">
        <v>0</v>
      </c>
      <c r="C416" s="4" t="s">
        <v>2186</v>
      </c>
      <c r="D416" s="4" t="s">
        <v>1328</v>
      </c>
      <c r="E416" s="4" t="s">
        <v>86</v>
      </c>
      <c r="F416" s="4">
        <v>2</v>
      </c>
      <c r="G416" s="4">
        <v>0</v>
      </c>
      <c r="H416" s="4">
        <v>0</v>
      </c>
      <c r="K416" s="4">
        <v>0</v>
      </c>
      <c r="N416" s="4">
        <v>0</v>
      </c>
      <c r="O416" s="4">
        <v>0</v>
      </c>
      <c r="P416" s="4" t="str">
        <f t="shared" si="6"/>
        <v>CLASSES.CLASSCAL</v>
      </c>
      <c r="Q416" s="4" t="str">
        <f>VLOOKUP(Cobra8.5[[#This Row],[Table.Column]],ColumnMapping[Old Table.Column],1,)</f>
        <v>CLASSES.CLASSCAL</v>
      </c>
    </row>
    <row r="417" spans="1:17" x14ac:dyDescent="0.2">
      <c r="A417" s="4" t="s">
        <v>2186</v>
      </c>
      <c r="B417" s="4">
        <v>0</v>
      </c>
      <c r="C417" s="4" t="s">
        <v>2186</v>
      </c>
      <c r="D417" s="4" t="s">
        <v>2188</v>
      </c>
      <c r="E417" s="4" t="s">
        <v>86</v>
      </c>
      <c r="F417" s="4">
        <v>254</v>
      </c>
      <c r="G417" s="4">
        <v>0</v>
      </c>
      <c r="H417" s="4">
        <v>0</v>
      </c>
      <c r="K417" s="4">
        <v>0</v>
      </c>
      <c r="N417" s="4">
        <v>0</v>
      </c>
      <c r="O417" s="4">
        <v>0</v>
      </c>
      <c r="P417" s="4" t="str">
        <f t="shared" si="6"/>
        <v>CLASSES.CLASSDESC</v>
      </c>
      <c r="Q417" s="4" t="str">
        <f>VLOOKUP(Cobra8.5[[#This Row],[Table.Column]],ColumnMapping[Old Table.Column],1,)</f>
        <v>CLASSES.CLASSDESC</v>
      </c>
    </row>
    <row r="418" spans="1:17" x14ac:dyDescent="0.2">
      <c r="A418" s="4" t="s">
        <v>2186</v>
      </c>
      <c r="B418" s="4">
        <v>0</v>
      </c>
      <c r="C418" s="4" t="s">
        <v>2186</v>
      </c>
      <c r="D418" s="4" t="s">
        <v>2189</v>
      </c>
      <c r="E418" s="4" t="s">
        <v>86</v>
      </c>
      <c r="F418" s="4">
        <v>1</v>
      </c>
      <c r="G418" s="4">
        <v>0</v>
      </c>
      <c r="H418" s="4">
        <v>0</v>
      </c>
      <c r="K418" s="4">
        <v>0</v>
      </c>
      <c r="N418" s="4">
        <v>0</v>
      </c>
      <c r="O418" s="4">
        <v>0</v>
      </c>
      <c r="P418" s="4" t="str">
        <f t="shared" si="6"/>
        <v>CLASSES.CLASSLVL</v>
      </c>
      <c r="Q418" s="4" t="str">
        <f>VLOOKUP(Cobra8.5[[#This Row],[Table.Column]],ColumnMapping[Old Table.Column],1,)</f>
        <v>CLASSES.CLASSLVL</v>
      </c>
    </row>
    <row r="419" spans="1:17" x14ac:dyDescent="0.2">
      <c r="A419" s="4" t="s">
        <v>2186</v>
      </c>
      <c r="B419" s="4">
        <v>0</v>
      </c>
      <c r="C419" s="4" t="s">
        <v>2186</v>
      </c>
      <c r="D419" s="4" t="s">
        <v>1330</v>
      </c>
      <c r="E419" s="4" t="s">
        <v>86</v>
      </c>
      <c r="F419" s="4">
        <v>22</v>
      </c>
      <c r="G419" s="4">
        <v>0</v>
      </c>
      <c r="H419" s="4">
        <v>0</v>
      </c>
      <c r="K419" s="4">
        <v>0</v>
      </c>
      <c r="N419" s="4">
        <v>0</v>
      </c>
      <c r="O419" s="4">
        <v>0</v>
      </c>
      <c r="P419" s="4" t="str">
        <f t="shared" si="6"/>
        <v>CLASSES.CLASSRATE</v>
      </c>
      <c r="Q419" s="4" t="str">
        <f>VLOOKUP(Cobra8.5[[#This Row],[Table.Column]],ColumnMapping[Old Table.Column],1,)</f>
        <v>CLASSES.CLASSRATE</v>
      </c>
    </row>
    <row r="420" spans="1:17" x14ac:dyDescent="0.2">
      <c r="A420" s="4" t="s">
        <v>2186</v>
      </c>
      <c r="B420" s="4">
        <v>0</v>
      </c>
      <c r="C420" s="4" t="s">
        <v>2186</v>
      </c>
      <c r="D420" s="4" t="s">
        <v>2190</v>
      </c>
      <c r="E420" s="4" t="s">
        <v>86</v>
      </c>
      <c r="F420" s="4">
        <v>1</v>
      </c>
      <c r="G420" s="4">
        <v>0</v>
      </c>
      <c r="H420" s="4">
        <v>0</v>
      </c>
      <c r="K420" s="4">
        <v>0</v>
      </c>
      <c r="N420" s="4">
        <v>0</v>
      </c>
      <c r="O420" s="4">
        <v>0</v>
      </c>
      <c r="P420" s="4" t="str">
        <f t="shared" si="6"/>
        <v>CLASSES.CLASSTYPE</v>
      </c>
      <c r="Q420" s="4" t="str">
        <f>VLOOKUP(Cobra8.5[[#This Row],[Table.Column]],ColumnMapping[Old Table.Column],1,)</f>
        <v>CLASSES.CLASSTYPE</v>
      </c>
    </row>
    <row r="421" spans="1:17" x14ac:dyDescent="0.2">
      <c r="A421" s="4" t="s">
        <v>2186</v>
      </c>
      <c r="B421" s="4">
        <v>0</v>
      </c>
      <c r="C421" s="4" t="s">
        <v>2186</v>
      </c>
      <c r="D421" s="4" t="s">
        <v>2191</v>
      </c>
      <c r="E421" s="4" t="s">
        <v>2124</v>
      </c>
      <c r="F421" s="4">
        <v>21</v>
      </c>
      <c r="G421" s="4">
        <v>6</v>
      </c>
      <c r="H421" s="4">
        <v>0</v>
      </c>
      <c r="K421" s="4">
        <v>0</v>
      </c>
      <c r="N421" s="4">
        <v>0</v>
      </c>
      <c r="O421" s="4">
        <v>0</v>
      </c>
      <c r="P421" s="4" t="str">
        <f t="shared" si="6"/>
        <v>CLASSES.FACTA</v>
      </c>
      <c r="Q421" s="4" t="str">
        <f>VLOOKUP(Cobra8.5[[#This Row],[Table.Column]],ColumnMapping[Old Table.Column],1,)</f>
        <v>CLASSES.FACTA</v>
      </c>
    </row>
    <row r="422" spans="1:17" x14ac:dyDescent="0.2">
      <c r="A422" s="4" t="s">
        <v>2186</v>
      </c>
      <c r="B422" s="4">
        <v>0</v>
      </c>
      <c r="C422" s="4" t="s">
        <v>2186</v>
      </c>
      <c r="D422" s="4" t="s">
        <v>2192</v>
      </c>
      <c r="E422" s="4" t="s">
        <v>2124</v>
      </c>
      <c r="F422" s="4">
        <v>21</v>
      </c>
      <c r="G422" s="4">
        <v>6</v>
      </c>
      <c r="H422" s="4">
        <v>0</v>
      </c>
      <c r="K422" s="4">
        <v>0</v>
      </c>
      <c r="N422" s="4">
        <v>0</v>
      </c>
      <c r="O422" s="4">
        <v>0</v>
      </c>
      <c r="P422" s="4" t="str">
        <f t="shared" si="6"/>
        <v>CLASSES.FACTB</v>
      </c>
      <c r="Q422" s="4" t="str">
        <f>VLOOKUP(Cobra8.5[[#This Row],[Table.Column]],ColumnMapping[Old Table.Column],1,)</f>
        <v>CLASSES.FACTB</v>
      </c>
    </row>
    <row r="423" spans="1:17" x14ac:dyDescent="0.2">
      <c r="A423" s="4" t="s">
        <v>2186</v>
      </c>
      <c r="B423" s="4">
        <v>0</v>
      </c>
      <c r="C423" s="4" t="s">
        <v>2186</v>
      </c>
      <c r="D423" s="4" t="s">
        <v>1320</v>
      </c>
      <c r="E423" s="4" t="s">
        <v>86</v>
      </c>
      <c r="F423" s="4">
        <v>1</v>
      </c>
      <c r="G423" s="4">
        <v>0</v>
      </c>
      <c r="H423" s="4">
        <v>0</v>
      </c>
      <c r="K423" s="4">
        <v>0</v>
      </c>
      <c r="N423" s="4">
        <v>0</v>
      </c>
      <c r="O423" s="4">
        <v>0</v>
      </c>
      <c r="P423" s="4" t="str">
        <f t="shared" si="6"/>
        <v>CLASSES.FC_DATESET</v>
      </c>
      <c r="Q423" s="4" t="str">
        <f>VLOOKUP(Cobra8.5[[#This Row],[Table.Column]],ColumnMapping[Old Table.Column],1,)</f>
        <v>CLASSES.FC_DATESET</v>
      </c>
    </row>
    <row r="424" spans="1:17" x14ac:dyDescent="0.2">
      <c r="A424" s="4" t="s">
        <v>2186</v>
      </c>
      <c r="B424" s="4">
        <v>0</v>
      </c>
      <c r="C424" s="4" t="s">
        <v>2186</v>
      </c>
      <c r="D424" s="4" t="s">
        <v>2193</v>
      </c>
      <c r="E424" s="4" t="s">
        <v>86</v>
      </c>
      <c r="F424" s="4">
        <v>1</v>
      </c>
      <c r="G424" s="4">
        <v>0</v>
      </c>
      <c r="H424" s="4">
        <v>0</v>
      </c>
      <c r="K424" s="4">
        <v>0</v>
      </c>
      <c r="N424" s="4">
        <v>0</v>
      </c>
      <c r="O424" s="4">
        <v>0</v>
      </c>
      <c r="P424" s="4" t="str">
        <f t="shared" si="6"/>
        <v>CLASSES.FC_TYPE</v>
      </c>
      <c r="Q424" s="4" t="str">
        <f>VLOOKUP(Cobra8.5[[#This Row],[Table.Column]],ColumnMapping[Old Table.Column],1,)</f>
        <v>CLASSES.FC_TYPE</v>
      </c>
    </row>
    <row r="425" spans="1:17" x14ac:dyDescent="0.2">
      <c r="A425" s="4" t="s">
        <v>2186</v>
      </c>
      <c r="B425" s="4">
        <v>0</v>
      </c>
      <c r="C425" s="4" t="s">
        <v>2186</v>
      </c>
      <c r="D425" s="4" t="s">
        <v>2194</v>
      </c>
      <c r="E425" s="4" t="s">
        <v>2108</v>
      </c>
      <c r="F425" s="4">
        <v>-1</v>
      </c>
      <c r="G425" s="4">
        <v>0</v>
      </c>
      <c r="H425" s="4">
        <v>0</v>
      </c>
      <c r="K425" s="4">
        <v>0</v>
      </c>
      <c r="N425" s="4">
        <v>0</v>
      </c>
      <c r="O425" s="4">
        <v>0</v>
      </c>
      <c r="P425" s="4" t="str">
        <f t="shared" si="6"/>
        <v>CLASSES.FORWRDONLY</v>
      </c>
      <c r="Q425" s="4" t="e">
        <f>VLOOKUP(Cobra8.5[[#This Row],[Table.Column]],ColumnMapping[Old Table.Column],1,)</f>
        <v>#N/A</v>
      </c>
    </row>
    <row r="426" spans="1:17" x14ac:dyDescent="0.2">
      <c r="A426" s="4" t="s">
        <v>2186</v>
      </c>
      <c r="B426" s="4">
        <v>0</v>
      </c>
      <c r="C426" s="4" t="s">
        <v>2186</v>
      </c>
      <c r="D426" s="4" t="s">
        <v>1318</v>
      </c>
      <c r="E426" s="4" t="s">
        <v>2108</v>
      </c>
      <c r="F426" s="4">
        <v>-1</v>
      </c>
      <c r="G426" s="4">
        <v>0</v>
      </c>
      <c r="H426" s="4">
        <v>0</v>
      </c>
      <c r="K426" s="4">
        <v>0</v>
      </c>
      <c r="N426" s="4">
        <v>0</v>
      </c>
      <c r="O426" s="4">
        <v>0</v>
      </c>
      <c r="P426" s="4" t="str">
        <f t="shared" si="6"/>
        <v>CLASSES.IS_ACWP</v>
      </c>
      <c r="Q426" s="4" t="str">
        <f>VLOOKUP(Cobra8.5[[#This Row],[Table.Column]],ColumnMapping[Old Table.Column],1,)</f>
        <v>CLASSES.IS_ACWP</v>
      </c>
    </row>
    <row r="427" spans="1:17" x14ac:dyDescent="0.2">
      <c r="A427" s="4" t="s">
        <v>2186</v>
      </c>
      <c r="B427" s="4">
        <v>0</v>
      </c>
      <c r="C427" s="4" t="s">
        <v>2186</v>
      </c>
      <c r="D427" s="4" t="s">
        <v>1316</v>
      </c>
      <c r="E427" s="4" t="s">
        <v>2108</v>
      </c>
      <c r="F427" s="4">
        <v>-1</v>
      </c>
      <c r="G427" s="4">
        <v>0</v>
      </c>
      <c r="H427" s="4">
        <v>0</v>
      </c>
      <c r="K427" s="4">
        <v>0</v>
      </c>
      <c r="N427" s="4">
        <v>0</v>
      </c>
      <c r="O427" s="4">
        <v>0</v>
      </c>
      <c r="P427" s="4" t="str">
        <f t="shared" si="6"/>
        <v>CLASSES.IS_BCWS</v>
      </c>
      <c r="Q427" s="4" t="str">
        <f>VLOOKUP(Cobra8.5[[#This Row],[Table.Column]],ColumnMapping[Old Table.Column],1,)</f>
        <v>CLASSES.IS_BCWS</v>
      </c>
    </row>
    <row r="428" spans="1:17" x14ac:dyDescent="0.2">
      <c r="A428" s="4" t="s">
        <v>2186</v>
      </c>
      <c r="B428" s="4">
        <v>0</v>
      </c>
      <c r="C428" s="4" t="s">
        <v>2186</v>
      </c>
      <c r="D428" s="4" t="s">
        <v>2111</v>
      </c>
      <c r="E428" s="4" t="s">
        <v>356</v>
      </c>
      <c r="F428" s="4">
        <v>-1</v>
      </c>
      <c r="G428" s="4">
        <v>0</v>
      </c>
      <c r="H428" s="4">
        <v>0</v>
      </c>
      <c r="K428" s="4">
        <v>0</v>
      </c>
      <c r="N428" s="4">
        <v>0</v>
      </c>
      <c r="O428" s="4">
        <v>0</v>
      </c>
      <c r="P428" s="4" t="str">
        <f t="shared" si="6"/>
        <v>CLASSES.LASTUPDATE</v>
      </c>
      <c r="Q428" s="4" t="str">
        <f>VLOOKUP(Cobra8.5[[#This Row],[Table.Column]],ColumnMapping[Old Table.Column],1,)</f>
        <v>CLASSES.LASTUPDATE</v>
      </c>
    </row>
    <row r="429" spans="1:17" x14ac:dyDescent="0.2">
      <c r="A429" s="4" t="s">
        <v>2186</v>
      </c>
      <c r="B429" s="4">
        <v>0</v>
      </c>
      <c r="C429" s="4" t="s">
        <v>2186</v>
      </c>
      <c r="D429" s="4" t="s">
        <v>1326</v>
      </c>
      <c r="E429" s="4" t="s">
        <v>86</v>
      </c>
      <c r="F429" s="4">
        <v>3</v>
      </c>
      <c r="G429" s="4">
        <v>0</v>
      </c>
      <c r="H429" s="4">
        <v>0</v>
      </c>
      <c r="K429" s="4">
        <v>0</v>
      </c>
      <c r="N429" s="4">
        <v>0</v>
      </c>
      <c r="O429" s="4">
        <v>0</v>
      </c>
      <c r="P429" s="4" t="str">
        <f t="shared" si="6"/>
        <v>CLASSES.MINUSMINUS</v>
      </c>
      <c r="Q429" s="4" t="str">
        <f>VLOOKUP(Cobra8.5[[#This Row],[Table.Column]],ColumnMapping[Old Table.Column],1,)</f>
        <v>CLASSES.MINUSMINUS</v>
      </c>
    </row>
    <row r="430" spans="1:17" x14ac:dyDescent="0.2">
      <c r="A430" s="4" t="s">
        <v>2186</v>
      </c>
      <c r="B430" s="4">
        <v>0</v>
      </c>
      <c r="C430" s="4" t="s">
        <v>2186</v>
      </c>
      <c r="D430" s="4" t="s">
        <v>1324</v>
      </c>
      <c r="E430" s="4" t="s">
        <v>86</v>
      </c>
      <c r="F430" s="4">
        <v>3</v>
      </c>
      <c r="G430" s="4">
        <v>0</v>
      </c>
      <c r="H430" s="4">
        <v>0</v>
      </c>
      <c r="K430" s="4">
        <v>0</v>
      </c>
      <c r="N430" s="4">
        <v>0</v>
      </c>
      <c r="O430" s="4">
        <v>0</v>
      </c>
      <c r="P430" s="4" t="str">
        <f t="shared" si="6"/>
        <v>CLASSES.MINUSPLUS</v>
      </c>
      <c r="Q430" s="4" t="str">
        <f>VLOOKUP(Cobra8.5[[#This Row],[Table.Column]],ColumnMapping[Old Table.Column],1,)</f>
        <v>CLASSES.MINUSPLUS</v>
      </c>
    </row>
    <row r="431" spans="1:17" x14ac:dyDescent="0.2">
      <c r="A431" s="4" t="s">
        <v>2186</v>
      </c>
      <c r="B431" s="4">
        <v>0</v>
      </c>
      <c r="C431" s="4" t="s">
        <v>2186</v>
      </c>
      <c r="D431" s="4" t="s">
        <v>2195</v>
      </c>
      <c r="E431" s="4" t="s">
        <v>86</v>
      </c>
      <c r="F431" s="4">
        <v>22</v>
      </c>
      <c r="G431" s="4">
        <v>0</v>
      </c>
      <c r="H431" s="4">
        <v>0</v>
      </c>
      <c r="K431" s="4">
        <v>0</v>
      </c>
      <c r="N431" s="4">
        <v>0</v>
      </c>
      <c r="O431" s="4">
        <v>0</v>
      </c>
      <c r="P431" s="4" t="str">
        <f t="shared" si="6"/>
        <v>CLASSES.PF_BDN</v>
      </c>
      <c r="Q431" s="4" t="str">
        <f>VLOOKUP(Cobra8.5[[#This Row],[Table.Column]],ColumnMapping[Old Table.Column],1,)</f>
        <v>CLASSES.PF_BDN</v>
      </c>
    </row>
    <row r="432" spans="1:17" x14ac:dyDescent="0.2">
      <c r="A432" s="4" t="s">
        <v>2186</v>
      </c>
      <c r="B432" s="4">
        <v>0</v>
      </c>
      <c r="C432" s="4" t="s">
        <v>2186</v>
      </c>
      <c r="D432" s="4" t="s">
        <v>2196</v>
      </c>
      <c r="E432" s="4" t="s">
        <v>86</v>
      </c>
      <c r="F432" s="4">
        <v>2</v>
      </c>
      <c r="G432" s="4">
        <v>0</v>
      </c>
      <c r="H432" s="4">
        <v>0</v>
      </c>
      <c r="K432" s="4">
        <v>0</v>
      </c>
      <c r="N432" s="4">
        <v>0</v>
      </c>
      <c r="O432" s="4">
        <v>0</v>
      </c>
      <c r="P432" s="4" t="str">
        <f t="shared" si="6"/>
        <v>CLASSES.PF_LEVEL</v>
      </c>
      <c r="Q432" s="4" t="str">
        <f>VLOOKUP(Cobra8.5[[#This Row],[Table.Column]],ColumnMapping[Old Table.Column],1,)</f>
        <v>CLASSES.PF_LEVEL</v>
      </c>
    </row>
    <row r="433" spans="1:17" x14ac:dyDescent="0.2">
      <c r="A433" s="4" t="s">
        <v>2186</v>
      </c>
      <c r="B433" s="4">
        <v>0</v>
      </c>
      <c r="C433" s="4" t="s">
        <v>2186</v>
      </c>
      <c r="D433" s="4" t="s">
        <v>2197</v>
      </c>
      <c r="E433" s="4" t="s">
        <v>86</v>
      </c>
      <c r="F433" s="4">
        <v>3</v>
      </c>
      <c r="G433" s="4">
        <v>0</v>
      </c>
      <c r="H433" s="4">
        <v>0</v>
      </c>
      <c r="K433" s="4">
        <v>0</v>
      </c>
      <c r="N433" s="4">
        <v>0</v>
      </c>
      <c r="O433" s="4">
        <v>0</v>
      </c>
      <c r="P433" s="4" t="str">
        <f t="shared" si="6"/>
        <v>CLASSES.PLUSMINUS</v>
      </c>
      <c r="Q433" s="4" t="str">
        <f>VLOOKUP(Cobra8.5[[#This Row],[Table.Column]],ColumnMapping[Old Table.Column],1,)</f>
        <v>CLASSES.PLUSMINUS</v>
      </c>
    </row>
    <row r="434" spans="1:17" x14ac:dyDescent="0.2">
      <c r="A434" s="4" t="s">
        <v>2186</v>
      </c>
      <c r="B434" s="4">
        <v>0</v>
      </c>
      <c r="C434" s="4" t="s">
        <v>2186</v>
      </c>
      <c r="D434" s="4" t="s">
        <v>1322</v>
      </c>
      <c r="E434" s="4" t="s">
        <v>86</v>
      </c>
      <c r="F434" s="4">
        <v>3</v>
      </c>
      <c r="G434" s="4">
        <v>0</v>
      </c>
      <c r="H434" s="4">
        <v>0</v>
      </c>
      <c r="K434" s="4">
        <v>0</v>
      </c>
      <c r="N434" s="4">
        <v>0</v>
      </c>
      <c r="O434" s="4">
        <v>0</v>
      </c>
      <c r="P434" s="4" t="str">
        <f t="shared" si="6"/>
        <v>CLASSES.PLUSPLUS</v>
      </c>
      <c r="Q434" s="4" t="str">
        <f>VLOOKUP(Cobra8.5[[#This Row],[Table.Column]],ColumnMapping[Old Table.Column],1,)</f>
        <v>CLASSES.PLUSPLUS</v>
      </c>
    </row>
    <row r="435" spans="1:17" x14ac:dyDescent="0.2">
      <c r="A435" s="4" t="s">
        <v>2186</v>
      </c>
      <c r="B435" s="4">
        <v>0</v>
      </c>
      <c r="C435" s="4" t="s">
        <v>2186</v>
      </c>
      <c r="D435" s="4" t="s">
        <v>744</v>
      </c>
      <c r="E435" s="4" t="s">
        <v>86</v>
      </c>
      <c r="F435" s="4">
        <v>22</v>
      </c>
      <c r="G435" s="4">
        <v>0</v>
      </c>
      <c r="H435" s="4">
        <v>0</v>
      </c>
      <c r="K435" s="4">
        <v>0</v>
      </c>
      <c r="N435" s="4">
        <v>0</v>
      </c>
      <c r="O435" s="4">
        <v>0</v>
      </c>
      <c r="P435" s="4" t="str">
        <f t="shared" si="6"/>
        <v>CLASSES.PROGRAM</v>
      </c>
      <c r="Q435" s="4" t="str">
        <f>VLOOKUP(Cobra8.5[[#This Row],[Table.Column]],ColumnMapping[Old Table.Column],1,)</f>
        <v>CLASSES.PROGRAM</v>
      </c>
    </row>
    <row r="436" spans="1:17" x14ac:dyDescent="0.2">
      <c r="A436" s="4" t="s">
        <v>2186</v>
      </c>
      <c r="B436" s="4">
        <v>0</v>
      </c>
      <c r="C436" s="4" t="s">
        <v>2186</v>
      </c>
      <c r="D436" s="4" t="s">
        <v>1314</v>
      </c>
      <c r="E436" s="4" t="s">
        <v>86</v>
      </c>
      <c r="F436" s="4">
        <v>30</v>
      </c>
      <c r="G436" s="4">
        <v>0</v>
      </c>
      <c r="H436" s="4">
        <v>0</v>
      </c>
      <c r="K436" s="4">
        <v>0</v>
      </c>
      <c r="N436" s="4">
        <v>0</v>
      </c>
      <c r="O436" s="4">
        <v>0</v>
      </c>
      <c r="P436" s="4" t="str">
        <f t="shared" si="6"/>
        <v>CLASSES.RANGE_FIELDID</v>
      </c>
      <c r="Q436" s="4" t="str">
        <f>VLOOKUP(Cobra8.5[[#This Row],[Table.Column]],ColumnMapping[Old Table.Column],1,)</f>
        <v>CLASSES.RANGE_FIELDID</v>
      </c>
    </row>
    <row r="437" spans="1:17" x14ac:dyDescent="0.2">
      <c r="A437" s="4" t="s">
        <v>2186</v>
      </c>
      <c r="B437" s="4">
        <v>0</v>
      </c>
      <c r="C437" s="4" t="s">
        <v>2186</v>
      </c>
      <c r="D437" s="4" t="s">
        <v>1312</v>
      </c>
      <c r="E437" s="4" t="s">
        <v>2108</v>
      </c>
      <c r="F437" s="4">
        <v>-1</v>
      </c>
      <c r="G437" s="4">
        <v>0</v>
      </c>
      <c r="H437" s="4">
        <v>0</v>
      </c>
      <c r="K437" s="4">
        <v>0</v>
      </c>
      <c r="N437" s="4">
        <v>0</v>
      </c>
      <c r="O437" s="4">
        <v>0</v>
      </c>
      <c r="P437" s="4" t="str">
        <f t="shared" si="6"/>
        <v>CLASSES.READONLY</v>
      </c>
      <c r="Q437" s="4" t="str">
        <f>VLOOKUP(Cobra8.5[[#This Row],[Table.Column]],ColumnMapping[Old Table.Column],1,)</f>
        <v>CLASSES.READONLY</v>
      </c>
    </row>
    <row r="438" spans="1:17" x14ac:dyDescent="0.2">
      <c r="A438" s="4" t="s">
        <v>2186</v>
      </c>
      <c r="B438" s="4">
        <v>0</v>
      </c>
      <c r="C438" s="4" t="s">
        <v>2186</v>
      </c>
      <c r="D438" s="4" t="s">
        <v>1256</v>
      </c>
      <c r="E438" s="4" t="s">
        <v>2108</v>
      </c>
      <c r="F438" s="4">
        <v>-1</v>
      </c>
      <c r="G438" s="4">
        <v>0</v>
      </c>
      <c r="H438" s="4">
        <v>0</v>
      </c>
      <c r="K438" s="4">
        <v>0</v>
      </c>
      <c r="N438" s="4">
        <v>0</v>
      </c>
      <c r="O438" s="4">
        <v>0</v>
      </c>
      <c r="P438" s="4" t="str">
        <f t="shared" si="6"/>
        <v>CLASSES.REQUIRED</v>
      </c>
      <c r="Q438" s="4" t="str">
        <f>VLOOKUP(Cobra8.5[[#This Row],[Table.Column]],ColumnMapping[Old Table.Column],1,)</f>
        <v>CLASSES.REQUIRED</v>
      </c>
    </row>
    <row r="439" spans="1:17" x14ac:dyDescent="0.2">
      <c r="A439" s="4" t="s">
        <v>2186</v>
      </c>
      <c r="B439" s="4">
        <v>0</v>
      </c>
      <c r="C439" s="4" t="s">
        <v>2186</v>
      </c>
      <c r="D439" s="4" t="s">
        <v>35</v>
      </c>
      <c r="E439" s="4" t="s">
        <v>2108</v>
      </c>
      <c r="F439" s="4">
        <v>-1</v>
      </c>
      <c r="G439" s="4">
        <v>0</v>
      </c>
      <c r="H439" s="4">
        <v>0</v>
      </c>
      <c r="K439" s="4">
        <v>0</v>
      </c>
      <c r="N439" s="4">
        <v>0</v>
      </c>
      <c r="O439" s="4">
        <v>0</v>
      </c>
      <c r="P439" s="4" t="str">
        <f t="shared" si="6"/>
        <v>CLASSES.SEQUENCE</v>
      </c>
      <c r="Q439" s="4" t="str">
        <f>VLOOKUP(Cobra8.5[[#This Row],[Table.Column]],ColumnMapping[Old Table.Column],1,)</f>
        <v>CLASSES.SEQUENCE</v>
      </c>
    </row>
    <row r="440" spans="1:17" x14ac:dyDescent="0.2">
      <c r="A440" s="4" t="s">
        <v>2186</v>
      </c>
      <c r="B440" s="4">
        <v>0</v>
      </c>
      <c r="C440" s="4" t="s">
        <v>2186</v>
      </c>
      <c r="D440" s="4" t="s">
        <v>2112</v>
      </c>
      <c r="E440" s="4" t="s">
        <v>86</v>
      </c>
      <c r="F440" s="4">
        <v>20</v>
      </c>
      <c r="G440" s="4">
        <v>0</v>
      </c>
      <c r="H440" s="4">
        <v>0</v>
      </c>
      <c r="K440" s="4">
        <v>0</v>
      </c>
      <c r="N440" s="4">
        <v>0</v>
      </c>
      <c r="O440" s="4">
        <v>0</v>
      </c>
      <c r="P440" s="4" t="str">
        <f t="shared" si="6"/>
        <v>CLASSES.USR_ID</v>
      </c>
      <c r="Q440" s="4" t="str">
        <f>VLOOKUP(Cobra8.5[[#This Row],[Table.Column]],ColumnMapping[Old Table.Column],1,)</f>
        <v>CLASSES.USR_ID</v>
      </c>
    </row>
    <row r="441" spans="1:17" hidden="1" x14ac:dyDescent="0.2">
      <c r="A441" s="4" t="s">
        <v>2198</v>
      </c>
      <c r="B441" s="4">
        <v>0</v>
      </c>
      <c r="C441" s="4" t="s">
        <v>2198</v>
      </c>
      <c r="D441" s="4" t="s">
        <v>1100</v>
      </c>
      <c r="E441" s="4" t="s">
        <v>86</v>
      </c>
      <c r="F441" s="4">
        <v>20</v>
      </c>
      <c r="G441" s="4">
        <v>0</v>
      </c>
      <c r="H441" s="4">
        <v>0</v>
      </c>
      <c r="K441" s="4">
        <v>0</v>
      </c>
      <c r="N441" s="4">
        <v>0</v>
      </c>
      <c r="O441" s="4">
        <v>0</v>
      </c>
      <c r="P441" s="4" t="str">
        <f t="shared" si="6"/>
        <v>CLASSESLINK.CLASS</v>
      </c>
      <c r="Q441" s="4" t="str">
        <f>VLOOKUP(Cobra8.5[[#This Row],[Table.Column]],ColumnMapping[Old Table.Column],1,)</f>
        <v>CLASSESLINK.CLASS</v>
      </c>
    </row>
    <row r="442" spans="1:17" hidden="1" x14ac:dyDescent="0.2">
      <c r="A442" s="4" t="s">
        <v>2198</v>
      </c>
      <c r="B442" s="4">
        <v>0</v>
      </c>
      <c r="C442" s="4" t="s">
        <v>2198</v>
      </c>
      <c r="D442" s="4" t="s">
        <v>1344</v>
      </c>
      <c r="E442" s="4" t="s">
        <v>86</v>
      </c>
      <c r="F442" s="4">
        <v>20</v>
      </c>
      <c r="G442" s="4">
        <v>0</v>
      </c>
      <c r="H442" s="4">
        <v>0</v>
      </c>
      <c r="K442" s="4">
        <v>0</v>
      </c>
      <c r="N442" s="4">
        <v>0</v>
      </c>
      <c r="O442" s="4">
        <v>0</v>
      </c>
      <c r="P442" s="4" t="str">
        <f t="shared" si="6"/>
        <v>CLASSESLINK.CONTAINEDCLASS</v>
      </c>
      <c r="Q442" s="4" t="str">
        <f>VLOOKUP(Cobra8.5[[#This Row],[Table.Column]],ColumnMapping[Old Table.Column],1,)</f>
        <v>CLASSESLINK.CONTAINEDCLASS</v>
      </c>
    </row>
    <row r="443" spans="1:17" hidden="1" x14ac:dyDescent="0.2">
      <c r="A443" s="4" t="s">
        <v>2198</v>
      </c>
      <c r="B443" s="4">
        <v>0</v>
      </c>
      <c r="C443" s="4" t="s">
        <v>2198</v>
      </c>
      <c r="D443" s="4" t="s">
        <v>744</v>
      </c>
      <c r="E443" s="4" t="s">
        <v>86</v>
      </c>
      <c r="F443" s="4">
        <v>22</v>
      </c>
      <c r="G443" s="4">
        <v>0</v>
      </c>
      <c r="H443" s="4">
        <v>0</v>
      </c>
      <c r="K443" s="4">
        <v>0</v>
      </c>
      <c r="N443" s="4">
        <v>0</v>
      </c>
      <c r="O443" s="4">
        <v>0</v>
      </c>
      <c r="P443" s="4" t="str">
        <f t="shared" si="6"/>
        <v>CLASSESLINK.PROGRAM</v>
      </c>
      <c r="Q443" s="4" t="str">
        <f>VLOOKUP(Cobra8.5[[#This Row],[Table.Column]],ColumnMapping[Old Table.Column],1,)</f>
        <v>CLASSESLINK.PROGRAM</v>
      </c>
    </row>
    <row r="444" spans="1:17" hidden="1" x14ac:dyDescent="0.2">
      <c r="A444" s="4" t="s">
        <v>1927</v>
      </c>
      <c r="B444" s="4">
        <v>0</v>
      </c>
      <c r="C444" s="4" t="s">
        <v>1927</v>
      </c>
      <c r="D444" s="4" t="s">
        <v>1100</v>
      </c>
      <c r="E444" s="4" t="s">
        <v>86</v>
      </c>
      <c r="F444" s="4">
        <v>20</v>
      </c>
      <c r="G444" s="4">
        <v>0</v>
      </c>
      <c r="H444" s="4">
        <v>0</v>
      </c>
      <c r="K444" s="4">
        <v>0</v>
      </c>
      <c r="N444" s="4">
        <v>0</v>
      </c>
      <c r="O444" s="4">
        <v>0</v>
      </c>
      <c r="P444" s="4" t="str">
        <f t="shared" si="6"/>
        <v>CLASSRANGES.CLASS</v>
      </c>
      <c r="Q444" s="4" t="str">
        <f>VLOOKUP(Cobra8.5[[#This Row],[Table.Column]],ColumnMapping[Old Table.Column],1,)</f>
        <v>CLASSRANGES.CLASS</v>
      </c>
    </row>
    <row r="445" spans="1:17" hidden="1" x14ac:dyDescent="0.2">
      <c r="A445" s="4" t="s">
        <v>1927</v>
      </c>
      <c r="B445" s="4">
        <v>0</v>
      </c>
      <c r="C445" s="4" t="s">
        <v>1927</v>
      </c>
      <c r="D445" s="4" t="s">
        <v>1928</v>
      </c>
      <c r="E445" s="4" t="s">
        <v>2108</v>
      </c>
      <c r="F445" s="4">
        <v>-1</v>
      </c>
      <c r="G445" s="4">
        <v>0</v>
      </c>
      <c r="H445" s="4">
        <v>0</v>
      </c>
      <c r="K445" s="4">
        <v>0</v>
      </c>
      <c r="N445" s="4">
        <v>0</v>
      </c>
      <c r="O445" s="4">
        <v>0</v>
      </c>
      <c r="P445" s="4" t="str">
        <f t="shared" si="6"/>
        <v>CLASSRANGES.FIELDNUM</v>
      </c>
      <c r="Q445" s="4" t="str">
        <f>VLOOKUP(Cobra8.5[[#This Row],[Table.Column]],ColumnMapping[Old Table.Column],1,)</f>
        <v>CLASSRANGES.FIELDNUM</v>
      </c>
    </row>
    <row r="446" spans="1:17" hidden="1" x14ac:dyDescent="0.2">
      <c r="A446" s="4" t="s">
        <v>1927</v>
      </c>
      <c r="B446" s="4">
        <v>0</v>
      </c>
      <c r="C446" s="4" t="s">
        <v>1927</v>
      </c>
      <c r="D446" s="4" t="s">
        <v>744</v>
      </c>
      <c r="E446" s="4" t="s">
        <v>86</v>
      </c>
      <c r="F446" s="4">
        <v>22</v>
      </c>
      <c r="G446" s="4">
        <v>0</v>
      </c>
      <c r="H446" s="4">
        <v>0</v>
      </c>
      <c r="K446" s="4">
        <v>0</v>
      </c>
      <c r="N446" s="4">
        <v>0</v>
      </c>
      <c r="O446" s="4">
        <v>0</v>
      </c>
      <c r="P446" s="4" t="str">
        <f t="shared" si="6"/>
        <v>CLASSRANGES.PROGRAM</v>
      </c>
      <c r="Q446" s="4" t="str">
        <f>VLOOKUP(Cobra8.5[[#This Row],[Table.Column]],ColumnMapping[Old Table.Column],1,)</f>
        <v>CLASSRANGES.PROGRAM</v>
      </c>
    </row>
    <row r="447" spans="1:17" hidden="1" x14ac:dyDescent="0.2">
      <c r="A447" s="4" t="s">
        <v>1927</v>
      </c>
      <c r="B447" s="4">
        <v>0</v>
      </c>
      <c r="C447" s="4" t="s">
        <v>1927</v>
      </c>
      <c r="D447" s="4" t="s">
        <v>1929</v>
      </c>
      <c r="E447" s="4" t="s">
        <v>86</v>
      </c>
      <c r="F447" s="4">
        <v>59</v>
      </c>
      <c r="G447" s="4">
        <v>0</v>
      </c>
      <c r="H447" s="4">
        <v>0</v>
      </c>
      <c r="K447" s="4">
        <v>0</v>
      </c>
      <c r="N447" s="4">
        <v>0</v>
      </c>
      <c r="O447" s="4">
        <v>0</v>
      </c>
      <c r="P447" s="4" t="str">
        <f t="shared" si="6"/>
        <v>CLASSRANGES.RANGE_KEY</v>
      </c>
      <c r="Q447" s="4" t="str">
        <f>VLOOKUP(Cobra8.5[[#This Row],[Table.Column]],ColumnMapping[Old Table.Column],1,)</f>
        <v>CLASSRANGES.RANGE_KEY</v>
      </c>
    </row>
    <row r="448" spans="1:17" hidden="1" x14ac:dyDescent="0.2">
      <c r="A448" s="4" t="s">
        <v>1927</v>
      </c>
      <c r="B448" s="4">
        <v>0</v>
      </c>
      <c r="C448" s="4" t="s">
        <v>1927</v>
      </c>
      <c r="D448" s="4" t="s">
        <v>1930</v>
      </c>
      <c r="E448" s="4" t="s">
        <v>86</v>
      </c>
      <c r="F448" s="4">
        <v>100</v>
      </c>
      <c r="G448" s="4">
        <v>0</v>
      </c>
      <c r="H448" s="4">
        <v>0</v>
      </c>
      <c r="K448" s="4">
        <v>0</v>
      </c>
      <c r="N448" s="4">
        <v>0</v>
      </c>
      <c r="O448" s="4">
        <v>0</v>
      </c>
      <c r="P448" s="4" t="str">
        <f t="shared" si="6"/>
        <v>CLASSRANGES.RANGE_VALUE</v>
      </c>
      <c r="Q448" s="4" t="str">
        <f>VLOOKUP(Cobra8.5[[#This Row],[Table.Column]],ColumnMapping[Old Table.Column],1,)</f>
        <v>CLASSRANGES.RANGE_VALUE</v>
      </c>
    </row>
    <row r="449" spans="1:17" hidden="1" x14ac:dyDescent="0.2">
      <c r="A449" s="4" t="s">
        <v>2199</v>
      </c>
      <c r="B449" s="4">
        <v>0</v>
      </c>
      <c r="C449" s="4" t="s">
        <v>2199</v>
      </c>
      <c r="D449" s="4" t="s">
        <v>2200</v>
      </c>
      <c r="E449" s="4" t="s">
        <v>86</v>
      </c>
      <c r="F449" s="4">
        <v>59</v>
      </c>
      <c r="G449" s="4">
        <v>0</v>
      </c>
      <c r="H449" s="4">
        <v>0</v>
      </c>
      <c r="K449" s="4">
        <v>0</v>
      </c>
      <c r="N449" s="4">
        <v>0</v>
      </c>
      <c r="O449" s="4">
        <v>0</v>
      </c>
      <c r="P449" s="4" t="str">
        <f t="shared" si="6"/>
        <v>COB_CAT.CAT_ID</v>
      </c>
      <c r="Q449" s="4" t="str">
        <f>VLOOKUP(Cobra8.5[[#This Row],[Table.Column]],ColumnMapping[Old Table.Column],1,)</f>
        <v>COB_CAT.CAT_ID</v>
      </c>
    </row>
    <row r="450" spans="1:17" hidden="1" x14ac:dyDescent="0.2">
      <c r="A450" s="4" t="s">
        <v>2199</v>
      </c>
      <c r="B450" s="4">
        <v>0</v>
      </c>
      <c r="C450" s="4" t="s">
        <v>2199</v>
      </c>
      <c r="D450" s="4" t="s">
        <v>1961</v>
      </c>
      <c r="E450" s="4" t="s">
        <v>86</v>
      </c>
      <c r="F450" s="4">
        <v>30</v>
      </c>
      <c r="G450" s="4">
        <v>0</v>
      </c>
      <c r="H450" s="4">
        <v>0</v>
      </c>
      <c r="K450" s="4">
        <v>0</v>
      </c>
      <c r="N450" s="4">
        <v>0</v>
      </c>
      <c r="O450" s="4">
        <v>0</v>
      </c>
      <c r="P450" s="4" t="str">
        <f t="shared" ref="P450:P513" si="7">_xlfn.CONCAT(A450,".",D450)</f>
        <v>COB_CAT.CONTEXT</v>
      </c>
      <c r="Q450" s="4" t="str">
        <f>VLOOKUP(Cobra8.5[[#This Row],[Table.Column]],ColumnMapping[Old Table.Column],1,)</f>
        <v>COB_CAT.CONTEXT</v>
      </c>
    </row>
    <row r="451" spans="1:17" hidden="1" x14ac:dyDescent="0.2">
      <c r="A451" s="4" t="s">
        <v>2199</v>
      </c>
      <c r="B451" s="4">
        <v>0</v>
      </c>
      <c r="C451" s="4" t="s">
        <v>2199</v>
      </c>
      <c r="D451" s="4" t="s">
        <v>2111</v>
      </c>
      <c r="E451" s="4" t="s">
        <v>356</v>
      </c>
      <c r="F451" s="4">
        <v>-1</v>
      </c>
      <c r="G451" s="4">
        <v>0</v>
      </c>
      <c r="H451" s="4">
        <v>0</v>
      </c>
      <c r="K451" s="4">
        <v>0</v>
      </c>
      <c r="N451" s="4">
        <v>0</v>
      </c>
      <c r="O451" s="4">
        <v>0</v>
      </c>
      <c r="P451" s="4" t="str">
        <f t="shared" si="7"/>
        <v>COB_CAT.LASTUPDATE</v>
      </c>
      <c r="Q451" s="4" t="e">
        <f>VLOOKUP(Cobra8.5[[#This Row],[Table.Column]],ColumnMapping[Old Table.Column],1,)</f>
        <v>#N/A</v>
      </c>
    </row>
    <row r="452" spans="1:17" hidden="1" x14ac:dyDescent="0.2">
      <c r="A452" s="4" t="s">
        <v>2199</v>
      </c>
      <c r="B452" s="4">
        <v>0</v>
      </c>
      <c r="C452" s="4" t="s">
        <v>2199</v>
      </c>
      <c r="D452" s="4" t="s">
        <v>2201</v>
      </c>
      <c r="E452" s="4" t="s">
        <v>2108</v>
      </c>
      <c r="F452" s="4">
        <v>-1</v>
      </c>
      <c r="G452" s="4">
        <v>0</v>
      </c>
      <c r="H452" s="4">
        <v>0</v>
      </c>
      <c r="K452" s="4">
        <v>0</v>
      </c>
      <c r="N452" s="4">
        <v>0</v>
      </c>
      <c r="O452" s="4">
        <v>0</v>
      </c>
      <c r="P452" s="4" t="str">
        <f t="shared" si="7"/>
        <v>COB_CAT.ROW_ID</v>
      </c>
      <c r="Q452" s="4" t="e">
        <f>VLOOKUP(Cobra8.5[[#This Row],[Table.Column]],ColumnMapping[Old Table.Column],1,)</f>
        <v>#N/A</v>
      </c>
    </row>
    <row r="453" spans="1:17" hidden="1" x14ac:dyDescent="0.2">
      <c r="A453" s="4" t="s">
        <v>2199</v>
      </c>
      <c r="B453" s="4">
        <v>0</v>
      </c>
      <c r="C453" s="4" t="s">
        <v>2199</v>
      </c>
      <c r="D453" s="4" t="s">
        <v>35</v>
      </c>
      <c r="E453" s="4" t="s">
        <v>2108</v>
      </c>
      <c r="F453" s="4">
        <v>-1</v>
      </c>
      <c r="G453" s="4">
        <v>0</v>
      </c>
      <c r="H453" s="4">
        <v>0</v>
      </c>
      <c r="K453" s="4">
        <v>0</v>
      </c>
      <c r="N453" s="4">
        <v>0</v>
      </c>
      <c r="O453" s="4">
        <v>0</v>
      </c>
      <c r="P453" s="4" t="str">
        <f t="shared" si="7"/>
        <v>COB_CAT.SEQUENCE</v>
      </c>
      <c r="Q453" s="4" t="e">
        <f>VLOOKUP(Cobra8.5[[#This Row],[Table.Column]],ColumnMapping[Old Table.Column],1,)</f>
        <v>#N/A</v>
      </c>
    </row>
    <row r="454" spans="1:17" hidden="1" x14ac:dyDescent="0.2">
      <c r="A454" s="4" t="s">
        <v>2199</v>
      </c>
      <c r="B454" s="4">
        <v>0</v>
      </c>
      <c r="C454" s="4" t="s">
        <v>2199</v>
      </c>
      <c r="D454" s="4" t="s">
        <v>2112</v>
      </c>
      <c r="E454" s="4" t="s">
        <v>86</v>
      </c>
      <c r="F454" s="4">
        <v>20</v>
      </c>
      <c r="G454" s="4">
        <v>0</v>
      </c>
      <c r="H454" s="4">
        <v>0</v>
      </c>
      <c r="K454" s="4">
        <v>0</v>
      </c>
      <c r="N454" s="4">
        <v>0</v>
      </c>
      <c r="O454" s="4">
        <v>0</v>
      </c>
      <c r="P454" s="4" t="str">
        <f t="shared" si="7"/>
        <v>COB_CAT.USR_ID</v>
      </c>
      <c r="Q454" s="4" t="e">
        <f>VLOOKUP(Cobra8.5[[#This Row],[Table.Column]],ColumnMapping[Old Table.Column],1,)</f>
        <v>#N/A</v>
      </c>
    </row>
    <row r="455" spans="1:17" hidden="1" x14ac:dyDescent="0.2">
      <c r="A455" s="4" t="s">
        <v>2202</v>
      </c>
      <c r="B455" s="4">
        <v>0</v>
      </c>
      <c r="C455" s="4" t="s">
        <v>2202</v>
      </c>
      <c r="D455" s="4" t="s">
        <v>2203</v>
      </c>
      <c r="E455" s="4" t="s">
        <v>2108</v>
      </c>
      <c r="F455" s="4">
        <v>-1</v>
      </c>
      <c r="G455" s="4">
        <v>0</v>
      </c>
      <c r="H455" s="4">
        <v>0</v>
      </c>
      <c r="K455" s="4">
        <v>0</v>
      </c>
      <c r="N455" s="4">
        <v>0</v>
      </c>
      <c r="O455" s="4">
        <v>0</v>
      </c>
      <c r="P455" s="4" t="str">
        <f t="shared" si="7"/>
        <v>COB_NTX.CAT_UID</v>
      </c>
      <c r="Q455" s="4" t="e">
        <f>VLOOKUP(Cobra8.5[[#This Row],[Table.Column]],ColumnMapping[Old Table.Column],1,)</f>
        <v>#N/A</v>
      </c>
    </row>
    <row r="456" spans="1:17" hidden="1" x14ac:dyDescent="0.2">
      <c r="A456" s="4" t="s">
        <v>2202</v>
      </c>
      <c r="B456" s="4">
        <v>0</v>
      </c>
      <c r="C456" s="4" t="s">
        <v>2202</v>
      </c>
      <c r="D456" s="4" t="s">
        <v>1962</v>
      </c>
      <c r="E456" s="4" t="s">
        <v>86</v>
      </c>
      <c r="F456" s="4">
        <v>22</v>
      </c>
      <c r="G456" s="4">
        <v>0</v>
      </c>
      <c r="H456" s="4">
        <v>0</v>
      </c>
      <c r="K456" s="4">
        <v>0</v>
      </c>
      <c r="N456" s="4">
        <v>0</v>
      </c>
      <c r="O456" s="4">
        <v>0</v>
      </c>
      <c r="P456" s="4" t="str">
        <f t="shared" si="7"/>
        <v>COB_NTX.DIR_ID</v>
      </c>
      <c r="Q456" s="4" t="e">
        <f>VLOOKUP(Cobra8.5[[#This Row],[Table.Column]],ColumnMapping[Old Table.Column],1,)</f>
        <v>#N/A</v>
      </c>
    </row>
    <row r="457" spans="1:17" hidden="1" x14ac:dyDescent="0.2">
      <c r="A457" s="4" t="s">
        <v>2202</v>
      </c>
      <c r="B457" s="4">
        <v>0</v>
      </c>
      <c r="C457" s="4" t="s">
        <v>2202</v>
      </c>
      <c r="D457" s="4" t="s">
        <v>2204</v>
      </c>
      <c r="E457" s="4" t="s">
        <v>2108</v>
      </c>
      <c r="F457" s="4">
        <v>-1</v>
      </c>
      <c r="G457" s="4">
        <v>0</v>
      </c>
      <c r="H457" s="4">
        <v>0</v>
      </c>
      <c r="K457" s="4">
        <v>0</v>
      </c>
      <c r="N457" s="4">
        <v>0</v>
      </c>
      <c r="O457" s="4">
        <v>0</v>
      </c>
      <c r="P457" s="4" t="str">
        <f t="shared" si="7"/>
        <v>COB_NTX.FK_ID</v>
      </c>
      <c r="Q457" s="4" t="e">
        <f>VLOOKUP(Cobra8.5[[#This Row],[Table.Column]],ColumnMapping[Old Table.Column],1,)</f>
        <v>#N/A</v>
      </c>
    </row>
    <row r="458" spans="1:17" hidden="1" x14ac:dyDescent="0.2">
      <c r="A458" s="4" t="s">
        <v>2202</v>
      </c>
      <c r="B458" s="4">
        <v>0</v>
      </c>
      <c r="C458" s="4" t="s">
        <v>2202</v>
      </c>
      <c r="D458" s="4" t="s">
        <v>2205</v>
      </c>
      <c r="E458" s="4" t="s">
        <v>86</v>
      </c>
      <c r="F458" s="4">
        <v>59</v>
      </c>
      <c r="G458" s="4">
        <v>0</v>
      </c>
      <c r="H458" s="4">
        <v>0</v>
      </c>
      <c r="K458" s="4">
        <v>0</v>
      </c>
      <c r="N458" s="4">
        <v>0</v>
      </c>
      <c r="O458" s="4">
        <v>0</v>
      </c>
      <c r="P458" s="4" t="str">
        <f t="shared" si="7"/>
        <v>COB_NTX.FK_ID_CHAR</v>
      </c>
      <c r="Q458" s="4" t="e">
        <f>VLOOKUP(Cobra8.5[[#This Row],[Table.Column]],ColumnMapping[Old Table.Column],1,)</f>
        <v>#N/A</v>
      </c>
    </row>
    <row r="459" spans="1:17" hidden="1" x14ac:dyDescent="0.2">
      <c r="A459" s="4" t="s">
        <v>2202</v>
      </c>
      <c r="B459" s="4">
        <v>0</v>
      </c>
      <c r="C459" s="4" t="s">
        <v>2202</v>
      </c>
      <c r="D459" s="4" t="s">
        <v>2111</v>
      </c>
      <c r="E459" s="4" t="s">
        <v>356</v>
      </c>
      <c r="F459" s="4">
        <v>-1</v>
      </c>
      <c r="G459" s="4">
        <v>0</v>
      </c>
      <c r="H459" s="4">
        <v>0</v>
      </c>
      <c r="K459" s="4">
        <v>0</v>
      </c>
      <c r="N459" s="4">
        <v>0</v>
      </c>
      <c r="O459" s="4">
        <v>0</v>
      </c>
      <c r="P459" s="4" t="str">
        <f t="shared" si="7"/>
        <v>COB_NTX.LASTUPDATE</v>
      </c>
      <c r="Q459" s="4" t="e">
        <f>VLOOKUP(Cobra8.5[[#This Row],[Table.Column]],ColumnMapping[Old Table.Column],1,)</f>
        <v>#N/A</v>
      </c>
    </row>
    <row r="460" spans="1:17" hidden="1" x14ac:dyDescent="0.2">
      <c r="A460" s="4" t="s">
        <v>2202</v>
      </c>
      <c r="B460" s="4">
        <v>0</v>
      </c>
      <c r="C460" s="4" t="s">
        <v>2202</v>
      </c>
      <c r="D460" s="4" t="s">
        <v>2206</v>
      </c>
      <c r="E460" s="4" t="s">
        <v>271</v>
      </c>
      <c r="F460" s="4">
        <v>-1</v>
      </c>
      <c r="G460" s="4">
        <v>0</v>
      </c>
      <c r="H460" s="4">
        <v>0</v>
      </c>
      <c r="K460" s="4">
        <v>0</v>
      </c>
      <c r="N460" s="4">
        <v>0</v>
      </c>
      <c r="O460" s="4">
        <v>0</v>
      </c>
      <c r="P460" s="4" t="str">
        <f t="shared" si="7"/>
        <v>COB_NTX.NOTE_TEXT</v>
      </c>
      <c r="Q460" s="4" t="e">
        <f>VLOOKUP(Cobra8.5[[#This Row],[Table.Column]],ColumnMapping[Old Table.Column],1,)</f>
        <v>#N/A</v>
      </c>
    </row>
    <row r="461" spans="1:17" hidden="1" x14ac:dyDescent="0.2">
      <c r="A461" s="4" t="s">
        <v>2202</v>
      </c>
      <c r="B461" s="4">
        <v>0</v>
      </c>
      <c r="C461" s="4" t="s">
        <v>2202</v>
      </c>
      <c r="D461" s="4" t="s">
        <v>35</v>
      </c>
      <c r="E461" s="4" t="s">
        <v>2108</v>
      </c>
      <c r="F461" s="4">
        <v>-1</v>
      </c>
      <c r="G461" s="4">
        <v>0</v>
      </c>
      <c r="H461" s="4">
        <v>0</v>
      </c>
      <c r="K461" s="4">
        <v>0</v>
      </c>
      <c r="N461" s="4">
        <v>0</v>
      </c>
      <c r="O461" s="4">
        <v>0</v>
      </c>
      <c r="P461" s="4" t="str">
        <f t="shared" si="7"/>
        <v>COB_NTX.SEQUENCE</v>
      </c>
      <c r="Q461" s="4" t="e">
        <f>VLOOKUP(Cobra8.5[[#This Row],[Table.Column]],ColumnMapping[Old Table.Column],1,)</f>
        <v>#N/A</v>
      </c>
    </row>
    <row r="462" spans="1:17" hidden="1" x14ac:dyDescent="0.2">
      <c r="A462" s="4" t="s">
        <v>2202</v>
      </c>
      <c r="B462" s="4">
        <v>0</v>
      </c>
      <c r="C462" s="4" t="s">
        <v>2202</v>
      </c>
      <c r="D462" s="4" t="s">
        <v>2005</v>
      </c>
      <c r="E462" s="4" t="s">
        <v>86</v>
      </c>
      <c r="F462" s="4">
        <v>30</v>
      </c>
      <c r="G462" s="4">
        <v>0</v>
      </c>
      <c r="H462" s="4">
        <v>0</v>
      </c>
      <c r="K462" s="4">
        <v>0</v>
      </c>
      <c r="N462" s="4">
        <v>0</v>
      </c>
      <c r="O462" s="4">
        <v>0</v>
      </c>
      <c r="P462" s="4" t="str">
        <f t="shared" si="7"/>
        <v>COB_NTX.TABLE_TYPE</v>
      </c>
      <c r="Q462" s="4" t="e">
        <f>VLOOKUP(Cobra8.5[[#This Row],[Table.Column]],ColumnMapping[Old Table.Column],1,)</f>
        <v>#N/A</v>
      </c>
    </row>
    <row r="463" spans="1:17" hidden="1" x14ac:dyDescent="0.2">
      <c r="A463" s="4" t="s">
        <v>2202</v>
      </c>
      <c r="B463" s="4">
        <v>0</v>
      </c>
      <c r="C463" s="4" t="s">
        <v>2202</v>
      </c>
      <c r="D463" s="4" t="s">
        <v>2112</v>
      </c>
      <c r="E463" s="4" t="s">
        <v>86</v>
      </c>
      <c r="F463" s="4">
        <v>20</v>
      </c>
      <c r="G463" s="4">
        <v>0</v>
      </c>
      <c r="H463" s="4">
        <v>0</v>
      </c>
      <c r="K463" s="4">
        <v>0</v>
      </c>
      <c r="N463" s="4">
        <v>0</v>
      </c>
      <c r="O463" s="4">
        <v>0</v>
      </c>
      <c r="P463" s="4" t="str">
        <f t="shared" si="7"/>
        <v>COB_NTX.USR_ID</v>
      </c>
      <c r="Q463" s="4" t="e">
        <f>VLOOKUP(Cobra8.5[[#This Row],[Table.Column]],ColumnMapping[Old Table.Column],1,)</f>
        <v>#N/A</v>
      </c>
    </row>
    <row r="464" spans="1:17" hidden="1" x14ac:dyDescent="0.2">
      <c r="A464" s="4" t="s">
        <v>2207</v>
      </c>
      <c r="B464" s="4">
        <v>0</v>
      </c>
      <c r="C464" s="4" t="s">
        <v>2207</v>
      </c>
      <c r="D464" s="4" t="s">
        <v>2208</v>
      </c>
      <c r="E464" s="4" t="s">
        <v>86</v>
      </c>
      <c r="F464" s="4">
        <v>22</v>
      </c>
      <c r="G464" s="4">
        <v>0</v>
      </c>
      <c r="H464" s="4">
        <v>0</v>
      </c>
      <c r="K464" s="4">
        <v>0</v>
      </c>
      <c r="N464" s="4">
        <v>0</v>
      </c>
      <c r="O464" s="4">
        <v>0</v>
      </c>
      <c r="P464" s="4" t="str">
        <f t="shared" si="7"/>
        <v>CODEFIELD.CODEFILE</v>
      </c>
      <c r="Q464" s="4" t="str">
        <f>VLOOKUP(Cobra8.5[[#This Row],[Table.Column]],ColumnMapping[Old Table.Column],1,)</f>
        <v>CODEFIELD.CODEFILE</v>
      </c>
    </row>
    <row r="465" spans="1:17" hidden="1" x14ac:dyDescent="0.2">
      <c r="A465" s="4" t="s">
        <v>2207</v>
      </c>
      <c r="B465" s="4">
        <v>0</v>
      </c>
      <c r="C465" s="4" t="s">
        <v>2207</v>
      </c>
      <c r="D465" s="4" t="s">
        <v>2209</v>
      </c>
      <c r="E465" s="4" t="s">
        <v>86</v>
      </c>
      <c r="F465" s="4">
        <v>1</v>
      </c>
      <c r="G465" s="4">
        <v>0</v>
      </c>
      <c r="H465" s="4">
        <v>0</v>
      </c>
      <c r="K465" s="4">
        <v>0</v>
      </c>
      <c r="N465" s="4">
        <v>0</v>
      </c>
      <c r="O465" s="4">
        <v>0</v>
      </c>
      <c r="P465" s="4" t="str">
        <f t="shared" si="7"/>
        <v>CODEFIELD.CODELEVEL</v>
      </c>
      <c r="Q465" s="4" t="str">
        <f>VLOOKUP(Cobra8.5[[#This Row],[Table.Column]],ColumnMapping[Old Table.Column],1,)</f>
        <v>CODEFIELD.CODELEVEL</v>
      </c>
    </row>
    <row r="466" spans="1:17" hidden="1" x14ac:dyDescent="0.2">
      <c r="A466" s="4" t="s">
        <v>2207</v>
      </c>
      <c r="B466" s="4">
        <v>0</v>
      </c>
      <c r="C466" s="4" t="s">
        <v>2207</v>
      </c>
      <c r="D466" s="4" t="s">
        <v>2210</v>
      </c>
      <c r="E466" s="4" t="s">
        <v>86</v>
      </c>
      <c r="F466" s="4">
        <v>15</v>
      </c>
      <c r="G466" s="4">
        <v>0</v>
      </c>
      <c r="H466" s="4">
        <v>0</v>
      </c>
      <c r="K466" s="4">
        <v>0</v>
      </c>
      <c r="N466" s="4">
        <v>0</v>
      </c>
      <c r="O466" s="4">
        <v>0</v>
      </c>
      <c r="P466" s="4" t="str">
        <f t="shared" si="7"/>
        <v>CODEFIELD.CODEPROMPT</v>
      </c>
      <c r="Q466" s="4" t="e">
        <f>VLOOKUP(Cobra8.5[[#This Row],[Table.Column]],ColumnMapping[Old Table.Column],1,)</f>
        <v>#N/A</v>
      </c>
    </row>
    <row r="467" spans="1:17" hidden="1" x14ac:dyDescent="0.2">
      <c r="A467" s="4" t="s">
        <v>2207</v>
      </c>
      <c r="B467" s="4">
        <v>0</v>
      </c>
      <c r="C467" s="4" t="s">
        <v>2207</v>
      </c>
      <c r="D467" s="4" t="s">
        <v>2211</v>
      </c>
      <c r="E467" s="4" t="s">
        <v>86</v>
      </c>
      <c r="F467" s="4">
        <v>1</v>
      </c>
      <c r="G467" s="4">
        <v>0</v>
      </c>
      <c r="H467" s="4">
        <v>0</v>
      </c>
      <c r="K467" s="4">
        <v>0</v>
      </c>
      <c r="N467" s="4">
        <v>0</v>
      </c>
      <c r="O467" s="4">
        <v>0</v>
      </c>
      <c r="P467" s="4" t="str">
        <f t="shared" si="7"/>
        <v>CODEFIELD.CODEVALID</v>
      </c>
      <c r="Q467" s="4" t="e">
        <f>VLOOKUP(Cobra8.5[[#This Row],[Table.Column]],ColumnMapping[Old Table.Column],1,)</f>
        <v>#N/A</v>
      </c>
    </row>
    <row r="468" spans="1:17" hidden="1" x14ac:dyDescent="0.2">
      <c r="A468" s="4" t="s">
        <v>2207</v>
      </c>
      <c r="B468" s="4">
        <v>0</v>
      </c>
      <c r="C468" s="4" t="s">
        <v>2207</v>
      </c>
      <c r="D468" s="4" t="s">
        <v>1962</v>
      </c>
      <c r="E468" s="4" t="s">
        <v>86</v>
      </c>
      <c r="F468" s="4">
        <v>22</v>
      </c>
      <c r="G468" s="4">
        <v>0</v>
      </c>
      <c r="H468" s="4">
        <v>0</v>
      </c>
      <c r="K468" s="4">
        <v>0</v>
      </c>
      <c r="N468" s="4">
        <v>0</v>
      </c>
      <c r="O468" s="4">
        <v>0</v>
      </c>
      <c r="P468" s="4" t="str">
        <f t="shared" si="7"/>
        <v>CODEFIELD.DIR_ID</v>
      </c>
      <c r="Q468" s="4" t="e">
        <f>VLOOKUP(Cobra8.5[[#This Row],[Table.Column]],ColumnMapping[Old Table.Column],1,)</f>
        <v>#N/A</v>
      </c>
    </row>
    <row r="469" spans="1:17" hidden="1" x14ac:dyDescent="0.2">
      <c r="A469" s="4" t="s">
        <v>2207</v>
      </c>
      <c r="B469" s="4">
        <v>0</v>
      </c>
      <c r="C469" s="4" t="s">
        <v>2207</v>
      </c>
      <c r="D469" s="4" t="s">
        <v>2212</v>
      </c>
      <c r="E469" s="4" t="s">
        <v>86</v>
      </c>
      <c r="F469" s="4">
        <v>30</v>
      </c>
      <c r="G469" s="4">
        <v>0</v>
      </c>
      <c r="H469" s="4">
        <v>0</v>
      </c>
      <c r="K469" s="4">
        <v>0</v>
      </c>
      <c r="N469" s="4">
        <v>0</v>
      </c>
      <c r="O469" s="4">
        <v>0</v>
      </c>
      <c r="P469" s="4" t="str">
        <f t="shared" si="7"/>
        <v>CODEFIELD.FIELDID</v>
      </c>
      <c r="Q469" s="4" t="e">
        <f>VLOOKUP(Cobra8.5[[#This Row],[Table.Column]],ColumnMapping[Old Table.Column],1,)</f>
        <v>#N/A</v>
      </c>
    </row>
    <row r="470" spans="1:17" hidden="1" x14ac:dyDescent="0.2">
      <c r="A470" s="4" t="s">
        <v>2207</v>
      </c>
      <c r="B470" s="4">
        <v>0</v>
      </c>
      <c r="C470" s="4" t="s">
        <v>2207</v>
      </c>
      <c r="D470" s="4" t="s">
        <v>2111</v>
      </c>
      <c r="E470" s="4" t="s">
        <v>356</v>
      </c>
      <c r="F470" s="4">
        <v>-1</v>
      </c>
      <c r="G470" s="4">
        <v>0</v>
      </c>
      <c r="H470" s="4">
        <v>0</v>
      </c>
      <c r="K470" s="4">
        <v>0</v>
      </c>
      <c r="N470" s="4">
        <v>0</v>
      </c>
      <c r="O470" s="4">
        <v>0</v>
      </c>
      <c r="P470" s="4" t="str">
        <f t="shared" si="7"/>
        <v>CODEFIELD.LASTUPDATE</v>
      </c>
      <c r="Q470" s="4" t="e">
        <f>VLOOKUP(Cobra8.5[[#This Row],[Table.Column]],ColumnMapping[Old Table.Column],1,)</f>
        <v>#N/A</v>
      </c>
    </row>
    <row r="471" spans="1:17" hidden="1" x14ac:dyDescent="0.2">
      <c r="A471" s="4" t="s">
        <v>2207</v>
      </c>
      <c r="B471" s="4">
        <v>0</v>
      </c>
      <c r="C471" s="4" t="s">
        <v>2207</v>
      </c>
      <c r="D471" s="4" t="s">
        <v>35</v>
      </c>
      <c r="E471" s="4" t="s">
        <v>2108</v>
      </c>
      <c r="F471" s="4">
        <v>-1</v>
      </c>
      <c r="G471" s="4">
        <v>0</v>
      </c>
      <c r="H471" s="4">
        <v>0</v>
      </c>
      <c r="K471" s="4">
        <v>0</v>
      </c>
      <c r="N471" s="4">
        <v>0</v>
      </c>
      <c r="O471" s="4">
        <v>0</v>
      </c>
      <c r="P471" s="4" t="str">
        <f t="shared" si="7"/>
        <v>CODEFIELD.SEQUENCE</v>
      </c>
      <c r="Q471" s="4" t="e">
        <f>VLOOKUP(Cobra8.5[[#This Row],[Table.Column]],ColumnMapping[Old Table.Column],1,)</f>
        <v>#N/A</v>
      </c>
    </row>
    <row r="472" spans="1:17" hidden="1" x14ac:dyDescent="0.2">
      <c r="A472" s="4" t="s">
        <v>2207</v>
      </c>
      <c r="B472" s="4">
        <v>0</v>
      </c>
      <c r="C472" s="4" t="s">
        <v>2207</v>
      </c>
      <c r="D472" s="4" t="s">
        <v>2005</v>
      </c>
      <c r="E472" s="4" t="s">
        <v>86</v>
      </c>
      <c r="F472" s="4">
        <v>30</v>
      </c>
      <c r="G472" s="4">
        <v>0</v>
      </c>
      <c r="H472" s="4">
        <v>0</v>
      </c>
      <c r="K472" s="4">
        <v>0</v>
      </c>
      <c r="N472" s="4">
        <v>0</v>
      </c>
      <c r="O472" s="4">
        <v>0</v>
      </c>
      <c r="P472" s="4" t="str">
        <f t="shared" si="7"/>
        <v>CODEFIELD.TABLE_TYPE</v>
      </c>
      <c r="Q472" s="4" t="e">
        <f>VLOOKUP(Cobra8.5[[#This Row],[Table.Column]],ColumnMapping[Old Table.Column],1,)</f>
        <v>#N/A</v>
      </c>
    </row>
    <row r="473" spans="1:17" hidden="1" x14ac:dyDescent="0.2">
      <c r="A473" s="4" t="s">
        <v>2207</v>
      </c>
      <c r="B473" s="4">
        <v>0</v>
      </c>
      <c r="C473" s="4" t="s">
        <v>2207</v>
      </c>
      <c r="D473" s="4" t="s">
        <v>2112</v>
      </c>
      <c r="E473" s="4" t="s">
        <v>86</v>
      </c>
      <c r="F473" s="4">
        <v>20</v>
      </c>
      <c r="G473" s="4">
        <v>0</v>
      </c>
      <c r="H473" s="4">
        <v>0</v>
      </c>
      <c r="K473" s="4">
        <v>0</v>
      </c>
      <c r="N473" s="4">
        <v>0</v>
      </c>
      <c r="O473" s="4">
        <v>0</v>
      </c>
      <c r="P473" s="4" t="str">
        <f t="shared" si="7"/>
        <v>CODEFIELD.USR_ID</v>
      </c>
      <c r="Q473" s="4" t="e">
        <f>VLOOKUP(Cobra8.5[[#This Row],[Table.Column]],ColumnMapping[Old Table.Column],1,)</f>
        <v>#N/A</v>
      </c>
    </row>
    <row r="474" spans="1:17" hidden="1" x14ac:dyDescent="0.2">
      <c r="A474" s="4" t="s">
        <v>2213</v>
      </c>
      <c r="B474" s="4">
        <v>0</v>
      </c>
      <c r="C474" s="4" t="s">
        <v>2213</v>
      </c>
      <c r="D474" s="4" t="s">
        <v>2214</v>
      </c>
      <c r="E474" s="4" t="s">
        <v>86</v>
      </c>
      <c r="F474" s="4">
        <v>59</v>
      </c>
      <c r="G474" s="4">
        <v>0</v>
      </c>
      <c r="H474" s="4">
        <v>0</v>
      </c>
      <c r="K474" s="4">
        <v>0</v>
      </c>
      <c r="N474" s="4">
        <v>0</v>
      </c>
      <c r="O474" s="4">
        <v>0</v>
      </c>
      <c r="P474" s="4" t="str">
        <f t="shared" si="7"/>
        <v>CONFIG.CONFIG_ID</v>
      </c>
      <c r="Q474" s="4" t="str">
        <f>VLOOKUP(Cobra8.5[[#This Row],[Table.Column]],ColumnMapping[Old Table.Column],1,)</f>
        <v>CONFIG.CONFIG_ID</v>
      </c>
    </row>
    <row r="475" spans="1:17" hidden="1" x14ac:dyDescent="0.2">
      <c r="A475" s="4" t="s">
        <v>2213</v>
      </c>
      <c r="B475" s="4">
        <v>0</v>
      </c>
      <c r="C475" s="4" t="s">
        <v>2213</v>
      </c>
      <c r="D475" s="4" t="s">
        <v>2215</v>
      </c>
      <c r="E475" s="4" t="s">
        <v>86</v>
      </c>
      <c r="F475" s="4">
        <v>10</v>
      </c>
      <c r="G475" s="4">
        <v>0</v>
      </c>
      <c r="H475" s="4">
        <v>0</v>
      </c>
      <c r="K475" s="4">
        <v>0</v>
      </c>
      <c r="N475" s="4">
        <v>0</v>
      </c>
      <c r="O475" s="4">
        <v>0</v>
      </c>
      <c r="P475" s="4" t="str">
        <f t="shared" si="7"/>
        <v>CONFIG.CONFIG_TYPE</v>
      </c>
      <c r="Q475" s="4" t="str">
        <f>VLOOKUP(Cobra8.5[[#This Row],[Table.Column]],ColumnMapping[Old Table.Column],1,)</f>
        <v>CONFIG.CONFIG_TYPE</v>
      </c>
    </row>
    <row r="476" spans="1:17" hidden="1" x14ac:dyDescent="0.2">
      <c r="A476" s="4" t="s">
        <v>2213</v>
      </c>
      <c r="B476" s="4">
        <v>0</v>
      </c>
      <c r="C476" s="4" t="s">
        <v>2213</v>
      </c>
      <c r="D476" s="4" t="s">
        <v>2216</v>
      </c>
      <c r="E476" s="4" t="s">
        <v>31</v>
      </c>
      <c r="F476" s="4">
        <v>22</v>
      </c>
      <c r="G476" s="4">
        <v>0</v>
      </c>
      <c r="H476" s="4">
        <v>0</v>
      </c>
      <c r="K476" s="4">
        <v>0</v>
      </c>
      <c r="N476" s="4">
        <v>0</v>
      </c>
      <c r="O476" s="4">
        <v>0</v>
      </c>
      <c r="P476" s="4" t="str">
        <f t="shared" si="7"/>
        <v>CONFIG.CONFIG_UID</v>
      </c>
      <c r="Q476" s="4" t="str">
        <f>VLOOKUP(Cobra8.5[[#This Row],[Table.Column]],ColumnMapping[Old Table.Column],1,)</f>
        <v>CONFIG.CONFIG_UID</v>
      </c>
    </row>
    <row r="477" spans="1:17" hidden="1" x14ac:dyDescent="0.2">
      <c r="A477" s="4" t="s">
        <v>2213</v>
      </c>
      <c r="B477" s="4">
        <v>0</v>
      </c>
      <c r="C477" s="4" t="s">
        <v>2213</v>
      </c>
      <c r="D477" s="4" t="s">
        <v>270</v>
      </c>
      <c r="E477" s="4" t="s">
        <v>86</v>
      </c>
      <c r="F477" s="4">
        <v>-1</v>
      </c>
      <c r="G477" s="4">
        <v>0</v>
      </c>
      <c r="H477" s="4">
        <v>0</v>
      </c>
      <c r="K477" s="4">
        <v>0</v>
      </c>
      <c r="N477" s="4">
        <v>0</v>
      </c>
      <c r="O477" s="4">
        <v>0</v>
      </c>
      <c r="P477" s="4" t="str">
        <f t="shared" si="7"/>
        <v>CONFIG.DATA</v>
      </c>
      <c r="Q477" s="4" t="str">
        <f>VLOOKUP(Cobra8.5[[#This Row],[Table.Column]],ColumnMapping[Old Table.Column],1,)</f>
        <v>CONFIG.DATA</v>
      </c>
    </row>
    <row r="478" spans="1:17" hidden="1" x14ac:dyDescent="0.2">
      <c r="A478" s="4" t="s">
        <v>2213</v>
      </c>
      <c r="B478" s="4">
        <v>0</v>
      </c>
      <c r="C478" s="4" t="s">
        <v>2213</v>
      </c>
      <c r="D478" s="4" t="s">
        <v>2141</v>
      </c>
      <c r="E478" s="4" t="s">
        <v>86</v>
      </c>
      <c r="F478" s="4">
        <v>254</v>
      </c>
      <c r="G478" s="4">
        <v>0</v>
      </c>
      <c r="H478" s="4">
        <v>0</v>
      </c>
      <c r="K478" s="4">
        <v>0</v>
      </c>
      <c r="N478" s="4">
        <v>0</v>
      </c>
      <c r="O478" s="4">
        <v>0</v>
      </c>
      <c r="P478" s="4" t="str">
        <f t="shared" si="7"/>
        <v>CONFIG.DESCRIP</v>
      </c>
      <c r="Q478" s="4" t="str">
        <f>VLOOKUP(Cobra8.5[[#This Row],[Table.Column]],ColumnMapping[Old Table.Column],1,)</f>
        <v>CONFIG.DESCRIP</v>
      </c>
    </row>
    <row r="479" spans="1:17" hidden="1" x14ac:dyDescent="0.2">
      <c r="A479" s="4" t="s">
        <v>2213</v>
      </c>
      <c r="B479" s="4">
        <v>0</v>
      </c>
      <c r="C479" s="4" t="s">
        <v>2213</v>
      </c>
      <c r="D479" s="4" t="s">
        <v>2111</v>
      </c>
      <c r="E479" s="4" t="s">
        <v>356</v>
      </c>
      <c r="F479" s="4">
        <v>-1</v>
      </c>
      <c r="G479" s="4">
        <v>0</v>
      </c>
      <c r="H479" s="4">
        <v>0</v>
      </c>
      <c r="K479" s="4">
        <v>0</v>
      </c>
      <c r="N479" s="4">
        <v>0</v>
      </c>
      <c r="O479" s="4">
        <v>0</v>
      </c>
      <c r="P479" s="4" t="str">
        <f t="shared" si="7"/>
        <v>CONFIG.LASTUPDATE</v>
      </c>
      <c r="Q479" s="4" t="str">
        <f>VLOOKUP(Cobra8.5[[#This Row],[Table.Column]],ColumnMapping[Old Table.Column],1,)</f>
        <v>CONFIG.LASTUPDATE</v>
      </c>
    </row>
    <row r="480" spans="1:17" hidden="1" x14ac:dyDescent="0.2">
      <c r="A480" s="4" t="s">
        <v>2213</v>
      </c>
      <c r="B480" s="4">
        <v>0</v>
      </c>
      <c r="C480" s="4" t="s">
        <v>2213</v>
      </c>
      <c r="D480" s="4" t="s">
        <v>1936</v>
      </c>
      <c r="E480" s="4" t="s">
        <v>86</v>
      </c>
      <c r="F480" s="4">
        <v>20</v>
      </c>
      <c r="G480" s="4">
        <v>0</v>
      </c>
      <c r="H480" s="4">
        <v>0</v>
      </c>
      <c r="K480" s="4">
        <v>0</v>
      </c>
      <c r="N480" s="4">
        <v>0</v>
      </c>
      <c r="O480" s="4">
        <v>0</v>
      </c>
      <c r="P480" s="4" t="str">
        <f t="shared" si="7"/>
        <v>CONFIG.OWNER_ID</v>
      </c>
      <c r="Q480" s="4" t="str">
        <f>VLOOKUP(Cobra8.5[[#This Row],[Table.Column]],ColumnMapping[Old Table.Column],1,)</f>
        <v>CONFIG.OWNER_ID</v>
      </c>
    </row>
    <row r="481" spans="1:17" hidden="1" x14ac:dyDescent="0.2">
      <c r="A481" s="4" t="s">
        <v>2213</v>
      </c>
      <c r="B481" s="4">
        <v>0</v>
      </c>
      <c r="C481" s="4" t="s">
        <v>2213</v>
      </c>
      <c r="D481" s="4" t="s">
        <v>35</v>
      </c>
      <c r="E481" s="4" t="s">
        <v>2108</v>
      </c>
      <c r="F481" s="4">
        <v>-1</v>
      </c>
      <c r="G481" s="4">
        <v>0</v>
      </c>
      <c r="H481" s="4">
        <v>0</v>
      </c>
      <c r="K481" s="4">
        <v>0</v>
      </c>
      <c r="N481" s="4">
        <v>0</v>
      </c>
      <c r="O481" s="4">
        <v>0</v>
      </c>
      <c r="P481" s="4" t="str">
        <f t="shared" si="7"/>
        <v>CONFIG.SEQUENCE</v>
      </c>
      <c r="Q481" s="4" t="str">
        <f>VLOOKUP(Cobra8.5[[#This Row],[Table.Column]],ColumnMapping[Old Table.Column],1,)</f>
        <v>CONFIG.SEQUENCE</v>
      </c>
    </row>
    <row r="482" spans="1:17" hidden="1" x14ac:dyDescent="0.2">
      <c r="A482" s="4" t="s">
        <v>2213</v>
      </c>
      <c r="B482" s="4">
        <v>0</v>
      </c>
      <c r="C482" s="4" t="s">
        <v>2213</v>
      </c>
      <c r="D482" s="4" t="s">
        <v>2112</v>
      </c>
      <c r="E482" s="4" t="s">
        <v>86</v>
      </c>
      <c r="F482" s="4">
        <v>20</v>
      </c>
      <c r="G482" s="4">
        <v>0</v>
      </c>
      <c r="H482" s="4">
        <v>0</v>
      </c>
      <c r="K482" s="4">
        <v>0</v>
      </c>
      <c r="N482" s="4">
        <v>0</v>
      </c>
      <c r="O482" s="4">
        <v>0</v>
      </c>
      <c r="P482" s="4" t="str">
        <f t="shared" si="7"/>
        <v>CONFIG.USR_ID</v>
      </c>
      <c r="Q482" s="4" t="str">
        <f>VLOOKUP(Cobra8.5[[#This Row],[Table.Column]],ColumnMapping[Old Table.Column],1,)</f>
        <v>CONFIG.USR_ID</v>
      </c>
    </row>
    <row r="483" spans="1:17" hidden="1" x14ac:dyDescent="0.2">
      <c r="A483" s="4" t="s">
        <v>1931</v>
      </c>
      <c r="B483" s="4">
        <v>0</v>
      </c>
      <c r="C483" s="4" t="s">
        <v>1931</v>
      </c>
      <c r="D483" s="4" t="s">
        <v>1932</v>
      </c>
      <c r="E483" s="4" t="s">
        <v>86</v>
      </c>
      <c r="F483" s="4">
        <v>59</v>
      </c>
      <c r="G483" s="4">
        <v>0</v>
      </c>
      <c r="H483" s="4">
        <v>0</v>
      </c>
      <c r="K483" s="4">
        <v>0</v>
      </c>
      <c r="N483" s="4">
        <v>0</v>
      </c>
      <c r="O483" s="4">
        <v>0</v>
      </c>
      <c r="P483" s="4" t="str">
        <f t="shared" si="7"/>
        <v>CONNECTION.CONN_ID</v>
      </c>
      <c r="Q483" s="4" t="str">
        <f>VLOOKUP(Cobra8.5[[#This Row],[Table.Column]],ColumnMapping[Old Table.Column],1,)</f>
        <v>CONNECTION.CONN_ID</v>
      </c>
    </row>
    <row r="484" spans="1:17" hidden="1" x14ac:dyDescent="0.2">
      <c r="A484" s="4" t="s">
        <v>1931</v>
      </c>
      <c r="B484" s="4">
        <v>0</v>
      </c>
      <c r="C484" s="4" t="s">
        <v>1931</v>
      </c>
      <c r="D484" s="4" t="s">
        <v>1933</v>
      </c>
      <c r="E484" s="4" t="s">
        <v>86</v>
      </c>
      <c r="F484" s="4">
        <v>10</v>
      </c>
      <c r="G484" s="4">
        <v>0</v>
      </c>
      <c r="H484" s="4">
        <v>0</v>
      </c>
      <c r="K484" s="4">
        <v>0</v>
      </c>
      <c r="N484" s="4">
        <v>0</v>
      </c>
      <c r="O484" s="4">
        <v>0</v>
      </c>
      <c r="P484" s="4" t="str">
        <f t="shared" si="7"/>
        <v>CONNECTION.CONN_TYPE</v>
      </c>
      <c r="Q484" s="4" t="str">
        <f>VLOOKUP(Cobra8.5[[#This Row],[Table.Column]],ColumnMapping[Old Table.Column],1,)</f>
        <v>CONNECTION.CONN_TYPE</v>
      </c>
    </row>
    <row r="485" spans="1:17" hidden="1" x14ac:dyDescent="0.2">
      <c r="A485" s="4" t="s">
        <v>1931</v>
      </c>
      <c r="B485" s="4">
        <v>0</v>
      </c>
      <c r="C485" s="4" t="s">
        <v>1931</v>
      </c>
      <c r="D485" s="4" t="s">
        <v>270</v>
      </c>
      <c r="E485" s="4" t="s">
        <v>86</v>
      </c>
      <c r="F485" s="4">
        <v>-1</v>
      </c>
      <c r="G485" s="4">
        <v>0</v>
      </c>
      <c r="H485" s="4">
        <v>0</v>
      </c>
      <c r="K485" s="4">
        <v>0</v>
      </c>
      <c r="N485" s="4">
        <v>0</v>
      </c>
      <c r="O485" s="4">
        <v>0</v>
      </c>
      <c r="P485" s="4" t="str">
        <f t="shared" si="7"/>
        <v>CONNECTION.DATA</v>
      </c>
      <c r="Q485" s="4" t="str">
        <f>VLOOKUP(Cobra8.5[[#This Row],[Table.Column]],ColumnMapping[Old Table.Column],1,)</f>
        <v>CONNECTION.DATA</v>
      </c>
    </row>
    <row r="486" spans="1:17" hidden="1" x14ac:dyDescent="0.2">
      <c r="A486" s="4" t="s">
        <v>1931</v>
      </c>
      <c r="B486" s="4">
        <v>0</v>
      </c>
      <c r="C486" s="4" t="s">
        <v>1931</v>
      </c>
      <c r="D486" s="4" t="s">
        <v>2141</v>
      </c>
      <c r="E486" s="4" t="s">
        <v>86</v>
      </c>
      <c r="F486" s="4">
        <v>254</v>
      </c>
      <c r="G486" s="4">
        <v>0</v>
      </c>
      <c r="H486" s="4">
        <v>0</v>
      </c>
      <c r="K486" s="4">
        <v>0</v>
      </c>
      <c r="N486" s="4">
        <v>0</v>
      </c>
      <c r="O486" s="4">
        <v>0</v>
      </c>
      <c r="P486" s="4" t="str">
        <f t="shared" si="7"/>
        <v>CONNECTION.DESCRIP</v>
      </c>
      <c r="Q486" s="4" t="str">
        <f>VLOOKUP(Cobra8.5[[#This Row],[Table.Column]],ColumnMapping[Old Table.Column],1,)</f>
        <v>CONNECTION.DESCRIP</v>
      </c>
    </row>
    <row r="487" spans="1:17" hidden="1" x14ac:dyDescent="0.2">
      <c r="A487" s="4" t="s">
        <v>1931</v>
      </c>
      <c r="B487" s="4">
        <v>0</v>
      </c>
      <c r="C487" s="4" t="s">
        <v>1931</v>
      </c>
      <c r="D487" s="4" t="s">
        <v>1935</v>
      </c>
      <c r="E487" s="4" t="s">
        <v>86</v>
      </c>
      <c r="F487" s="4">
        <v>20</v>
      </c>
      <c r="G487" s="4">
        <v>0</v>
      </c>
      <c r="H487" s="4">
        <v>0</v>
      </c>
      <c r="K487" s="4">
        <v>0</v>
      </c>
      <c r="N487" s="4">
        <v>0</v>
      </c>
      <c r="O487" s="4">
        <v>0</v>
      </c>
      <c r="P487" s="4" t="str">
        <f t="shared" si="7"/>
        <v>CONNECTION.GRP_ID</v>
      </c>
      <c r="Q487" s="4" t="str">
        <f>VLOOKUP(Cobra8.5[[#This Row],[Table.Column]],ColumnMapping[Old Table.Column],1,)</f>
        <v>CONNECTION.GRP_ID</v>
      </c>
    </row>
    <row r="488" spans="1:17" hidden="1" x14ac:dyDescent="0.2">
      <c r="A488" s="4" t="s">
        <v>1931</v>
      </c>
      <c r="B488" s="4">
        <v>0</v>
      </c>
      <c r="C488" s="4" t="s">
        <v>1931</v>
      </c>
      <c r="D488" s="4" t="s">
        <v>2111</v>
      </c>
      <c r="E488" s="4" t="s">
        <v>356</v>
      </c>
      <c r="F488" s="4">
        <v>-1</v>
      </c>
      <c r="G488" s="4">
        <v>0</v>
      </c>
      <c r="H488" s="4">
        <v>0</v>
      </c>
      <c r="K488" s="4">
        <v>0</v>
      </c>
      <c r="N488" s="4">
        <v>0</v>
      </c>
      <c r="O488" s="4">
        <v>0</v>
      </c>
      <c r="P488" s="4" t="str">
        <f t="shared" si="7"/>
        <v>CONNECTION.LASTUPDATE</v>
      </c>
      <c r="Q488" s="4" t="str">
        <f>VLOOKUP(Cobra8.5[[#This Row],[Table.Column]],ColumnMapping[Old Table.Column],1,)</f>
        <v>CONNECTION.LASTUPDATE</v>
      </c>
    </row>
    <row r="489" spans="1:17" hidden="1" x14ac:dyDescent="0.2">
      <c r="A489" s="4" t="s">
        <v>1931</v>
      </c>
      <c r="B489" s="4">
        <v>0</v>
      </c>
      <c r="C489" s="4" t="s">
        <v>1931</v>
      </c>
      <c r="D489" s="4" t="s">
        <v>1936</v>
      </c>
      <c r="E489" s="4" t="s">
        <v>86</v>
      </c>
      <c r="F489" s="4">
        <v>20</v>
      </c>
      <c r="G489" s="4">
        <v>0</v>
      </c>
      <c r="H489" s="4">
        <v>0</v>
      </c>
      <c r="K489" s="4">
        <v>0</v>
      </c>
      <c r="N489" s="4">
        <v>0</v>
      </c>
      <c r="O489" s="4">
        <v>0</v>
      </c>
      <c r="P489" s="4" t="str">
        <f t="shared" si="7"/>
        <v>CONNECTION.OWNER_ID</v>
      </c>
      <c r="Q489" s="4" t="str">
        <f>VLOOKUP(Cobra8.5[[#This Row],[Table.Column]],ColumnMapping[Old Table.Column],1,)</f>
        <v>CONNECTION.OWNER_ID</v>
      </c>
    </row>
    <row r="490" spans="1:17" hidden="1" x14ac:dyDescent="0.2">
      <c r="A490" s="4" t="s">
        <v>1931</v>
      </c>
      <c r="B490" s="4">
        <v>0</v>
      </c>
      <c r="C490" s="4" t="s">
        <v>1931</v>
      </c>
      <c r="D490" s="4" t="s">
        <v>1312</v>
      </c>
      <c r="E490" s="4" t="s">
        <v>2108</v>
      </c>
      <c r="F490" s="4">
        <v>-1</v>
      </c>
      <c r="G490" s="4">
        <v>0</v>
      </c>
      <c r="H490" s="4">
        <v>0</v>
      </c>
      <c r="K490" s="4">
        <v>0</v>
      </c>
      <c r="N490" s="4">
        <v>0</v>
      </c>
      <c r="O490" s="4">
        <v>0</v>
      </c>
      <c r="P490" s="4" t="str">
        <f t="shared" si="7"/>
        <v>CONNECTION.READONLY</v>
      </c>
      <c r="Q490" s="4" t="str">
        <f>VLOOKUP(Cobra8.5[[#This Row],[Table.Column]],ColumnMapping[Old Table.Column],1,)</f>
        <v>CONNECTION.READONLY</v>
      </c>
    </row>
    <row r="491" spans="1:17" hidden="1" x14ac:dyDescent="0.2">
      <c r="A491" s="4" t="s">
        <v>1931</v>
      </c>
      <c r="B491" s="4">
        <v>0</v>
      </c>
      <c r="C491" s="4" t="s">
        <v>1931</v>
      </c>
      <c r="D491" s="4" t="s">
        <v>35</v>
      </c>
      <c r="E491" s="4" t="s">
        <v>2108</v>
      </c>
      <c r="F491" s="4">
        <v>-1</v>
      </c>
      <c r="G491" s="4">
        <v>0</v>
      </c>
      <c r="H491" s="4">
        <v>0</v>
      </c>
      <c r="K491" s="4">
        <v>0</v>
      </c>
      <c r="N491" s="4">
        <v>0</v>
      </c>
      <c r="O491" s="4">
        <v>0</v>
      </c>
      <c r="P491" s="4" t="str">
        <f t="shared" si="7"/>
        <v>CONNECTION.SEQUENCE</v>
      </c>
      <c r="Q491" s="4" t="str">
        <f>VLOOKUP(Cobra8.5[[#This Row],[Table.Column]],ColumnMapping[Old Table.Column],1,)</f>
        <v>CONNECTION.SEQUENCE</v>
      </c>
    </row>
    <row r="492" spans="1:17" hidden="1" x14ac:dyDescent="0.2">
      <c r="A492" s="4" t="s">
        <v>1931</v>
      </c>
      <c r="B492" s="4">
        <v>0</v>
      </c>
      <c r="C492" s="4" t="s">
        <v>1931</v>
      </c>
      <c r="D492" s="4" t="s">
        <v>1939</v>
      </c>
      <c r="E492" s="4" t="s">
        <v>2108</v>
      </c>
      <c r="F492" s="4">
        <v>-1</v>
      </c>
      <c r="G492" s="4">
        <v>0</v>
      </c>
      <c r="H492" s="4">
        <v>0</v>
      </c>
      <c r="K492" s="4">
        <v>0</v>
      </c>
      <c r="N492" s="4">
        <v>0</v>
      </c>
      <c r="O492" s="4">
        <v>0</v>
      </c>
      <c r="P492" s="4" t="str">
        <f t="shared" si="7"/>
        <v>CONNECTION.SHARED</v>
      </c>
      <c r="Q492" s="4" t="str">
        <f>VLOOKUP(Cobra8.5[[#This Row],[Table.Column]],ColumnMapping[Old Table.Column],1,)</f>
        <v>CONNECTION.SHARED</v>
      </c>
    </row>
    <row r="493" spans="1:17" hidden="1" x14ac:dyDescent="0.2">
      <c r="A493" s="4" t="s">
        <v>1931</v>
      </c>
      <c r="B493" s="4">
        <v>0</v>
      </c>
      <c r="C493" s="4" t="s">
        <v>1931</v>
      </c>
      <c r="D493" s="4" t="s">
        <v>2112</v>
      </c>
      <c r="E493" s="4" t="s">
        <v>86</v>
      </c>
      <c r="F493" s="4">
        <v>20</v>
      </c>
      <c r="G493" s="4">
        <v>0</v>
      </c>
      <c r="H493" s="4">
        <v>0</v>
      </c>
      <c r="K493" s="4">
        <v>0</v>
      </c>
      <c r="N493" s="4">
        <v>0</v>
      </c>
      <c r="O493" s="4">
        <v>0</v>
      </c>
      <c r="P493" s="4" t="str">
        <f t="shared" si="7"/>
        <v>CONNECTION.USR_ID</v>
      </c>
      <c r="Q493" s="4" t="str">
        <f>VLOOKUP(Cobra8.5[[#This Row],[Table.Column]],ColumnMapping[Old Table.Column],1,)</f>
        <v>CONNECTION.USR_ID</v>
      </c>
    </row>
    <row r="494" spans="1:17" hidden="1" x14ac:dyDescent="0.2">
      <c r="A494" s="4" t="s">
        <v>1941</v>
      </c>
      <c r="B494" s="4">
        <v>0</v>
      </c>
      <c r="C494" s="4" t="s">
        <v>1941</v>
      </c>
      <c r="D494" s="4" t="s">
        <v>1100</v>
      </c>
      <c r="E494" s="4" t="s">
        <v>86</v>
      </c>
      <c r="F494" s="4">
        <v>20</v>
      </c>
      <c r="G494" s="4">
        <v>0</v>
      </c>
      <c r="H494" s="4">
        <v>0</v>
      </c>
      <c r="K494" s="4">
        <v>0</v>
      </c>
      <c r="N494" s="4">
        <v>0</v>
      </c>
      <c r="O494" s="4">
        <v>0</v>
      </c>
      <c r="P494" s="4" t="str">
        <f t="shared" si="7"/>
        <v>COSTDETL.CLASS</v>
      </c>
      <c r="Q494" s="4" t="str">
        <f>VLOOKUP(Cobra8.5[[#This Row],[Table.Column]],ColumnMapping[Old Table.Column],1,)</f>
        <v>COSTDETL.CLASS</v>
      </c>
    </row>
    <row r="495" spans="1:17" hidden="1" x14ac:dyDescent="0.2">
      <c r="A495" s="4" t="s">
        <v>1941</v>
      </c>
      <c r="B495" s="4">
        <v>0</v>
      </c>
      <c r="C495" s="4" t="s">
        <v>1941</v>
      </c>
      <c r="D495" s="4" t="s">
        <v>1942</v>
      </c>
      <c r="E495" s="4" t="s">
        <v>86</v>
      </c>
      <c r="F495" s="4">
        <v>20</v>
      </c>
      <c r="G495" s="4">
        <v>0</v>
      </c>
      <c r="H495" s="4">
        <v>0</v>
      </c>
      <c r="K495" s="4">
        <v>0</v>
      </c>
      <c r="N495" s="4">
        <v>0</v>
      </c>
      <c r="O495" s="4">
        <v>0</v>
      </c>
      <c r="P495" s="4" t="str">
        <f t="shared" si="7"/>
        <v>COSTDETL.COSTSET</v>
      </c>
      <c r="Q495" s="4" t="str">
        <f>VLOOKUP(Cobra8.5[[#This Row],[Table.Column]],ColumnMapping[Old Table.Column],1,)</f>
        <v>COSTDETL.COSTSET</v>
      </c>
    </row>
    <row r="496" spans="1:17" hidden="1" x14ac:dyDescent="0.2">
      <c r="A496" s="4" t="s">
        <v>1941</v>
      </c>
      <c r="B496" s="4">
        <v>0</v>
      </c>
      <c r="C496" s="4" t="s">
        <v>1941</v>
      </c>
      <c r="D496" s="4" t="s">
        <v>1943</v>
      </c>
      <c r="E496" s="4" t="s">
        <v>86</v>
      </c>
      <c r="F496" s="4">
        <v>22</v>
      </c>
      <c r="G496" s="4">
        <v>0</v>
      </c>
      <c r="H496" s="4">
        <v>0</v>
      </c>
      <c r="K496" s="4">
        <v>0</v>
      </c>
      <c r="N496" s="4">
        <v>0</v>
      </c>
      <c r="O496" s="4">
        <v>0</v>
      </c>
      <c r="P496" s="4" t="str">
        <f t="shared" si="7"/>
        <v>COSTDETL.INSTANCE</v>
      </c>
      <c r="Q496" s="4" t="str">
        <f>VLOOKUP(Cobra8.5[[#This Row],[Table.Column]],ColumnMapping[Old Table.Column],1,)</f>
        <v>COSTDETL.INSTANCE</v>
      </c>
    </row>
    <row r="497" spans="1:17" hidden="1" x14ac:dyDescent="0.2">
      <c r="A497" s="4" t="s">
        <v>1941</v>
      </c>
      <c r="B497" s="4">
        <v>0</v>
      </c>
      <c r="C497" s="4" t="s">
        <v>1941</v>
      </c>
      <c r="D497" s="4" t="s">
        <v>1944</v>
      </c>
      <c r="E497" s="4" t="s">
        <v>2108</v>
      </c>
      <c r="F497" s="4">
        <v>-1</v>
      </c>
      <c r="G497" s="4">
        <v>0</v>
      </c>
      <c r="H497" s="4">
        <v>0</v>
      </c>
      <c r="K497" s="4">
        <v>0</v>
      </c>
      <c r="N497" s="4">
        <v>0</v>
      </c>
      <c r="O497" s="4">
        <v>0</v>
      </c>
      <c r="P497" s="4" t="str">
        <f t="shared" si="7"/>
        <v>COSTDETL.ORD</v>
      </c>
      <c r="Q497" s="4" t="str">
        <f>VLOOKUP(Cobra8.5[[#This Row],[Table.Column]],ColumnMapping[Old Table.Column],1,)</f>
        <v>COSTDETL.ORD</v>
      </c>
    </row>
    <row r="498" spans="1:17" hidden="1" x14ac:dyDescent="0.2">
      <c r="A498" s="4" t="s">
        <v>1941</v>
      </c>
      <c r="B498" s="4">
        <v>0</v>
      </c>
      <c r="C498" s="4" t="s">
        <v>1941</v>
      </c>
      <c r="D498" s="4" t="s">
        <v>65</v>
      </c>
      <c r="E498" s="4" t="s">
        <v>356</v>
      </c>
      <c r="F498" s="4">
        <v>-1</v>
      </c>
      <c r="G498" s="4">
        <v>0</v>
      </c>
      <c r="H498" s="4">
        <v>0</v>
      </c>
      <c r="K498" s="4">
        <v>0</v>
      </c>
      <c r="N498" s="4">
        <v>0</v>
      </c>
      <c r="O498" s="4">
        <v>0</v>
      </c>
      <c r="P498" s="4" t="str">
        <f t="shared" si="7"/>
        <v>COSTDETL.TIMESTAMP</v>
      </c>
      <c r="Q498" s="4" t="str">
        <f>VLOOKUP(Cobra8.5[[#This Row],[Table.Column]],ColumnMapping[Old Table.Column],1,)</f>
        <v>COSTDETL.TIMESTAMP</v>
      </c>
    </row>
    <row r="499" spans="1:17" hidden="1" x14ac:dyDescent="0.2">
      <c r="A499" s="4" t="s">
        <v>2217</v>
      </c>
      <c r="B499" s="4">
        <v>0</v>
      </c>
      <c r="C499" s="4" t="s">
        <v>2217</v>
      </c>
      <c r="D499" s="4" t="s">
        <v>607</v>
      </c>
      <c r="E499" s="4" t="s">
        <v>2124</v>
      </c>
      <c r="F499" s="4">
        <v>21</v>
      </c>
      <c r="G499" s="4">
        <v>6</v>
      </c>
      <c r="H499" s="4">
        <v>0</v>
      </c>
      <c r="K499" s="4">
        <v>0</v>
      </c>
      <c r="N499" s="4">
        <v>0</v>
      </c>
      <c r="O499" s="4">
        <v>0</v>
      </c>
      <c r="P499" s="4" t="str">
        <f t="shared" si="7"/>
        <v>COSTELEM.BAC</v>
      </c>
      <c r="Q499" s="4" t="str">
        <f>VLOOKUP(Cobra8.5[[#This Row],[Table.Column]],ColumnMapping[Old Table.Column],1,)</f>
        <v>COSTELEM.BAC</v>
      </c>
    </row>
    <row r="500" spans="1:17" hidden="1" x14ac:dyDescent="0.2">
      <c r="A500" s="4" t="s">
        <v>2217</v>
      </c>
      <c r="B500" s="4">
        <v>0</v>
      </c>
      <c r="C500" s="4" t="s">
        <v>2217</v>
      </c>
      <c r="D500" s="4" t="s">
        <v>963</v>
      </c>
      <c r="E500" s="4" t="s">
        <v>86</v>
      </c>
      <c r="F500" s="4">
        <v>59</v>
      </c>
      <c r="G500" s="4">
        <v>0</v>
      </c>
      <c r="H500" s="4">
        <v>0</v>
      </c>
      <c r="K500" s="4">
        <v>0</v>
      </c>
      <c r="N500" s="4">
        <v>0</v>
      </c>
      <c r="O500" s="4">
        <v>0</v>
      </c>
      <c r="P500" s="4" t="str">
        <f t="shared" si="7"/>
        <v>COSTELEM.C1</v>
      </c>
      <c r="Q500" s="4" t="str">
        <f>VLOOKUP(Cobra8.5[[#This Row],[Table.Column]],ColumnMapping[Old Table.Column],1,)</f>
        <v>COSTELEM.C1</v>
      </c>
    </row>
    <row r="501" spans="1:17" hidden="1" x14ac:dyDescent="0.2">
      <c r="A501" s="4" t="s">
        <v>2217</v>
      </c>
      <c r="B501" s="4">
        <v>0</v>
      </c>
      <c r="C501" s="4" t="s">
        <v>2217</v>
      </c>
      <c r="D501" s="4" t="s">
        <v>985</v>
      </c>
      <c r="E501" s="4" t="s">
        <v>86</v>
      </c>
      <c r="F501" s="4">
        <v>59</v>
      </c>
      <c r="G501" s="4">
        <v>0</v>
      </c>
      <c r="H501" s="4">
        <v>0</v>
      </c>
      <c r="K501" s="4">
        <v>0</v>
      </c>
      <c r="N501" s="4">
        <v>0</v>
      </c>
      <c r="O501" s="4">
        <v>0</v>
      </c>
      <c r="P501" s="4" t="str">
        <f t="shared" si="7"/>
        <v>COSTELEM.C2</v>
      </c>
      <c r="Q501" s="4" t="str">
        <f>VLOOKUP(Cobra8.5[[#This Row],[Table.Column]],ColumnMapping[Old Table.Column],1,)</f>
        <v>COSTELEM.C2</v>
      </c>
    </row>
    <row r="502" spans="1:17" hidden="1" x14ac:dyDescent="0.2">
      <c r="A502" s="4" t="s">
        <v>2217</v>
      </c>
      <c r="B502" s="4">
        <v>0</v>
      </c>
      <c r="C502" s="4" t="s">
        <v>2217</v>
      </c>
      <c r="D502" s="4" t="s">
        <v>989</v>
      </c>
      <c r="E502" s="4" t="s">
        <v>86</v>
      </c>
      <c r="F502" s="4">
        <v>59</v>
      </c>
      <c r="G502" s="4">
        <v>0</v>
      </c>
      <c r="H502" s="4">
        <v>0</v>
      </c>
      <c r="K502" s="4">
        <v>0</v>
      </c>
      <c r="N502" s="4">
        <v>0</v>
      </c>
      <c r="O502" s="4">
        <v>0</v>
      </c>
      <c r="P502" s="4" t="str">
        <f t="shared" si="7"/>
        <v>COSTELEM.C3</v>
      </c>
      <c r="Q502" s="4" t="str">
        <f>VLOOKUP(Cobra8.5[[#This Row],[Table.Column]],ColumnMapping[Old Table.Column],1,)</f>
        <v>COSTELEM.C3</v>
      </c>
    </row>
    <row r="503" spans="1:17" hidden="1" x14ac:dyDescent="0.2">
      <c r="A503" s="4" t="s">
        <v>2217</v>
      </c>
      <c r="B503" s="4">
        <v>0</v>
      </c>
      <c r="C503" s="4" t="s">
        <v>2217</v>
      </c>
      <c r="D503" s="4" t="s">
        <v>991</v>
      </c>
      <c r="E503" s="4" t="s">
        <v>86</v>
      </c>
      <c r="F503" s="4">
        <v>59</v>
      </c>
      <c r="G503" s="4">
        <v>0</v>
      </c>
      <c r="H503" s="4">
        <v>0</v>
      </c>
      <c r="K503" s="4">
        <v>0</v>
      </c>
      <c r="N503" s="4">
        <v>0</v>
      </c>
      <c r="O503" s="4">
        <v>0</v>
      </c>
      <c r="P503" s="4" t="str">
        <f t="shared" si="7"/>
        <v>COSTELEM.C4</v>
      </c>
      <c r="Q503" s="4" t="str">
        <f>VLOOKUP(Cobra8.5[[#This Row],[Table.Column]],ColumnMapping[Old Table.Column],1,)</f>
        <v>COSTELEM.C4</v>
      </c>
    </row>
    <row r="504" spans="1:17" hidden="1" x14ac:dyDescent="0.2">
      <c r="A504" s="4" t="s">
        <v>2217</v>
      </c>
      <c r="B504" s="4">
        <v>0</v>
      </c>
      <c r="C504" s="4" t="s">
        <v>2217</v>
      </c>
      <c r="D504" s="4" t="s">
        <v>993</v>
      </c>
      <c r="E504" s="4" t="s">
        <v>86</v>
      </c>
      <c r="F504" s="4">
        <v>59</v>
      </c>
      <c r="G504" s="4">
        <v>0</v>
      </c>
      <c r="H504" s="4">
        <v>0</v>
      </c>
      <c r="K504" s="4">
        <v>0</v>
      </c>
      <c r="N504" s="4">
        <v>0</v>
      </c>
      <c r="O504" s="4">
        <v>0</v>
      </c>
      <c r="P504" s="4" t="str">
        <f t="shared" si="7"/>
        <v>COSTELEM.C5</v>
      </c>
      <c r="Q504" s="4" t="str">
        <f>VLOOKUP(Cobra8.5[[#This Row],[Table.Column]],ColumnMapping[Old Table.Column],1,)</f>
        <v>COSTELEM.C5</v>
      </c>
    </row>
    <row r="505" spans="1:17" hidden="1" x14ac:dyDescent="0.2">
      <c r="A505" s="4" t="s">
        <v>2217</v>
      </c>
      <c r="B505" s="4">
        <v>0</v>
      </c>
      <c r="C505" s="4" t="s">
        <v>2217</v>
      </c>
      <c r="D505" s="4" t="s">
        <v>995</v>
      </c>
      <c r="E505" s="4" t="s">
        <v>86</v>
      </c>
      <c r="F505" s="4">
        <v>59</v>
      </c>
      <c r="G505" s="4">
        <v>0</v>
      </c>
      <c r="H505" s="4">
        <v>0</v>
      </c>
      <c r="K505" s="4">
        <v>0</v>
      </c>
      <c r="N505" s="4">
        <v>0</v>
      </c>
      <c r="O505" s="4">
        <v>0</v>
      </c>
      <c r="P505" s="4" t="str">
        <f t="shared" si="7"/>
        <v>COSTELEM.C6</v>
      </c>
      <c r="Q505" s="4" t="str">
        <f>VLOOKUP(Cobra8.5[[#This Row],[Table.Column]],ColumnMapping[Old Table.Column],1,)</f>
        <v>COSTELEM.C6</v>
      </c>
    </row>
    <row r="506" spans="1:17" hidden="1" x14ac:dyDescent="0.2">
      <c r="A506" s="4" t="s">
        <v>2217</v>
      </c>
      <c r="B506" s="4">
        <v>0</v>
      </c>
      <c r="C506" s="4" t="s">
        <v>2217</v>
      </c>
      <c r="D506" s="4" t="s">
        <v>997</v>
      </c>
      <c r="E506" s="4" t="s">
        <v>86</v>
      </c>
      <c r="F506" s="4">
        <v>59</v>
      </c>
      <c r="G506" s="4">
        <v>0</v>
      </c>
      <c r="H506" s="4">
        <v>0</v>
      </c>
      <c r="K506" s="4">
        <v>0</v>
      </c>
      <c r="N506" s="4">
        <v>0</v>
      </c>
      <c r="O506" s="4">
        <v>0</v>
      </c>
      <c r="P506" s="4" t="str">
        <f t="shared" si="7"/>
        <v>COSTELEM.C7</v>
      </c>
      <c r="Q506" s="4" t="str">
        <f>VLOOKUP(Cobra8.5[[#This Row],[Table.Column]],ColumnMapping[Old Table.Column],1,)</f>
        <v>COSTELEM.C7</v>
      </c>
    </row>
    <row r="507" spans="1:17" hidden="1" x14ac:dyDescent="0.2">
      <c r="A507" s="4" t="s">
        <v>2217</v>
      </c>
      <c r="B507" s="4">
        <v>0</v>
      </c>
      <c r="C507" s="4" t="s">
        <v>2217</v>
      </c>
      <c r="D507" s="4" t="s">
        <v>999</v>
      </c>
      <c r="E507" s="4" t="s">
        <v>86</v>
      </c>
      <c r="F507" s="4">
        <v>59</v>
      </c>
      <c r="G507" s="4">
        <v>0</v>
      </c>
      <c r="H507" s="4">
        <v>0</v>
      </c>
      <c r="K507" s="4">
        <v>0</v>
      </c>
      <c r="N507" s="4">
        <v>0</v>
      </c>
      <c r="O507" s="4">
        <v>0</v>
      </c>
      <c r="P507" s="4" t="str">
        <f t="shared" si="7"/>
        <v>COSTELEM.C8</v>
      </c>
      <c r="Q507" s="4" t="str">
        <f>VLOOKUP(Cobra8.5[[#This Row],[Table.Column]],ColumnMapping[Old Table.Column],1,)</f>
        <v>COSTELEM.C8</v>
      </c>
    </row>
    <row r="508" spans="1:17" hidden="1" x14ac:dyDescent="0.2">
      <c r="A508" s="4" t="s">
        <v>2217</v>
      </c>
      <c r="B508" s="4">
        <v>0</v>
      </c>
      <c r="C508" s="4" t="s">
        <v>2217</v>
      </c>
      <c r="D508" s="4" t="s">
        <v>1001</v>
      </c>
      <c r="E508" s="4" t="s">
        <v>86</v>
      </c>
      <c r="F508" s="4">
        <v>59</v>
      </c>
      <c r="G508" s="4">
        <v>0</v>
      </c>
      <c r="H508" s="4">
        <v>0</v>
      </c>
      <c r="K508" s="4">
        <v>0</v>
      </c>
      <c r="N508" s="4">
        <v>0</v>
      </c>
      <c r="O508" s="4">
        <v>0</v>
      </c>
      <c r="P508" s="4" t="str">
        <f t="shared" si="7"/>
        <v>COSTELEM.C9</v>
      </c>
      <c r="Q508" s="4" t="str">
        <f>VLOOKUP(Cobra8.5[[#This Row],[Table.Column]],ColumnMapping[Old Table.Column],1,)</f>
        <v>COSTELEM.C9</v>
      </c>
    </row>
    <row r="509" spans="1:17" hidden="1" x14ac:dyDescent="0.2">
      <c r="A509" s="4" t="s">
        <v>2217</v>
      </c>
      <c r="B509" s="4">
        <v>0</v>
      </c>
      <c r="C509" s="4" t="s">
        <v>2217</v>
      </c>
      <c r="D509" s="4" t="s">
        <v>1009</v>
      </c>
      <c r="E509" s="4" t="s">
        <v>2108</v>
      </c>
      <c r="F509" s="4">
        <v>-1</v>
      </c>
      <c r="G509" s="4">
        <v>0</v>
      </c>
      <c r="H509" s="4">
        <v>0</v>
      </c>
      <c r="K509" s="4">
        <v>0</v>
      </c>
      <c r="N509" s="4">
        <v>0</v>
      </c>
      <c r="O509" s="4">
        <v>0</v>
      </c>
      <c r="P509" s="4" t="str">
        <f t="shared" si="7"/>
        <v>COSTELEM.CAWPID</v>
      </c>
      <c r="Q509" s="4" t="str">
        <f>VLOOKUP(Cobra8.5[[#This Row],[Table.Column]],ColumnMapping[Old Table.Column],1,)</f>
        <v>COSTELEM.CAWPID</v>
      </c>
    </row>
    <row r="510" spans="1:17" hidden="1" x14ac:dyDescent="0.2">
      <c r="A510" s="4" t="s">
        <v>2217</v>
      </c>
      <c r="B510" s="4">
        <v>0</v>
      </c>
      <c r="C510" s="4" t="s">
        <v>2217</v>
      </c>
      <c r="D510" s="4" t="s">
        <v>1098</v>
      </c>
      <c r="E510" s="4" t="s">
        <v>86</v>
      </c>
      <c r="F510" s="4">
        <v>59</v>
      </c>
      <c r="G510" s="4">
        <v>0</v>
      </c>
      <c r="H510" s="4">
        <v>0</v>
      </c>
      <c r="K510" s="4">
        <v>0</v>
      </c>
      <c r="N510" s="4">
        <v>0</v>
      </c>
      <c r="O510" s="4">
        <v>0</v>
      </c>
      <c r="P510" s="4" t="str">
        <f t="shared" si="7"/>
        <v>COSTELEM.CECODE</v>
      </c>
      <c r="Q510" s="4" t="str">
        <f>VLOOKUP(Cobra8.5[[#This Row],[Table.Column]],ColumnMapping[Old Table.Column],1,)</f>
        <v>COSTELEM.CECODE</v>
      </c>
    </row>
    <row r="511" spans="1:17" hidden="1" x14ac:dyDescent="0.2">
      <c r="A511" s="4" t="s">
        <v>2217</v>
      </c>
      <c r="B511" s="4">
        <v>0</v>
      </c>
      <c r="C511" s="4" t="s">
        <v>2217</v>
      </c>
      <c r="D511" s="4" t="s">
        <v>1100</v>
      </c>
      <c r="E511" s="4" t="s">
        <v>86</v>
      </c>
      <c r="F511" s="4">
        <v>20</v>
      </c>
      <c r="G511" s="4">
        <v>0</v>
      </c>
      <c r="H511" s="4">
        <v>0</v>
      </c>
      <c r="K511" s="4">
        <v>0</v>
      </c>
      <c r="N511" s="4">
        <v>0</v>
      </c>
      <c r="O511" s="4">
        <v>0</v>
      </c>
      <c r="P511" s="4" t="str">
        <f t="shared" si="7"/>
        <v>COSTELEM.CLASS</v>
      </c>
      <c r="Q511" s="4" t="str">
        <f>VLOOKUP(Cobra8.5[[#This Row],[Table.Column]],ColumnMapping[Old Table.Column],1,)</f>
        <v>COSTELEM.CLASS</v>
      </c>
    </row>
    <row r="512" spans="1:17" hidden="1" x14ac:dyDescent="0.2">
      <c r="A512" s="4" t="s">
        <v>2217</v>
      </c>
      <c r="B512" s="4">
        <v>0</v>
      </c>
      <c r="C512" s="4" t="s">
        <v>2217</v>
      </c>
      <c r="D512" s="4" t="s">
        <v>1015</v>
      </c>
      <c r="E512" s="4" t="s">
        <v>86</v>
      </c>
      <c r="F512" s="4">
        <v>59</v>
      </c>
      <c r="G512" s="4">
        <v>0</v>
      </c>
      <c r="H512" s="4">
        <v>0</v>
      </c>
      <c r="K512" s="4">
        <v>0</v>
      </c>
      <c r="N512" s="4">
        <v>0</v>
      </c>
      <c r="O512" s="4">
        <v>0</v>
      </c>
      <c r="P512" s="4" t="str">
        <f t="shared" si="7"/>
        <v>COSTELEM.EOC</v>
      </c>
      <c r="Q512" s="4" t="str">
        <f>VLOOKUP(Cobra8.5[[#This Row],[Table.Column]],ColumnMapping[Old Table.Column],1,)</f>
        <v>COSTELEM.EOC</v>
      </c>
    </row>
    <row r="513" spans="1:17" hidden="1" x14ac:dyDescent="0.2">
      <c r="A513" s="4" t="s">
        <v>2217</v>
      </c>
      <c r="B513" s="4">
        <v>0</v>
      </c>
      <c r="C513" s="4" t="s">
        <v>2217</v>
      </c>
      <c r="D513" s="4" t="s">
        <v>2218</v>
      </c>
      <c r="E513" s="4" t="s">
        <v>2124</v>
      </c>
      <c r="F513" s="4">
        <v>11</v>
      </c>
      <c r="G513" s="4">
        <v>6</v>
      </c>
      <c r="H513" s="4">
        <v>0</v>
      </c>
      <c r="K513" s="4">
        <v>0</v>
      </c>
      <c r="N513" s="4">
        <v>0</v>
      </c>
      <c r="O513" s="4">
        <v>0</v>
      </c>
      <c r="P513" s="4" t="str">
        <f t="shared" si="7"/>
        <v>COSTELEM.FC_PC</v>
      </c>
      <c r="Q513" s="4" t="str">
        <f>VLOOKUP(Cobra8.5[[#This Row],[Table.Column]],ColumnMapping[Old Table.Column],1,)</f>
        <v>COSTELEM.FC_PC</v>
      </c>
    </row>
    <row r="514" spans="1:17" hidden="1" x14ac:dyDescent="0.2">
      <c r="A514" s="4" t="s">
        <v>2217</v>
      </c>
      <c r="B514" s="4">
        <v>0</v>
      </c>
      <c r="C514" s="4" t="s">
        <v>2217</v>
      </c>
      <c r="D514" s="4" t="s">
        <v>1091</v>
      </c>
      <c r="E514" s="4" t="s">
        <v>2124</v>
      </c>
      <c r="F514" s="4">
        <v>21</v>
      </c>
      <c r="G514" s="4">
        <v>6</v>
      </c>
      <c r="H514" s="4">
        <v>0</v>
      </c>
      <c r="K514" s="4">
        <v>0</v>
      </c>
      <c r="N514" s="4">
        <v>0</v>
      </c>
      <c r="O514" s="4">
        <v>0</v>
      </c>
      <c r="P514" s="4" t="str">
        <f t="shared" ref="P514:P577" si="8">_xlfn.CONCAT(A514,".",D514)</f>
        <v>COSTELEM.GA_PF</v>
      </c>
      <c r="Q514" s="4" t="str">
        <f>VLOOKUP(Cobra8.5[[#This Row],[Table.Column]],ColumnMapping[Old Table.Column],1,)</f>
        <v>COSTELEM.GA_PF</v>
      </c>
    </row>
    <row r="515" spans="1:17" hidden="1" x14ac:dyDescent="0.2">
      <c r="A515" s="4" t="s">
        <v>2217</v>
      </c>
      <c r="B515" s="4">
        <v>0</v>
      </c>
      <c r="C515" s="4" t="s">
        <v>2217</v>
      </c>
      <c r="D515" s="4" t="s">
        <v>2111</v>
      </c>
      <c r="E515" s="4" t="s">
        <v>356</v>
      </c>
      <c r="F515" s="4">
        <v>-1</v>
      </c>
      <c r="G515" s="4">
        <v>0</v>
      </c>
      <c r="H515" s="4">
        <v>0</v>
      </c>
      <c r="K515" s="4">
        <v>0</v>
      </c>
      <c r="N515" s="4">
        <v>0</v>
      </c>
      <c r="O515" s="4">
        <v>0</v>
      </c>
      <c r="P515" s="4" t="str">
        <f t="shared" si="8"/>
        <v>COSTELEM.LASTUPDATE</v>
      </c>
      <c r="Q515" s="4" t="str">
        <f>VLOOKUP(Cobra8.5[[#This Row],[Table.Column]],ColumnMapping[Old Table.Column],1,)</f>
        <v>COSTELEM.LASTUPDATE</v>
      </c>
    </row>
    <row r="516" spans="1:17" hidden="1" x14ac:dyDescent="0.2">
      <c r="A516" s="4" t="s">
        <v>2217</v>
      </c>
      <c r="B516" s="4">
        <v>0</v>
      </c>
      <c r="C516" s="4" t="s">
        <v>2217</v>
      </c>
      <c r="D516" s="4" t="s">
        <v>1088</v>
      </c>
      <c r="E516" s="4" t="s">
        <v>2124</v>
      </c>
      <c r="F516" s="4">
        <v>21</v>
      </c>
      <c r="G516" s="4">
        <v>6</v>
      </c>
      <c r="H516" s="4">
        <v>0</v>
      </c>
      <c r="K516" s="4">
        <v>0</v>
      </c>
      <c r="N516" s="4">
        <v>0</v>
      </c>
      <c r="O516" s="4">
        <v>0</v>
      </c>
      <c r="P516" s="4" t="str">
        <f t="shared" si="8"/>
        <v>COSTELEM.PF</v>
      </c>
      <c r="Q516" s="4" t="str">
        <f>VLOOKUP(Cobra8.5[[#This Row],[Table.Column]],ColumnMapping[Old Table.Column],1,)</f>
        <v>COSTELEM.PF</v>
      </c>
    </row>
    <row r="517" spans="1:17" hidden="1" x14ac:dyDescent="0.2">
      <c r="A517" s="4" t="s">
        <v>2217</v>
      </c>
      <c r="B517" s="4">
        <v>0</v>
      </c>
      <c r="C517" s="4" t="s">
        <v>2217</v>
      </c>
      <c r="D517" s="4" t="s">
        <v>744</v>
      </c>
      <c r="E517" s="4" t="s">
        <v>86</v>
      </c>
      <c r="F517" s="4">
        <v>22</v>
      </c>
      <c r="G517" s="4">
        <v>0</v>
      </c>
      <c r="H517" s="4">
        <v>0</v>
      </c>
      <c r="K517" s="4">
        <v>0</v>
      </c>
      <c r="N517" s="4">
        <v>0</v>
      </c>
      <c r="O517" s="4">
        <v>0</v>
      </c>
      <c r="P517" s="4" t="str">
        <f t="shared" si="8"/>
        <v>COSTELEM.PROGRAM</v>
      </c>
      <c r="Q517" s="4" t="str">
        <f>VLOOKUP(Cobra8.5[[#This Row],[Table.Column]],ColumnMapping[Old Table.Column],1,)</f>
        <v>COSTELEM.PROGRAM</v>
      </c>
    </row>
    <row r="518" spans="1:17" hidden="1" x14ac:dyDescent="0.2">
      <c r="A518" s="4" t="s">
        <v>2217</v>
      </c>
      <c r="B518" s="4">
        <v>0</v>
      </c>
      <c r="C518" s="4" t="s">
        <v>2217</v>
      </c>
      <c r="D518" s="4" t="s">
        <v>35</v>
      </c>
      <c r="E518" s="4" t="s">
        <v>2108</v>
      </c>
      <c r="F518" s="4">
        <v>-1</v>
      </c>
      <c r="G518" s="4">
        <v>0</v>
      </c>
      <c r="H518" s="4">
        <v>0</v>
      </c>
      <c r="K518" s="4">
        <v>0</v>
      </c>
      <c r="N518" s="4">
        <v>0</v>
      </c>
      <c r="O518" s="4">
        <v>0</v>
      </c>
      <c r="P518" s="4" t="str">
        <f t="shared" si="8"/>
        <v>COSTELEM.SEQUENCE</v>
      </c>
      <c r="Q518" s="4" t="str">
        <f>VLOOKUP(Cobra8.5[[#This Row],[Table.Column]],ColumnMapping[Old Table.Column],1,)</f>
        <v>COSTELEM.SEQUENCE</v>
      </c>
    </row>
    <row r="519" spans="1:17" hidden="1" x14ac:dyDescent="0.2">
      <c r="A519" s="4" t="s">
        <v>2217</v>
      </c>
      <c r="B519" s="4">
        <v>0</v>
      </c>
      <c r="C519" s="4" t="s">
        <v>2217</v>
      </c>
      <c r="D519" s="4" t="s">
        <v>1102</v>
      </c>
      <c r="E519" s="4" t="s">
        <v>86</v>
      </c>
      <c r="F519" s="4">
        <v>16</v>
      </c>
      <c r="G519" s="4">
        <v>0</v>
      </c>
      <c r="H519" s="4">
        <v>0</v>
      </c>
      <c r="K519" s="4">
        <v>0</v>
      </c>
      <c r="N519" s="4">
        <v>0</v>
      </c>
      <c r="O519" s="4">
        <v>0</v>
      </c>
      <c r="P519" s="4" t="str">
        <f t="shared" si="8"/>
        <v>COSTELEM.SPREADNAME</v>
      </c>
      <c r="Q519" s="4" t="str">
        <f>VLOOKUP(Cobra8.5[[#This Row],[Table.Column]],ColumnMapping[Old Table.Column],1,)</f>
        <v>COSTELEM.SPREADNAME</v>
      </c>
    </row>
    <row r="520" spans="1:17" hidden="1" x14ac:dyDescent="0.2">
      <c r="A520" s="4" t="s">
        <v>2217</v>
      </c>
      <c r="B520" s="4">
        <v>0</v>
      </c>
      <c r="C520" s="4" t="s">
        <v>2217</v>
      </c>
      <c r="D520" s="4" t="s">
        <v>2112</v>
      </c>
      <c r="E520" s="4" t="s">
        <v>86</v>
      </c>
      <c r="F520" s="4">
        <v>20</v>
      </c>
      <c r="G520" s="4">
        <v>0</v>
      </c>
      <c r="H520" s="4">
        <v>0</v>
      </c>
      <c r="K520" s="4">
        <v>0</v>
      </c>
      <c r="N520" s="4">
        <v>0</v>
      </c>
      <c r="O520" s="4">
        <v>0</v>
      </c>
      <c r="P520" s="4" t="str">
        <f t="shared" si="8"/>
        <v>COSTELEM.USR_ID</v>
      </c>
      <c r="Q520" s="4" t="str">
        <f>VLOOKUP(Cobra8.5[[#This Row],[Table.Column]],ColumnMapping[Old Table.Column],1,)</f>
        <v>COSTELEM.USR_ID</v>
      </c>
    </row>
    <row r="521" spans="1:17" hidden="1" x14ac:dyDescent="0.2">
      <c r="A521" s="4" t="s">
        <v>2219</v>
      </c>
      <c r="B521" s="4">
        <v>0</v>
      </c>
      <c r="C521" s="4" t="s">
        <v>2219</v>
      </c>
      <c r="D521" s="4" t="s">
        <v>1369</v>
      </c>
      <c r="E521" s="4" t="s">
        <v>86</v>
      </c>
      <c r="F521" s="4">
        <v>20</v>
      </c>
      <c r="G521" s="4">
        <v>0</v>
      </c>
      <c r="H521" s="4">
        <v>0</v>
      </c>
      <c r="K521" s="4">
        <v>0</v>
      </c>
      <c r="N521" s="4">
        <v>0</v>
      </c>
      <c r="O521" s="4">
        <v>0</v>
      </c>
      <c r="P521" s="4" t="str">
        <f t="shared" si="8"/>
        <v>COSTREP.COST</v>
      </c>
      <c r="Q521" s="4" t="str">
        <f>VLOOKUP(Cobra8.5[[#This Row],[Table.Column]],ColumnMapping[Old Table.Column],1,)</f>
        <v>COSTREP.COST</v>
      </c>
    </row>
    <row r="522" spans="1:17" hidden="1" x14ac:dyDescent="0.2">
      <c r="A522" s="4" t="s">
        <v>2219</v>
      </c>
      <c r="B522" s="4">
        <v>0</v>
      </c>
      <c r="C522" s="4" t="s">
        <v>2219</v>
      </c>
      <c r="D522" s="4" t="s">
        <v>2220</v>
      </c>
      <c r="E522" s="4" t="s">
        <v>86</v>
      </c>
      <c r="F522" s="4">
        <v>254</v>
      </c>
      <c r="G522" s="4">
        <v>0</v>
      </c>
      <c r="H522" s="4">
        <v>0</v>
      </c>
      <c r="K522" s="4">
        <v>0</v>
      </c>
      <c r="N522" s="4">
        <v>0</v>
      </c>
      <c r="O522" s="4">
        <v>0</v>
      </c>
      <c r="P522" s="4" t="str">
        <f t="shared" si="8"/>
        <v>COSTREP.COSTDESC</v>
      </c>
      <c r="Q522" s="4" t="str">
        <f>VLOOKUP(Cobra8.5[[#This Row],[Table.Column]],ColumnMapping[Old Table.Column],1,)</f>
        <v>COSTREP.COSTDESC</v>
      </c>
    </row>
    <row r="523" spans="1:17" hidden="1" x14ac:dyDescent="0.2">
      <c r="A523" s="4" t="s">
        <v>2219</v>
      </c>
      <c r="B523" s="4">
        <v>0</v>
      </c>
      <c r="C523" s="4" t="s">
        <v>2219</v>
      </c>
      <c r="D523" s="4" t="s">
        <v>2111</v>
      </c>
      <c r="E523" s="4" t="s">
        <v>356</v>
      </c>
      <c r="F523" s="4">
        <v>-1</v>
      </c>
      <c r="G523" s="4">
        <v>0</v>
      </c>
      <c r="H523" s="4">
        <v>0</v>
      </c>
      <c r="K523" s="4">
        <v>0</v>
      </c>
      <c r="N523" s="4">
        <v>0</v>
      </c>
      <c r="O523" s="4">
        <v>0</v>
      </c>
      <c r="P523" s="4" t="str">
        <f t="shared" si="8"/>
        <v>COSTREP.LASTUPDATE</v>
      </c>
      <c r="Q523" s="4" t="str">
        <f>VLOOKUP(Cobra8.5[[#This Row],[Table.Column]],ColumnMapping[Old Table.Column],1,)</f>
        <v>COSTREP.LASTUPDATE</v>
      </c>
    </row>
    <row r="524" spans="1:17" hidden="1" x14ac:dyDescent="0.2">
      <c r="A524" s="4" t="s">
        <v>2219</v>
      </c>
      <c r="B524" s="4">
        <v>0</v>
      </c>
      <c r="C524" s="4" t="s">
        <v>2219</v>
      </c>
      <c r="D524" s="4" t="s">
        <v>744</v>
      </c>
      <c r="E524" s="4" t="s">
        <v>86</v>
      </c>
      <c r="F524" s="4">
        <v>22</v>
      </c>
      <c r="G524" s="4">
        <v>0</v>
      </c>
      <c r="H524" s="4">
        <v>0</v>
      </c>
      <c r="K524" s="4">
        <v>0</v>
      </c>
      <c r="N524" s="4">
        <v>0</v>
      </c>
      <c r="O524" s="4">
        <v>0</v>
      </c>
      <c r="P524" s="4" t="str">
        <f t="shared" si="8"/>
        <v>COSTREP.PROGRAM</v>
      </c>
      <c r="Q524" s="4" t="str">
        <f>VLOOKUP(Cobra8.5[[#This Row],[Table.Column]],ColumnMapping[Old Table.Column],1,)</f>
        <v>COSTREP.PROGRAM</v>
      </c>
    </row>
    <row r="525" spans="1:17" hidden="1" x14ac:dyDescent="0.2">
      <c r="A525" s="4" t="s">
        <v>2219</v>
      </c>
      <c r="B525" s="4">
        <v>0</v>
      </c>
      <c r="C525" s="4" t="s">
        <v>2219</v>
      </c>
      <c r="D525" s="4" t="s">
        <v>1256</v>
      </c>
      <c r="E525" s="4" t="s">
        <v>2108</v>
      </c>
      <c r="F525" s="4">
        <v>-1</v>
      </c>
      <c r="G525" s="4">
        <v>0</v>
      </c>
      <c r="H525" s="4">
        <v>0</v>
      </c>
      <c r="K525" s="4">
        <v>0</v>
      </c>
      <c r="N525" s="4">
        <v>0</v>
      </c>
      <c r="O525" s="4">
        <v>0</v>
      </c>
      <c r="P525" s="4" t="str">
        <f t="shared" si="8"/>
        <v>COSTREP.REQUIRED</v>
      </c>
      <c r="Q525" s="4" t="str">
        <f>VLOOKUP(Cobra8.5[[#This Row],[Table.Column]],ColumnMapping[Old Table.Column],1,)</f>
        <v>COSTREP.REQUIRED</v>
      </c>
    </row>
    <row r="526" spans="1:17" hidden="1" x14ac:dyDescent="0.2">
      <c r="A526" s="4" t="s">
        <v>2219</v>
      </c>
      <c r="B526" s="4">
        <v>0</v>
      </c>
      <c r="C526" s="4" t="s">
        <v>2219</v>
      </c>
      <c r="D526" s="4" t="s">
        <v>35</v>
      </c>
      <c r="E526" s="4" t="s">
        <v>2108</v>
      </c>
      <c r="F526" s="4">
        <v>-1</v>
      </c>
      <c r="G526" s="4">
        <v>0</v>
      </c>
      <c r="H526" s="4">
        <v>0</v>
      </c>
      <c r="K526" s="4">
        <v>0</v>
      </c>
      <c r="N526" s="4">
        <v>0</v>
      </c>
      <c r="O526" s="4">
        <v>0</v>
      </c>
      <c r="P526" s="4" t="str">
        <f t="shared" si="8"/>
        <v>COSTREP.SEQUENCE</v>
      </c>
      <c r="Q526" s="4" t="str">
        <f>VLOOKUP(Cobra8.5[[#This Row],[Table.Column]],ColumnMapping[Old Table.Column],1,)</f>
        <v>COSTREP.SEQUENCE</v>
      </c>
    </row>
    <row r="527" spans="1:17" hidden="1" x14ac:dyDescent="0.2">
      <c r="A527" s="4" t="s">
        <v>2219</v>
      </c>
      <c r="B527" s="4">
        <v>0</v>
      </c>
      <c r="C527" s="4" t="s">
        <v>2219</v>
      </c>
      <c r="D527" s="4" t="s">
        <v>2112</v>
      </c>
      <c r="E527" s="4" t="s">
        <v>86</v>
      </c>
      <c r="F527" s="4">
        <v>20</v>
      </c>
      <c r="G527" s="4">
        <v>0</v>
      </c>
      <c r="H527" s="4">
        <v>0</v>
      </c>
      <c r="K527" s="4">
        <v>0</v>
      </c>
      <c r="N527" s="4">
        <v>0</v>
      </c>
      <c r="O527" s="4">
        <v>0</v>
      </c>
      <c r="P527" s="4" t="str">
        <f t="shared" si="8"/>
        <v>COSTREP.USR_ID</v>
      </c>
      <c r="Q527" s="4" t="str">
        <f>VLOOKUP(Cobra8.5[[#This Row],[Table.Column]],ColumnMapping[Old Table.Column],1,)</f>
        <v>COSTREP.USR_ID</v>
      </c>
    </row>
    <row r="528" spans="1:17" hidden="1" x14ac:dyDescent="0.2">
      <c r="A528" s="4" t="s">
        <v>2221</v>
      </c>
      <c r="B528" s="4">
        <v>0</v>
      </c>
      <c r="C528" s="4" t="s">
        <v>2221</v>
      </c>
      <c r="D528" s="4" t="s">
        <v>1100</v>
      </c>
      <c r="E528" s="4" t="s">
        <v>86</v>
      </c>
      <c r="F528" s="4">
        <v>20</v>
      </c>
      <c r="G528" s="4">
        <v>0</v>
      </c>
      <c r="H528" s="4">
        <v>0</v>
      </c>
      <c r="K528" s="4">
        <v>0</v>
      </c>
      <c r="N528" s="4">
        <v>0</v>
      </c>
      <c r="O528" s="4">
        <v>0</v>
      </c>
      <c r="P528" s="4" t="str">
        <f t="shared" si="8"/>
        <v>COSTREPCLASS.CLASS</v>
      </c>
      <c r="Q528" s="4" t="str">
        <f>VLOOKUP(Cobra8.5[[#This Row],[Table.Column]],ColumnMapping[Old Table.Column],1,)</f>
        <v>COSTREPCLASS.CLASS</v>
      </c>
    </row>
    <row r="529" spans="1:17" hidden="1" x14ac:dyDescent="0.2">
      <c r="A529" s="4" t="s">
        <v>2221</v>
      </c>
      <c r="B529" s="4">
        <v>0</v>
      </c>
      <c r="C529" s="4" t="s">
        <v>2221</v>
      </c>
      <c r="D529" s="4" t="s">
        <v>1369</v>
      </c>
      <c r="E529" s="4" t="s">
        <v>86</v>
      </c>
      <c r="F529" s="4">
        <v>20</v>
      </c>
      <c r="G529" s="4">
        <v>0</v>
      </c>
      <c r="H529" s="4">
        <v>0</v>
      </c>
      <c r="K529" s="4">
        <v>0</v>
      </c>
      <c r="N529" s="4">
        <v>0</v>
      </c>
      <c r="O529" s="4">
        <v>0</v>
      </c>
      <c r="P529" s="4" t="str">
        <f t="shared" si="8"/>
        <v>COSTREPCLASS.COST</v>
      </c>
      <c r="Q529" s="4" t="str">
        <f>VLOOKUP(Cobra8.5[[#This Row],[Table.Column]],ColumnMapping[Old Table.Column],1,)</f>
        <v>COSTREPCLASS.COST</v>
      </c>
    </row>
    <row r="530" spans="1:17" hidden="1" x14ac:dyDescent="0.2">
      <c r="A530" s="4" t="s">
        <v>2221</v>
      </c>
      <c r="B530" s="4">
        <v>0</v>
      </c>
      <c r="C530" s="4" t="s">
        <v>2221</v>
      </c>
      <c r="D530" s="4" t="s">
        <v>744</v>
      </c>
      <c r="E530" s="4" t="s">
        <v>86</v>
      </c>
      <c r="F530" s="4">
        <v>22</v>
      </c>
      <c r="G530" s="4">
        <v>0</v>
      </c>
      <c r="H530" s="4">
        <v>0</v>
      </c>
      <c r="K530" s="4">
        <v>0</v>
      </c>
      <c r="N530" s="4">
        <v>0</v>
      </c>
      <c r="O530" s="4">
        <v>0</v>
      </c>
      <c r="P530" s="4" t="str">
        <f t="shared" si="8"/>
        <v>COSTREPCLASS.PROGRAM</v>
      </c>
      <c r="Q530" s="4" t="str">
        <f>VLOOKUP(Cobra8.5[[#This Row],[Table.Column]],ColumnMapping[Old Table.Column],1,)</f>
        <v>COSTREPCLASS.PROGRAM</v>
      </c>
    </row>
    <row r="531" spans="1:17" hidden="1" x14ac:dyDescent="0.2">
      <c r="A531" s="4" t="s">
        <v>2222</v>
      </c>
      <c r="B531" s="4">
        <v>0</v>
      </c>
      <c r="C531" s="4" t="s">
        <v>2222</v>
      </c>
      <c r="D531" s="4" t="s">
        <v>1961</v>
      </c>
      <c r="E531" s="4" t="s">
        <v>86</v>
      </c>
      <c r="F531" s="4">
        <v>50</v>
      </c>
      <c r="G531" s="4">
        <v>0</v>
      </c>
      <c r="H531" s="4">
        <v>0</v>
      </c>
      <c r="K531" s="4">
        <v>0</v>
      </c>
      <c r="N531" s="4">
        <v>0</v>
      </c>
      <c r="O531" s="4">
        <v>0</v>
      </c>
      <c r="P531" s="4" t="str">
        <f t="shared" si="8"/>
        <v>ENUMS.CONTEXT</v>
      </c>
      <c r="Q531" s="4" t="e">
        <f>VLOOKUP(Cobra8.5[[#This Row],[Table.Column]],ColumnMapping[Old Table.Column],1,)</f>
        <v>#N/A</v>
      </c>
    </row>
    <row r="532" spans="1:17" hidden="1" x14ac:dyDescent="0.2">
      <c r="A532" s="4" t="s">
        <v>2222</v>
      </c>
      <c r="B532" s="4">
        <v>0</v>
      </c>
      <c r="C532" s="4" t="s">
        <v>2222</v>
      </c>
      <c r="D532" s="4" t="s">
        <v>270</v>
      </c>
      <c r="E532" s="4" t="s">
        <v>86</v>
      </c>
      <c r="F532" s="4">
        <v>250</v>
      </c>
      <c r="G532" s="4">
        <v>0</v>
      </c>
      <c r="H532" s="4">
        <v>0</v>
      </c>
      <c r="K532" s="4">
        <v>0</v>
      </c>
      <c r="N532" s="4">
        <v>0</v>
      </c>
      <c r="O532" s="4">
        <v>0</v>
      </c>
      <c r="P532" s="4" t="str">
        <f t="shared" si="8"/>
        <v>ENUMS.DATA</v>
      </c>
      <c r="Q532" s="4" t="e">
        <f>VLOOKUP(Cobra8.5[[#This Row],[Table.Column]],ColumnMapping[Old Table.Column],1,)</f>
        <v>#N/A</v>
      </c>
    </row>
    <row r="533" spans="1:17" hidden="1" x14ac:dyDescent="0.2">
      <c r="A533" s="4" t="s">
        <v>2222</v>
      </c>
      <c r="B533" s="4">
        <v>0</v>
      </c>
      <c r="C533" s="4" t="s">
        <v>2222</v>
      </c>
      <c r="D533" s="4" t="s">
        <v>2223</v>
      </c>
      <c r="E533" s="4" t="s">
        <v>86</v>
      </c>
      <c r="F533" s="4">
        <v>30</v>
      </c>
      <c r="G533" s="4">
        <v>0</v>
      </c>
      <c r="H533" s="4">
        <v>0</v>
      </c>
      <c r="K533" s="4">
        <v>0</v>
      </c>
      <c r="N533" s="4">
        <v>0</v>
      </c>
      <c r="O533" s="4">
        <v>0</v>
      </c>
      <c r="P533" s="4" t="str">
        <f t="shared" si="8"/>
        <v>ENUMS.ID</v>
      </c>
      <c r="Q533" s="4" t="e">
        <f>VLOOKUP(Cobra8.5[[#This Row],[Table.Column]],ColumnMapping[Old Table.Column],1,)</f>
        <v>#N/A</v>
      </c>
    </row>
    <row r="534" spans="1:17" hidden="1" x14ac:dyDescent="0.2">
      <c r="A534" s="4" t="s">
        <v>2222</v>
      </c>
      <c r="B534" s="4">
        <v>0</v>
      </c>
      <c r="C534" s="4" t="s">
        <v>2222</v>
      </c>
      <c r="D534" s="4" t="s">
        <v>47</v>
      </c>
      <c r="E534" s="4" t="s">
        <v>86</v>
      </c>
      <c r="F534" s="4">
        <v>50</v>
      </c>
      <c r="G534" s="4">
        <v>0</v>
      </c>
      <c r="H534" s="4">
        <v>0</v>
      </c>
      <c r="K534" s="4">
        <v>0</v>
      </c>
      <c r="N534" s="4">
        <v>0</v>
      </c>
      <c r="O534" s="4">
        <v>0</v>
      </c>
      <c r="P534" s="4" t="str">
        <f t="shared" si="8"/>
        <v>ENUMS.NAME</v>
      </c>
      <c r="Q534" s="4" t="e">
        <f>VLOOKUP(Cobra8.5[[#This Row],[Table.Column]],ColumnMapping[Old Table.Column],1,)</f>
        <v>#N/A</v>
      </c>
    </row>
    <row r="535" spans="1:17" hidden="1" x14ac:dyDescent="0.2">
      <c r="A535" s="4" t="s">
        <v>2224</v>
      </c>
      <c r="B535" s="4">
        <v>0</v>
      </c>
      <c r="C535" s="4" t="s">
        <v>2224</v>
      </c>
      <c r="D535" s="4" t="s">
        <v>270</v>
      </c>
      <c r="E535" s="4" t="s">
        <v>86</v>
      </c>
      <c r="F535" s="4">
        <v>-1</v>
      </c>
      <c r="G535" s="4">
        <v>0</v>
      </c>
      <c r="H535" s="4">
        <v>0</v>
      </c>
      <c r="K535" s="4">
        <v>0</v>
      </c>
      <c r="N535" s="4">
        <v>0</v>
      </c>
      <c r="O535" s="4">
        <v>0</v>
      </c>
      <c r="P535" s="4" t="str">
        <f t="shared" si="8"/>
        <v>FILTER.DATA</v>
      </c>
      <c r="Q535" s="4" t="e">
        <f>VLOOKUP(Cobra8.5[[#This Row],[Table.Column]],ColumnMapping[Old Table.Column],1,)</f>
        <v>#N/A</v>
      </c>
    </row>
    <row r="536" spans="1:17" hidden="1" x14ac:dyDescent="0.2">
      <c r="A536" s="4" t="s">
        <v>2224</v>
      </c>
      <c r="B536" s="4">
        <v>0</v>
      </c>
      <c r="C536" s="4" t="s">
        <v>2224</v>
      </c>
      <c r="D536" s="4" t="s">
        <v>2018</v>
      </c>
      <c r="E536" s="4" t="s">
        <v>86</v>
      </c>
      <c r="F536" s="4">
        <v>59</v>
      </c>
      <c r="G536" s="4">
        <v>0</v>
      </c>
      <c r="H536" s="4">
        <v>0</v>
      </c>
      <c r="K536" s="4">
        <v>0</v>
      </c>
      <c r="N536" s="4">
        <v>0</v>
      </c>
      <c r="O536" s="4">
        <v>0</v>
      </c>
      <c r="P536" s="4" t="str">
        <f t="shared" si="8"/>
        <v>FILTER.FILTER_ID</v>
      </c>
      <c r="Q536" s="4" t="e">
        <f>VLOOKUP(Cobra8.5[[#This Row],[Table.Column]],ColumnMapping[Old Table.Column],1,)</f>
        <v>#N/A</v>
      </c>
    </row>
    <row r="537" spans="1:17" hidden="1" x14ac:dyDescent="0.2">
      <c r="A537" s="4" t="s">
        <v>2224</v>
      </c>
      <c r="B537" s="4">
        <v>0</v>
      </c>
      <c r="C537" s="4" t="s">
        <v>2224</v>
      </c>
      <c r="D537" s="4" t="s">
        <v>1935</v>
      </c>
      <c r="E537" s="4" t="s">
        <v>86</v>
      </c>
      <c r="F537" s="4">
        <v>20</v>
      </c>
      <c r="G537" s="4">
        <v>0</v>
      </c>
      <c r="H537" s="4">
        <v>0</v>
      </c>
      <c r="K537" s="4">
        <v>0</v>
      </c>
      <c r="N537" s="4">
        <v>0</v>
      </c>
      <c r="O537" s="4">
        <v>0</v>
      </c>
      <c r="P537" s="4" t="str">
        <f t="shared" si="8"/>
        <v>FILTER.GRP_ID</v>
      </c>
      <c r="Q537" s="4" t="e">
        <f>VLOOKUP(Cobra8.5[[#This Row],[Table.Column]],ColumnMapping[Old Table.Column],1,)</f>
        <v>#N/A</v>
      </c>
    </row>
    <row r="538" spans="1:17" hidden="1" x14ac:dyDescent="0.2">
      <c r="A538" s="4" t="s">
        <v>2224</v>
      </c>
      <c r="B538" s="4">
        <v>0</v>
      </c>
      <c r="C538" s="4" t="s">
        <v>2224</v>
      </c>
      <c r="D538" s="4" t="s">
        <v>2111</v>
      </c>
      <c r="E538" s="4" t="s">
        <v>356</v>
      </c>
      <c r="F538" s="4">
        <v>-1</v>
      </c>
      <c r="G538" s="4">
        <v>0</v>
      </c>
      <c r="H538" s="4">
        <v>0</v>
      </c>
      <c r="K538" s="4">
        <v>0</v>
      </c>
      <c r="N538" s="4">
        <v>0</v>
      </c>
      <c r="O538" s="4">
        <v>0</v>
      </c>
      <c r="P538" s="4" t="str">
        <f t="shared" si="8"/>
        <v>FILTER.LASTUPDATE</v>
      </c>
      <c r="Q538" s="4" t="e">
        <f>VLOOKUP(Cobra8.5[[#This Row],[Table.Column]],ColumnMapping[Old Table.Column],1,)</f>
        <v>#N/A</v>
      </c>
    </row>
    <row r="539" spans="1:17" hidden="1" x14ac:dyDescent="0.2">
      <c r="A539" s="4" t="s">
        <v>2224</v>
      </c>
      <c r="B539" s="4">
        <v>0</v>
      </c>
      <c r="C539" s="4" t="s">
        <v>2224</v>
      </c>
      <c r="D539" s="4" t="s">
        <v>1936</v>
      </c>
      <c r="E539" s="4" t="s">
        <v>86</v>
      </c>
      <c r="F539" s="4">
        <v>20</v>
      </c>
      <c r="G539" s="4">
        <v>0</v>
      </c>
      <c r="H539" s="4">
        <v>0</v>
      </c>
      <c r="K539" s="4">
        <v>0</v>
      </c>
      <c r="N539" s="4">
        <v>0</v>
      </c>
      <c r="O539" s="4">
        <v>0</v>
      </c>
      <c r="P539" s="4" t="str">
        <f t="shared" si="8"/>
        <v>FILTER.OWNER_ID</v>
      </c>
      <c r="Q539" s="4" t="e">
        <f>VLOOKUP(Cobra8.5[[#This Row],[Table.Column]],ColumnMapping[Old Table.Column],1,)</f>
        <v>#N/A</v>
      </c>
    </row>
    <row r="540" spans="1:17" hidden="1" x14ac:dyDescent="0.2">
      <c r="A540" s="4" t="s">
        <v>2224</v>
      </c>
      <c r="B540" s="4">
        <v>0</v>
      </c>
      <c r="C540" s="4" t="s">
        <v>2224</v>
      </c>
      <c r="D540" s="4" t="s">
        <v>35</v>
      </c>
      <c r="E540" s="4" t="s">
        <v>2108</v>
      </c>
      <c r="F540" s="4">
        <v>-1</v>
      </c>
      <c r="G540" s="4">
        <v>0</v>
      </c>
      <c r="H540" s="4">
        <v>0</v>
      </c>
      <c r="K540" s="4">
        <v>0</v>
      </c>
      <c r="N540" s="4">
        <v>0</v>
      </c>
      <c r="O540" s="4">
        <v>0</v>
      </c>
      <c r="P540" s="4" t="str">
        <f t="shared" si="8"/>
        <v>FILTER.SEQUENCE</v>
      </c>
      <c r="Q540" s="4" t="e">
        <f>VLOOKUP(Cobra8.5[[#This Row],[Table.Column]],ColumnMapping[Old Table.Column],1,)</f>
        <v>#N/A</v>
      </c>
    </row>
    <row r="541" spans="1:17" hidden="1" x14ac:dyDescent="0.2">
      <c r="A541" s="4" t="s">
        <v>2224</v>
      </c>
      <c r="B541" s="4">
        <v>0</v>
      </c>
      <c r="C541" s="4" t="s">
        <v>2224</v>
      </c>
      <c r="D541" s="4" t="s">
        <v>1939</v>
      </c>
      <c r="E541" s="4" t="s">
        <v>2108</v>
      </c>
      <c r="F541" s="4">
        <v>-1</v>
      </c>
      <c r="G541" s="4">
        <v>0</v>
      </c>
      <c r="H541" s="4">
        <v>0</v>
      </c>
      <c r="K541" s="4">
        <v>0</v>
      </c>
      <c r="N541" s="4">
        <v>0</v>
      </c>
      <c r="O541" s="4">
        <v>0</v>
      </c>
      <c r="P541" s="4" t="str">
        <f t="shared" si="8"/>
        <v>FILTER.SHARED</v>
      </c>
      <c r="Q541" s="4" t="e">
        <f>VLOOKUP(Cobra8.5[[#This Row],[Table.Column]],ColumnMapping[Old Table.Column],1,)</f>
        <v>#N/A</v>
      </c>
    </row>
    <row r="542" spans="1:17" hidden="1" x14ac:dyDescent="0.2">
      <c r="A542" s="4" t="s">
        <v>2224</v>
      </c>
      <c r="B542" s="4">
        <v>0</v>
      </c>
      <c r="C542" s="4" t="s">
        <v>2224</v>
      </c>
      <c r="D542" s="4" t="s">
        <v>2005</v>
      </c>
      <c r="E542" s="4" t="s">
        <v>86</v>
      </c>
      <c r="F542" s="4">
        <v>30</v>
      </c>
      <c r="G542" s="4">
        <v>0</v>
      </c>
      <c r="H542" s="4">
        <v>0</v>
      </c>
      <c r="K542" s="4">
        <v>0</v>
      </c>
      <c r="N542" s="4">
        <v>0</v>
      </c>
      <c r="O542" s="4">
        <v>0</v>
      </c>
      <c r="P542" s="4" t="str">
        <f t="shared" si="8"/>
        <v>FILTER.TABLE_TYPE</v>
      </c>
      <c r="Q542" s="4" t="e">
        <f>VLOOKUP(Cobra8.5[[#This Row],[Table.Column]],ColumnMapping[Old Table.Column],1,)</f>
        <v>#N/A</v>
      </c>
    </row>
    <row r="543" spans="1:17" hidden="1" x14ac:dyDescent="0.2">
      <c r="A543" s="4" t="s">
        <v>2224</v>
      </c>
      <c r="B543" s="4">
        <v>0</v>
      </c>
      <c r="C543" s="4" t="s">
        <v>2224</v>
      </c>
      <c r="D543" s="4" t="s">
        <v>2112</v>
      </c>
      <c r="E543" s="4" t="s">
        <v>86</v>
      </c>
      <c r="F543" s="4">
        <v>20</v>
      </c>
      <c r="G543" s="4">
        <v>0</v>
      </c>
      <c r="H543" s="4">
        <v>0</v>
      </c>
      <c r="K543" s="4">
        <v>0</v>
      </c>
      <c r="N543" s="4">
        <v>0</v>
      </c>
      <c r="O543" s="4">
        <v>0</v>
      </c>
      <c r="P543" s="4" t="str">
        <f t="shared" si="8"/>
        <v>FILTER.USR_ID</v>
      </c>
      <c r="Q543" s="4" t="e">
        <f>VLOOKUP(Cobra8.5[[#This Row],[Table.Column]],ColumnMapping[Old Table.Column],1,)</f>
        <v>#N/A</v>
      </c>
    </row>
    <row r="544" spans="1:17" hidden="1" x14ac:dyDescent="0.2">
      <c r="A544" s="4" t="s">
        <v>2225</v>
      </c>
      <c r="B544" s="4">
        <v>0</v>
      </c>
      <c r="C544" s="4" t="s">
        <v>2225</v>
      </c>
      <c r="D544" s="4" t="s">
        <v>329</v>
      </c>
      <c r="E544" s="4" t="s">
        <v>86</v>
      </c>
      <c r="F544" s="4">
        <v>254</v>
      </c>
      <c r="G544" s="4">
        <v>0</v>
      </c>
      <c r="H544" s="4">
        <v>0</v>
      </c>
      <c r="K544" s="4">
        <v>0</v>
      </c>
      <c r="N544" s="4">
        <v>0</v>
      </c>
      <c r="O544" s="4">
        <v>0</v>
      </c>
      <c r="P544" s="4" t="str">
        <f t="shared" si="8"/>
        <v>FISCAL.DESC00</v>
      </c>
      <c r="Q544" s="4" t="str">
        <f>VLOOKUP(Cobra8.5[[#This Row],[Table.Column]],ColumnMapping[Old Table.Column],1,)</f>
        <v>FISCAL.DESC00</v>
      </c>
    </row>
    <row r="545" spans="1:17" hidden="1" x14ac:dyDescent="0.2">
      <c r="A545" s="4" t="s">
        <v>2225</v>
      </c>
      <c r="B545" s="4">
        <v>0</v>
      </c>
      <c r="C545" s="4" t="s">
        <v>2225</v>
      </c>
      <c r="D545" s="4" t="s">
        <v>330</v>
      </c>
      <c r="E545" s="4" t="s">
        <v>86</v>
      </c>
      <c r="F545" s="4">
        <v>254</v>
      </c>
      <c r="G545" s="4">
        <v>0</v>
      </c>
      <c r="H545" s="4">
        <v>0</v>
      </c>
      <c r="K545" s="4">
        <v>0</v>
      </c>
      <c r="N545" s="4">
        <v>0</v>
      </c>
      <c r="O545" s="4">
        <v>0</v>
      </c>
      <c r="P545" s="4" t="str">
        <f t="shared" si="8"/>
        <v>FISCAL.DESC01</v>
      </c>
      <c r="Q545" s="4" t="str">
        <f>VLOOKUP(Cobra8.5[[#This Row],[Table.Column]],ColumnMapping[Old Table.Column],1,)</f>
        <v>FISCAL.DESC01</v>
      </c>
    </row>
    <row r="546" spans="1:17" hidden="1" x14ac:dyDescent="0.2">
      <c r="A546" s="4" t="s">
        <v>2225</v>
      </c>
      <c r="B546" s="4">
        <v>0</v>
      </c>
      <c r="C546" s="4" t="s">
        <v>2225</v>
      </c>
      <c r="D546" s="4" t="s">
        <v>331</v>
      </c>
      <c r="E546" s="4" t="s">
        <v>86</v>
      </c>
      <c r="F546" s="4">
        <v>254</v>
      </c>
      <c r="G546" s="4">
        <v>0</v>
      </c>
      <c r="H546" s="4">
        <v>0</v>
      </c>
      <c r="K546" s="4">
        <v>0</v>
      </c>
      <c r="N546" s="4">
        <v>0</v>
      </c>
      <c r="O546" s="4">
        <v>0</v>
      </c>
      <c r="P546" s="4" t="str">
        <f t="shared" si="8"/>
        <v>FISCAL.DESC02</v>
      </c>
      <c r="Q546" s="4" t="str">
        <f>VLOOKUP(Cobra8.5[[#This Row],[Table.Column]],ColumnMapping[Old Table.Column],1,)</f>
        <v>FISCAL.DESC02</v>
      </c>
    </row>
    <row r="547" spans="1:17" hidden="1" x14ac:dyDescent="0.2">
      <c r="A547" s="4" t="s">
        <v>2225</v>
      </c>
      <c r="B547" s="4">
        <v>0</v>
      </c>
      <c r="C547" s="4" t="s">
        <v>2225</v>
      </c>
      <c r="D547" s="4" t="s">
        <v>332</v>
      </c>
      <c r="E547" s="4" t="s">
        <v>86</v>
      </c>
      <c r="F547" s="4">
        <v>254</v>
      </c>
      <c r="G547" s="4">
        <v>0</v>
      </c>
      <c r="H547" s="4">
        <v>0</v>
      </c>
      <c r="K547" s="4">
        <v>0</v>
      </c>
      <c r="N547" s="4">
        <v>0</v>
      </c>
      <c r="O547" s="4">
        <v>0</v>
      </c>
      <c r="P547" s="4" t="str">
        <f t="shared" si="8"/>
        <v>FISCAL.DESC03</v>
      </c>
      <c r="Q547" s="4" t="str">
        <f>VLOOKUP(Cobra8.5[[#This Row],[Table.Column]],ColumnMapping[Old Table.Column],1,)</f>
        <v>FISCAL.DESC03</v>
      </c>
    </row>
    <row r="548" spans="1:17" hidden="1" x14ac:dyDescent="0.2">
      <c r="A548" s="4" t="s">
        <v>2225</v>
      </c>
      <c r="B548" s="4">
        <v>0</v>
      </c>
      <c r="C548" s="4" t="s">
        <v>2225</v>
      </c>
      <c r="D548" s="4" t="s">
        <v>333</v>
      </c>
      <c r="E548" s="4" t="s">
        <v>86</v>
      </c>
      <c r="F548" s="4">
        <v>254</v>
      </c>
      <c r="G548" s="4">
        <v>0</v>
      </c>
      <c r="H548" s="4">
        <v>0</v>
      </c>
      <c r="K548" s="4">
        <v>0</v>
      </c>
      <c r="N548" s="4">
        <v>0</v>
      </c>
      <c r="O548" s="4">
        <v>0</v>
      </c>
      <c r="P548" s="4" t="str">
        <f t="shared" si="8"/>
        <v>FISCAL.DESC04</v>
      </c>
      <c r="Q548" s="4" t="str">
        <f>VLOOKUP(Cobra8.5[[#This Row],[Table.Column]],ColumnMapping[Old Table.Column],1,)</f>
        <v>FISCAL.DESC04</v>
      </c>
    </row>
    <row r="549" spans="1:17" hidden="1" x14ac:dyDescent="0.2">
      <c r="A549" s="4" t="s">
        <v>2225</v>
      </c>
      <c r="B549" s="4">
        <v>0</v>
      </c>
      <c r="C549" s="4" t="s">
        <v>2225</v>
      </c>
      <c r="D549" s="4" t="s">
        <v>334</v>
      </c>
      <c r="E549" s="4" t="s">
        <v>86</v>
      </c>
      <c r="F549" s="4">
        <v>254</v>
      </c>
      <c r="G549" s="4">
        <v>0</v>
      </c>
      <c r="H549" s="4">
        <v>0</v>
      </c>
      <c r="K549" s="4">
        <v>0</v>
      </c>
      <c r="N549" s="4">
        <v>0</v>
      </c>
      <c r="O549" s="4">
        <v>0</v>
      </c>
      <c r="P549" s="4" t="str">
        <f t="shared" si="8"/>
        <v>FISCAL.DESC05</v>
      </c>
      <c r="Q549" s="4" t="str">
        <f>VLOOKUP(Cobra8.5[[#This Row],[Table.Column]],ColumnMapping[Old Table.Column],1,)</f>
        <v>FISCAL.DESC05</v>
      </c>
    </row>
    <row r="550" spans="1:17" hidden="1" x14ac:dyDescent="0.2">
      <c r="A550" s="4" t="s">
        <v>2225</v>
      </c>
      <c r="B550" s="4">
        <v>0</v>
      </c>
      <c r="C550" s="4" t="s">
        <v>2225</v>
      </c>
      <c r="D550" s="4" t="s">
        <v>335</v>
      </c>
      <c r="E550" s="4" t="s">
        <v>86</v>
      </c>
      <c r="F550" s="4">
        <v>254</v>
      </c>
      <c r="G550" s="4">
        <v>0</v>
      </c>
      <c r="H550" s="4">
        <v>0</v>
      </c>
      <c r="K550" s="4">
        <v>0</v>
      </c>
      <c r="N550" s="4">
        <v>0</v>
      </c>
      <c r="O550" s="4">
        <v>0</v>
      </c>
      <c r="P550" s="4" t="str">
        <f t="shared" si="8"/>
        <v>FISCAL.DESC06</v>
      </c>
      <c r="Q550" s="4" t="str">
        <f>VLOOKUP(Cobra8.5[[#This Row],[Table.Column]],ColumnMapping[Old Table.Column],1,)</f>
        <v>FISCAL.DESC06</v>
      </c>
    </row>
    <row r="551" spans="1:17" hidden="1" x14ac:dyDescent="0.2">
      <c r="A551" s="4" t="s">
        <v>2225</v>
      </c>
      <c r="B551" s="4">
        <v>0</v>
      </c>
      <c r="C551" s="4" t="s">
        <v>2225</v>
      </c>
      <c r="D551" s="4" t="s">
        <v>336</v>
      </c>
      <c r="E551" s="4" t="s">
        <v>86</v>
      </c>
      <c r="F551" s="4">
        <v>254</v>
      </c>
      <c r="G551" s="4">
        <v>0</v>
      </c>
      <c r="H551" s="4">
        <v>0</v>
      </c>
      <c r="K551" s="4">
        <v>0</v>
      </c>
      <c r="N551" s="4">
        <v>0</v>
      </c>
      <c r="O551" s="4">
        <v>0</v>
      </c>
      <c r="P551" s="4" t="str">
        <f t="shared" si="8"/>
        <v>FISCAL.DESC07</v>
      </c>
      <c r="Q551" s="4" t="str">
        <f>VLOOKUP(Cobra8.5[[#This Row],[Table.Column]],ColumnMapping[Old Table.Column],1,)</f>
        <v>FISCAL.DESC07</v>
      </c>
    </row>
    <row r="552" spans="1:17" hidden="1" x14ac:dyDescent="0.2">
      <c r="A552" s="4" t="s">
        <v>2225</v>
      </c>
      <c r="B552" s="4">
        <v>0</v>
      </c>
      <c r="C552" s="4" t="s">
        <v>2225</v>
      </c>
      <c r="D552" s="4" t="s">
        <v>337</v>
      </c>
      <c r="E552" s="4" t="s">
        <v>86</v>
      </c>
      <c r="F552" s="4">
        <v>254</v>
      </c>
      <c r="G552" s="4">
        <v>0</v>
      </c>
      <c r="H552" s="4">
        <v>0</v>
      </c>
      <c r="K552" s="4">
        <v>0</v>
      </c>
      <c r="N552" s="4">
        <v>0</v>
      </c>
      <c r="O552" s="4">
        <v>0</v>
      </c>
      <c r="P552" s="4" t="str">
        <f t="shared" si="8"/>
        <v>FISCAL.DESC08</v>
      </c>
      <c r="Q552" s="4" t="str">
        <f>VLOOKUP(Cobra8.5[[#This Row],[Table.Column]],ColumnMapping[Old Table.Column],1,)</f>
        <v>FISCAL.DESC08</v>
      </c>
    </row>
    <row r="553" spans="1:17" hidden="1" x14ac:dyDescent="0.2">
      <c r="A553" s="4" t="s">
        <v>2225</v>
      </c>
      <c r="B553" s="4">
        <v>0</v>
      </c>
      <c r="C553" s="4" t="s">
        <v>2225</v>
      </c>
      <c r="D553" s="4" t="s">
        <v>338</v>
      </c>
      <c r="E553" s="4" t="s">
        <v>86</v>
      </c>
      <c r="F553" s="4">
        <v>254</v>
      </c>
      <c r="G553" s="4">
        <v>0</v>
      </c>
      <c r="H553" s="4">
        <v>0</v>
      </c>
      <c r="K553" s="4">
        <v>0</v>
      </c>
      <c r="N553" s="4">
        <v>0</v>
      </c>
      <c r="O553" s="4">
        <v>0</v>
      </c>
      <c r="P553" s="4" t="str">
        <f t="shared" si="8"/>
        <v>FISCAL.DESC09</v>
      </c>
      <c r="Q553" s="4" t="str">
        <f>VLOOKUP(Cobra8.5[[#This Row],[Table.Column]],ColumnMapping[Old Table.Column],1,)</f>
        <v>FISCAL.DESC09</v>
      </c>
    </row>
    <row r="554" spans="1:17" hidden="1" x14ac:dyDescent="0.2">
      <c r="A554" s="4" t="s">
        <v>2225</v>
      </c>
      <c r="B554" s="4">
        <v>0</v>
      </c>
      <c r="C554" s="4" t="s">
        <v>2225</v>
      </c>
      <c r="D554" s="4" t="s">
        <v>339</v>
      </c>
      <c r="E554" s="4" t="s">
        <v>86</v>
      </c>
      <c r="F554" s="4">
        <v>254</v>
      </c>
      <c r="G554" s="4">
        <v>0</v>
      </c>
      <c r="H554" s="4">
        <v>0</v>
      </c>
      <c r="K554" s="4">
        <v>0</v>
      </c>
      <c r="N554" s="4">
        <v>0</v>
      </c>
      <c r="O554" s="4">
        <v>0</v>
      </c>
      <c r="P554" s="4" t="str">
        <f t="shared" si="8"/>
        <v>FISCAL.DESC10</v>
      </c>
      <c r="Q554" s="4" t="str">
        <f>VLOOKUP(Cobra8.5[[#This Row],[Table.Column]],ColumnMapping[Old Table.Column],1,)</f>
        <v>FISCAL.DESC10</v>
      </c>
    </row>
    <row r="555" spans="1:17" hidden="1" x14ac:dyDescent="0.2">
      <c r="A555" s="4" t="s">
        <v>2225</v>
      </c>
      <c r="B555" s="4">
        <v>0</v>
      </c>
      <c r="C555" s="4" t="s">
        <v>2225</v>
      </c>
      <c r="D555" s="4" t="s">
        <v>340</v>
      </c>
      <c r="E555" s="4" t="s">
        <v>86</v>
      </c>
      <c r="F555" s="4">
        <v>254</v>
      </c>
      <c r="G555" s="4">
        <v>0</v>
      </c>
      <c r="H555" s="4">
        <v>0</v>
      </c>
      <c r="K555" s="4">
        <v>0</v>
      </c>
      <c r="N555" s="4">
        <v>0</v>
      </c>
      <c r="O555" s="4">
        <v>0</v>
      </c>
      <c r="P555" s="4" t="str">
        <f t="shared" si="8"/>
        <v>FISCAL.DESC11</v>
      </c>
      <c r="Q555" s="4" t="str">
        <f>VLOOKUP(Cobra8.5[[#This Row],[Table.Column]],ColumnMapping[Old Table.Column],1,)</f>
        <v>FISCAL.DESC11</v>
      </c>
    </row>
    <row r="556" spans="1:17" hidden="1" x14ac:dyDescent="0.2">
      <c r="A556" s="4" t="s">
        <v>2225</v>
      </c>
      <c r="B556" s="4">
        <v>0</v>
      </c>
      <c r="C556" s="4" t="s">
        <v>2225</v>
      </c>
      <c r="D556" s="4" t="s">
        <v>341</v>
      </c>
      <c r="E556" s="4" t="s">
        <v>86</v>
      </c>
      <c r="F556" s="4">
        <v>254</v>
      </c>
      <c r="G556" s="4">
        <v>0</v>
      </c>
      <c r="H556" s="4">
        <v>0</v>
      </c>
      <c r="K556" s="4">
        <v>0</v>
      </c>
      <c r="N556" s="4">
        <v>0</v>
      </c>
      <c r="O556" s="4">
        <v>0</v>
      </c>
      <c r="P556" s="4" t="str">
        <f t="shared" si="8"/>
        <v>FISCAL.DESC12</v>
      </c>
      <c r="Q556" s="4" t="str">
        <f>VLOOKUP(Cobra8.5[[#This Row],[Table.Column]],ColumnMapping[Old Table.Column],1,)</f>
        <v>FISCAL.DESC12</v>
      </c>
    </row>
    <row r="557" spans="1:17" hidden="1" x14ac:dyDescent="0.2">
      <c r="A557" s="4" t="s">
        <v>2225</v>
      </c>
      <c r="B557" s="4">
        <v>0</v>
      </c>
      <c r="C557" s="4" t="s">
        <v>2225</v>
      </c>
      <c r="D557" s="4" t="s">
        <v>342</v>
      </c>
      <c r="E557" s="4" t="s">
        <v>86</v>
      </c>
      <c r="F557" s="4">
        <v>254</v>
      </c>
      <c r="G557" s="4">
        <v>0</v>
      </c>
      <c r="H557" s="4">
        <v>0</v>
      </c>
      <c r="K557" s="4">
        <v>0</v>
      </c>
      <c r="N557" s="4">
        <v>0</v>
      </c>
      <c r="O557" s="4">
        <v>0</v>
      </c>
      <c r="P557" s="4" t="str">
        <f t="shared" si="8"/>
        <v>FISCAL.DESC13</v>
      </c>
      <c r="Q557" s="4" t="str">
        <f>VLOOKUP(Cobra8.5[[#This Row],[Table.Column]],ColumnMapping[Old Table.Column],1,)</f>
        <v>FISCAL.DESC13</v>
      </c>
    </row>
    <row r="558" spans="1:17" hidden="1" x14ac:dyDescent="0.2">
      <c r="A558" s="4" t="s">
        <v>2225</v>
      </c>
      <c r="B558" s="4">
        <v>0</v>
      </c>
      <c r="C558" s="4" t="s">
        <v>2225</v>
      </c>
      <c r="D558" s="4" t="s">
        <v>343</v>
      </c>
      <c r="E558" s="4" t="s">
        <v>86</v>
      </c>
      <c r="F558" s="4">
        <v>254</v>
      </c>
      <c r="G558" s="4">
        <v>0</v>
      </c>
      <c r="H558" s="4">
        <v>0</v>
      </c>
      <c r="K558" s="4">
        <v>0</v>
      </c>
      <c r="N558" s="4">
        <v>0</v>
      </c>
      <c r="O558" s="4">
        <v>0</v>
      </c>
      <c r="P558" s="4" t="str">
        <f t="shared" si="8"/>
        <v>FISCAL.DESC14</v>
      </c>
      <c r="Q558" s="4" t="str">
        <f>VLOOKUP(Cobra8.5[[#This Row],[Table.Column]],ColumnMapping[Old Table.Column],1,)</f>
        <v>FISCAL.DESC14</v>
      </c>
    </row>
    <row r="559" spans="1:17" hidden="1" x14ac:dyDescent="0.2">
      <c r="A559" s="4" t="s">
        <v>2225</v>
      </c>
      <c r="B559" s="4">
        <v>0</v>
      </c>
      <c r="C559" s="4" t="s">
        <v>2225</v>
      </c>
      <c r="D559" s="4" t="s">
        <v>344</v>
      </c>
      <c r="E559" s="4" t="s">
        <v>86</v>
      </c>
      <c r="F559" s="4">
        <v>254</v>
      </c>
      <c r="G559" s="4">
        <v>0</v>
      </c>
      <c r="H559" s="4">
        <v>0</v>
      </c>
      <c r="K559" s="4">
        <v>0</v>
      </c>
      <c r="N559" s="4">
        <v>0</v>
      </c>
      <c r="O559" s="4">
        <v>0</v>
      </c>
      <c r="P559" s="4" t="str">
        <f t="shared" si="8"/>
        <v>FISCAL.DESC15</v>
      </c>
      <c r="Q559" s="4" t="str">
        <f>VLOOKUP(Cobra8.5[[#This Row],[Table.Column]],ColumnMapping[Old Table.Column],1,)</f>
        <v>FISCAL.DESC15</v>
      </c>
    </row>
    <row r="560" spans="1:17" hidden="1" x14ac:dyDescent="0.2">
      <c r="A560" s="4" t="s">
        <v>2225</v>
      </c>
      <c r="B560" s="4">
        <v>0</v>
      </c>
      <c r="C560" s="4" t="s">
        <v>2225</v>
      </c>
      <c r="D560" s="4" t="s">
        <v>345</v>
      </c>
      <c r="E560" s="4" t="s">
        <v>86</v>
      </c>
      <c r="F560" s="4">
        <v>254</v>
      </c>
      <c r="G560" s="4">
        <v>0</v>
      </c>
      <c r="H560" s="4">
        <v>0</v>
      </c>
      <c r="K560" s="4">
        <v>0</v>
      </c>
      <c r="N560" s="4">
        <v>0</v>
      </c>
      <c r="O560" s="4">
        <v>0</v>
      </c>
      <c r="P560" s="4" t="str">
        <f t="shared" si="8"/>
        <v>FISCAL.DESC16</v>
      </c>
      <c r="Q560" s="4" t="str">
        <f>VLOOKUP(Cobra8.5[[#This Row],[Table.Column]],ColumnMapping[Old Table.Column],1,)</f>
        <v>FISCAL.DESC16</v>
      </c>
    </row>
    <row r="561" spans="1:17" hidden="1" x14ac:dyDescent="0.2">
      <c r="A561" s="4" t="s">
        <v>2225</v>
      </c>
      <c r="B561" s="4">
        <v>0</v>
      </c>
      <c r="C561" s="4" t="s">
        <v>2225</v>
      </c>
      <c r="D561" s="4" t="s">
        <v>346</v>
      </c>
      <c r="E561" s="4" t="s">
        <v>86</v>
      </c>
      <c r="F561" s="4">
        <v>254</v>
      </c>
      <c r="G561" s="4">
        <v>0</v>
      </c>
      <c r="H561" s="4">
        <v>0</v>
      </c>
      <c r="K561" s="4">
        <v>0</v>
      </c>
      <c r="N561" s="4">
        <v>0</v>
      </c>
      <c r="O561" s="4">
        <v>0</v>
      </c>
      <c r="P561" s="4" t="str">
        <f t="shared" si="8"/>
        <v>FISCAL.DESC17</v>
      </c>
      <c r="Q561" s="4" t="str">
        <f>VLOOKUP(Cobra8.5[[#This Row],[Table.Column]],ColumnMapping[Old Table.Column],1,)</f>
        <v>FISCAL.DESC17</v>
      </c>
    </row>
    <row r="562" spans="1:17" hidden="1" x14ac:dyDescent="0.2">
      <c r="A562" s="4" t="s">
        <v>2225</v>
      </c>
      <c r="B562" s="4">
        <v>0</v>
      </c>
      <c r="C562" s="4" t="s">
        <v>2225</v>
      </c>
      <c r="D562" s="4" t="s">
        <v>347</v>
      </c>
      <c r="E562" s="4" t="s">
        <v>86</v>
      </c>
      <c r="F562" s="4">
        <v>254</v>
      </c>
      <c r="G562" s="4">
        <v>0</v>
      </c>
      <c r="H562" s="4">
        <v>0</v>
      </c>
      <c r="K562" s="4">
        <v>0</v>
      </c>
      <c r="N562" s="4">
        <v>0</v>
      </c>
      <c r="O562" s="4">
        <v>0</v>
      </c>
      <c r="P562" s="4" t="str">
        <f t="shared" si="8"/>
        <v>FISCAL.DESC18</v>
      </c>
      <c r="Q562" s="4" t="str">
        <f>VLOOKUP(Cobra8.5[[#This Row],[Table.Column]],ColumnMapping[Old Table.Column],1,)</f>
        <v>FISCAL.DESC18</v>
      </c>
    </row>
    <row r="563" spans="1:17" hidden="1" x14ac:dyDescent="0.2">
      <c r="A563" s="4" t="s">
        <v>2225</v>
      </c>
      <c r="B563" s="4">
        <v>0</v>
      </c>
      <c r="C563" s="4" t="s">
        <v>2225</v>
      </c>
      <c r="D563" s="4" t="s">
        <v>348</v>
      </c>
      <c r="E563" s="4" t="s">
        <v>86</v>
      </c>
      <c r="F563" s="4">
        <v>254</v>
      </c>
      <c r="G563" s="4">
        <v>0</v>
      </c>
      <c r="H563" s="4">
        <v>0</v>
      </c>
      <c r="K563" s="4">
        <v>0</v>
      </c>
      <c r="N563" s="4">
        <v>0</v>
      </c>
      <c r="O563" s="4">
        <v>0</v>
      </c>
      <c r="P563" s="4" t="str">
        <f t="shared" si="8"/>
        <v>FISCAL.DESC19</v>
      </c>
      <c r="Q563" s="4" t="str">
        <f>VLOOKUP(Cobra8.5[[#This Row],[Table.Column]],ColumnMapping[Old Table.Column],1,)</f>
        <v>FISCAL.DESC19</v>
      </c>
    </row>
    <row r="564" spans="1:17" hidden="1" x14ac:dyDescent="0.2">
      <c r="A564" s="4" t="s">
        <v>2225</v>
      </c>
      <c r="B564" s="4">
        <v>0</v>
      </c>
      <c r="C564" s="4" t="s">
        <v>2225</v>
      </c>
      <c r="D564" s="4" t="s">
        <v>328</v>
      </c>
      <c r="E564" s="4" t="s">
        <v>86</v>
      </c>
      <c r="F564" s="4">
        <v>60</v>
      </c>
      <c r="G564" s="4">
        <v>0</v>
      </c>
      <c r="H564" s="4">
        <v>0</v>
      </c>
      <c r="K564" s="4">
        <v>0</v>
      </c>
      <c r="N564" s="4">
        <v>0</v>
      </c>
      <c r="O564" s="4">
        <v>0</v>
      </c>
      <c r="P564" s="4" t="str">
        <f t="shared" si="8"/>
        <v>FISCAL.DOW_HOURS</v>
      </c>
      <c r="Q564" s="4" t="str">
        <f>VLOOKUP(Cobra8.5[[#This Row],[Table.Column]],ColumnMapping[Old Table.Column],1,)</f>
        <v>FISCAL.DOW_HOURS</v>
      </c>
    </row>
    <row r="565" spans="1:17" hidden="1" x14ac:dyDescent="0.2">
      <c r="A565" s="4" t="s">
        <v>2225</v>
      </c>
      <c r="B565" s="4">
        <v>0</v>
      </c>
      <c r="C565" s="4" t="s">
        <v>2225</v>
      </c>
      <c r="D565" s="4" t="s">
        <v>375</v>
      </c>
      <c r="E565" s="4" t="s">
        <v>86</v>
      </c>
      <c r="F565" s="4">
        <v>22</v>
      </c>
      <c r="G565" s="4">
        <v>0</v>
      </c>
      <c r="H565" s="4">
        <v>0</v>
      </c>
      <c r="K565" s="4">
        <v>0</v>
      </c>
      <c r="N565" s="4">
        <v>0</v>
      </c>
      <c r="O565" s="4">
        <v>0</v>
      </c>
      <c r="P565" s="4" t="str">
        <f t="shared" si="8"/>
        <v>FISCAL.FISCFILE</v>
      </c>
      <c r="Q565" s="4" t="str">
        <f>VLOOKUP(Cobra8.5[[#This Row],[Table.Column]],ColumnMapping[Old Table.Column],1,)</f>
        <v>FISCAL.FISCFILE</v>
      </c>
    </row>
    <row r="566" spans="1:17" hidden="1" x14ac:dyDescent="0.2">
      <c r="A566" s="4" t="s">
        <v>2225</v>
      </c>
      <c r="B566" s="4">
        <v>0</v>
      </c>
      <c r="C566" s="4" t="s">
        <v>2225</v>
      </c>
      <c r="D566" s="4" t="s">
        <v>2111</v>
      </c>
      <c r="E566" s="4" t="s">
        <v>356</v>
      </c>
      <c r="F566" s="4">
        <v>-1</v>
      </c>
      <c r="G566" s="4">
        <v>0</v>
      </c>
      <c r="H566" s="4">
        <v>0</v>
      </c>
      <c r="K566" s="4">
        <v>0</v>
      </c>
      <c r="N566" s="4">
        <v>0</v>
      </c>
      <c r="O566" s="4">
        <v>0</v>
      </c>
      <c r="P566" s="4" t="str">
        <f t="shared" si="8"/>
        <v>FISCAL.LASTUPDATE</v>
      </c>
      <c r="Q566" s="4" t="str">
        <f>VLOOKUP(Cobra8.5[[#This Row],[Table.Column]],ColumnMapping[Old Table.Column],1,)</f>
        <v>FISCAL.LASTUPDATE</v>
      </c>
    </row>
    <row r="567" spans="1:17" hidden="1" x14ac:dyDescent="0.2">
      <c r="A567" s="4" t="s">
        <v>2225</v>
      </c>
      <c r="B567" s="4">
        <v>0</v>
      </c>
      <c r="C567" s="4" t="s">
        <v>2225</v>
      </c>
      <c r="D567" s="4" t="s">
        <v>320</v>
      </c>
      <c r="E567" s="4" t="s">
        <v>86</v>
      </c>
      <c r="F567" s="4">
        <v>254</v>
      </c>
      <c r="G567" s="4">
        <v>0</v>
      </c>
      <c r="H567" s="4">
        <v>0</v>
      </c>
      <c r="K567" s="4">
        <v>0</v>
      </c>
      <c r="N567" s="4">
        <v>0</v>
      </c>
      <c r="O567" s="4">
        <v>0</v>
      </c>
      <c r="P567" s="4" t="str">
        <f t="shared" si="8"/>
        <v>FISCAL.PATTERN</v>
      </c>
      <c r="Q567" s="4" t="str">
        <f>VLOOKUP(Cobra8.5[[#This Row],[Table.Column]],ColumnMapping[Old Table.Column],1,)</f>
        <v>FISCAL.PATTERN</v>
      </c>
    </row>
    <row r="568" spans="1:17" hidden="1" x14ac:dyDescent="0.2">
      <c r="A568" s="4" t="s">
        <v>2225</v>
      </c>
      <c r="B568" s="4">
        <v>0</v>
      </c>
      <c r="C568" s="4" t="s">
        <v>2225</v>
      </c>
      <c r="D568" s="4" t="s">
        <v>35</v>
      </c>
      <c r="E568" s="4" t="s">
        <v>2108</v>
      </c>
      <c r="F568" s="4">
        <v>-1</v>
      </c>
      <c r="G568" s="4">
        <v>0</v>
      </c>
      <c r="H568" s="4">
        <v>0</v>
      </c>
      <c r="K568" s="4">
        <v>0</v>
      </c>
      <c r="N568" s="4">
        <v>0</v>
      </c>
      <c r="O568" s="4">
        <v>0</v>
      </c>
      <c r="P568" s="4" t="str">
        <f t="shared" si="8"/>
        <v>FISCAL.SEQUENCE</v>
      </c>
      <c r="Q568" s="4" t="str">
        <f>VLOOKUP(Cobra8.5[[#This Row],[Table.Column]],ColumnMapping[Old Table.Column],1,)</f>
        <v>FISCAL.SEQUENCE</v>
      </c>
    </row>
    <row r="569" spans="1:17" hidden="1" x14ac:dyDescent="0.2">
      <c r="A569" s="4" t="s">
        <v>2225</v>
      </c>
      <c r="B569" s="4">
        <v>0</v>
      </c>
      <c r="C569" s="4" t="s">
        <v>2225</v>
      </c>
      <c r="D569" s="4" t="s">
        <v>2112</v>
      </c>
      <c r="E569" s="4" t="s">
        <v>86</v>
      </c>
      <c r="F569" s="4">
        <v>20</v>
      </c>
      <c r="G569" s="4">
        <v>0</v>
      </c>
      <c r="H569" s="4">
        <v>0</v>
      </c>
      <c r="K569" s="4">
        <v>0</v>
      </c>
      <c r="N569" s="4">
        <v>0</v>
      </c>
      <c r="O569" s="4">
        <v>0</v>
      </c>
      <c r="P569" s="4" t="str">
        <f t="shared" si="8"/>
        <v>FISCAL.USR_ID</v>
      </c>
      <c r="Q569" s="4" t="str">
        <f>VLOOKUP(Cobra8.5[[#This Row],[Table.Column]],ColumnMapping[Old Table.Column],1,)</f>
        <v>FISCAL.USR_ID</v>
      </c>
    </row>
    <row r="570" spans="1:17" hidden="1" x14ac:dyDescent="0.2">
      <c r="A570" s="4" t="s">
        <v>2226</v>
      </c>
      <c r="B570" s="4">
        <v>0</v>
      </c>
      <c r="C570" s="4" t="s">
        <v>2226</v>
      </c>
      <c r="D570" s="4" t="s">
        <v>376</v>
      </c>
      <c r="E570" s="4" t="s">
        <v>86</v>
      </c>
      <c r="F570" s="4">
        <v>20</v>
      </c>
      <c r="G570" s="4">
        <v>0</v>
      </c>
      <c r="H570" s="4">
        <v>0</v>
      </c>
      <c r="K570" s="4">
        <v>0</v>
      </c>
      <c r="N570" s="4">
        <v>0</v>
      </c>
      <c r="O570" s="4">
        <v>0</v>
      </c>
      <c r="P570" s="4" t="str">
        <f t="shared" si="8"/>
        <v>FISCDETL.FIELD00</v>
      </c>
      <c r="Q570" s="4" t="str">
        <f>VLOOKUP(Cobra8.5[[#This Row],[Table.Column]],ColumnMapping[Old Table.Column],1,)</f>
        <v>FISCDETL.FIELD00</v>
      </c>
    </row>
    <row r="571" spans="1:17" hidden="1" x14ac:dyDescent="0.2">
      <c r="A571" s="4" t="s">
        <v>2226</v>
      </c>
      <c r="B571" s="4">
        <v>0</v>
      </c>
      <c r="C571" s="4" t="s">
        <v>2226</v>
      </c>
      <c r="D571" s="4" t="s">
        <v>377</v>
      </c>
      <c r="E571" s="4" t="s">
        <v>86</v>
      </c>
      <c r="F571" s="4">
        <v>20</v>
      </c>
      <c r="G571" s="4">
        <v>0</v>
      </c>
      <c r="H571" s="4">
        <v>0</v>
      </c>
      <c r="K571" s="4">
        <v>0</v>
      </c>
      <c r="N571" s="4">
        <v>0</v>
      </c>
      <c r="O571" s="4">
        <v>0</v>
      </c>
      <c r="P571" s="4" t="str">
        <f t="shared" si="8"/>
        <v>FISCDETL.FIELD01</v>
      </c>
      <c r="Q571" s="4" t="str">
        <f>VLOOKUP(Cobra8.5[[#This Row],[Table.Column]],ColumnMapping[Old Table.Column],1,)</f>
        <v>FISCDETL.FIELD01</v>
      </c>
    </row>
    <row r="572" spans="1:17" hidden="1" x14ac:dyDescent="0.2">
      <c r="A572" s="4" t="s">
        <v>2226</v>
      </c>
      <c r="B572" s="4">
        <v>0</v>
      </c>
      <c r="C572" s="4" t="s">
        <v>2226</v>
      </c>
      <c r="D572" s="4" t="s">
        <v>378</v>
      </c>
      <c r="E572" s="4" t="s">
        <v>86</v>
      </c>
      <c r="F572" s="4">
        <v>20</v>
      </c>
      <c r="G572" s="4">
        <v>0</v>
      </c>
      <c r="H572" s="4">
        <v>0</v>
      </c>
      <c r="K572" s="4">
        <v>0</v>
      </c>
      <c r="N572" s="4">
        <v>0</v>
      </c>
      <c r="O572" s="4">
        <v>0</v>
      </c>
      <c r="P572" s="4" t="str">
        <f t="shared" si="8"/>
        <v>FISCDETL.FIELD02</v>
      </c>
      <c r="Q572" s="4" t="str">
        <f>VLOOKUP(Cobra8.5[[#This Row],[Table.Column]],ColumnMapping[Old Table.Column],1,)</f>
        <v>FISCDETL.FIELD02</v>
      </c>
    </row>
    <row r="573" spans="1:17" hidden="1" x14ac:dyDescent="0.2">
      <c r="A573" s="4" t="s">
        <v>2226</v>
      </c>
      <c r="B573" s="4">
        <v>0</v>
      </c>
      <c r="C573" s="4" t="s">
        <v>2226</v>
      </c>
      <c r="D573" s="4" t="s">
        <v>379</v>
      </c>
      <c r="E573" s="4" t="s">
        <v>86</v>
      </c>
      <c r="F573" s="4">
        <v>20</v>
      </c>
      <c r="G573" s="4">
        <v>0</v>
      </c>
      <c r="H573" s="4">
        <v>0</v>
      </c>
      <c r="K573" s="4">
        <v>0</v>
      </c>
      <c r="N573" s="4">
        <v>0</v>
      </c>
      <c r="O573" s="4">
        <v>0</v>
      </c>
      <c r="P573" s="4" t="str">
        <f t="shared" si="8"/>
        <v>FISCDETL.FIELD03</v>
      </c>
      <c r="Q573" s="4" t="str">
        <f>VLOOKUP(Cobra8.5[[#This Row],[Table.Column]],ColumnMapping[Old Table.Column],1,)</f>
        <v>FISCDETL.FIELD03</v>
      </c>
    </row>
    <row r="574" spans="1:17" hidden="1" x14ac:dyDescent="0.2">
      <c r="A574" s="4" t="s">
        <v>2226</v>
      </c>
      <c r="B574" s="4">
        <v>0</v>
      </c>
      <c r="C574" s="4" t="s">
        <v>2226</v>
      </c>
      <c r="D574" s="4" t="s">
        <v>380</v>
      </c>
      <c r="E574" s="4" t="s">
        <v>86</v>
      </c>
      <c r="F574" s="4">
        <v>20</v>
      </c>
      <c r="G574" s="4">
        <v>0</v>
      </c>
      <c r="H574" s="4">
        <v>0</v>
      </c>
      <c r="K574" s="4">
        <v>0</v>
      </c>
      <c r="N574" s="4">
        <v>0</v>
      </c>
      <c r="O574" s="4">
        <v>0</v>
      </c>
      <c r="P574" s="4" t="str">
        <f t="shared" si="8"/>
        <v>FISCDETL.FIELD04</v>
      </c>
      <c r="Q574" s="4" t="str">
        <f>VLOOKUP(Cobra8.5[[#This Row],[Table.Column]],ColumnMapping[Old Table.Column],1,)</f>
        <v>FISCDETL.FIELD04</v>
      </c>
    </row>
    <row r="575" spans="1:17" hidden="1" x14ac:dyDescent="0.2">
      <c r="A575" s="4" t="s">
        <v>2226</v>
      </c>
      <c r="B575" s="4">
        <v>0</v>
      </c>
      <c r="C575" s="4" t="s">
        <v>2226</v>
      </c>
      <c r="D575" s="4" t="s">
        <v>381</v>
      </c>
      <c r="E575" s="4" t="s">
        <v>86</v>
      </c>
      <c r="F575" s="4">
        <v>20</v>
      </c>
      <c r="G575" s="4">
        <v>0</v>
      </c>
      <c r="H575" s="4">
        <v>0</v>
      </c>
      <c r="K575" s="4">
        <v>0</v>
      </c>
      <c r="N575" s="4">
        <v>0</v>
      </c>
      <c r="O575" s="4">
        <v>0</v>
      </c>
      <c r="P575" s="4" t="str">
        <f t="shared" si="8"/>
        <v>FISCDETL.FIELD05</v>
      </c>
      <c r="Q575" s="4" t="str">
        <f>VLOOKUP(Cobra8.5[[#This Row],[Table.Column]],ColumnMapping[Old Table.Column],1,)</f>
        <v>FISCDETL.FIELD05</v>
      </c>
    </row>
    <row r="576" spans="1:17" hidden="1" x14ac:dyDescent="0.2">
      <c r="A576" s="4" t="s">
        <v>2226</v>
      </c>
      <c r="B576" s="4">
        <v>0</v>
      </c>
      <c r="C576" s="4" t="s">
        <v>2226</v>
      </c>
      <c r="D576" s="4" t="s">
        <v>382</v>
      </c>
      <c r="E576" s="4" t="s">
        <v>86</v>
      </c>
      <c r="F576" s="4">
        <v>20</v>
      </c>
      <c r="G576" s="4">
        <v>0</v>
      </c>
      <c r="H576" s="4">
        <v>0</v>
      </c>
      <c r="K576" s="4">
        <v>0</v>
      </c>
      <c r="N576" s="4">
        <v>0</v>
      </c>
      <c r="O576" s="4">
        <v>0</v>
      </c>
      <c r="P576" s="4" t="str">
        <f t="shared" si="8"/>
        <v>FISCDETL.FIELD06</v>
      </c>
      <c r="Q576" s="4" t="str">
        <f>VLOOKUP(Cobra8.5[[#This Row],[Table.Column]],ColumnMapping[Old Table.Column],1,)</f>
        <v>FISCDETL.FIELD06</v>
      </c>
    </row>
    <row r="577" spans="1:17" hidden="1" x14ac:dyDescent="0.2">
      <c r="A577" s="4" t="s">
        <v>2226</v>
      </c>
      <c r="B577" s="4">
        <v>0</v>
      </c>
      <c r="C577" s="4" t="s">
        <v>2226</v>
      </c>
      <c r="D577" s="4" t="s">
        <v>383</v>
      </c>
      <c r="E577" s="4" t="s">
        <v>86</v>
      </c>
      <c r="F577" s="4">
        <v>20</v>
      </c>
      <c r="G577" s="4">
        <v>0</v>
      </c>
      <c r="H577" s="4">
        <v>0</v>
      </c>
      <c r="K577" s="4">
        <v>0</v>
      </c>
      <c r="N577" s="4">
        <v>0</v>
      </c>
      <c r="O577" s="4">
        <v>0</v>
      </c>
      <c r="P577" s="4" t="str">
        <f t="shared" si="8"/>
        <v>FISCDETL.FIELD07</v>
      </c>
      <c r="Q577" s="4" t="str">
        <f>VLOOKUP(Cobra8.5[[#This Row],[Table.Column]],ColumnMapping[Old Table.Column],1,)</f>
        <v>FISCDETL.FIELD07</v>
      </c>
    </row>
    <row r="578" spans="1:17" hidden="1" x14ac:dyDescent="0.2">
      <c r="A578" s="4" t="s">
        <v>2226</v>
      </c>
      <c r="B578" s="4">
        <v>0</v>
      </c>
      <c r="C578" s="4" t="s">
        <v>2226</v>
      </c>
      <c r="D578" s="4" t="s">
        <v>384</v>
      </c>
      <c r="E578" s="4" t="s">
        <v>86</v>
      </c>
      <c r="F578" s="4">
        <v>20</v>
      </c>
      <c r="G578" s="4">
        <v>0</v>
      </c>
      <c r="H578" s="4">
        <v>0</v>
      </c>
      <c r="K578" s="4">
        <v>0</v>
      </c>
      <c r="N578" s="4">
        <v>0</v>
      </c>
      <c r="O578" s="4">
        <v>0</v>
      </c>
      <c r="P578" s="4" t="str">
        <f t="shared" ref="P578:P641" si="9">_xlfn.CONCAT(A578,".",D578)</f>
        <v>FISCDETL.FIELD08</v>
      </c>
      <c r="Q578" s="4" t="str">
        <f>VLOOKUP(Cobra8.5[[#This Row],[Table.Column]],ColumnMapping[Old Table.Column],1,)</f>
        <v>FISCDETL.FIELD08</v>
      </c>
    </row>
    <row r="579" spans="1:17" hidden="1" x14ac:dyDescent="0.2">
      <c r="A579" s="4" t="s">
        <v>2226</v>
      </c>
      <c r="B579" s="4">
        <v>0</v>
      </c>
      <c r="C579" s="4" t="s">
        <v>2226</v>
      </c>
      <c r="D579" s="4" t="s">
        <v>385</v>
      </c>
      <c r="E579" s="4" t="s">
        <v>86</v>
      </c>
      <c r="F579" s="4">
        <v>20</v>
      </c>
      <c r="G579" s="4">
        <v>0</v>
      </c>
      <c r="H579" s="4">
        <v>0</v>
      </c>
      <c r="K579" s="4">
        <v>0</v>
      </c>
      <c r="N579" s="4">
        <v>0</v>
      </c>
      <c r="O579" s="4">
        <v>0</v>
      </c>
      <c r="P579" s="4" t="str">
        <f t="shared" si="9"/>
        <v>FISCDETL.FIELD09</v>
      </c>
      <c r="Q579" s="4" t="str">
        <f>VLOOKUP(Cobra8.5[[#This Row],[Table.Column]],ColumnMapping[Old Table.Column],1,)</f>
        <v>FISCDETL.FIELD09</v>
      </c>
    </row>
    <row r="580" spans="1:17" hidden="1" x14ac:dyDescent="0.2">
      <c r="A580" s="4" t="s">
        <v>2226</v>
      </c>
      <c r="B580" s="4">
        <v>0</v>
      </c>
      <c r="C580" s="4" t="s">
        <v>2226</v>
      </c>
      <c r="D580" s="4" t="s">
        <v>386</v>
      </c>
      <c r="E580" s="4" t="s">
        <v>86</v>
      </c>
      <c r="F580" s="4">
        <v>20</v>
      </c>
      <c r="G580" s="4">
        <v>0</v>
      </c>
      <c r="H580" s="4">
        <v>0</v>
      </c>
      <c r="K580" s="4">
        <v>0</v>
      </c>
      <c r="N580" s="4">
        <v>0</v>
      </c>
      <c r="O580" s="4">
        <v>0</v>
      </c>
      <c r="P580" s="4" t="str">
        <f t="shared" si="9"/>
        <v>FISCDETL.FIELD10</v>
      </c>
      <c r="Q580" s="4" t="str">
        <f>VLOOKUP(Cobra8.5[[#This Row],[Table.Column]],ColumnMapping[Old Table.Column],1,)</f>
        <v>FISCDETL.FIELD10</v>
      </c>
    </row>
    <row r="581" spans="1:17" hidden="1" x14ac:dyDescent="0.2">
      <c r="A581" s="4" t="s">
        <v>2226</v>
      </c>
      <c r="B581" s="4">
        <v>0</v>
      </c>
      <c r="C581" s="4" t="s">
        <v>2226</v>
      </c>
      <c r="D581" s="4" t="s">
        <v>387</v>
      </c>
      <c r="E581" s="4" t="s">
        <v>86</v>
      </c>
      <c r="F581" s="4">
        <v>20</v>
      </c>
      <c r="G581" s="4">
        <v>0</v>
      </c>
      <c r="H581" s="4">
        <v>0</v>
      </c>
      <c r="K581" s="4">
        <v>0</v>
      </c>
      <c r="N581" s="4">
        <v>0</v>
      </c>
      <c r="O581" s="4">
        <v>0</v>
      </c>
      <c r="P581" s="4" t="str">
        <f t="shared" si="9"/>
        <v>FISCDETL.FIELD11</v>
      </c>
      <c r="Q581" s="4" t="str">
        <f>VLOOKUP(Cobra8.5[[#This Row],[Table.Column]],ColumnMapping[Old Table.Column],1,)</f>
        <v>FISCDETL.FIELD11</v>
      </c>
    </row>
    <row r="582" spans="1:17" hidden="1" x14ac:dyDescent="0.2">
      <c r="A582" s="4" t="s">
        <v>2226</v>
      </c>
      <c r="B582" s="4">
        <v>0</v>
      </c>
      <c r="C582" s="4" t="s">
        <v>2226</v>
      </c>
      <c r="D582" s="4" t="s">
        <v>388</v>
      </c>
      <c r="E582" s="4" t="s">
        <v>86</v>
      </c>
      <c r="F582" s="4">
        <v>20</v>
      </c>
      <c r="G582" s="4">
        <v>0</v>
      </c>
      <c r="H582" s="4">
        <v>0</v>
      </c>
      <c r="K582" s="4">
        <v>0</v>
      </c>
      <c r="N582" s="4">
        <v>0</v>
      </c>
      <c r="O582" s="4">
        <v>0</v>
      </c>
      <c r="P582" s="4" t="str">
        <f t="shared" si="9"/>
        <v>FISCDETL.FIELD12</v>
      </c>
      <c r="Q582" s="4" t="str">
        <f>VLOOKUP(Cobra8.5[[#This Row],[Table.Column]],ColumnMapping[Old Table.Column],1,)</f>
        <v>FISCDETL.FIELD12</v>
      </c>
    </row>
    <row r="583" spans="1:17" hidden="1" x14ac:dyDescent="0.2">
      <c r="A583" s="4" t="s">
        <v>2226</v>
      </c>
      <c r="B583" s="4">
        <v>0</v>
      </c>
      <c r="C583" s="4" t="s">
        <v>2226</v>
      </c>
      <c r="D583" s="4" t="s">
        <v>389</v>
      </c>
      <c r="E583" s="4" t="s">
        <v>86</v>
      </c>
      <c r="F583" s="4">
        <v>20</v>
      </c>
      <c r="G583" s="4">
        <v>0</v>
      </c>
      <c r="H583" s="4">
        <v>0</v>
      </c>
      <c r="K583" s="4">
        <v>0</v>
      </c>
      <c r="N583" s="4">
        <v>0</v>
      </c>
      <c r="O583" s="4">
        <v>0</v>
      </c>
      <c r="P583" s="4" t="str">
        <f t="shared" si="9"/>
        <v>FISCDETL.FIELD13</v>
      </c>
      <c r="Q583" s="4" t="str">
        <f>VLOOKUP(Cobra8.5[[#This Row],[Table.Column]],ColumnMapping[Old Table.Column],1,)</f>
        <v>FISCDETL.FIELD13</v>
      </c>
    </row>
    <row r="584" spans="1:17" hidden="1" x14ac:dyDescent="0.2">
      <c r="A584" s="4" t="s">
        <v>2226</v>
      </c>
      <c r="B584" s="4">
        <v>0</v>
      </c>
      <c r="C584" s="4" t="s">
        <v>2226</v>
      </c>
      <c r="D584" s="4" t="s">
        <v>390</v>
      </c>
      <c r="E584" s="4" t="s">
        <v>86</v>
      </c>
      <c r="F584" s="4">
        <v>20</v>
      </c>
      <c r="G584" s="4">
        <v>0</v>
      </c>
      <c r="H584" s="4">
        <v>0</v>
      </c>
      <c r="K584" s="4">
        <v>0</v>
      </c>
      <c r="N584" s="4">
        <v>0</v>
      </c>
      <c r="O584" s="4">
        <v>0</v>
      </c>
      <c r="P584" s="4" t="str">
        <f t="shared" si="9"/>
        <v>FISCDETL.FIELD14</v>
      </c>
      <c r="Q584" s="4" t="str">
        <f>VLOOKUP(Cobra8.5[[#This Row],[Table.Column]],ColumnMapping[Old Table.Column],1,)</f>
        <v>FISCDETL.FIELD14</v>
      </c>
    </row>
    <row r="585" spans="1:17" hidden="1" x14ac:dyDescent="0.2">
      <c r="A585" s="4" t="s">
        <v>2226</v>
      </c>
      <c r="B585" s="4">
        <v>0</v>
      </c>
      <c r="C585" s="4" t="s">
        <v>2226</v>
      </c>
      <c r="D585" s="4" t="s">
        <v>391</v>
      </c>
      <c r="E585" s="4" t="s">
        <v>86</v>
      </c>
      <c r="F585" s="4">
        <v>20</v>
      </c>
      <c r="G585" s="4">
        <v>0</v>
      </c>
      <c r="H585" s="4">
        <v>0</v>
      </c>
      <c r="K585" s="4">
        <v>0</v>
      </c>
      <c r="N585" s="4">
        <v>0</v>
      </c>
      <c r="O585" s="4">
        <v>0</v>
      </c>
      <c r="P585" s="4" t="str">
        <f t="shared" si="9"/>
        <v>FISCDETL.FIELD15</v>
      </c>
      <c r="Q585" s="4" t="str">
        <f>VLOOKUP(Cobra8.5[[#This Row],[Table.Column]],ColumnMapping[Old Table.Column],1,)</f>
        <v>FISCDETL.FIELD15</v>
      </c>
    </row>
    <row r="586" spans="1:17" hidden="1" x14ac:dyDescent="0.2">
      <c r="A586" s="4" t="s">
        <v>2226</v>
      </c>
      <c r="B586" s="4">
        <v>0</v>
      </c>
      <c r="C586" s="4" t="s">
        <v>2226</v>
      </c>
      <c r="D586" s="4" t="s">
        <v>392</v>
      </c>
      <c r="E586" s="4" t="s">
        <v>86</v>
      </c>
      <c r="F586" s="4">
        <v>20</v>
      </c>
      <c r="G586" s="4">
        <v>0</v>
      </c>
      <c r="H586" s="4">
        <v>0</v>
      </c>
      <c r="K586" s="4">
        <v>0</v>
      </c>
      <c r="N586" s="4">
        <v>0</v>
      </c>
      <c r="O586" s="4">
        <v>0</v>
      </c>
      <c r="P586" s="4" t="str">
        <f t="shared" si="9"/>
        <v>FISCDETL.FIELD16</v>
      </c>
      <c r="Q586" s="4" t="str">
        <f>VLOOKUP(Cobra8.5[[#This Row],[Table.Column]],ColumnMapping[Old Table.Column],1,)</f>
        <v>FISCDETL.FIELD16</v>
      </c>
    </row>
    <row r="587" spans="1:17" hidden="1" x14ac:dyDescent="0.2">
      <c r="A587" s="4" t="s">
        <v>2226</v>
      </c>
      <c r="B587" s="4">
        <v>0</v>
      </c>
      <c r="C587" s="4" t="s">
        <v>2226</v>
      </c>
      <c r="D587" s="4" t="s">
        <v>393</v>
      </c>
      <c r="E587" s="4" t="s">
        <v>86</v>
      </c>
      <c r="F587" s="4">
        <v>20</v>
      </c>
      <c r="G587" s="4">
        <v>0</v>
      </c>
      <c r="H587" s="4">
        <v>0</v>
      </c>
      <c r="K587" s="4">
        <v>0</v>
      </c>
      <c r="N587" s="4">
        <v>0</v>
      </c>
      <c r="O587" s="4">
        <v>0</v>
      </c>
      <c r="P587" s="4" t="str">
        <f t="shared" si="9"/>
        <v>FISCDETL.FIELD17</v>
      </c>
      <c r="Q587" s="4" t="str">
        <f>VLOOKUP(Cobra8.5[[#This Row],[Table.Column]],ColumnMapping[Old Table.Column],1,)</f>
        <v>FISCDETL.FIELD17</v>
      </c>
    </row>
    <row r="588" spans="1:17" hidden="1" x14ac:dyDescent="0.2">
      <c r="A588" s="4" t="s">
        <v>2226</v>
      </c>
      <c r="B588" s="4">
        <v>0</v>
      </c>
      <c r="C588" s="4" t="s">
        <v>2226</v>
      </c>
      <c r="D588" s="4" t="s">
        <v>394</v>
      </c>
      <c r="E588" s="4" t="s">
        <v>86</v>
      </c>
      <c r="F588" s="4">
        <v>20</v>
      </c>
      <c r="G588" s="4">
        <v>0</v>
      </c>
      <c r="H588" s="4">
        <v>0</v>
      </c>
      <c r="K588" s="4">
        <v>0</v>
      </c>
      <c r="N588" s="4">
        <v>0</v>
      </c>
      <c r="O588" s="4">
        <v>0</v>
      </c>
      <c r="P588" s="4" t="str">
        <f t="shared" si="9"/>
        <v>FISCDETL.FIELD18</v>
      </c>
      <c r="Q588" s="4" t="str">
        <f>VLOOKUP(Cobra8.5[[#This Row],[Table.Column]],ColumnMapping[Old Table.Column],1,)</f>
        <v>FISCDETL.FIELD18</v>
      </c>
    </row>
    <row r="589" spans="1:17" hidden="1" x14ac:dyDescent="0.2">
      <c r="A589" s="4" t="s">
        <v>2226</v>
      </c>
      <c r="B589" s="4">
        <v>0</v>
      </c>
      <c r="C589" s="4" t="s">
        <v>2226</v>
      </c>
      <c r="D589" s="4" t="s">
        <v>395</v>
      </c>
      <c r="E589" s="4" t="s">
        <v>86</v>
      </c>
      <c r="F589" s="4">
        <v>20</v>
      </c>
      <c r="G589" s="4">
        <v>0</v>
      </c>
      <c r="H589" s="4">
        <v>0</v>
      </c>
      <c r="K589" s="4">
        <v>0</v>
      </c>
      <c r="N589" s="4">
        <v>0</v>
      </c>
      <c r="O589" s="4">
        <v>0</v>
      </c>
      <c r="P589" s="4" t="str">
        <f t="shared" si="9"/>
        <v>FISCDETL.FIELD19</v>
      </c>
      <c r="Q589" s="4" t="str">
        <f>VLOOKUP(Cobra8.5[[#This Row],[Table.Column]],ColumnMapping[Old Table.Column],1,)</f>
        <v>FISCDETL.FIELD19</v>
      </c>
    </row>
    <row r="590" spans="1:17" hidden="1" x14ac:dyDescent="0.2">
      <c r="A590" s="4" t="s">
        <v>2226</v>
      </c>
      <c r="B590" s="4">
        <v>0</v>
      </c>
      <c r="C590" s="4" t="s">
        <v>2226</v>
      </c>
      <c r="D590" s="4" t="s">
        <v>2227</v>
      </c>
      <c r="E590" s="4" t="s">
        <v>86</v>
      </c>
      <c r="F590" s="4">
        <v>1</v>
      </c>
      <c r="G590" s="4">
        <v>0</v>
      </c>
      <c r="H590" s="4">
        <v>0</v>
      </c>
      <c r="K590" s="4">
        <v>0</v>
      </c>
      <c r="N590" s="4">
        <v>0</v>
      </c>
      <c r="O590" s="4">
        <v>0</v>
      </c>
      <c r="P590" s="4" t="str">
        <f t="shared" si="9"/>
        <v>FISCDETL.FLAG00</v>
      </c>
      <c r="Q590" s="4" t="e">
        <f>VLOOKUP(Cobra8.5[[#This Row],[Table.Column]],ColumnMapping[Old Table.Column],1,)</f>
        <v>#N/A</v>
      </c>
    </row>
    <row r="591" spans="1:17" hidden="1" x14ac:dyDescent="0.2">
      <c r="A591" s="4" t="s">
        <v>2226</v>
      </c>
      <c r="B591" s="4">
        <v>0</v>
      </c>
      <c r="C591" s="4" t="s">
        <v>2226</v>
      </c>
      <c r="D591" s="4" t="s">
        <v>396</v>
      </c>
      <c r="E591" s="4" t="s">
        <v>86</v>
      </c>
      <c r="F591" s="4">
        <v>1</v>
      </c>
      <c r="G591" s="4">
        <v>0</v>
      </c>
      <c r="H591" s="4">
        <v>0</v>
      </c>
      <c r="K591" s="4">
        <v>0</v>
      </c>
      <c r="N591" s="4">
        <v>0</v>
      </c>
      <c r="O591" s="4">
        <v>0</v>
      </c>
      <c r="P591" s="4" t="str">
        <f t="shared" si="9"/>
        <v>FISCDETL.FLAG01</v>
      </c>
      <c r="Q591" s="4" t="str">
        <f>VLOOKUP(Cobra8.5[[#This Row],[Table.Column]],ColumnMapping[Old Table.Column],1,)</f>
        <v>FISCDETL.FLAG01</v>
      </c>
    </row>
    <row r="592" spans="1:17" hidden="1" x14ac:dyDescent="0.2">
      <c r="A592" s="4" t="s">
        <v>2226</v>
      </c>
      <c r="B592" s="4">
        <v>0</v>
      </c>
      <c r="C592" s="4" t="s">
        <v>2226</v>
      </c>
      <c r="D592" s="4" t="s">
        <v>397</v>
      </c>
      <c r="E592" s="4" t="s">
        <v>86</v>
      </c>
      <c r="F592" s="4">
        <v>1</v>
      </c>
      <c r="G592" s="4">
        <v>0</v>
      </c>
      <c r="H592" s="4">
        <v>0</v>
      </c>
      <c r="K592" s="4">
        <v>0</v>
      </c>
      <c r="N592" s="4">
        <v>0</v>
      </c>
      <c r="O592" s="4">
        <v>0</v>
      </c>
      <c r="P592" s="4" t="str">
        <f t="shared" si="9"/>
        <v>FISCDETL.FLAG02</v>
      </c>
      <c r="Q592" s="4" t="str">
        <f>VLOOKUP(Cobra8.5[[#This Row],[Table.Column]],ColumnMapping[Old Table.Column],1,)</f>
        <v>FISCDETL.FLAG02</v>
      </c>
    </row>
    <row r="593" spans="1:17" hidden="1" x14ac:dyDescent="0.2">
      <c r="A593" s="4" t="s">
        <v>2226</v>
      </c>
      <c r="B593" s="4">
        <v>0</v>
      </c>
      <c r="C593" s="4" t="s">
        <v>2226</v>
      </c>
      <c r="D593" s="4" t="s">
        <v>398</v>
      </c>
      <c r="E593" s="4" t="s">
        <v>86</v>
      </c>
      <c r="F593" s="4">
        <v>1</v>
      </c>
      <c r="G593" s="4">
        <v>0</v>
      </c>
      <c r="H593" s="4">
        <v>0</v>
      </c>
      <c r="K593" s="4">
        <v>0</v>
      </c>
      <c r="N593" s="4">
        <v>0</v>
      </c>
      <c r="O593" s="4">
        <v>0</v>
      </c>
      <c r="P593" s="4" t="str">
        <f t="shared" si="9"/>
        <v>FISCDETL.FLAG03</v>
      </c>
      <c r="Q593" s="4" t="str">
        <f>VLOOKUP(Cobra8.5[[#This Row],[Table.Column]],ColumnMapping[Old Table.Column],1,)</f>
        <v>FISCDETL.FLAG03</v>
      </c>
    </row>
    <row r="594" spans="1:17" hidden="1" x14ac:dyDescent="0.2">
      <c r="A594" s="4" t="s">
        <v>2226</v>
      </c>
      <c r="B594" s="4">
        <v>0</v>
      </c>
      <c r="C594" s="4" t="s">
        <v>2226</v>
      </c>
      <c r="D594" s="4" t="s">
        <v>399</v>
      </c>
      <c r="E594" s="4" t="s">
        <v>86</v>
      </c>
      <c r="F594" s="4">
        <v>1</v>
      </c>
      <c r="G594" s="4">
        <v>0</v>
      </c>
      <c r="H594" s="4">
        <v>0</v>
      </c>
      <c r="K594" s="4">
        <v>0</v>
      </c>
      <c r="N594" s="4">
        <v>0</v>
      </c>
      <c r="O594" s="4">
        <v>0</v>
      </c>
      <c r="P594" s="4" t="str">
        <f t="shared" si="9"/>
        <v>FISCDETL.FLAG04</v>
      </c>
      <c r="Q594" s="4" t="str">
        <f>VLOOKUP(Cobra8.5[[#This Row],[Table.Column]],ColumnMapping[Old Table.Column],1,)</f>
        <v>FISCDETL.FLAG04</v>
      </c>
    </row>
    <row r="595" spans="1:17" hidden="1" x14ac:dyDescent="0.2">
      <c r="A595" s="4" t="s">
        <v>2226</v>
      </c>
      <c r="B595" s="4">
        <v>0</v>
      </c>
      <c r="C595" s="4" t="s">
        <v>2226</v>
      </c>
      <c r="D595" s="4" t="s">
        <v>400</v>
      </c>
      <c r="E595" s="4" t="s">
        <v>86</v>
      </c>
      <c r="F595" s="4">
        <v>1</v>
      </c>
      <c r="G595" s="4">
        <v>0</v>
      </c>
      <c r="H595" s="4">
        <v>0</v>
      </c>
      <c r="K595" s="4">
        <v>0</v>
      </c>
      <c r="N595" s="4">
        <v>0</v>
      </c>
      <c r="O595" s="4">
        <v>0</v>
      </c>
      <c r="P595" s="4" t="str">
        <f t="shared" si="9"/>
        <v>FISCDETL.FLAG05</v>
      </c>
      <c r="Q595" s="4" t="str">
        <f>VLOOKUP(Cobra8.5[[#This Row],[Table.Column]],ColumnMapping[Old Table.Column],1,)</f>
        <v>FISCDETL.FLAG05</v>
      </c>
    </row>
    <row r="596" spans="1:17" hidden="1" x14ac:dyDescent="0.2">
      <c r="A596" s="4" t="s">
        <v>2226</v>
      </c>
      <c r="B596" s="4">
        <v>0</v>
      </c>
      <c r="C596" s="4" t="s">
        <v>2226</v>
      </c>
      <c r="D596" s="4" t="s">
        <v>401</v>
      </c>
      <c r="E596" s="4" t="s">
        <v>86</v>
      </c>
      <c r="F596" s="4">
        <v>1</v>
      </c>
      <c r="G596" s="4">
        <v>0</v>
      </c>
      <c r="H596" s="4">
        <v>0</v>
      </c>
      <c r="K596" s="4">
        <v>0</v>
      </c>
      <c r="N596" s="4">
        <v>0</v>
      </c>
      <c r="O596" s="4">
        <v>0</v>
      </c>
      <c r="P596" s="4" t="str">
        <f t="shared" si="9"/>
        <v>FISCDETL.FLAG06</v>
      </c>
      <c r="Q596" s="4" t="str">
        <f>VLOOKUP(Cobra8.5[[#This Row],[Table.Column]],ColumnMapping[Old Table.Column],1,)</f>
        <v>FISCDETL.FLAG06</v>
      </c>
    </row>
    <row r="597" spans="1:17" hidden="1" x14ac:dyDescent="0.2">
      <c r="A597" s="4" t="s">
        <v>2226</v>
      </c>
      <c r="B597" s="4">
        <v>0</v>
      </c>
      <c r="C597" s="4" t="s">
        <v>2226</v>
      </c>
      <c r="D597" s="4" t="s">
        <v>402</v>
      </c>
      <c r="E597" s="4" t="s">
        <v>86</v>
      </c>
      <c r="F597" s="4">
        <v>1</v>
      </c>
      <c r="G597" s="4">
        <v>0</v>
      </c>
      <c r="H597" s="4">
        <v>0</v>
      </c>
      <c r="K597" s="4">
        <v>0</v>
      </c>
      <c r="N597" s="4">
        <v>0</v>
      </c>
      <c r="O597" s="4">
        <v>0</v>
      </c>
      <c r="P597" s="4" t="str">
        <f t="shared" si="9"/>
        <v>FISCDETL.FLAG07</v>
      </c>
      <c r="Q597" s="4" t="str">
        <f>VLOOKUP(Cobra8.5[[#This Row],[Table.Column]],ColumnMapping[Old Table.Column],1,)</f>
        <v>FISCDETL.FLAG07</v>
      </c>
    </row>
    <row r="598" spans="1:17" hidden="1" x14ac:dyDescent="0.2">
      <c r="A598" s="4" t="s">
        <v>2226</v>
      </c>
      <c r="B598" s="4">
        <v>0</v>
      </c>
      <c r="C598" s="4" t="s">
        <v>2226</v>
      </c>
      <c r="D598" s="4" t="s">
        <v>403</v>
      </c>
      <c r="E598" s="4" t="s">
        <v>86</v>
      </c>
      <c r="F598" s="4">
        <v>1</v>
      </c>
      <c r="G598" s="4">
        <v>0</v>
      </c>
      <c r="H598" s="4">
        <v>0</v>
      </c>
      <c r="K598" s="4">
        <v>0</v>
      </c>
      <c r="N598" s="4">
        <v>0</v>
      </c>
      <c r="O598" s="4">
        <v>0</v>
      </c>
      <c r="P598" s="4" t="str">
        <f t="shared" si="9"/>
        <v>FISCDETL.FLAG08</v>
      </c>
      <c r="Q598" s="4" t="str">
        <f>VLOOKUP(Cobra8.5[[#This Row],[Table.Column]],ColumnMapping[Old Table.Column],1,)</f>
        <v>FISCDETL.FLAG08</v>
      </c>
    </row>
    <row r="599" spans="1:17" hidden="1" x14ac:dyDescent="0.2">
      <c r="A599" s="4" t="s">
        <v>2226</v>
      </c>
      <c r="B599" s="4">
        <v>0</v>
      </c>
      <c r="C599" s="4" t="s">
        <v>2226</v>
      </c>
      <c r="D599" s="4" t="s">
        <v>404</v>
      </c>
      <c r="E599" s="4" t="s">
        <v>86</v>
      </c>
      <c r="F599" s="4">
        <v>1</v>
      </c>
      <c r="G599" s="4">
        <v>0</v>
      </c>
      <c r="H599" s="4">
        <v>0</v>
      </c>
      <c r="K599" s="4">
        <v>0</v>
      </c>
      <c r="N599" s="4">
        <v>0</v>
      </c>
      <c r="O599" s="4">
        <v>0</v>
      </c>
      <c r="P599" s="4" t="str">
        <f t="shared" si="9"/>
        <v>FISCDETL.FLAG09</v>
      </c>
      <c r="Q599" s="4" t="str">
        <f>VLOOKUP(Cobra8.5[[#This Row],[Table.Column]],ColumnMapping[Old Table.Column],1,)</f>
        <v>FISCDETL.FLAG09</v>
      </c>
    </row>
    <row r="600" spans="1:17" hidden="1" x14ac:dyDescent="0.2">
      <c r="A600" s="4" t="s">
        <v>2226</v>
      </c>
      <c r="B600" s="4">
        <v>0</v>
      </c>
      <c r="C600" s="4" t="s">
        <v>2226</v>
      </c>
      <c r="D600" s="4" t="s">
        <v>405</v>
      </c>
      <c r="E600" s="4" t="s">
        <v>86</v>
      </c>
      <c r="F600" s="4">
        <v>1</v>
      </c>
      <c r="G600" s="4">
        <v>0</v>
      </c>
      <c r="H600" s="4">
        <v>0</v>
      </c>
      <c r="K600" s="4">
        <v>0</v>
      </c>
      <c r="N600" s="4">
        <v>0</v>
      </c>
      <c r="O600" s="4">
        <v>0</v>
      </c>
      <c r="P600" s="4" t="str">
        <f t="shared" si="9"/>
        <v>FISCDETL.FLAG10</v>
      </c>
      <c r="Q600" s="4" t="str">
        <f>VLOOKUP(Cobra8.5[[#This Row],[Table.Column]],ColumnMapping[Old Table.Column],1,)</f>
        <v>FISCDETL.FLAG10</v>
      </c>
    </row>
    <row r="601" spans="1:17" hidden="1" x14ac:dyDescent="0.2">
      <c r="A601" s="4" t="s">
        <v>2226</v>
      </c>
      <c r="B601" s="4">
        <v>0</v>
      </c>
      <c r="C601" s="4" t="s">
        <v>2226</v>
      </c>
      <c r="D601" s="4" t="s">
        <v>406</v>
      </c>
      <c r="E601" s="4" t="s">
        <v>86</v>
      </c>
      <c r="F601" s="4">
        <v>1</v>
      </c>
      <c r="G601" s="4">
        <v>0</v>
      </c>
      <c r="H601" s="4">
        <v>0</v>
      </c>
      <c r="K601" s="4">
        <v>0</v>
      </c>
      <c r="N601" s="4">
        <v>0</v>
      </c>
      <c r="O601" s="4">
        <v>0</v>
      </c>
      <c r="P601" s="4" t="str">
        <f t="shared" si="9"/>
        <v>FISCDETL.FLAG11</v>
      </c>
      <c r="Q601" s="4" t="str">
        <f>VLOOKUP(Cobra8.5[[#This Row],[Table.Column]],ColumnMapping[Old Table.Column],1,)</f>
        <v>FISCDETL.FLAG11</v>
      </c>
    </row>
    <row r="602" spans="1:17" hidden="1" x14ac:dyDescent="0.2">
      <c r="A602" s="4" t="s">
        <v>2226</v>
      </c>
      <c r="B602" s="4">
        <v>0</v>
      </c>
      <c r="C602" s="4" t="s">
        <v>2226</v>
      </c>
      <c r="D602" s="4" t="s">
        <v>407</v>
      </c>
      <c r="E602" s="4" t="s">
        <v>86</v>
      </c>
      <c r="F602" s="4">
        <v>1</v>
      </c>
      <c r="G602" s="4">
        <v>0</v>
      </c>
      <c r="H602" s="4">
        <v>0</v>
      </c>
      <c r="K602" s="4">
        <v>0</v>
      </c>
      <c r="N602" s="4">
        <v>0</v>
      </c>
      <c r="O602" s="4">
        <v>0</v>
      </c>
      <c r="P602" s="4" t="str">
        <f t="shared" si="9"/>
        <v>FISCDETL.FLAG12</v>
      </c>
      <c r="Q602" s="4" t="str">
        <f>VLOOKUP(Cobra8.5[[#This Row],[Table.Column]],ColumnMapping[Old Table.Column],1,)</f>
        <v>FISCDETL.FLAG12</v>
      </c>
    </row>
    <row r="603" spans="1:17" hidden="1" x14ac:dyDescent="0.2">
      <c r="A603" s="4" t="s">
        <v>2226</v>
      </c>
      <c r="B603" s="4">
        <v>0</v>
      </c>
      <c r="C603" s="4" t="s">
        <v>2226</v>
      </c>
      <c r="D603" s="4" t="s">
        <v>408</v>
      </c>
      <c r="E603" s="4" t="s">
        <v>86</v>
      </c>
      <c r="F603" s="4">
        <v>1</v>
      </c>
      <c r="G603" s="4">
        <v>0</v>
      </c>
      <c r="H603" s="4">
        <v>0</v>
      </c>
      <c r="K603" s="4">
        <v>0</v>
      </c>
      <c r="N603" s="4">
        <v>0</v>
      </c>
      <c r="O603" s="4">
        <v>0</v>
      </c>
      <c r="P603" s="4" t="str">
        <f t="shared" si="9"/>
        <v>FISCDETL.FLAG13</v>
      </c>
      <c r="Q603" s="4" t="str">
        <f>VLOOKUP(Cobra8.5[[#This Row],[Table.Column]],ColumnMapping[Old Table.Column],1,)</f>
        <v>FISCDETL.FLAG13</v>
      </c>
    </row>
    <row r="604" spans="1:17" hidden="1" x14ac:dyDescent="0.2">
      <c r="A604" s="4" t="s">
        <v>2226</v>
      </c>
      <c r="B604" s="4">
        <v>0</v>
      </c>
      <c r="C604" s="4" t="s">
        <v>2226</v>
      </c>
      <c r="D604" s="4" t="s">
        <v>409</v>
      </c>
      <c r="E604" s="4" t="s">
        <v>86</v>
      </c>
      <c r="F604" s="4">
        <v>1</v>
      </c>
      <c r="G604" s="4">
        <v>0</v>
      </c>
      <c r="H604" s="4">
        <v>0</v>
      </c>
      <c r="K604" s="4">
        <v>0</v>
      </c>
      <c r="N604" s="4">
        <v>0</v>
      </c>
      <c r="O604" s="4">
        <v>0</v>
      </c>
      <c r="P604" s="4" t="str">
        <f t="shared" si="9"/>
        <v>FISCDETL.FLAG14</v>
      </c>
      <c r="Q604" s="4" t="str">
        <f>VLOOKUP(Cobra8.5[[#This Row],[Table.Column]],ColumnMapping[Old Table.Column],1,)</f>
        <v>FISCDETL.FLAG14</v>
      </c>
    </row>
    <row r="605" spans="1:17" hidden="1" x14ac:dyDescent="0.2">
      <c r="A605" s="4" t="s">
        <v>2226</v>
      </c>
      <c r="B605" s="4">
        <v>0</v>
      </c>
      <c r="C605" s="4" t="s">
        <v>2226</v>
      </c>
      <c r="D605" s="4" t="s">
        <v>410</v>
      </c>
      <c r="E605" s="4" t="s">
        <v>86</v>
      </c>
      <c r="F605" s="4">
        <v>1</v>
      </c>
      <c r="G605" s="4">
        <v>0</v>
      </c>
      <c r="H605" s="4">
        <v>0</v>
      </c>
      <c r="K605" s="4">
        <v>0</v>
      </c>
      <c r="N605" s="4">
        <v>0</v>
      </c>
      <c r="O605" s="4">
        <v>0</v>
      </c>
      <c r="P605" s="4" t="str">
        <f t="shared" si="9"/>
        <v>FISCDETL.FLAG15</v>
      </c>
      <c r="Q605" s="4" t="str">
        <f>VLOOKUP(Cobra8.5[[#This Row],[Table.Column]],ColumnMapping[Old Table.Column],1,)</f>
        <v>FISCDETL.FLAG15</v>
      </c>
    </row>
    <row r="606" spans="1:17" hidden="1" x14ac:dyDescent="0.2">
      <c r="A606" s="4" t="s">
        <v>2226</v>
      </c>
      <c r="B606" s="4">
        <v>0</v>
      </c>
      <c r="C606" s="4" t="s">
        <v>2226</v>
      </c>
      <c r="D606" s="4" t="s">
        <v>411</v>
      </c>
      <c r="E606" s="4" t="s">
        <v>86</v>
      </c>
      <c r="F606" s="4">
        <v>1</v>
      </c>
      <c r="G606" s="4">
        <v>0</v>
      </c>
      <c r="H606" s="4">
        <v>0</v>
      </c>
      <c r="K606" s="4">
        <v>0</v>
      </c>
      <c r="N606" s="4">
        <v>0</v>
      </c>
      <c r="O606" s="4">
        <v>0</v>
      </c>
      <c r="P606" s="4" t="str">
        <f t="shared" si="9"/>
        <v>FISCDETL.FLAG16</v>
      </c>
      <c r="Q606" s="4" t="str">
        <f>VLOOKUP(Cobra8.5[[#This Row],[Table.Column]],ColumnMapping[Old Table.Column],1,)</f>
        <v>FISCDETL.FLAG16</v>
      </c>
    </row>
    <row r="607" spans="1:17" hidden="1" x14ac:dyDescent="0.2">
      <c r="A607" s="4" t="s">
        <v>2226</v>
      </c>
      <c r="B607" s="4">
        <v>0</v>
      </c>
      <c r="C607" s="4" t="s">
        <v>2226</v>
      </c>
      <c r="D607" s="4" t="s">
        <v>412</v>
      </c>
      <c r="E607" s="4" t="s">
        <v>86</v>
      </c>
      <c r="F607" s="4">
        <v>1</v>
      </c>
      <c r="G607" s="4">
        <v>0</v>
      </c>
      <c r="H607" s="4">
        <v>0</v>
      </c>
      <c r="K607" s="4">
        <v>0</v>
      </c>
      <c r="N607" s="4">
        <v>0</v>
      </c>
      <c r="O607" s="4">
        <v>0</v>
      </c>
      <c r="P607" s="4" t="str">
        <f t="shared" si="9"/>
        <v>FISCDETL.FLAG17</v>
      </c>
      <c r="Q607" s="4" t="str">
        <f>VLOOKUP(Cobra8.5[[#This Row],[Table.Column]],ColumnMapping[Old Table.Column],1,)</f>
        <v>FISCDETL.FLAG17</v>
      </c>
    </row>
    <row r="608" spans="1:17" hidden="1" x14ac:dyDescent="0.2">
      <c r="A608" s="4" t="s">
        <v>2226</v>
      </c>
      <c r="B608" s="4">
        <v>0</v>
      </c>
      <c r="C608" s="4" t="s">
        <v>2226</v>
      </c>
      <c r="D608" s="4" t="s">
        <v>413</v>
      </c>
      <c r="E608" s="4" t="s">
        <v>86</v>
      </c>
      <c r="F608" s="4">
        <v>1</v>
      </c>
      <c r="G608" s="4">
        <v>0</v>
      </c>
      <c r="H608" s="4">
        <v>0</v>
      </c>
      <c r="K608" s="4">
        <v>0</v>
      </c>
      <c r="N608" s="4">
        <v>0</v>
      </c>
      <c r="O608" s="4">
        <v>0</v>
      </c>
      <c r="P608" s="4" t="str">
        <f t="shared" si="9"/>
        <v>FISCDETL.FLAG18</v>
      </c>
      <c r="Q608" s="4" t="str">
        <f>VLOOKUP(Cobra8.5[[#This Row],[Table.Column]],ColumnMapping[Old Table.Column],1,)</f>
        <v>FISCDETL.FLAG18</v>
      </c>
    </row>
    <row r="609" spans="1:17" hidden="1" x14ac:dyDescent="0.2">
      <c r="A609" s="4" t="s">
        <v>2226</v>
      </c>
      <c r="B609" s="4">
        <v>0</v>
      </c>
      <c r="C609" s="4" t="s">
        <v>2226</v>
      </c>
      <c r="D609" s="4" t="s">
        <v>414</v>
      </c>
      <c r="E609" s="4" t="s">
        <v>86</v>
      </c>
      <c r="F609" s="4">
        <v>1</v>
      </c>
      <c r="G609" s="4">
        <v>0</v>
      </c>
      <c r="H609" s="4">
        <v>0</v>
      </c>
      <c r="K609" s="4">
        <v>0</v>
      </c>
      <c r="N609" s="4">
        <v>0</v>
      </c>
      <c r="O609" s="4">
        <v>0</v>
      </c>
      <c r="P609" s="4" t="str">
        <f t="shared" si="9"/>
        <v>FISCDETL.FLAG19</v>
      </c>
      <c r="Q609" s="4" t="str">
        <f>VLOOKUP(Cobra8.5[[#This Row],[Table.Column]],ColumnMapping[Old Table.Column],1,)</f>
        <v>FISCDETL.FLAG19</v>
      </c>
    </row>
    <row r="610" spans="1:17" hidden="1" x14ac:dyDescent="0.2">
      <c r="A610" s="4" t="s">
        <v>2226</v>
      </c>
      <c r="B610" s="4">
        <v>0</v>
      </c>
      <c r="C610" s="4" t="s">
        <v>2226</v>
      </c>
      <c r="D610" s="4" t="s">
        <v>375</v>
      </c>
      <c r="E610" s="4" t="s">
        <v>86</v>
      </c>
      <c r="F610" s="4">
        <v>22</v>
      </c>
      <c r="G610" s="4">
        <v>0</v>
      </c>
      <c r="H610" s="4">
        <v>0</v>
      </c>
      <c r="K610" s="4">
        <v>0</v>
      </c>
      <c r="N610" s="4">
        <v>0</v>
      </c>
      <c r="O610" s="4">
        <v>0</v>
      </c>
      <c r="P610" s="4" t="str">
        <f t="shared" si="9"/>
        <v>FISCDETL.FISCFILE</v>
      </c>
      <c r="Q610" s="4" t="str">
        <f>VLOOKUP(Cobra8.5[[#This Row],[Table.Column]],ColumnMapping[Old Table.Column],1,)</f>
        <v>FISCDETL.FISCFILE</v>
      </c>
    </row>
    <row r="611" spans="1:17" hidden="1" x14ac:dyDescent="0.2">
      <c r="A611" s="4" t="s">
        <v>2226</v>
      </c>
      <c r="B611" s="4">
        <v>0</v>
      </c>
      <c r="C611" s="4" t="s">
        <v>2226</v>
      </c>
      <c r="D611" s="4" t="s">
        <v>2125</v>
      </c>
      <c r="E611" s="4" t="s">
        <v>356</v>
      </c>
      <c r="F611" s="4">
        <v>-1</v>
      </c>
      <c r="G611" s="4">
        <v>0</v>
      </c>
      <c r="H611" s="4">
        <v>0</v>
      </c>
      <c r="K611" s="4">
        <v>0</v>
      </c>
      <c r="N611" s="4">
        <v>0</v>
      </c>
      <c r="O611" s="4">
        <v>0</v>
      </c>
      <c r="P611" s="4" t="str">
        <f t="shared" si="9"/>
        <v>FISCDETL.FSC_DATE</v>
      </c>
      <c r="Q611" s="4" t="e">
        <f>VLOOKUP(Cobra8.5[[#This Row],[Table.Column]],ColumnMapping[Old Table.Column],1,)</f>
        <v>#N/A</v>
      </c>
    </row>
    <row r="612" spans="1:17" hidden="1" x14ac:dyDescent="0.2">
      <c r="A612" s="4" t="s">
        <v>2226</v>
      </c>
      <c r="B612" s="4">
        <v>0</v>
      </c>
      <c r="C612" s="4" t="s">
        <v>2226</v>
      </c>
      <c r="D612" s="4" t="s">
        <v>299</v>
      </c>
      <c r="E612" s="4" t="s">
        <v>2124</v>
      </c>
      <c r="F612" s="4">
        <v>6</v>
      </c>
      <c r="G612" s="4">
        <v>2</v>
      </c>
      <c r="H612" s="4">
        <v>0</v>
      </c>
      <c r="K612" s="4">
        <v>0</v>
      </c>
      <c r="N612" s="4">
        <v>0</v>
      </c>
      <c r="O612" s="4">
        <v>0</v>
      </c>
      <c r="P612" s="4" t="str">
        <f t="shared" si="9"/>
        <v>FISCDETL.HOURS</v>
      </c>
      <c r="Q612" s="4" t="str">
        <f>VLOOKUP(Cobra8.5[[#This Row],[Table.Column]],ColumnMapping[Old Table.Column],1,)</f>
        <v>FISCDETL.HOURS</v>
      </c>
    </row>
    <row r="613" spans="1:17" hidden="1" x14ac:dyDescent="0.2">
      <c r="A613" s="4" t="s">
        <v>2226</v>
      </c>
      <c r="B613" s="4">
        <v>0</v>
      </c>
      <c r="C613" s="4" t="s">
        <v>2226</v>
      </c>
      <c r="D613" s="4" t="s">
        <v>2111</v>
      </c>
      <c r="E613" s="4" t="s">
        <v>356</v>
      </c>
      <c r="F613" s="4">
        <v>-1</v>
      </c>
      <c r="G613" s="4">
        <v>0</v>
      </c>
      <c r="H613" s="4">
        <v>0</v>
      </c>
      <c r="K613" s="4">
        <v>0</v>
      </c>
      <c r="N613" s="4">
        <v>0</v>
      </c>
      <c r="O613" s="4">
        <v>0</v>
      </c>
      <c r="P613" s="4" t="str">
        <f t="shared" si="9"/>
        <v>FISCDETL.LASTUPDATE</v>
      </c>
      <c r="Q613" s="4" t="str">
        <f>VLOOKUP(Cobra8.5[[#This Row],[Table.Column]],ColumnMapping[Old Table.Column],1,)</f>
        <v>FISCDETL.LASTUPDATE</v>
      </c>
    </row>
    <row r="614" spans="1:17" hidden="1" x14ac:dyDescent="0.2">
      <c r="A614" s="4" t="s">
        <v>2226</v>
      </c>
      <c r="B614" s="4">
        <v>0</v>
      </c>
      <c r="C614" s="4" t="s">
        <v>2226</v>
      </c>
      <c r="D614" s="4" t="s">
        <v>35</v>
      </c>
      <c r="E614" s="4" t="s">
        <v>2108</v>
      </c>
      <c r="F614" s="4">
        <v>-1</v>
      </c>
      <c r="G614" s="4">
        <v>0</v>
      </c>
      <c r="H614" s="4">
        <v>0</v>
      </c>
      <c r="K614" s="4">
        <v>0</v>
      </c>
      <c r="N614" s="4">
        <v>0</v>
      </c>
      <c r="O614" s="4">
        <v>0</v>
      </c>
      <c r="P614" s="4" t="str">
        <f t="shared" si="9"/>
        <v>FISCDETL.SEQUENCE</v>
      </c>
      <c r="Q614" s="4" t="str">
        <f>VLOOKUP(Cobra8.5[[#This Row],[Table.Column]],ColumnMapping[Old Table.Column],1,)</f>
        <v>FISCDETL.SEQUENCE</v>
      </c>
    </row>
    <row r="615" spans="1:17" hidden="1" x14ac:dyDescent="0.2">
      <c r="A615" s="4" t="s">
        <v>2226</v>
      </c>
      <c r="B615" s="4">
        <v>0</v>
      </c>
      <c r="C615" s="4" t="s">
        <v>2226</v>
      </c>
      <c r="D615" s="4" t="s">
        <v>2112</v>
      </c>
      <c r="E615" s="4" t="s">
        <v>86</v>
      </c>
      <c r="F615" s="4">
        <v>20</v>
      </c>
      <c r="G615" s="4">
        <v>0</v>
      </c>
      <c r="H615" s="4">
        <v>0</v>
      </c>
      <c r="K615" s="4">
        <v>0</v>
      </c>
      <c r="N615" s="4">
        <v>0</v>
      </c>
      <c r="O615" s="4">
        <v>0</v>
      </c>
      <c r="P615" s="4" t="str">
        <f t="shared" si="9"/>
        <v>FISCDETL.USR_ID</v>
      </c>
      <c r="Q615" s="4" t="str">
        <f>VLOOKUP(Cobra8.5[[#This Row],[Table.Column]],ColumnMapping[Old Table.Column],1,)</f>
        <v>FISCDETL.USR_ID</v>
      </c>
    </row>
    <row r="616" spans="1:17" hidden="1" x14ac:dyDescent="0.2">
      <c r="A616" s="4" t="s">
        <v>2228</v>
      </c>
      <c r="B616" s="4">
        <v>0</v>
      </c>
      <c r="C616" s="4" t="s">
        <v>2228</v>
      </c>
      <c r="D616" s="4" t="s">
        <v>375</v>
      </c>
      <c r="E616" s="4" t="s">
        <v>86</v>
      </c>
      <c r="F616" s="4">
        <v>22</v>
      </c>
      <c r="G616" s="4">
        <v>0</v>
      </c>
      <c r="H616" s="4">
        <v>0</v>
      </c>
      <c r="K616" s="4">
        <v>0</v>
      </c>
      <c r="N616" s="4">
        <v>0</v>
      </c>
      <c r="O616" s="4">
        <v>0</v>
      </c>
      <c r="P616" s="4" t="str">
        <f t="shared" si="9"/>
        <v>FISCHOL.FISCFILE</v>
      </c>
      <c r="Q616" s="4" t="str">
        <f>VLOOKUP(Cobra8.5[[#This Row],[Table.Column]],ColumnMapping[Old Table.Column],1,)</f>
        <v>FISCHOL.FISCFILE</v>
      </c>
    </row>
    <row r="617" spans="1:17" hidden="1" x14ac:dyDescent="0.2">
      <c r="A617" s="4" t="s">
        <v>2228</v>
      </c>
      <c r="B617" s="4">
        <v>0</v>
      </c>
      <c r="C617" s="4" t="s">
        <v>2228</v>
      </c>
      <c r="D617" s="4" t="s">
        <v>2229</v>
      </c>
      <c r="E617" s="4" t="s">
        <v>356</v>
      </c>
      <c r="F617" s="4">
        <v>-1</v>
      </c>
      <c r="G617" s="4">
        <v>0</v>
      </c>
      <c r="H617" s="4">
        <v>0</v>
      </c>
      <c r="K617" s="4">
        <v>0</v>
      </c>
      <c r="N617" s="4">
        <v>0</v>
      </c>
      <c r="O617" s="4">
        <v>0</v>
      </c>
      <c r="P617" s="4" t="str">
        <f t="shared" si="9"/>
        <v>FISCHOL.HOLIDAY</v>
      </c>
      <c r="Q617" s="4" t="str">
        <f>VLOOKUP(Cobra8.5[[#This Row],[Table.Column]],ColumnMapping[Old Table.Column],1,)</f>
        <v>FISCHOL.HOLIDAY</v>
      </c>
    </row>
    <row r="618" spans="1:17" hidden="1" x14ac:dyDescent="0.2">
      <c r="A618" s="4" t="s">
        <v>1945</v>
      </c>
      <c r="B618" s="4">
        <v>0</v>
      </c>
      <c r="C618" s="4" t="s">
        <v>1945</v>
      </c>
      <c r="D618" s="4" t="s">
        <v>1916</v>
      </c>
      <c r="E618" s="4" t="s">
        <v>356</v>
      </c>
      <c r="F618" s="4">
        <v>-1</v>
      </c>
      <c r="G618" s="4">
        <v>0</v>
      </c>
      <c r="H618" s="4">
        <v>0</v>
      </c>
      <c r="K618" s="4">
        <v>0</v>
      </c>
      <c r="N618" s="4">
        <v>0</v>
      </c>
      <c r="O618" s="4">
        <v>0</v>
      </c>
      <c r="P618" s="4" t="str">
        <f t="shared" si="9"/>
        <v>LINK.BFINISH</v>
      </c>
      <c r="Q618" s="4" t="str">
        <f>VLOOKUP(Cobra8.5[[#This Row],[Table.Column]],ColumnMapping[Old Table.Column],1,)</f>
        <v>LINK.BFINISH</v>
      </c>
    </row>
    <row r="619" spans="1:17" hidden="1" x14ac:dyDescent="0.2">
      <c r="A619" s="4" t="s">
        <v>1945</v>
      </c>
      <c r="B619" s="4">
        <v>0</v>
      </c>
      <c r="C619" s="4" t="s">
        <v>1945</v>
      </c>
      <c r="D619" s="4" t="s">
        <v>1917</v>
      </c>
      <c r="E619" s="4" t="s">
        <v>356</v>
      </c>
      <c r="F619" s="4">
        <v>-1</v>
      </c>
      <c r="G619" s="4">
        <v>0</v>
      </c>
      <c r="H619" s="4">
        <v>0</v>
      </c>
      <c r="K619" s="4">
        <v>0</v>
      </c>
      <c r="N619" s="4">
        <v>0</v>
      </c>
      <c r="O619" s="4">
        <v>0</v>
      </c>
      <c r="P619" s="4" t="str">
        <f t="shared" si="9"/>
        <v>LINK.BSTART</v>
      </c>
      <c r="Q619" s="4" t="str">
        <f>VLOOKUP(Cobra8.5[[#This Row],[Table.Column]],ColumnMapping[Old Table.Column],1,)</f>
        <v>LINK.BSTART</v>
      </c>
    </row>
    <row r="620" spans="1:17" hidden="1" x14ac:dyDescent="0.2">
      <c r="A620" s="4" t="s">
        <v>1945</v>
      </c>
      <c r="B620" s="4">
        <v>0</v>
      </c>
      <c r="C620" s="4" t="s">
        <v>1945</v>
      </c>
      <c r="D620" s="4" t="s">
        <v>1003</v>
      </c>
      <c r="E620" s="4" t="s">
        <v>86</v>
      </c>
      <c r="F620" s="4">
        <v>59</v>
      </c>
      <c r="G620" s="4">
        <v>0</v>
      </c>
      <c r="H620" s="4">
        <v>0</v>
      </c>
      <c r="K620" s="4">
        <v>0</v>
      </c>
      <c r="N620" s="4">
        <v>0</v>
      </c>
      <c r="O620" s="4">
        <v>0</v>
      </c>
      <c r="P620" s="4" t="str">
        <f t="shared" si="9"/>
        <v>LINK.CA1</v>
      </c>
      <c r="Q620" s="4" t="str">
        <f>VLOOKUP(Cobra8.5[[#This Row],[Table.Column]],ColumnMapping[Old Table.Column],1,)</f>
        <v>LINK.CA1</v>
      </c>
    </row>
    <row r="621" spans="1:17" hidden="1" x14ac:dyDescent="0.2">
      <c r="A621" s="4" t="s">
        <v>1945</v>
      </c>
      <c r="B621" s="4">
        <v>0</v>
      </c>
      <c r="C621" s="4" t="s">
        <v>1945</v>
      </c>
      <c r="D621" s="4" t="s">
        <v>1005</v>
      </c>
      <c r="E621" s="4" t="s">
        <v>86</v>
      </c>
      <c r="F621" s="4">
        <v>59</v>
      </c>
      <c r="G621" s="4">
        <v>0</v>
      </c>
      <c r="H621" s="4">
        <v>0</v>
      </c>
      <c r="K621" s="4">
        <v>0</v>
      </c>
      <c r="N621" s="4">
        <v>0</v>
      </c>
      <c r="O621" s="4">
        <v>0</v>
      </c>
      <c r="P621" s="4" t="str">
        <f t="shared" si="9"/>
        <v>LINK.CA2</v>
      </c>
      <c r="Q621" s="4" t="str">
        <f>VLOOKUP(Cobra8.5[[#This Row],[Table.Column]],ColumnMapping[Old Table.Column],1,)</f>
        <v>LINK.CA2</v>
      </c>
    </row>
    <row r="622" spans="1:17" hidden="1" x14ac:dyDescent="0.2">
      <c r="A622" s="4" t="s">
        <v>1945</v>
      </c>
      <c r="B622" s="4">
        <v>0</v>
      </c>
      <c r="C622" s="4" t="s">
        <v>1945</v>
      </c>
      <c r="D622" s="4" t="s">
        <v>1007</v>
      </c>
      <c r="E622" s="4" t="s">
        <v>86</v>
      </c>
      <c r="F622" s="4">
        <v>59</v>
      </c>
      <c r="G622" s="4">
        <v>0</v>
      </c>
      <c r="H622" s="4">
        <v>0</v>
      </c>
      <c r="K622" s="4">
        <v>0</v>
      </c>
      <c r="N622" s="4">
        <v>0</v>
      </c>
      <c r="O622" s="4">
        <v>0</v>
      </c>
      <c r="P622" s="4" t="str">
        <f t="shared" si="9"/>
        <v>LINK.CA3</v>
      </c>
      <c r="Q622" s="4" t="str">
        <f>VLOOKUP(Cobra8.5[[#This Row],[Table.Column]],ColumnMapping[Old Table.Column],1,)</f>
        <v>LINK.CA3</v>
      </c>
    </row>
    <row r="623" spans="1:17" hidden="1" x14ac:dyDescent="0.2">
      <c r="A623" s="4" t="s">
        <v>1945</v>
      </c>
      <c r="B623" s="4">
        <v>0</v>
      </c>
      <c r="C623" s="4" t="s">
        <v>1945</v>
      </c>
      <c r="D623" s="4" t="s">
        <v>1009</v>
      </c>
      <c r="E623" s="4" t="s">
        <v>2108</v>
      </c>
      <c r="F623" s="4">
        <v>-1</v>
      </c>
      <c r="G623" s="4">
        <v>0</v>
      </c>
      <c r="H623" s="4">
        <v>0</v>
      </c>
      <c r="K623" s="4">
        <v>0</v>
      </c>
      <c r="N623" s="4">
        <v>0</v>
      </c>
      <c r="O623" s="4">
        <v>0</v>
      </c>
      <c r="P623" s="4" t="str">
        <f t="shared" si="9"/>
        <v>LINK.CAWPID</v>
      </c>
      <c r="Q623" s="4" t="str">
        <f>VLOOKUP(Cobra8.5[[#This Row],[Table.Column]],ColumnMapping[Old Table.Column],1,)</f>
        <v>LINK.CAWPID</v>
      </c>
    </row>
    <row r="624" spans="1:17" hidden="1" x14ac:dyDescent="0.2">
      <c r="A624" s="4" t="s">
        <v>1945</v>
      </c>
      <c r="B624" s="4">
        <v>0</v>
      </c>
      <c r="C624" s="4" t="s">
        <v>1945</v>
      </c>
      <c r="D624" s="4" t="s">
        <v>1100</v>
      </c>
      <c r="E624" s="4" t="s">
        <v>86</v>
      </c>
      <c r="F624" s="4">
        <v>20</v>
      </c>
      <c r="G624" s="4">
        <v>0</v>
      </c>
      <c r="H624" s="4">
        <v>0</v>
      </c>
      <c r="K624" s="4">
        <v>0</v>
      </c>
      <c r="N624" s="4">
        <v>0</v>
      </c>
      <c r="O624" s="4">
        <v>0</v>
      </c>
      <c r="P624" s="4" t="str">
        <f t="shared" si="9"/>
        <v>LINK.CLASS</v>
      </c>
      <c r="Q624" s="4" t="str">
        <f>VLOOKUP(Cobra8.5[[#This Row],[Table.Column]],ColumnMapping[Old Table.Column],1,)</f>
        <v>LINK.CLASS</v>
      </c>
    </row>
    <row r="625" spans="1:17" hidden="1" x14ac:dyDescent="0.2">
      <c r="A625" s="4" t="s">
        <v>1945</v>
      </c>
      <c r="B625" s="4">
        <v>0</v>
      </c>
      <c r="C625" s="4" t="s">
        <v>1945</v>
      </c>
      <c r="D625" s="4" t="s">
        <v>2141</v>
      </c>
      <c r="E625" s="4" t="s">
        <v>86</v>
      </c>
      <c r="F625" s="4">
        <v>254</v>
      </c>
      <c r="G625" s="4">
        <v>0</v>
      </c>
      <c r="H625" s="4">
        <v>0</v>
      </c>
      <c r="K625" s="4">
        <v>0</v>
      </c>
      <c r="N625" s="4">
        <v>0</v>
      </c>
      <c r="O625" s="4">
        <v>0</v>
      </c>
      <c r="P625" s="4" t="str">
        <f t="shared" si="9"/>
        <v>LINK.DESCRIP</v>
      </c>
      <c r="Q625" s="4" t="str">
        <f>VLOOKUP(Cobra8.5[[#This Row],[Table.Column]],ColumnMapping[Old Table.Column],1,)</f>
        <v>LINK.DESCRIP</v>
      </c>
    </row>
    <row r="626" spans="1:17" hidden="1" x14ac:dyDescent="0.2">
      <c r="A626" s="4" t="s">
        <v>1945</v>
      </c>
      <c r="B626" s="4">
        <v>0</v>
      </c>
      <c r="C626" s="4" t="s">
        <v>1945</v>
      </c>
      <c r="D626" s="4" t="s">
        <v>1946</v>
      </c>
      <c r="E626" s="4" t="s">
        <v>356</v>
      </c>
      <c r="F626" s="4">
        <v>-1</v>
      </c>
      <c r="G626" s="4">
        <v>0</v>
      </c>
      <c r="H626" s="4">
        <v>0</v>
      </c>
      <c r="K626" s="4">
        <v>0</v>
      </c>
      <c r="N626" s="4">
        <v>0</v>
      </c>
      <c r="O626" s="4">
        <v>0</v>
      </c>
      <c r="P626" s="4" t="str">
        <f t="shared" si="9"/>
        <v>LINK.EFDATE</v>
      </c>
      <c r="Q626" s="4" t="str">
        <f>VLOOKUP(Cobra8.5[[#This Row],[Table.Column]],ColumnMapping[Old Table.Column],1,)</f>
        <v>LINK.EFDATE</v>
      </c>
    </row>
    <row r="627" spans="1:17" hidden="1" x14ac:dyDescent="0.2">
      <c r="A627" s="4" t="s">
        <v>1945</v>
      </c>
      <c r="B627" s="4">
        <v>0</v>
      </c>
      <c r="C627" s="4" t="s">
        <v>1945</v>
      </c>
      <c r="D627" s="4" t="s">
        <v>1947</v>
      </c>
      <c r="E627" s="4" t="s">
        <v>356</v>
      </c>
      <c r="F627" s="4">
        <v>-1</v>
      </c>
      <c r="G627" s="4">
        <v>0</v>
      </c>
      <c r="H627" s="4">
        <v>0</v>
      </c>
      <c r="K627" s="4">
        <v>0</v>
      </c>
      <c r="N627" s="4">
        <v>0</v>
      </c>
      <c r="O627" s="4">
        <v>0</v>
      </c>
      <c r="P627" s="4" t="str">
        <f t="shared" si="9"/>
        <v>LINK.ESDATE</v>
      </c>
      <c r="Q627" s="4" t="str">
        <f>VLOOKUP(Cobra8.5[[#This Row],[Table.Column]],ColumnMapping[Old Table.Column],1,)</f>
        <v>LINK.ESDATE</v>
      </c>
    </row>
    <row r="628" spans="1:17" hidden="1" x14ac:dyDescent="0.2">
      <c r="A628" s="4" t="s">
        <v>1945</v>
      </c>
      <c r="B628" s="4">
        <v>0</v>
      </c>
      <c r="C628" s="4" t="s">
        <v>1945</v>
      </c>
      <c r="D628" s="4" t="s">
        <v>1948</v>
      </c>
      <c r="E628" s="4" t="s">
        <v>86</v>
      </c>
      <c r="F628" s="4">
        <v>20</v>
      </c>
      <c r="G628" s="4">
        <v>0</v>
      </c>
      <c r="H628" s="4">
        <v>0</v>
      </c>
      <c r="K628" s="4">
        <v>0</v>
      </c>
      <c r="N628" s="4">
        <v>0</v>
      </c>
      <c r="O628" s="4">
        <v>0</v>
      </c>
      <c r="P628" s="4" t="str">
        <f t="shared" si="9"/>
        <v>LINK.FCSTCLASS</v>
      </c>
      <c r="Q628" s="4" t="str">
        <f>VLOOKUP(Cobra8.5[[#This Row],[Table.Column]],ColumnMapping[Old Table.Column],1,)</f>
        <v>LINK.FCSTCLASS</v>
      </c>
    </row>
    <row r="629" spans="1:17" hidden="1" x14ac:dyDescent="0.2">
      <c r="A629" s="4" t="s">
        <v>1945</v>
      </c>
      <c r="B629" s="4">
        <v>0</v>
      </c>
      <c r="C629" s="4" t="s">
        <v>1945</v>
      </c>
      <c r="D629" s="4" t="s">
        <v>1949</v>
      </c>
      <c r="E629" s="4" t="s">
        <v>86</v>
      </c>
      <c r="F629" s="4">
        <v>59</v>
      </c>
      <c r="G629" s="4">
        <v>0</v>
      </c>
      <c r="H629" s="4">
        <v>0</v>
      </c>
      <c r="K629" s="4">
        <v>0</v>
      </c>
      <c r="N629" s="4">
        <v>0</v>
      </c>
      <c r="O629" s="4">
        <v>0</v>
      </c>
      <c r="P629" s="4" t="str">
        <f t="shared" si="9"/>
        <v>LINK.FULLID</v>
      </c>
      <c r="Q629" s="4" t="str">
        <f>VLOOKUP(Cobra8.5[[#This Row],[Table.Column]],ColumnMapping[Old Table.Column],1,)</f>
        <v>LINK.FULLID</v>
      </c>
    </row>
    <row r="630" spans="1:17" hidden="1" x14ac:dyDescent="0.2">
      <c r="A630" s="4" t="s">
        <v>1945</v>
      </c>
      <c r="B630" s="4">
        <v>0</v>
      </c>
      <c r="C630" s="4" t="s">
        <v>1945</v>
      </c>
      <c r="D630" s="4" t="s">
        <v>2223</v>
      </c>
      <c r="E630" s="4" t="s">
        <v>86</v>
      </c>
      <c r="F630" s="4">
        <v>59</v>
      </c>
      <c r="G630" s="4">
        <v>0</v>
      </c>
      <c r="H630" s="4">
        <v>0</v>
      </c>
      <c r="K630" s="4">
        <v>0</v>
      </c>
      <c r="N630" s="4">
        <v>0</v>
      </c>
      <c r="O630" s="4">
        <v>0</v>
      </c>
      <c r="P630" s="4" t="str">
        <f t="shared" si="9"/>
        <v>LINK.ID</v>
      </c>
      <c r="Q630" s="4" t="str">
        <f>VLOOKUP(Cobra8.5[[#This Row],[Table.Column]],ColumnMapping[Old Table.Column],1,)</f>
        <v>LINK.ID</v>
      </c>
    </row>
    <row r="631" spans="1:17" hidden="1" x14ac:dyDescent="0.2">
      <c r="A631" s="4" t="s">
        <v>1945</v>
      </c>
      <c r="B631" s="4">
        <v>0</v>
      </c>
      <c r="C631" s="4" t="s">
        <v>1945</v>
      </c>
      <c r="D631" s="4" t="s">
        <v>1950</v>
      </c>
      <c r="E631" s="4" t="s">
        <v>356</v>
      </c>
      <c r="F631" s="4">
        <v>-1</v>
      </c>
      <c r="G631" s="4">
        <v>0</v>
      </c>
      <c r="H631" s="4">
        <v>0</v>
      </c>
      <c r="K631" s="4">
        <v>0</v>
      </c>
      <c r="N631" s="4">
        <v>0</v>
      </c>
      <c r="O631" s="4">
        <v>0</v>
      </c>
      <c r="P631" s="4" t="str">
        <f t="shared" si="9"/>
        <v>LINK.LFDATE</v>
      </c>
      <c r="Q631" s="4" t="str">
        <f>VLOOKUP(Cobra8.5[[#This Row],[Table.Column]],ColumnMapping[Old Table.Column],1,)</f>
        <v>LINK.LFDATE</v>
      </c>
    </row>
    <row r="632" spans="1:17" hidden="1" x14ac:dyDescent="0.2">
      <c r="A632" s="4" t="s">
        <v>1945</v>
      </c>
      <c r="B632" s="4">
        <v>0</v>
      </c>
      <c r="C632" s="4" t="s">
        <v>1945</v>
      </c>
      <c r="D632" s="4" t="s">
        <v>1951</v>
      </c>
      <c r="E632" s="4" t="s">
        <v>356</v>
      </c>
      <c r="F632" s="4">
        <v>-1</v>
      </c>
      <c r="G632" s="4">
        <v>0</v>
      </c>
      <c r="H632" s="4">
        <v>0</v>
      </c>
      <c r="K632" s="4">
        <v>0</v>
      </c>
      <c r="N632" s="4">
        <v>0</v>
      </c>
      <c r="O632" s="4">
        <v>0</v>
      </c>
      <c r="P632" s="4" t="str">
        <f t="shared" si="9"/>
        <v>LINK.LSDATE</v>
      </c>
      <c r="Q632" s="4" t="str">
        <f>VLOOKUP(Cobra8.5[[#This Row],[Table.Column]],ColumnMapping[Old Table.Column],1,)</f>
        <v>LINK.LSDATE</v>
      </c>
    </row>
    <row r="633" spans="1:17" hidden="1" x14ac:dyDescent="0.2">
      <c r="A633" s="4" t="s">
        <v>1945</v>
      </c>
      <c r="B633" s="4">
        <v>0</v>
      </c>
      <c r="C633" s="4" t="s">
        <v>1945</v>
      </c>
      <c r="D633" s="4" t="s">
        <v>1952</v>
      </c>
      <c r="E633" s="4" t="s">
        <v>86</v>
      </c>
      <c r="F633" s="4">
        <v>59</v>
      </c>
      <c r="G633" s="4">
        <v>0</v>
      </c>
      <c r="H633" s="4">
        <v>0</v>
      </c>
      <c r="K633" s="4">
        <v>0</v>
      </c>
      <c r="N633" s="4">
        <v>0</v>
      </c>
      <c r="O633" s="4">
        <v>0</v>
      </c>
      <c r="P633" s="4" t="str">
        <f t="shared" si="9"/>
        <v>LINK.MS_NO</v>
      </c>
      <c r="Q633" s="4" t="str">
        <f>VLOOKUP(Cobra8.5[[#This Row],[Table.Column]],ColumnMapping[Old Table.Column],1,)</f>
        <v>LINK.MS_NO</v>
      </c>
    </row>
    <row r="634" spans="1:17" hidden="1" x14ac:dyDescent="0.2">
      <c r="A634" s="4" t="s">
        <v>1945</v>
      </c>
      <c r="B634" s="4">
        <v>0</v>
      </c>
      <c r="C634" s="4" t="s">
        <v>1945</v>
      </c>
      <c r="D634" s="4" t="s">
        <v>1953</v>
      </c>
      <c r="E634" s="4" t="s">
        <v>2124</v>
      </c>
      <c r="F634" s="4">
        <v>21</v>
      </c>
      <c r="G634" s="4">
        <v>6</v>
      </c>
      <c r="H634" s="4">
        <v>0</v>
      </c>
      <c r="K634" s="4">
        <v>0</v>
      </c>
      <c r="N634" s="4">
        <v>0</v>
      </c>
      <c r="O634" s="4">
        <v>0</v>
      </c>
      <c r="P634" s="4" t="str">
        <f t="shared" si="9"/>
        <v>LINK.MSWEIGHT</v>
      </c>
      <c r="Q634" s="4" t="str">
        <f>VLOOKUP(Cobra8.5[[#This Row],[Table.Column]],ColumnMapping[Old Table.Column],1,)</f>
        <v>LINK.MSWEIGHT</v>
      </c>
    </row>
    <row r="635" spans="1:17" hidden="1" x14ac:dyDescent="0.2">
      <c r="A635" s="4" t="s">
        <v>1945</v>
      </c>
      <c r="B635" s="4">
        <v>0</v>
      </c>
      <c r="C635" s="4" t="s">
        <v>1945</v>
      </c>
      <c r="D635" s="4" t="s">
        <v>1954</v>
      </c>
      <c r="E635" s="4" t="s">
        <v>356</v>
      </c>
      <c r="F635" s="4">
        <v>-1</v>
      </c>
      <c r="G635" s="4">
        <v>0</v>
      </c>
      <c r="H635" s="4">
        <v>0</v>
      </c>
      <c r="K635" s="4">
        <v>0</v>
      </c>
      <c r="N635" s="4">
        <v>0</v>
      </c>
      <c r="O635" s="4">
        <v>0</v>
      </c>
      <c r="P635" s="4" t="str">
        <f t="shared" si="9"/>
        <v>LINK.PFINISH</v>
      </c>
      <c r="Q635" s="4" t="str">
        <f>VLOOKUP(Cobra8.5[[#This Row],[Table.Column]],ColumnMapping[Old Table.Column],1,)</f>
        <v>LINK.PFINISH</v>
      </c>
    </row>
    <row r="636" spans="1:17" hidden="1" x14ac:dyDescent="0.2">
      <c r="A636" s="4" t="s">
        <v>1945</v>
      </c>
      <c r="B636" s="4">
        <v>0</v>
      </c>
      <c r="C636" s="4" t="s">
        <v>1945</v>
      </c>
      <c r="D636" s="4" t="s">
        <v>1242</v>
      </c>
      <c r="E636" s="4" t="s">
        <v>86</v>
      </c>
      <c r="F636" s="4">
        <v>1</v>
      </c>
      <c r="G636" s="4">
        <v>0</v>
      </c>
      <c r="H636" s="4">
        <v>0</v>
      </c>
      <c r="K636" s="4">
        <v>0</v>
      </c>
      <c r="N636" s="4">
        <v>0</v>
      </c>
      <c r="O636" s="4">
        <v>0</v>
      </c>
      <c r="P636" s="4" t="str">
        <f t="shared" si="9"/>
        <v>LINK.PMT</v>
      </c>
      <c r="Q636" s="4" t="str">
        <f>VLOOKUP(Cobra8.5[[#This Row],[Table.Column]],ColumnMapping[Old Table.Column],1,)</f>
        <v>LINK.PMT</v>
      </c>
    </row>
    <row r="637" spans="1:17" hidden="1" x14ac:dyDescent="0.2">
      <c r="A637" s="4" t="s">
        <v>1945</v>
      </c>
      <c r="B637" s="4">
        <v>0</v>
      </c>
      <c r="C637" s="4" t="s">
        <v>1945</v>
      </c>
      <c r="D637" s="4" t="s">
        <v>1955</v>
      </c>
      <c r="E637" s="4" t="s">
        <v>86</v>
      </c>
      <c r="F637" s="4">
        <v>15</v>
      </c>
      <c r="G637" s="4">
        <v>0</v>
      </c>
      <c r="H637" s="4">
        <v>0</v>
      </c>
      <c r="K637" s="4">
        <v>0</v>
      </c>
      <c r="N637" s="4">
        <v>0</v>
      </c>
      <c r="O637" s="4">
        <v>0</v>
      </c>
      <c r="P637" s="4" t="str">
        <f t="shared" si="9"/>
        <v>LINK.PRJNAME</v>
      </c>
      <c r="Q637" s="4" t="str">
        <f>VLOOKUP(Cobra8.5[[#This Row],[Table.Column]],ColumnMapping[Old Table.Column],1,)</f>
        <v>LINK.PRJNAME</v>
      </c>
    </row>
    <row r="638" spans="1:17" hidden="1" x14ac:dyDescent="0.2">
      <c r="A638" s="4" t="s">
        <v>1945</v>
      </c>
      <c r="B638" s="4">
        <v>0</v>
      </c>
      <c r="C638" s="4" t="s">
        <v>1945</v>
      </c>
      <c r="D638" s="4" t="s">
        <v>744</v>
      </c>
      <c r="E638" s="4" t="s">
        <v>86</v>
      </c>
      <c r="F638" s="4">
        <v>22</v>
      </c>
      <c r="G638" s="4">
        <v>0</v>
      </c>
      <c r="H638" s="4">
        <v>0</v>
      </c>
      <c r="K638" s="4">
        <v>0</v>
      </c>
      <c r="N638" s="4">
        <v>0</v>
      </c>
      <c r="O638" s="4">
        <v>0</v>
      </c>
      <c r="P638" s="4" t="str">
        <f t="shared" si="9"/>
        <v>LINK.PROGRAM</v>
      </c>
      <c r="Q638" s="4" t="str">
        <f>VLOOKUP(Cobra8.5[[#This Row],[Table.Column]],ColumnMapping[Old Table.Column],1,)</f>
        <v>LINK.PROGRAM</v>
      </c>
    </row>
    <row r="639" spans="1:17" hidden="1" x14ac:dyDescent="0.2">
      <c r="A639" s="4" t="s">
        <v>1945</v>
      </c>
      <c r="B639" s="4">
        <v>0</v>
      </c>
      <c r="C639" s="4" t="s">
        <v>1945</v>
      </c>
      <c r="D639" s="4" t="s">
        <v>1956</v>
      </c>
      <c r="E639" s="4" t="s">
        <v>356</v>
      </c>
      <c r="F639" s="4">
        <v>-1</v>
      </c>
      <c r="G639" s="4">
        <v>0</v>
      </c>
      <c r="H639" s="4">
        <v>0</v>
      </c>
      <c r="K639" s="4">
        <v>0</v>
      </c>
      <c r="N639" s="4">
        <v>0</v>
      </c>
      <c r="O639" s="4">
        <v>0</v>
      </c>
      <c r="P639" s="4" t="str">
        <f t="shared" si="9"/>
        <v>LINK.PSTART</v>
      </c>
      <c r="Q639" s="4" t="str">
        <f>VLOOKUP(Cobra8.5[[#This Row],[Table.Column]],ColumnMapping[Old Table.Column],1,)</f>
        <v>LINK.PSTART</v>
      </c>
    </row>
    <row r="640" spans="1:17" hidden="1" x14ac:dyDescent="0.2">
      <c r="A640" s="4" t="s">
        <v>1945</v>
      </c>
      <c r="B640" s="4">
        <v>0</v>
      </c>
      <c r="C640" s="4" t="s">
        <v>1945</v>
      </c>
      <c r="D640" s="4" t="s">
        <v>1957</v>
      </c>
      <c r="E640" s="4" t="s">
        <v>356</v>
      </c>
      <c r="F640" s="4">
        <v>-1</v>
      </c>
      <c r="G640" s="4">
        <v>0</v>
      </c>
      <c r="H640" s="4">
        <v>0</v>
      </c>
      <c r="K640" s="4">
        <v>0</v>
      </c>
      <c r="N640" s="4">
        <v>0</v>
      </c>
      <c r="O640" s="4">
        <v>0</v>
      </c>
      <c r="P640" s="4" t="str">
        <f t="shared" si="9"/>
        <v>LINK.SFDATE</v>
      </c>
      <c r="Q640" s="4" t="str">
        <f>VLOOKUP(Cobra8.5[[#This Row],[Table.Column]],ColumnMapping[Old Table.Column],1,)</f>
        <v>LINK.SFDATE</v>
      </c>
    </row>
    <row r="641" spans="1:17" hidden="1" x14ac:dyDescent="0.2">
      <c r="A641" s="4" t="s">
        <v>1945</v>
      </c>
      <c r="B641" s="4">
        <v>0</v>
      </c>
      <c r="C641" s="4" t="s">
        <v>1945</v>
      </c>
      <c r="D641" s="4" t="s">
        <v>1958</v>
      </c>
      <c r="E641" s="4" t="s">
        <v>356</v>
      </c>
      <c r="F641" s="4">
        <v>-1</v>
      </c>
      <c r="G641" s="4">
        <v>0</v>
      </c>
      <c r="H641" s="4">
        <v>0</v>
      </c>
      <c r="K641" s="4">
        <v>0</v>
      </c>
      <c r="N641" s="4">
        <v>0</v>
      </c>
      <c r="O641" s="4">
        <v>0</v>
      </c>
      <c r="P641" s="4" t="str">
        <f t="shared" si="9"/>
        <v>LINK.SSDATE</v>
      </c>
      <c r="Q641" s="4" t="str">
        <f>VLOOKUP(Cobra8.5[[#This Row],[Table.Column]],ColumnMapping[Old Table.Column],1,)</f>
        <v>LINK.SSDATE</v>
      </c>
    </row>
    <row r="642" spans="1:17" hidden="1" x14ac:dyDescent="0.2">
      <c r="A642" s="4" t="s">
        <v>1945</v>
      </c>
      <c r="B642" s="4">
        <v>0</v>
      </c>
      <c r="C642" s="4" t="s">
        <v>1945</v>
      </c>
      <c r="D642" s="4" t="s">
        <v>1394</v>
      </c>
      <c r="E642" s="4" t="s">
        <v>2108</v>
      </c>
      <c r="F642" s="4">
        <v>-1</v>
      </c>
      <c r="G642" s="4">
        <v>0</v>
      </c>
      <c r="H642" s="4">
        <v>0</v>
      </c>
      <c r="K642" s="4">
        <v>0</v>
      </c>
      <c r="N642" s="4">
        <v>0</v>
      </c>
      <c r="O642" s="4">
        <v>0</v>
      </c>
      <c r="P642" s="4" t="str">
        <f t="shared" ref="P642:P705" si="10">_xlfn.CONCAT(A642,".",D642)</f>
        <v>LINK.STARTPC</v>
      </c>
      <c r="Q642" s="4" t="str">
        <f>VLOOKUP(Cobra8.5[[#This Row],[Table.Column]],ColumnMapping[Old Table.Column],1,)</f>
        <v>LINK.STARTPC</v>
      </c>
    </row>
    <row r="643" spans="1:17" hidden="1" x14ac:dyDescent="0.2">
      <c r="A643" s="4" t="s">
        <v>1945</v>
      </c>
      <c r="B643" s="4">
        <v>0</v>
      </c>
      <c r="C643" s="4" t="s">
        <v>1945</v>
      </c>
      <c r="D643" s="4" t="s">
        <v>1396</v>
      </c>
      <c r="E643" s="4" t="s">
        <v>2124</v>
      </c>
      <c r="F643" s="4">
        <v>21</v>
      </c>
      <c r="G643" s="4">
        <v>6</v>
      </c>
      <c r="H643" s="4">
        <v>0</v>
      </c>
      <c r="K643" s="4">
        <v>0</v>
      </c>
      <c r="N643" s="4">
        <v>0</v>
      </c>
      <c r="O643" s="4">
        <v>0</v>
      </c>
      <c r="P643" s="4" t="str">
        <f t="shared" si="10"/>
        <v>LINK.UNITSTODO</v>
      </c>
      <c r="Q643" s="4" t="str">
        <f>VLOOKUP(Cobra8.5[[#This Row],[Table.Column]],ColumnMapping[Old Table.Column],1,)</f>
        <v>LINK.UNITSTODO</v>
      </c>
    </row>
    <row r="644" spans="1:17" hidden="1" x14ac:dyDescent="0.2">
      <c r="A644" s="4" t="s">
        <v>1945</v>
      </c>
      <c r="B644" s="4">
        <v>0</v>
      </c>
      <c r="C644" s="4" t="s">
        <v>1945</v>
      </c>
      <c r="D644" s="4" t="s">
        <v>1959</v>
      </c>
      <c r="E644" s="4" t="s">
        <v>86</v>
      </c>
      <c r="F644" s="4">
        <v>1</v>
      </c>
      <c r="G644" s="4">
        <v>0</v>
      </c>
      <c r="H644" s="4">
        <v>0</v>
      </c>
      <c r="K644" s="4">
        <v>0</v>
      </c>
      <c r="N644" s="4">
        <v>0</v>
      </c>
      <c r="O644" s="4">
        <v>0</v>
      </c>
      <c r="P644" s="4" t="str">
        <f t="shared" si="10"/>
        <v>LINK.VALID</v>
      </c>
      <c r="Q644" s="4" t="str">
        <f>VLOOKUP(Cobra8.5[[#This Row],[Table.Column]],ColumnMapping[Old Table.Column],1,)</f>
        <v>LINK.VALID</v>
      </c>
    </row>
    <row r="645" spans="1:17" hidden="1" x14ac:dyDescent="0.2">
      <c r="A645" s="4" t="s">
        <v>1945</v>
      </c>
      <c r="B645" s="4">
        <v>0</v>
      </c>
      <c r="C645" s="4" t="s">
        <v>1945</v>
      </c>
      <c r="D645" s="4" t="s">
        <v>1398</v>
      </c>
      <c r="E645" s="4" t="s">
        <v>86</v>
      </c>
      <c r="F645" s="4">
        <v>59</v>
      </c>
      <c r="G645" s="4">
        <v>0</v>
      </c>
      <c r="H645" s="4">
        <v>0</v>
      </c>
      <c r="K645" s="4">
        <v>0</v>
      </c>
      <c r="N645" s="4">
        <v>0</v>
      </c>
      <c r="O645" s="4">
        <v>0</v>
      </c>
      <c r="P645" s="4" t="str">
        <f t="shared" si="10"/>
        <v>LINK.WP</v>
      </c>
      <c r="Q645" s="4" t="str">
        <f>VLOOKUP(Cobra8.5[[#This Row],[Table.Column]],ColumnMapping[Old Table.Column],1,)</f>
        <v>LINK.WP</v>
      </c>
    </row>
    <row r="646" spans="1:17" hidden="1" x14ac:dyDescent="0.2">
      <c r="A646" s="4" t="s">
        <v>2230</v>
      </c>
      <c r="B646" s="4">
        <v>0</v>
      </c>
      <c r="C646" s="4" t="s">
        <v>2230</v>
      </c>
      <c r="D646" s="4" t="s">
        <v>2175</v>
      </c>
      <c r="E646" s="4" t="s">
        <v>356</v>
      </c>
      <c r="F646" s="4">
        <v>-1</v>
      </c>
      <c r="G646" s="4">
        <v>0</v>
      </c>
      <c r="H646" s="4">
        <v>0</v>
      </c>
      <c r="K646" s="4">
        <v>0</v>
      </c>
      <c r="N646" s="4">
        <v>0</v>
      </c>
      <c r="O646" s="4">
        <v>0</v>
      </c>
      <c r="P646" s="4" t="str">
        <f t="shared" si="10"/>
        <v>MILESTN.AFD</v>
      </c>
      <c r="Q646" s="4" t="str">
        <f>VLOOKUP(Cobra8.5[[#This Row],[Table.Column]],ColumnMapping[Old Table.Column],1,)</f>
        <v>MILESTN.AFD</v>
      </c>
    </row>
    <row r="647" spans="1:17" hidden="1" x14ac:dyDescent="0.2">
      <c r="A647" s="4" t="s">
        <v>2230</v>
      </c>
      <c r="B647" s="4">
        <v>0</v>
      </c>
      <c r="C647" s="4" t="s">
        <v>2230</v>
      </c>
      <c r="D647" s="4" t="s">
        <v>1009</v>
      </c>
      <c r="E647" s="4" t="s">
        <v>2108</v>
      </c>
      <c r="F647" s="4">
        <v>-1</v>
      </c>
      <c r="G647" s="4">
        <v>0</v>
      </c>
      <c r="H647" s="4">
        <v>0</v>
      </c>
      <c r="K647" s="4">
        <v>0</v>
      </c>
      <c r="N647" s="4">
        <v>0</v>
      </c>
      <c r="O647" s="4">
        <v>0</v>
      </c>
      <c r="P647" s="4" t="str">
        <f t="shared" si="10"/>
        <v>MILESTN.CAWPID</v>
      </c>
      <c r="Q647" s="4" t="str">
        <f>VLOOKUP(Cobra8.5[[#This Row],[Table.Column]],ColumnMapping[Old Table.Column],1,)</f>
        <v>MILESTN.CAWPID</v>
      </c>
    </row>
    <row r="648" spans="1:17" hidden="1" x14ac:dyDescent="0.2">
      <c r="A648" s="4" t="s">
        <v>2230</v>
      </c>
      <c r="B648" s="4">
        <v>0</v>
      </c>
      <c r="C648" s="4" t="s">
        <v>2230</v>
      </c>
      <c r="D648" s="4" t="s">
        <v>1011</v>
      </c>
      <c r="E648" s="4" t="s">
        <v>2108</v>
      </c>
      <c r="F648" s="4">
        <v>-1</v>
      </c>
      <c r="G648" s="4">
        <v>0</v>
      </c>
      <c r="H648" s="4">
        <v>0</v>
      </c>
      <c r="K648" s="4">
        <v>0</v>
      </c>
      <c r="N648" s="4">
        <v>0</v>
      </c>
      <c r="O648" s="4">
        <v>0</v>
      </c>
      <c r="P648" s="4" t="str">
        <f t="shared" si="10"/>
        <v>MILESTN.CL_BATCH</v>
      </c>
      <c r="Q648" s="4" t="str">
        <f>VLOOKUP(Cobra8.5[[#This Row],[Table.Column]],ColumnMapping[Old Table.Column],1,)</f>
        <v>MILESTN.CL_BATCH</v>
      </c>
    </row>
    <row r="649" spans="1:17" hidden="1" x14ac:dyDescent="0.2">
      <c r="A649" s="4" t="s">
        <v>2230</v>
      </c>
      <c r="B649" s="4">
        <v>0</v>
      </c>
      <c r="C649" s="4" t="s">
        <v>2230</v>
      </c>
      <c r="D649" s="4" t="s">
        <v>2141</v>
      </c>
      <c r="E649" s="4" t="s">
        <v>86</v>
      </c>
      <c r="F649" s="4">
        <v>254</v>
      </c>
      <c r="G649" s="4">
        <v>0</v>
      </c>
      <c r="H649" s="4">
        <v>0</v>
      </c>
      <c r="K649" s="4">
        <v>0</v>
      </c>
      <c r="N649" s="4">
        <v>0</v>
      </c>
      <c r="O649" s="4">
        <v>0</v>
      </c>
      <c r="P649" s="4" t="str">
        <f t="shared" si="10"/>
        <v>MILESTN.DESCRIP</v>
      </c>
      <c r="Q649" s="4" t="str">
        <f>VLOOKUP(Cobra8.5[[#This Row],[Table.Column]],ColumnMapping[Old Table.Column],1,)</f>
        <v>MILESTN.DESCRIP</v>
      </c>
    </row>
    <row r="650" spans="1:17" hidden="1" x14ac:dyDescent="0.2">
      <c r="A650" s="4" t="s">
        <v>2230</v>
      </c>
      <c r="B650" s="4">
        <v>0</v>
      </c>
      <c r="C650" s="4" t="s">
        <v>2230</v>
      </c>
      <c r="D650" s="4" t="s">
        <v>443</v>
      </c>
      <c r="E650" s="4" t="s">
        <v>86</v>
      </c>
      <c r="F650" s="4">
        <v>1</v>
      </c>
      <c r="G650" s="4">
        <v>0</v>
      </c>
      <c r="H650" s="4">
        <v>0</v>
      </c>
      <c r="K650" s="4">
        <v>0</v>
      </c>
      <c r="N650" s="4">
        <v>0</v>
      </c>
      <c r="O650" s="4">
        <v>0</v>
      </c>
      <c r="P650" s="4" t="str">
        <f t="shared" si="10"/>
        <v>MILESTN.FLAG</v>
      </c>
      <c r="Q650" s="4" t="str">
        <f>VLOOKUP(Cobra8.5[[#This Row],[Table.Column]],ColumnMapping[Old Table.Column],1,)</f>
        <v>MILESTN.FLAG</v>
      </c>
    </row>
    <row r="651" spans="1:17" hidden="1" x14ac:dyDescent="0.2">
      <c r="A651" s="4" t="s">
        <v>2230</v>
      </c>
      <c r="B651" s="4">
        <v>0</v>
      </c>
      <c r="C651" s="4" t="s">
        <v>2230</v>
      </c>
      <c r="D651" s="4" t="s">
        <v>2111</v>
      </c>
      <c r="E651" s="4" t="s">
        <v>356</v>
      </c>
      <c r="F651" s="4">
        <v>-1</v>
      </c>
      <c r="G651" s="4">
        <v>0</v>
      </c>
      <c r="H651" s="4">
        <v>0</v>
      </c>
      <c r="K651" s="4">
        <v>0</v>
      </c>
      <c r="N651" s="4">
        <v>0</v>
      </c>
      <c r="O651" s="4">
        <v>0</v>
      </c>
      <c r="P651" s="4" t="str">
        <f t="shared" si="10"/>
        <v>MILESTN.LASTUPDATE</v>
      </c>
      <c r="Q651" s="4" t="str">
        <f>VLOOKUP(Cobra8.5[[#This Row],[Table.Column]],ColumnMapping[Old Table.Column],1,)</f>
        <v>MILESTN.LASTUPDATE</v>
      </c>
    </row>
    <row r="652" spans="1:17" hidden="1" x14ac:dyDescent="0.2">
      <c r="A652" s="4" t="s">
        <v>2230</v>
      </c>
      <c r="B652" s="4">
        <v>0</v>
      </c>
      <c r="C652" s="4" t="s">
        <v>2230</v>
      </c>
      <c r="D652" s="4" t="s">
        <v>1952</v>
      </c>
      <c r="E652" s="4" t="s">
        <v>86</v>
      </c>
      <c r="F652" s="4">
        <v>59</v>
      </c>
      <c r="G652" s="4">
        <v>0</v>
      </c>
      <c r="H652" s="4">
        <v>0</v>
      </c>
      <c r="K652" s="4">
        <v>0</v>
      </c>
      <c r="N652" s="4">
        <v>0</v>
      </c>
      <c r="O652" s="4">
        <v>0</v>
      </c>
      <c r="P652" s="4" t="str">
        <f t="shared" si="10"/>
        <v>MILESTN.MS_NO</v>
      </c>
      <c r="Q652" s="4" t="str">
        <f>VLOOKUP(Cobra8.5[[#This Row],[Table.Column]],ColumnMapping[Old Table.Column],1,)</f>
        <v>MILESTN.MS_NO</v>
      </c>
    </row>
    <row r="653" spans="1:17" hidden="1" x14ac:dyDescent="0.2">
      <c r="A653" s="4" t="s">
        <v>2230</v>
      </c>
      <c r="B653" s="4">
        <v>0</v>
      </c>
      <c r="C653" s="4" t="s">
        <v>2230</v>
      </c>
      <c r="D653" s="4" t="s">
        <v>1241</v>
      </c>
      <c r="E653" s="4" t="s">
        <v>2124</v>
      </c>
      <c r="F653" s="4">
        <v>11</v>
      </c>
      <c r="G653" s="4">
        <v>6</v>
      </c>
      <c r="H653" s="4">
        <v>0</v>
      </c>
      <c r="K653" s="4">
        <v>0</v>
      </c>
      <c r="N653" s="4">
        <v>0</v>
      </c>
      <c r="O653" s="4">
        <v>0</v>
      </c>
      <c r="P653" s="4" t="str">
        <f t="shared" si="10"/>
        <v>MILESTN.PC_COMP</v>
      </c>
      <c r="Q653" s="4" t="str">
        <f>VLOOKUP(Cobra8.5[[#This Row],[Table.Column]],ColumnMapping[Old Table.Column],1,)</f>
        <v>MILESTN.PC_COMP</v>
      </c>
    </row>
    <row r="654" spans="1:17" hidden="1" x14ac:dyDescent="0.2">
      <c r="A654" s="4" t="s">
        <v>2230</v>
      </c>
      <c r="B654" s="4">
        <v>0</v>
      </c>
      <c r="C654" s="4" t="s">
        <v>2230</v>
      </c>
      <c r="D654" s="4" t="s">
        <v>744</v>
      </c>
      <c r="E654" s="4" t="s">
        <v>86</v>
      </c>
      <c r="F654" s="4">
        <v>22</v>
      </c>
      <c r="G654" s="4">
        <v>0</v>
      </c>
      <c r="H654" s="4">
        <v>0</v>
      </c>
      <c r="K654" s="4">
        <v>0</v>
      </c>
      <c r="N654" s="4">
        <v>0</v>
      </c>
      <c r="O654" s="4">
        <v>0</v>
      </c>
      <c r="P654" s="4" t="str">
        <f t="shared" si="10"/>
        <v>MILESTN.PROGRAM</v>
      </c>
      <c r="Q654" s="4" t="str">
        <f>VLOOKUP(Cobra8.5[[#This Row],[Table.Column]],ColumnMapping[Old Table.Column],1,)</f>
        <v>MILESTN.PROGRAM</v>
      </c>
    </row>
    <row r="655" spans="1:17" hidden="1" x14ac:dyDescent="0.2">
      <c r="A655" s="4" t="s">
        <v>2230</v>
      </c>
      <c r="B655" s="4">
        <v>0</v>
      </c>
      <c r="C655" s="4" t="s">
        <v>2230</v>
      </c>
      <c r="D655" s="4" t="s">
        <v>35</v>
      </c>
      <c r="E655" s="4" t="s">
        <v>2108</v>
      </c>
      <c r="F655" s="4">
        <v>-1</v>
      </c>
      <c r="G655" s="4">
        <v>0</v>
      </c>
      <c r="H655" s="4">
        <v>0</v>
      </c>
      <c r="K655" s="4">
        <v>0</v>
      </c>
      <c r="N655" s="4">
        <v>0</v>
      </c>
      <c r="O655" s="4">
        <v>0</v>
      </c>
      <c r="P655" s="4" t="str">
        <f t="shared" si="10"/>
        <v>MILESTN.SEQUENCE</v>
      </c>
      <c r="Q655" s="4" t="str">
        <f>VLOOKUP(Cobra8.5[[#This Row],[Table.Column]],ColumnMapping[Old Table.Column],1,)</f>
        <v>MILESTN.SEQUENCE</v>
      </c>
    </row>
    <row r="656" spans="1:17" hidden="1" x14ac:dyDescent="0.2">
      <c r="A656" s="4" t="s">
        <v>2230</v>
      </c>
      <c r="B656" s="4">
        <v>0</v>
      </c>
      <c r="C656" s="4" t="s">
        <v>2230</v>
      </c>
      <c r="D656" s="4" t="s">
        <v>2184</v>
      </c>
      <c r="E656" s="4" t="s">
        <v>356</v>
      </c>
      <c r="F656" s="4">
        <v>-1</v>
      </c>
      <c r="G656" s="4">
        <v>0</v>
      </c>
      <c r="H656" s="4">
        <v>0</v>
      </c>
      <c r="K656" s="4">
        <v>0</v>
      </c>
      <c r="N656" s="4">
        <v>0</v>
      </c>
      <c r="O656" s="4">
        <v>0</v>
      </c>
      <c r="P656" s="4" t="str">
        <f t="shared" si="10"/>
        <v>MILESTN.SFD</v>
      </c>
      <c r="Q656" s="4" t="str">
        <f>VLOOKUP(Cobra8.5[[#This Row],[Table.Column]],ColumnMapping[Old Table.Column],1,)</f>
        <v>MILESTN.SFD</v>
      </c>
    </row>
    <row r="657" spans="1:17" hidden="1" x14ac:dyDescent="0.2">
      <c r="A657" s="4" t="s">
        <v>2230</v>
      </c>
      <c r="B657" s="4">
        <v>0</v>
      </c>
      <c r="C657" s="4" t="s">
        <v>2230</v>
      </c>
      <c r="D657" s="4" t="s">
        <v>2112</v>
      </c>
      <c r="E657" s="4" t="s">
        <v>86</v>
      </c>
      <c r="F657" s="4">
        <v>20</v>
      </c>
      <c r="G657" s="4">
        <v>0</v>
      </c>
      <c r="H657" s="4">
        <v>0</v>
      </c>
      <c r="K657" s="4">
        <v>0</v>
      </c>
      <c r="N657" s="4">
        <v>0</v>
      </c>
      <c r="O657" s="4">
        <v>0</v>
      </c>
      <c r="P657" s="4" t="str">
        <f t="shared" si="10"/>
        <v>MILESTN.USR_ID</v>
      </c>
      <c r="Q657" s="4" t="str">
        <f>VLOOKUP(Cobra8.5[[#This Row],[Table.Column]],ColumnMapping[Old Table.Column],1,)</f>
        <v>MILESTN.USR_ID</v>
      </c>
    </row>
    <row r="658" spans="1:17" hidden="1" x14ac:dyDescent="0.2">
      <c r="A658" s="4" t="s">
        <v>2230</v>
      </c>
      <c r="B658" s="4">
        <v>0</v>
      </c>
      <c r="C658" s="4" t="s">
        <v>2230</v>
      </c>
      <c r="D658" s="4" t="s">
        <v>1406</v>
      </c>
      <c r="E658" s="4" t="s">
        <v>2124</v>
      </c>
      <c r="F658" s="4">
        <v>21</v>
      </c>
      <c r="G658" s="4">
        <v>6</v>
      </c>
      <c r="H658" s="4">
        <v>0</v>
      </c>
      <c r="K658" s="4">
        <v>0</v>
      </c>
      <c r="N658" s="4">
        <v>0</v>
      </c>
      <c r="O658" s="4">
        <v>0</v>
      </c>
      <c r="P658" s="4" t="str">
        <f t="shared" si="10"/>
        <v>MILESTN.WEIGHT</v>
      </c>
      <c r="Q658" s="4" t="str">
        <f>VLOOKUP(Cobra8.5[[#This Row],[Table.Column]],ColumnMapping[Old Table.Column],1,)</f>
        <v>MILESTN.WEIGHT</v>
      </c>
    </row>
    <row r="659" spans="1:17" hidden="1" x14ac:dyDescent="0.2">
      <c r="A659" s="4" t="s">
        <v>2231</v>
      </c>
      <c r="B659" s="4">
        <v>0</v>
      </c>
      <c r="C659" s="4" t="s">
        <v>2231</v>
      </c>
      <c r="D659" s="4" t="s">
        <v>1390</v>
      </c>
      <c r="E659" s="4" t="s">
        <v>86</v>
      </c>
      <c r="F659" s="4">
        <v>22</v>
      </c>
      <c r="G659" s="4">
        <v>0</v>
      </c>
      <c r="H659" s="4">
        <v>0</v>
      </c>
      <c r="K659" s="4">
        <v>0</v>
      </c>
      <c r="N659" s="4">
        <v>0</v>
      </c>
      <c r="O659" s="4">
        <v>0</v>
      </c>
      <c r="P659" s="4" t="str">
        <f t="shared" si="10"/>
        <v>MULTPROG.MASTER</v>
      </c>
      <c r="Q659" s="4" t="str">
        <f>VLOOKUP(Cobra8.5[[#This Row],[Table.Column]],ColumnMapping[Old Table.Column],1,)</f>
        <v>MULTPROG.MASTER</v>
      </c>
    </row>
    <row r="660" spans="1:17" hidden="1" x14ac:dyDescent="0.2">
      <c r="A660" s="4" t="s">
        <v>2231</v>
      </c>
      <c r="B660" s="4">
        <v>0</v>
      </c>
      <c r="C660" s="4" t="s">
        <v>2231</v>
      </c>
      <c r="D660" s="4" t="s">
        <v>1391</v>
      </c>
      <c r="E660" s="4" t="s">
        <v>86</v>
      </c>
      <c r="F660" s="4">
        <v>22</v>
      </c>
      <c r="G660" s="4">
        <v>0</v>
      </c>
      <c r="H660" s="4">
        <v>0</v>
      </c>
      <c r="K660" s="4">
        <v>0</v>
      </c>
      <c r="N660" s="4">
        <v>0</v>
      </c>
      <c r="O660" s="4">
        <v>0</v>
      </c>
      <c r="P660" s="4" t="str">
        <f t="shared" si="10"/>
        <v>MULTPROG.SUBPROGRAM</v>
      </c>
      <c r="Q660" s="4" t="str">
        <f>VLOOKUP(Cobra8.5[[#This Row],[Table.Column]],ColumnMapping[Old Table.Column],1,)</f>
        <v>MULTPROG.SUBPROGRAM</v>
      </c>
    </row>
    <row r="661" spans="1:17" hidden="1" x14ac:dyDescent="0.2">
      <c r="A661" s="4" t="s">
        <v>2232</v>
      </c>
      <c r="B661" s="4">
        <v>0</v>
      </c>
      <c r="C661" s="4" t="s">
        <v>2232</v>
      </c>
      <c r="D661" s="4" t="s">
        <v>2203</v>
      </c>
      <c r="E661" s="4" t="s">
        <v>2108</v>
      </c>
      <c r="F661" s="4">
        <v>-1</v>
      </c>
      <c r="G661" s="4">
        <v>0</v>
      </c>
      <c r="H661" s="4">
        <v>0</v>
      </c>
      <c r="K661" s="4">
        <v>0</v>
      </c>
      <c r="N661" s="4">
        <v>0</v>
      </c>
      <c r="O661" s="4">
        <v>0</v>
      </c>
      <c r="P661" s="4" t="str">
        <f t="shared" si="10"/>
        <v>NARRTEXT.CAT_UID</v>
      </c>
      <c r="Q661" s="4" t="e">
        <f>VLOOKUP(Cobra8.5[[#This Row],[Table.Column]],ColumnMapping[Old Table.Column],1,)</f>
        <v>#N/A</v>
      </c>
    </row>
    <row r="662" spans="1:17" hidden="1" x14ac:dyDescent="0.2">
      <c r="A662" s="4" t="s">
        <v>2232</v>
      </c>
      <c r="B662" s="4">
        <v>0</v>
      </c>
      <c r="C662" s="4" t="s">
        <v>2232</v>
      </c>
      <c r="D662" s="4" t="s">
        <v>1009</v>
      </c>
      <c r="E662" s="4" t="s">
        <v>2108</v>
      </c>
      <c r="F662" s="4">
        <v>-1</v>
      </c>
      <c r="G662" s="4">
        <v>0</v>
      </c>
      <c r="H662" s="4">
        <v>0</v>
      </c>
      <c r="K662" s="4">
        <v>0</v>
      </c>
      <c r="N662" s="4">
        <v>0</v>
      </c>
      <c r="O662" s="4">
        <v>0</v>
      </c>
      <c r="P662" s="4" t="str">
        <f t="shared" si="10"/>
        <v>NARRTEXT.CAWPID</v>
      </c>
      <c r="Q662" s="4" t="e">
        <f>VLOOKUP(Cobra8.5[[#This Row],[Table.Column]],ColumnMapping[Old Table.Column],1,)</f>
        <v>#N/A</v>
      </c>
    </row>
    <row r="663" spans="1:17" hidden="1" x14ac:dyDescent="0.2">
      <c r="A663" s="4" t="s">
        <v>2232</v>
      </c>
      <c r="B663" s="4">
        <v>0</v>
      </c>
      <c r="C663" s="4" t="s">
        <v>2232</v>
      </c>
      <c r="D663" s="4" t="s">
        <v>29</v>
      </c>
      <c r="E663" s="4" t="s">
        <v>86</v>
      </c>
      <c r="F663" s="4">
        <v>59</v>
      </c>
      <c r="G663" s="4">
        <v>0</v>
      </c>
      <c r="H663" s="4">
        <v>0</v>
      </c>
      <c r="K663" s="4">
        <v>0</v>
      </c>
      <c r="N663" s="4">
        <v>0</v>
      </c>
      <c r="O663" s="4">
        <v>0</v>
      </c>
      <c r="P663" s="4" t="str">
        <f t="shared" si="10"/>
        <v>NARRTEXT.CODE</v>
      </c>
      <c r="Q663" s="4" t="e">
        <f>VLOOKUP(Cobra8.5[[#This Row],[Table.Column]],ColumnMapping[Old Table.Column],1,)</f>
        <v>#N/A</v>
      </c>
    </row>
    <row r="664" spans="1:17" hidden="1" x14ac:dyDescent="0.2">
      <c r="A664" s="4" t="s">
        <v>2232</v>
      </c>
      <c r="B664" s="4">
        <v>0</v>
      </c>
      <c r="C664" s="4" t="s">
        <v>2232</v>
      </c>
      <c r="D664" s="4" t="s">
        <v>2233</v>
      </c>
      <c r="E664" s="4" t="s">
        <v>86</v>
      </c>
      <c r="F664" s="4">
        <v>20</v>
      </c>
      <c r="G664" s="4">
        <v>0</v>
      </c>
      <c r="H664" s="4">
        <v>0</v>
      </c>
      <c r="K664" s="4">
        <v>0</v>
      </c>
      <c r="N664" s="4">
        <v>0</v>
      </c>
      <c r="O664" s="4">
        <v>0</v>
      </c>
      <c r="P664" s="4" t="str">
        <f t="shared" si="10"/>
        <v>NARRTEXT.KEY_TYPE</v>
      </c>
      <c r="Q664" s="4" t="e">
        <f>VLOOKUP(Cobra8.5[[#This Row],[Table.Column]],ColumnMapping[Old Table.Column],1,)</f>
        <v>#N/A</v>
      </c>
    </row>
    <row r="665" spans="1:17" hidden="1" x14ac:dyDescent="0.2">
      <c r="A665" s="4" t="s">
        <v>2232</v>
      </c>
      <c r="B665" s="4">
        <v>0</v>
      </c>
      <c r="C665" s="4" t="s">
        <v>2232</v>
      </c>
      <c r="D665" s="4" t="s">
        <v>2111</v>
      </c>
      <c r="E665" s="4" t="s">
        <v>356</v>
      </c>
      <c r="F665" s="4">
        <v>-1</v>
      </c>
      <c r="G665" s="4">
        <v>0</v>
      </c>
      <c r="H665" s="4">
        <v>0</v>
      </c>
      <c r="K665" s="4">
        <v>0</v>
      </c>
      <c r="N665" s="4">
        <v>0</v>
      </c>
      <c r="O665" s="4">
        <v>0</v>
      </c>
      <c r="P665" s="4" t="str">
        <f t="shared" si="10"/>
        <v>NARRTEXT.LASTUPDATE</v>
      </c>
      <c r="Q665" s="4" t="e">
        <f>VLOOKUP(Cobra8.5[[#This Row],[Table.Column]],ColumnMapping[Old Table.Column],1,)</f>
        <v>#N/A</v>
      </c>
    </row>
    <row r="666" spans="1:17" hidden="1" x14ac:dyDescent="0.2">
      <c r="A666" s="4" t="s">
        <v>2232</v>
      </c>
      <c r="B666" s="4">
        <v>0</v>
      </c>
      <c r="C666" s="4" t="s">
        <v>2232</v>
      </c>
      <c r="D666" s="4" t="s">
        <v>2234</v>
      </c>
      <c r="E666" s="4" t="s">
        <v>86</v>
      </c>
      <c r="F666" s="4">
        <v>-1</v>
      </c>
      <c r="G666" s="4">
        <v>0</v>
      </c>
      <c r="H666" s="4">
        <v>0</v>
      </c>
      <c r="K666" s="4">
        <v>0</v>
      </c>
      <c r="N666" s="4">
        <v>0</v>
      </c>
      <c r="O666" s="4">
        <v>0</v>
      </c>
      <c r="P666" s="4" t="str">
        <f t="shared" si="10"/>
        <v>NARRTEXT.NARR_TEXT</v>
      </c>
      <c r="Q666" s="4" t="e">
        <f>VLOOKUP(Cobra8.5[[#This Row],[Table.Column]],ColumnMapping[Old Table.Column],1,)</f>
        <v>#N/A</v>
      </c>
    </row>
    <row r="667" spans="1:17" hidden="1" x14ac:dyDescent="0.2">
      <c r="A667" s="4" t="s">
        <v>2232</v>
      </c>
      <c r="B667" s="4">
        <v>0</v>
      </c>
      <c r="C667" s="4" t="s">
        <v>2232</v>
      </c>
      <c r="D667" s="4" t="s">
        <v>744</v>
      </c>
      <c r="E667" s="4" t="s">
        <v>86</v>
      </c>
      <c r="F667" s="4">
        <v>22</v>
      </c>
      <c r="G667" s="4">
        <v>0</v>
      </c>
      <c r="H667" s="4">
        <v>0</v>
      </c>
      <c r="K667" s="4">
        <v>0</v>
      </c>
      <c r="N667" s="4">
        <v>0</v>
      </c>
      <c r="O667" s="4">
        <v>0</v>
      </c>
      <c r="P667" s="4" t="str">
        <f t="shared" si="10"/>
        <v>NARRTEXT.PROGRAM</v>
      </c>
      <c r="Q667" s="4" t="e">
        <f>VLOOKUP(Cobra8.5[[#This Row],[Table.Column]],ColumnMapping[Old Table.Column],1,)</f>
        <v>#N/A</v>
      </c>
    </row>
    <row r="668" spans="1:17" hidden="1" x14ac:dyDescent="0.2">
      <c r="A668" s="4" t="s">
        <v>2232</v>
      </c>
      <c r="B668" s="4">
        <v>0</v>
      </c>
      <c r="C668" s="4" t="s">
        <v>2232</v>
      </c>
      <c r="D668" s="4" t="s">
        <v>35</v>
      </c>
      <c r="E668" s="4" t="s">
        <v>2108</v>
      </c>
      <c r="F668" s="4">
        <v>-1</v>
      </c>
      <c r="G668" s="4">
        <v>0</v>
      </c>
      <c r="H668" s="4">
        <v>0</v>
      </c>
      <c r="K668" s="4">
        <v>0</v>
      </c>
      <c r="N668" s="4">
        <v>0</v>
      </c>
      <c r="O668" s="4">
        <v>0</v>
      </c>
      <c r="P668" s="4" t="str">
        <f t="shared" si="10"/>
        <v>NARRTEXT.SEQUENCE</v>
      </c>
      <c r="Q668" s="4" t="e">
        <f>VLOOKUP(Cobra8.5[[#This Row],[Table.Column]],ColumnMapping[Old Table.Column],1,)</f>
        <v>#N/A</v>
      </c>
    </row>
    <row r="669" spans="1:17" hidden="1" x14ac:dyDescent="0.2">
      <c r="A669" s="4" t="s">
        <v>2232</v>
      </c>
      <c r="B669" s="4">
        <v>0</v>
      </c>
      <c r="C669" s="4" t="s">
        <v>2232</v>
      </c>
      <c r="D669" s="4" t="s">
        <v>2139</v>
      </c>
      <c r="E669" s="4" t="s">
        <v>356</v>
      </c>
      <c r="F669" s="4">
        <v>-1</v>
      </c>
      <c r="G669" s="4">
        <v>0</v>
      </c>
      <c r="H669" s="4">
        <v>0</v>
      </c>
      <c r="K669" s="4">
        <v>0</v>
      </c>
      <c r="N669" s="4">
        <v>0</v>
      </c>
      <c r="O669" s="4">
        <v>0</v>
      </c>
      <c r="P669" s="4" t="str">
        <f t="shared" si="10"/>
        <v>NARRTEXT.STATUSDATE</v>
      </c>
      <c r="Q669" s="4" t="e">
        <f>VLOOKUP(Cobra8.5[[#This Row],[Table.Column]],ColumnMapping[Old Table.Column],1,)</f>
        <v>#N/A</v>
      </c>
    </row>
    <row r="670" spans="1:17" hidden="1" x14ac:dyDescent="0.2">
      <c r="A670" s="4" t="s">
        <v>2232</v>
      </c>
      <c r="B670" s="4">
        <v>0</v>
      </c>
      <c r="C670" s="4" t="s">
        <v>2232</v>
      </c>
      <c r="D670" s="4" t="s">
        <v>2112</v>
      </c>
      <c r="E670" s="4" t="s">
        <v>86</v>
      </c>
      <c r="F670" s="4">
        <v>20</v>
      </c>
      <c r="G670" s="4">
        <v>0</v>
      </c>
      <c r="H670" s="4">
        <v>0</v>
      </c>
      <c r="K670" s="4">
        <v>0</v>
      </c>
      <c r="N670" s="4">
        <v>0</v>
      </c>
      <c r="O670" s="4">
        <v>0</v>
      </c>
      <c r="P670" s="4" t="str">
        <f t="shared" si="10"/>
        <v>NARRTEXT.USR_ID</v>
      </c>
      <c r="Q670" s="4" t="e">
        <f>VLOOKUP(Cobra8.5[[#This Row],[Table.Column]],ColumnMapping[Old Table.Column],1,)</f>
        <v>#N/A</v>
      </c>
    </row>
    <row r="671" spans="1:17" hidden="1" x14ac:dyDescent="0.2">
      <c r="A671" s="4" t="s">
        <v>1960</v>
      </c>
      <c r="B671" s="4">
        <v>0</v>
      </c>
      <c r="C671" s="4" t="s">
        <v>1960</v>
      </c>
      <c r="D671" s="4" t="s">
        <v>1961</v>
      </c>
      <c r="E671" s="4" t="s">
        <v>86</v>
      </c>
      <c r="F671" s="4">
        <v>30</v>
      </c>
      <c r="G671" s="4">
        <v>0</v>
      </c>
      <c r="H671" s="4">
        <v>0</v>
      </c>
      <c r="K671" s="4">
        <v>0</v>
      </c>
      <c r="N671" s="4">
        <v>0</v>
      </c>
      <c r="O671" s="4">
        <v>0</v>
      </c>
      <c r="P671" s="4" t="str">
        <f t="shared" si="10"/>
        <v>PROCESSLOG.CONTEXT</v>
      </c>
      <c r="Q671" s="4" t="str">
        <f>VLOOKUP(Cobra8.5[[#This Row],[Table.Column]],ColumnMapping[Old Table.Column],1,)</f>
        <v>PROCESSLOG.CONTEXT</v>
      </c>
    </row>
    <row r="672" spans="1:17" hidden="1" x14ac:dyDescent="0.2">
      <c r="A672" s="4" t="s">
        <v>1960</v>
      </c>
      <c r="B672" s="4">
        <v>0</v>
      </c>
      <c r="C672" s="4" t="s">
        <v>1960</v>
      </c>
      <c r="D672" s="4" t="s">
        <v>270</v>
      </c>
      <c r="E672" s="4" t="s">
        <v>86</v>
      </c>
      <c r="F672" s="4">
        <v>-1</v>
      </c>
      <c r="G672" s="4">
        <v>0</v>
      </c>
      <c r="H672" s="4">
        <v>0</v>
      </c>
      <c r="K672" s="4">
        <v>0</v>
      </c>
      <c r="N672" s="4">
        <v>0</v>
      </c>
      <c r="O672" s="4">
        <v>0</v>
      </c>
      <c r="P672" s="4" t="str">
        <f t="shared" si="10"/>
        <v>PROCESSLOG.DATA</v>
      </c>
      <c r="Q672" s="4" t="str">
        <f>VLOOKUP(Cobra8.5[[#This Row],[Table.Column]],ColumnMapping[Old Table.Column],1,)</f>
        <v>PROCESSLOG.DATA</v>
      </c>
    </row>
    <row r="673" spans="1:17" hidden="1" x14ac:dyDescent="0.2">
      <c r="A673" s="4" t="s">
        <v>1960</v>
      </c>
      <c r="B673" s="4">
        <v>0</v>
      </c>
      <c r="C673" s="4" t="s">
        <v>1960</v>
      </c>
      <c r="D673" s="4" t="s">
        <v>1962</v>
      </c>
      <c r="E673" s="4" t="s">
        <v>86</v>
      </c>
      <c r="F673" s="4">
        <v>22</v>
      </c>
      <c r="G673" s="4">
        <v>0</v>
      </c>
      <c r="H673" s="4">
        <v>0</v>
      </c>
      <c r="K673" s="4">
        <v>0</v>
      </c>
      <c r="N673" s="4">
        <v>0</v>
      </c>
      <c r="O673" s="4">
        <v>0</v>
      </c>
      <c r="P673" s="4" t="str">
        <f t="shared" si="10"/>
        <v>PROCESSLOG.DIR_ID</v>
      </c>
      <c r="Q673" s="4" t="str">
        <f>VLOOKUP(Cobra8.5[[#This Row],[Table.Column]],ColumnMapping[Old Table.Column],1,)</f>
        <v>PROCESSLOG.DIR_ID</v>
      </c>
    </row>
    <row r="674" spans="1:17" hidden="1" x14ac:dyDescent="0.2">
      <c r="A674" s="4" t="s">
        <v>1960</v>
      </c>
      <c r="B674" s="4">
        <v>0</v>
      </c>
      <c r="C674" s="4" t="s">
        <v>1960</v>
      </c>
      <c r="D674" s="4" t="s">
        <v>1963</v>
      </c>
      <c r="E674" s="4" t="s">
        <v>2108</v>
      </c>
      <c r="F674" s="4">
        <v>-1</v>
      </c>
      <c r="G674" s="4">
        <v>0</v>
      </c>
      <c r="H674" s="4">
        <v>0</v>
      </c>
      <c r="K674" s="4">
        <v>0</v>
      </c>
      <c r="N674" s="4">
        <v>0</v>
      </c>
      <c r="O674" s="4">
        <v>0</v>
      </c>
      <c r="P674" s="4" t="str">
        <f t="shared" si="10"/>
        <v>PROCESSLOG.ERRORCOUNT</v>
      </c>
      <c r="Q674" s="4" t="str">
        <f>VLOOKUP(Cobra8.5[[#This Row],[Table.Column]],ColumnMapping[Old Table.Column],1,)</f>
        <v>PROCESSLOG.ERRORCOUNT</v>
      </c>
    </row>
    <row r="675" spans="1:17" hidden="1" x14ac:dyDescent="0.2">
      <c r="A675" s="4" t="s">
        <v>1960</v>
      </c>
      <c r="B675" s="4">
        <v>0</v>
      </c>
      <c r="C675" s="4" t="s">
        <v>1960</v>
      </c>
      <c r="D675" s="4" t="s">
        <v>1964</v>
      </c>
      <c r="E675" s="4" t="s">
        <v>356</v>
      </c>
      <c r="F675" s="4">
        <v>-1</v>
      </c>
      <c r="G675" s="4">
        <v>0</v>
      </c>
      <c r="H675" s="4">
        <v>0</v>
      </c>
      <c r="K675" s="4">
        <v>0</v>
      </c>
      <c r="N675" s="4">
        <v>0</v>
      </c>
      <c r="O675" s="4">
        <v>0</v>
      </c>
      <c r="P675" s="4" t="str">
        <f t="shared" si="10"/>
        <v>PROCESSLOG.FINISHTIME</v>
      </c>
      <c r="Q675" s="4" t="str">
        <f>VLOOKUP(Cobra8.5[[#This Row],[Table.Column]],ColumnMapping[Old Table.Column],1,)</f>
        <v>PROCESSLOG.FINISHTIME</v>
      </c>
    </row>
    <row r="676" spans="1:17" hidden="1" x14ac:dyDescent="0.2">
      <c r="A676" s="4" t="s">
        <v>1960</v>
      </c>
      <c r="B676" s="4">
        <v>0</v>
      </c>
      <c r="C676" s="4" t="s">
        <v>1960</v>
      </c>
      <c r="D676" s="4" t="s">
        <v>2111</v>
      </c>
      <c r="E676" s="4" t="s">
        <v>356</v>
      </c>
      <c r="F676" s="4">
        <v>-1</v>
      </c>
      <c r="G676" s="4">
        <v>0</v>
      </c>
      <c r="H676" s="4">
        <v>0</v>
      </c>
      <c r="K676" s="4">
        <v>0</v>
      </c>
      <c r="N676" s="4">
        <v>0</v>
      </c>
      <c r="O676" s="4">
        <v>0</v>
      </c>
      <c r="P676" s="4" t="str">
        <f t="shared" si="10"/>
        <v>PROCESSLOG.LASTUPDATE</v>
      </c>
      <c r="Q676" s="4" t="str">
        <f>VLOOKUP(Cobra8.5[[#This Row],[Table.Column]],ColumnMapping[Old Table.Column],1,)</f>
        <v>PROCESSLOG.LASTUPDATE</v>
      </c>
    </row>
    <row r="677" spans="1:17" hidden="1" x14ac:dyDescent="0.2">
      <c r="A677" s="4" t="s">
        <v>1960</v>
      </c>
      <c r="B677" s="4">
        <v>0</v>
      </c>
      <c r="C677" s="4" t="s">
        <v>1960</v>
      </c>
      <c r="D677" s="4" t="s">
        <v>1965</v>
      </c>
      <c r="E677" s="4" t="s">
        <v>86</v>
      </c>
      <c r="F677" s="4">
        <v>59</v>
      </c>
      <c r="G677" s="4">
        <v>0</v>
      </c>
      <c r="H677" s="4">
        <v>0</v>
      </c>
      <c r="K677" s="4">
        <v>0</v>
      </c>
      <c r="N677" s="4">
        <v>0</v>
      </c>
      <c r="O677" s="4">
        <v>0</v>
      </c>
      <c r="P677" s="4" t="str">
        <f t="shared" si="10"/>
        <v>PROCESSLOG.PROCESS_ID</v>
      </c>
      <c r="Q677" s="4" t="str">
        <f>VLOOKUP(Cobra8.5[[#This Row],[Table.Column]],ColumnMapping[Old Table.Column],1,)</f>
        <v>PROCESSLOG.PROCESS_ID</v>
      </c>
    </row>
    <row r="678" spans="1:17" hidden="1" x14ac:dyDescent="0.2">
      <c r="A678" s="4" t="s">
        <v>1960</v>
      </c>
      <c r="B678" s="4">
        <v>0</v>
      </c>
      <c r="C678" s="4" t="s">
        <v>1960</v>
      </c>
      <c r="D678" s="4" t="s">
        <v>1966</v>
      </c>
      <c r="E678" s="4" t="s">
        <v>2108</v>
      </c>
      <c r="F678" s="4">
        <v>-1</v>
      </c>
      <c r="G678" s="4">
        <v>0</v>
      </c>
      <c r="H678" s="4">
        <v>0</v>
      </c>
      <c r="K678" s="4">
        <v>0</v>
      </c>
      <c r="N678" s="4">
        <v>0</v>
      </c>
      <c r="O678" s="4">
        <v>0</v>
      </c>
      <c r="P678" s="4" t="str">
        <f t="shared" si="10"/>
        <v>PROCESSLOG.PROGRESS_PCT</v>
      </c>
      <c r="Q678" s="4" t="str">
        <f>VLOOKUP(Cobra8.5[[#This Row],[Table.Column]],ColumnMapping[Old Table.Column],1,)</f>
        <v>PROCESSLOG.PROGRESS_PCT</v>
      </c>
    </row>
    <row r="679" spans="1:17" hidden="1" x14ac:dyDescent="0.2">
      <c r="A679" s="4" t="s">
        <v>1960</v>
      </c>
      <c r="B679" s="4">
        <v>0</v>
      </c>
      <c r="C679" s="4" t="s">
        <v>1960</v>
      </c>
      <c r="D679" s="4" t="s">
        <v>1967</v>
      </c>
      <c r="E679" s="4" t="s">
        <v>86</v>
      </c>
      <c r="F679" s="4">
        <v>254</v>
      </c>
      <c r="G679" s="4">
        <v>0</v>
      </c>
      <c r="H679" s="4">
        <v>0</v>
      </c>
      <c r="K679" s="4">
        <v>0</v>
      </c>
      <c r="N679" s="4">
        <v>0</v>
      </c>
      <c r="O679" s="4">
        <v>0</v>
      </c>
      <c r="P679" s="4" t="str">
        <f t="shared" si="10"/>
        <v>PROCESSLOG.PROGRESS_TEXT</v>
      </c>
      <c r="Q679" s="4" t="str">
        <f>VLOOKUP(Cobra8.5[[#This Row],[Table.Column]],ColumnMapping[Old Table.Column],1,)</f>
        <v>PROCESSLOG.PROGRESS_TEXT</v>
      </c>
    </row>
    <row r="680" spans="1:17" hidden="1" x14ac:dyDescent="0.2">
      <c r="A680" s="4" t="s">
        <v>1960</v>
      </c>
      <c r="B680" s="4">
        <v>0</v>
      </c>
      <c r="C680" s="4" t="s">
        <v>1960</v>
      </c>
      <c r="D680" s="4" t="s">
        <v>30</v>
      </c>
      <c r="E680" s="4" t="s">
        <v>86</v>
      </c>
      <c r="F680" s="4">
        <v>22</v>
      </c>
      <c r="G680" s="4">
        <v>0</v>
      </c>
      <c r="H680" s="4">
        <v>0</v>
      </c>
      <c r="K680" s="4">
        <v>0</v>
      </c>
      <c r="N680" s="4">
        <v>0</v>
      </c>
      <c r="O680" s="4">
        <v>0</v>
      </c>
      <c r="P680" s="4" t="str">
        <f t="shared" si="10"/>
        <v>PROCESSLOG.ROW_UID</v>
      </c>
      <c r="Q680" s="4" t="str">
        <f>VLOOKUP(Cobra8.5[[#This Row],[Table.Column]],ColumnMapping[Old Table.Column],1,)</f>
        <v>PROCESSLOG.ROW_UID</v>
      </c>
    </row>
    <row r="681" spans="1:17" hidden="1" x14ac:dyDescent="0.2">
      <c r="A681" s="4" t="s">
        <v>1960</v>
      </c>
      <c r="B681" s="4">
        <v>0</v>
      </c>
      <c r="C681" s="4" t="s">
        <v>1960</v>
      </c>
      <c r="D681" s="4" t="s">
        <v>1968</v>
      </c>
      <c r="E681" s="4" t="s">
        <v>356</v>
      </c>
      <c r="F681" s="4">
        <v>-1</v>
      </c>
      <c r="G681" s="4">
        <v>0</v>
      </c>
      <c r="H681" s="4">
        <v>0</v>
      </c>
      <c r="K681" s="4">
        <v>0</v>
      </c>
      <c r="N681" s="4">
        <v>0</v>
      </c>
      <c r="O681" s="4">
        <v>0</v>
      </c>
      <c r="P681" s="4" t="str">
        <f t="shared" si="10"/>
        <v>PROCESSLOG.STARTTIME</v>
      </c>
      <c r="Q681" s="4" t="str">
        <f>VLOOKUP(Cobra8.5[[#This Row],[Table.Column]],ColumnMapping[Old Table.Column],1,)</f>
        <v>PROCESSLOG.STARTTIME</v>
      </c>
    </row>
    <row r="682" spans="1:17" hidden="1" x14ac:dyDescent="0.2">
      <c r="A682" s="4" t="s">
        <v>1960</v>
      </c>
      <c r="B682" s="4">
        <v>0</v>
      </c>
      <c r="C682" s="4" t="s">
        <v>1960</v>
      </c>
      <c r="D682" s="4" t="s">
        <v>1970</v>
      </c>
      <c r="E682" s="4" t="s">
        <v>2108</v>
      </c>
      <c r="F682" s="4">
        <v>-1</v>
      </c>
      <c r="G682" s="4">
        <v>0</v>
      </c>
      <c r="H682" s="4">
        <v>0</v>
      </c>
      <c r="K682" s="4">
        <v>0</v>
      </c>
      <c r="N682" s="4">
        <v>0</v>
      </c>
      <c r="O682" s="4">
        <v>0</v>
      </c>
      <c r="P682" s="4" t="str">
        <f t="shared" si="10"/>
        <v>PROCESSLOG.USR_ABORT</v>
      </c>
      <c r="Q682" s="4" t="str">
        <f>VLOOKUP(Cobra8.5[[#This Row],[Table.Column]],ColumnMapping[Old Table.Column],1,)</f>
        <v>PROCESSLOG.USR_ABORT</v>
      </c>
    </row>
    <row r="683" spans="1:17" hidden="1" x14ac:dyDescent="0.2">
      <c r="A683" s="4" t="s">
        <v>1960</v>
      </c>
      <c r="B683" s="4">
        <v>0</v>
      </c>
      <c r="C683" s="4" t="s">
        <v>1960</v>
      </c>
      <c r="D683" s="4" t="s">
        <v>2112</v>
      </c>
      <c r="E683" s="4" t="s">
        <v>86</v>
      </c>
      <c r="F683" s="4">
        <v>20</v>
      </c>
      <c r="G683" s="4">
        <v>0</v>
      </c>
      <c r="H683" s="4">
        <v>0</v>
      </c>
      <c r="K683" s="4">
        <v>0</v>
      </c>
      <c r="N683" s="4">
        <v>0</v>
      </c>
      <c r="O683" s="4">
        <v>0</v>
      </c>
      <c r="P683" s="4" t="str">
        <f t="shared" si="10"/>
        <v>PROCESSLOG.USR_ID</v>
      </c>
      <c r="Q683" s="4" t="str">
        <f>VLOOKUP(Cobra8.5[[#This Row],[Table.Column]],ColumnMapping[Old Table.Column],1,)</f>
        <v>PROCESSLOG.USR_ID</v>
      </c>
    </row>
    <row r="684" spans="1:17" hidden="1" x14ac:dyDescent="0.2">
      <c r="A684" s="4" t="s">
        <v>1960</v>
      </c>
      <c r="B684" s="4">
        <v>0</v>
      </c>
      <c r="C684" s="4" t="s">
        <v>1960</v>
      </c>
      <c r="D684" s="4" t="s">
        <v>1972</v>
      </c>
      <c r="E684" s="4" t="s">
        <v>2108</v>
      </c>
      <c r="F684" s="4">
        <v>-1</v>
      </c>
      <c r="G684" s="4">
        <v>0</v>
      </c>
      <c r="H684" s="4">
        <v>0</v>
      </c>
      <c r="K684" s="4">
        <v>0</v>
      </c>
      <c r="N684" s="4">
        <v>0</v>
      </c>
      <c r="O684" s="4">
        <v>0</v>
      </c>
      <c r="P684" s="4" t="str">
        <f t="shared" si="10"/>
        <v>PROCESSLOG.WARNINGCOUNT</v>
      </c>
      <c r="Q684" s="4" t="str">
        <f>VLOOKUP(Cobra8.5[[#This Row],[Table.Column]],ColumnMapping[Old Table.Column],1,)</f>
        <v>PROCESSLOG.WARNINGCOUNT</v>
      </c>
    </row>
    <row r="685" spans="1:17" hidden="1" x14ac:dyDescent="0.2">
      <c r="A685" s="4" t="s">
        <v>1974</v>
      </c>
      <c r="B685" s="4">
        <v>0</v>
      </c>
      <c r="C685" s="4" t="s">
        <v>1974</v>
      </c>
      <c r="D685" s="4" t="s">
        <v>1975</v>
      </c>
      <c r="E685" s="4" t="s">
        <v>86</v>
      </c>
      <c r="F685" s="4">
        <v>22</v>
      </c>
      <c r="G685" s="4">
        <v>0</v>
      </c>
      <c r="H685" s="4">
        <v>0</v>
      </c>
      <c r="K685" s="4">
        <v>0</v>
      </c>
      <c r="N685" s="4">
        <v>0</v>
      </c>
      <c r="O685" s="4">
        <v>0</v>
      </c>
      <c r="P685" s="4" t="str">
        <f t="shared" si="10"/>
        <v>PROCESSLOGLINK.BATCH_UID</v>
      </c>
      <c r="Q685" s="4" t="str">
        <f>VLOOKUP(Cobra8.5[[#This Row],[Table.Column]],ColumnMapping[Old Table.Column],1,)</f>
        <v>PROCESSLOGLINK.BATCH_UID</v>
      </c>
    </row>
    <row r="686" spans="1:17" hidden="1" x14ac:dyDescent="0.2">
      <c r="A686" s="4" t="s">
        <v>1974</v>
      </c>
      <c r="B686" s="4">
        <v>0</v>
      </c>
      <c r="C686" s="4" t="s">
        <v>1974</v>
      </c>
      <c r="D686" s="4" t="s">
        <v>1977</v>
      </c>
      <c r="E686" s="4" t="s">
        <v>86</v>
      </c>
      <c r="F686" s="4">
        <v>22</v>
      </c>
      <c r="G686" s="4">
        <v>0</v>
      </c>
      <c r="H686" s="4">
        <v>0</v>
      </c>
      <c r="K686" s="4">
        <v>0</v>
      </c>
      <c r="N686" s="4">
        <v>0</v>
      </c>
      <c r="O686" s="4">
        <v>0</v>
      </c>
      <c r="P686" s="4" t="str">
        <f t="shared" si="10"/>
        <v>PROCESSLOGLINK.PROCESSLOG_UID</v>
      </c>
      <c r="Q686" s="4" t="str">
        <f>VLOOKUP(Cobra8.5[[#This Row],[Table.Column]],ColumnMapping[Old Table.Column],1,)</f>
        <v>PROCESSLOGLINK.PROCESSLOG_UID</v>
      </c>
    </row>
    <row r="687" spans="1:17" hidden="1" x14ac:dyDescent="0.2">
      <c r="A687" s="4" t="s">
        <v>744</v>
      </c>
      <c r="B687" s="4">
        <v>0</v>
      </c>
      <c r="C687" s="4" t="s">
        <v>744</v>
      </c>
      <c r="D687" s="4" t="s">
        <v>600</v>
      </c>
      <c r="E687" s="4" t="s">
        <v>2124</v>
      </c>
      <c r="F687" s="4">
        <v>21</v>
      </c>
      <c r="G687" s="4">
        <v>6</v>
      </c>
      <c r="H687" s="4">
        <v>0</v>
      </c>
      <c r="K687" s="4">
        <v>0</v>
      </c>
      <c r="N687" s="4">
        <v>0</v>
      </c>
      <c r="O687" s="4">
        <v>0</v>
      </c>
      <c r="P687" s="4" t="str">
        <f t="shared" si="10"/>
        <v>PROGRAM.ACWP</v>
      </c>
      <c r="Q687" s="4" t="str">
        <f>VLOOKUP(Cobra8.5[[#This Row],[Table.Column]],ColumnMapping[Old Table.Column],1,)</f>
        <v>PROGRAM.ACWP</v>
      </c>
    </row>
    <row r="688" spans="1:17" hidden="1" x14ac:dyDescent="0.2">
      <c r="A688" s="4" t="s">
        <v>744</v>
      </c>
      <c r="B688" s="4">
        <v>0</v>
      </c>
      <c r="C688" s="4" t="s">
        <v>744</v>
      </c>
      <c r="D688" s="4" t="s">
        <v>602</v>
      </c>
      <c r="E688" s="4" t="s">
        <v>2124</v>
      </c>
      <c r="F688" s="4">
        <v>21</v>
      </c>
      <c r="G688" s="4">
        <v>6</v>
      </c>
      <c r="H688" s="4">
        <v>0</v>
      </c>
      <c r="K688" s="4">
        <v>0</v>
      </c>
      <c r="N688" s="4">
        <v>0</v>
      </c>
      <c r="O688" s="4">
        <v>0</v>
      </c>
      <c r="P688" s="4" t="str">
        <f t="shared" si="10"/>
        <v>PROGRAM.ACWP_HRS</v>
      </c>
      <c r="Q688" s="4" t="str">
        <f>VLOOKUP(Cobra8.5[[#This Row],[Table.Column]],ColumnMapping[Old Table.Column],1,)</f>
        <v>PROGRAM.ACWP_HRS</v>
      </c>
    </row>
    <row r="689" spans="1:17" hidden="1" x14ac:dyDescent="0.2">
      <c r="A689" s="4" t="s">
        <v>744</v>
      </c>
      <c r="B689" s="4">
        <v>0</v>
      </c>
      <c r="C689" s="4" t="s">
        <v>744</v>
      </c>
      <c r="D689" s="4" t="s">
        <v>604</v>
      </c>
      <c r="E689" s="4" t="s">
        <v>86</v>
      </c>
      <c r="F689" s="4">
        <v>70</v>
      </c>
      <c r="G689" s="4">
        <v>0</v>
      </c>
      <c r="H689" s="4">
        <v>0</v>
      </c>
      <c r="K689" s="4">
        <v>0</v>
      </c>
      <c r="N689" s="4">
        <v>0</v>
      </c>
      <c r="O689" s="4">
        <v>0</v>
      </c>
      <c r="P689" s="4" t="str">
        <f t="shared" si="10"/>
        <v>PROGRAM.ADDRESS</v>
      </c>
      <c r="Q689" s="4" t="str">
        <f>VLOOKUP(Cobra8.5[[#This Row],[Table.Column]],ColumnMapping[Old Table.Column],1,)</f>
        <v>PROGRAM.ADDRESS</v>
      </c>
    </row>
    <row r="690" spans="1:17" hidden="1" x14ac:dyDescent="0.2">
      <c r="A690" s="4" t="s">
        <v>744</v>
      </c>
      <c r="B690" s="4">
        <v>0</v>
      </c>
      <c r="C690" s="4" t="s">
        <v>744</v>
      </c>
      <c r="D690" s="4" t="s">
        <v>2175</v>
      </c>
      <c r="E690" s="4" t="s">
        <v>356</v>
      </c>
      <c r="F690" s="4">
        <v>-1</v>
      </c>
      <c r="G690" s="4">
        <v>0</v>
      </c>
      <c r="H690" s="4">
        <v>0</v>
      </c>
      <c r="K690" s="4">
        <v>0</v>
      </c>
      <c r="N690" s="4">
        <v>0</v>
      </c>
      <c r="O690" s="4">
        <v>0</v>
      </c>
      <c r="P690" s="4" t="str">
        <f t="shared" si="10"/>
        <v>PROGRAM.AFD</v>
      </c>
      <c r="Q690" s="4" t="str">
        <f>VLOOKUP(Cobra8.5[[#This Row],[Table.Column]],ColumnMapping[Old Table.Column],1,)</f>
        <v>PROGRAM.AFD</v>
      </c>
    </row>
    <row r="691" spans="1:17" hidden="1" x14ac:dyDescent="0.2">
      <c r="A691" s="4" t="s">
        <v>744</v>
      </c>
      <c r="B691" s="4">
        <v>0</v>
      </c>
      <c r="C691" s="4" t="s">
        <v>744</v>
      </c>
      <c r="D691" s="4" t="s">
        <v>516</v>
      </c>
      <c r="E691" s="4" t="s">
        <v>2124</v>
      </c>
      <c r="F691" s="4">
        <v>21</v>
      </c>
      <c r="G691" s="4">
        <v>6</v>
      </c>
      <c r="H691" s="4">
        <v>0</v>
      </c>
      <c r="K691" s="4">
        <v>0</v>
      </c>
      <c r="N691" s="4">
        <v>0</v>
      </c>
      <c r="O691" s="4">
        <v>0</v>
      </c>
      <c r="P691" s="4" t="str">
        <f t="shared" si="10"/>
        <v>PROGRAM.AUW</v>
      </c>
      <c r="Q691" s="4" t="str">
        <f>VLOOKUP(Cobra8.5[[#This Row],[Table.Column]],ColumnMapping[Old Table.Column],1,)</f>
        <v>PROGRAM.AUW</v>
      </c>
    </row>
    <row r="692" spans="1:17" hidden="1" x14ac:dyDescent="0.2">
      <c r="A692" s="4" t="s">
        <v>744</v>
      </c>
      <c r="B692" s="4">
        <v>0</v>
      </c>
      <c r="C692" s="4" t="s">
        <v>744</v>
      </c>
      <c r="D692" s="4" t="s">
        <v>607</v>
      </c>
      <c r="E692" s="4" t="s">
        <v>2124</v>
      </c>
      <c r="F692" s="4">
        <v>21</v>
      </c>
      <c r="G692" s="4">
        <v>6</v>
      </c>
      <c r="H692" s="4">
        <v>0</v>
      </c>
      <c r="K692" s="4">
        <v>0</v>
      </c>
      <c r="N692" s="4">
        <v>0</v>
      </c>
      <c r="O692" s="4">
        <v>0</v>
      </c>
      <c r="P692" s="4" t="str">
        <f t="shared" si="10"/>
        <v>PROGRAM.BAC</v>
      </c>
      <c r="Q692" s="4" t="str">
        <f>VLOOKUP(Cobra8.5[[#This Row],[Table.Column]],ColumnMapping[Old Table.Column],1,)</f>
        <v>PROGRAM.BAC</v>
      </c>
    </row>
    <row r="693" spans="1:17" hidden="1" x14ac:dyDescent="0.2">
      <c r="A693" s="4" t="s">
        <v>744</v>
      </c>
      <c r="B693" s="4">
        <v>0</v>
      </c>
      <c r="C693" s="4" t="s">
        <v>744</v>
      </c>
      <c r="D693" s="4" t="s">
        <v>609</v>
      </c>
      <c r="E693" s="4" t="s">
        <v>2124</v>
      </c>
      <c r="F693" s="4">
        <v>21</v>
      </c>
      <c r="G693" s="4">
        <v>6</v>
      </c>
      <c r="H693" s="4">
        <v>0</v>
      </c>
      <c r="K693" s="4">
        <v>0</v>
      </c>
      <c r="N693" s="4">
        <v>0</v>
      </c>
      <c r="O693" s="4">
        <v>0</v>
      </c>
      <c r="P693" s="4" t="str">
        <f t="shared" si="10"/>
        <v>PROGRAM.BAC_HRS</v>
      </c>
      <c r="Q693" s="4" t="str">
        <f>VLOOKUP(Cobra8.5[[#This Row],[Table.Column]],ColumnMapping[Old Table.Column],1,)</f>
        <v>PROGRAM.BAC_HRS</v>
      </c>
    </row>
    <row r="694" spans="1:17" hidden="1" x14ac:dyDescent="0.2">
      <c r="A694" s="4" t="s">
        <v>744</v>
      </c>
      <c r="B694" s="4">
        <v>0</v>
      </c>
      <c r="C694" s="4" t="s">
        <v>744</v>
      </c>
      <c r="D694" s="4" t="s">
        <v>549</v>
      </c>
      <c r="E694" s="4" t="s">
        <v>2108</v>
      </c>
      <c r="F694" s="4">
        <v>-1</v>
      </c>
      <c r="G694" s="4">
        <v>0</v>
      </c>
      <c r="H694" s="4">
        <v>0</v>
      </c>
      <c r="K694" s="4">
        <v>0</v>
      </c>
      <c r="N694" s="4">
        <v>0</v>
      </c>
      <c r="O694" s="4">
        <v>0</v>
      </c>
      <c r="P694" s="4" t="str">
        <f t="shared" si="10"/>
        <v>PROGRAM.BASELINED</v>
      </c>
      <c r="Q694" s="4" t="str">
        <f>VLOOKUP(Cobra8.5[[#This Row],[Table.Column]],ColumnMapping[Old Table.Column],1,)</f>
        <v>PROGRAM.BASELINED</v>
      </c>
    </row>
    <row r="695" spans="1:17" hidden="1" x14ac:dyDescent="0.2">
      <c r="A695" s="4" t="s">
        <v>744</v>
      </c>
      <c r="B695" s="4">
        <v>0</v>
      </c>
      <c r="C695" s="4" t="s">
        <v>744</v>
      </c>
      <c r="D695" s="4" t="s">
        <v>611</v>
      </c>
      <c r="E695" s="4" t="s">
        <v>2108</v>
      </c>
      <c r="F695" s="4">
        <v>-1</v>
      </c>
      <c r="G695" s="4">
        <v>0</v>
      </c>
      <c r="H695" s="4">
        <v>0</v>
      </c>
      <c r="K695" s="4">
        <v>0</v>
      </c>
      <c r="N695" s="4">
        <v>0</v>
      </c>
      <c r="O695" s="4">
        <v>0</v>
      </c>
      <c r="P695" s="4" t="str">
        <f t="shared" si="10"/>
        <v>PROGRAM.BATCHNO</v>
      </c>
      <c r="Q695" s="4" t="str">
        <f>VLOOKUP(Cobra8.5[[#This Row],[Table.Column]],ColumnMapping[Old Table.Column],1,)</f>
        <v>PROGRAM.BATCHNO</v>
      </c>
    </row>
    <row r="696" spans="1:17" hidden="1" x14ac:dyDescent="0.2">
      <c r="A696" s="4" t="s">
        <v>744</v>
      </c>
      <c r="B696" s="4">
        <v>0</v>
      </c>
      <c r="C696" s="4" t="s">
        <v>744</v>
      </c>
      <c r="D696" s="4" t="s">
        <v>613</v>
      </c>
      <c r="E696" s="4" t="s">
        <v>2124</v>
      </c>
      <c r="F696" s="4">
        <v>21</v>
      </c>
      <c r="G696" s="4">
        <v>6</v>
      </c>
      <c r="H696" s="4">
        <v>0</v>
      </c>
      <c r="K696" s="4">
        <v>0</v>
      </c>
      <c r="N696" s="4">
        <v>0</v>
      </c>
      <c r="O696" s="4">
        <v>0</v>
      </c>
      <c r="P696" s="4" t="str">
        <f t="shared" si="10"/>
        <v>PROGRAM.BCWP</v>
      </c>
      <c r="Q696" s="4" t="str">
        <f>VLOOKUP(Cobra8.5[[#This Row],[Table.Column]],ColumnMapping[Old Table.Column],1,)</f>
        <v>PROGRAM.BCWP</v>
      </c>
    </row>
    <row r="697" spans="1:17" hidden="1" x14ac:dyDescent="0.2">
      <c r="A697" s="4" t="s">
        <v>744</v>
      </c>
      <c r="B697" s="4">
        <v>0</v>
      </c>
      <c r="C697" s="4" t="s">
        <v>744</v>
      </c>
      <c r="D697" s="4" t="s">
        <v>615</v>
      </c>
      <c r="E697" s="4" t="s">
        <v>2124</v>
      </c>
      <c r="F697" s="4">
        <v>21</v>
      </c>
      <c r="G697" s="4">
        <v>6</v>
      </c>
      <c r="H697" s="4">
        <v>0</v>
      </c>
      <c r="K697" s="4">
        <v>0</v>
      </c>
      <c r="N697" s="4">
        <v>0</v>
      </c>
      <c r="O697" s="4">
        <v>0</v>
      </c>
      <c r="P697" s="4" t="str">
        <f t="shared" si="10"/>
        <v>PROGRAM.BCWP_HRS</v>
      </c>
      <c r="Q697" s="4" t="str">
        <f>VLOOKUP(Cobra8.5[[#This Row],[Table.Column]],ColumnMapping[Old Table.Column],1,)</f>
        <v>PROGRAM.BCWP_HRS</v>
      </c>
    </row>
    <row r="698" spans="1:17" hidden="1" x14ac:dyDescent="0.2">
      <c r="A698" s="4" t="s">
        <v>744</v>
      </c>
      <c r="B698" s="4">
        <v>0</v>
      </c>
      <c r="C698" s="4" t="s">
        <v>744</v>
      </c>
      <c r="D698" s="4" t="s">
        <v>617</v>
      </c>
      <c r="E698" s="4" t="s">
        <v>2124</v>
      </c>
      <c r="F698" s="4">
        <v>21</v>
      </c>
      <c r="G698" s="4">
        <v>6</v>
      </c>
      <c r="H698" s="4">
        <v>0</v>
      </c>
      <c r="K698" s="4">
        <v>0</v>
      </c>
      <c r="N698" s="4">
        <v>0</v>
      </c>
      <c r="O698" s="4">
        <v>0</v>
      </c>
      <c r="P698" s="4" t="str">
        <f t="shared" si="10"/>
        <v>PROGRAM.BCWS</v>
      </c>
      <c r="Q698" s="4" t="str">
        <f>VLOOKUP(Cobra8.5[[#This Row],[Table.Column]],ColumnMapping[Old Table.Column],1,)</f>
        <v>PROGRAM.BCWS</v>
      </c>
    </row>
    <row r="699" spans="1:17" hidden="1" x14ac:dyDescent="0.2">
      <c r="A699" s="4" t="s">
        <v>744</v>
      </c>
      <c r="B699" s="4">
        <v>0</v>
      </c>
      <c r="C699" s="4" t="s">
        <v>744</v>
      </c>
      <c r="D699" s="4" t="s">
        <v>619</v>
      </c>
      <c r="E699" s="4" t="s">
        <v>2124</v>
      </c>
      <c r="F699" s="4">
        <v>21</v>
      </c>
      <c r="G699" s="4">
        <v>6</v>
      </c>
      <c r="H699" s="4">
        <v>0</v>
      </c>
      <c r="K699" s="4">
        <v>0</v>
      </c>
      <c r="N699" s="4">
        <v>0</v>
      </c>
      <c r="O699" s="4">
        <v>0</v>
      </c>
      <c r="P699" s="4" t="str">
        <f t="shared" si="10"/>
        <v>PROGRAM.BCWS_HRS</v>
      </c>
      <c r="Q699" s="4" t="str">
        <f>VLOOKUP(Cobra8.5[[#This Row],[Table.Column]],ColumnMapping[Old Table.Column],1,)</f>
        <v>PROGRAM.BCWS_HRS</v>
      </c>
    </row>
    <row r="700" spans="1:17" hidden="1" x14ac:dyDescent="0.2">
      <c r="A700" s="4" t="s">
        <v>744</v>
      </c>
      <c r="B700" s="4">
        <v>0</v>
      </c>
      <c r="C700" s="4" t="s">
        <v>744</v>
      </c>
      <c r="D700" s="4" t="s">
        <v>2235</v>
      </c>
      <c r="E700" s="4" t="s">
        <v>2108</v>
      </c>
      <c r="F700" s="4">
        <v>-1</v>
      </c>
      <c r="G700" s="4">
        <v>0</v>
      </c>
      <c r="H700" s="4">
        <v>0</v>
      </c>
      <c r="K700" s="4">
        <v>0</v>
      </c>
      <c r="N700" s="4">
        <v>0</v>
      </c>
      <c r="O700" s="4">
        <v>0</v>
      </c>
      <c r="P700" s="4" t="str">
        <f t="shared" si="10"/>
        <v>PROGRAM.C_RIGHT</v>
      </c>
      <c r="Q700" s="4" t="str">
        <f>VLOOKUP(Cobra8.5[[#This Row],[Table.Column]],ColumnMapping[Old Table.Column],1,)</f>
        <v>PROGRAM.C_RIGHT</v>
      </c>
    </row>
    <row r="701" spans="1:17" hidden="1" x14ac:dyDescent="0.2">
      <c r="A701" s="4" t="s">
        <v>744</v>
      </c>
      <c r="B701" s="4">
        <v>0</v>
      </c>
      <c r="C701" s="4" t="s">
        <v>744</v>
      </c>
      <c r="D701" s="4" t="s">
        <v>2236</v>
      </c>
      <c r="E701" s="4" t="s">
        <v>86</v>
      </c>
      <c r="F701" s="4">
        <v>6</v>
      </c>
      <c r="G701" s="4">
        <v>0</v>
      </c>
      <c r="H701" s="4">
        <v>0</v>
      </c>
      <c r="K701" s="4">
        <v>0</v>
      </c>
      <c r="N701" s="4">
        <v>0</v>
      </c>
      <c r="O701" s="4">
        <v>0</v>
      </c>
      <c r="P701" s="4" t="str">
        <f t="shared" si="10"/>
        <v>PROGRAM.C_SYMBOL</v>
      </c>
      <c r="Q701" s="4" t="str">
        <f>VLOOKUP(Cobra8.5[[#This Row],[Table.Column]],ColumnMapping[Old Table.Column],1,)</f>
        <v>PROGRAM.C_SYMBOL</v>
      </c>
    </row>
    <row r="702" spans="1:17" hidden="1" x14ac:dyDescent="0.2">
      <c r="A702" s="4" t="s">
        <v>744</v>
      </c>
      <c r="B702" s="4">
        <v>0</v>
      </c>
      <c r="C702" s="4" t="s">
        <v>744</v>
      </c>
      <c r="D702" s="4" t="s">
        <v>621</v>
      </c>
      <c r="E702" s="4" t="s">
        <v>86</v>
      </c>
      <c r="F702" s="4">
        <v>1</v>
      </c>
      <c r="G702" s="4">
        <v>0</v>
      </c>
      <c r="H702" s="4">
        <v>0</v>
      </c>
      <c r="K702" s="4">
        <v>0</v>
      </c>
      <c r="N702" s="4">
        <v>0</v>
      </c>
      <c r="O702" s="4">
        <v>0</v>
      </c>
      <c r="P702" s="4" t="str">
        <f t="shared" si="10"/>
        <v>PROGRAM.CA_ACTUAL</v>
      </c>
      <c r="Q702" s="4" t="str">
        <f>VLOOKUP(Cobra8.5[[#This Row],[Table.Column]],ColumnMapping[Old Table.Column],1,)</f>
        <v>PROGRAM.CA_ACTUAL</v>
      </c>
    </row>
    <row r="703" spans="1:17" hidden="1" x14ac:dyDescent="0.2">
      <c r="A703" s="4" t="s">
        <v>744</v>
      </c>
      <c r="B703" s="4">
        <v>0</v>
      </c>
      <c r="C703" s="4" t="s">
        <v>744</v>
      </c>
      <c r="D703" s="4" t="s">
        <v>623</v>
      </c>
      <c r="E703" s="4" t="s">
        <v>86</v>
      </c>
      <c r="F703" s="4">
        <v>22</v>
      </c>
      <c r="G703" s="4">
        <v>0</v>
      </c>
      <c r="H703" s="4">
        <v>0</v>
      </c>
      <c r="K703" s="4">
        <v>0</v>
      </c>
      <c r="N703" s="4">
        <v>0</v>
      </c>
      <c r="O703" s="4">
        <v>0</v>
      </c>
      <c r="P703" s="4" t="str">
        <f t="shared" si="10"/>
        <v>PROGRAM.CA_BD1</v>
      </c>
      <c r="Q703" s="4" t="str">
        <f>VLOOKUP(Cobra8.5[[#This Row],[Table.Column]],ColumnMapping[Old Table.Column],1,)</f>
        <v>PROGRAM.CA_BD1</v>
      </c>
    </row>
    <row r="704" spans="1:17" hidden="1" x14ac:dyDescent="0.2">
      <c r="A704" s="4" t="s">
        <v>744</v>
      </c>
      <c r="B704" s="4">
        <v>0</v>
      </c>
      <c r="C704" s="4" t="s">
        <v>744</v>
      </c>
      <c r="D704" s="4" t="s">
        <v>625</v>
      </c>
      <c r="E704" s="4" t="s">
        <v>86</v>
      </c>
      <c r="F704" s="4">
        <v>22</v>
      </c>
      <c r="G704" s="4">
        <v>0</v>
      </c>
      <c r="H704" s="4">
        <v>0</v>
      </c>
      <c r="K704" s="4">
        <v>0</v>
      </c>
      <c r="N704" s="4">
        <v>0</v>
      </c>
      <c r="O704" s="4">
        <v>0</v>
      </c>
      <c r="P704" s="4" t="str">
        <f t="shared" si="10"/>
        <v>PROGRAM.CA_BD2</v>
      </c>
      <c r="Q704" s="4" t="str">
        <f>VLOOKUP(Cobra8.5[[#This Row],[Table.Column]],ColumnMapping[Old Table.Column],1,)</f>
        <v>PROGRAM.CA_BD2</v>
      </c>
    </row>
    <row r="705" spans="1:17" hidden="1" x14ac:dyDescent="0.2">
      <c r="A705" s="4" t="s">
        <v>744</v>
      </c>
      <c r="B705" s="4">
        <v>0</v>
      </c>
      <c r="C705" s="4" t="s">
        <v>744</v>
      </c>
      <c r="D705" s="4" t="s">
        <v>627</v>
      </c>
      <c r="E705" s="4" t="s">
        <v>86</v>
      </c>
      <c r="F705" s="4">
        <v>22</v>
      </c>
      <c r="G705" s="4">
        <v>0</v>
      </c>
      <c r="H705" s="4">
        <v>0</v>
      </c>
      <c r="K705" s="4">
        <v>0</v>
      </c>
      <c r="N705" s="4">
        <v>0</v>
      </c>
      <c r="O705" s="4">
        <v>0</v>
      </c>
      <c r="P705" s="4" t="str">
        <f t="shared" si="10"/>
        <v>PROGRAM.CA_BD3</v>
      </c>
      <c r="Q705" s="4" t="str">
        <f>VLOOKUP(Cobra8.5[[#This Row],[Table.Column]],ColumnMapping[Old Table.Column],1,)</f>
        <v>PROGRAM.CA_BD3</v>
      </c>
    </row>
    <row r="706" spans="1:17" hidden="1" x14ac:dyDescent="0.2">
      <c r="A706" s="4" t="s">
        <v>744</v>
      </c>
      <c r="B706" s="4">
        <v>0</v>
      </c>
      <c r="C706" s="4" t="s">
        <v>744</v>
      </c>
      <c r="D706" s="4" t="s">
        <v>629</v>
      </c>
      <c r="E706" s="4" t="s">
        <v>86</v>
      </c>
      <c r="F706" s="4">
        <v>10</v>
      </c>
      <c r="G706" s="4">
        <v>0</v>
      </c>
      <c r="H706" s="4">
        <v>0</v>
      </c>
      <c r="K706" s="4">
        <v>0</v>
      </c>
      <c r="N706" s="4">
        <v>0</v>
      </c>
      <c r="O706" s="4">
        <v>0</v>
      </c>
      <c r="P706" s="4" t="str">
        <f t="shared" ref="P706:P769" si="11">_xlfn.CONCAT(A706,".",D706)</f>
        <v>PROGRAM.CA_ID1</v>
      </c>
      <c r="Q706" s="4" t="str">
        <f>VLOOKUP(Cobra8.5[[#This Row],[Table.Column]],ColumnMapping[Old Table.Column],1,)</f>
        <v>PROGRAM.CA_ID1</v>
      </c>
    </row>
    <row r="707" spans="1:17" hidden="1" x14ac:dyDescent="0.2">
      <c r="A707" s="4" t="s">
        <v>744</v>
      </c>
      <c r="B707" s="4">
        <v>0</v>
      </c>
      <c r="C707" s="4" t="s">
        <v>744</v>
      </c>
      <c r="D707" s="4" t="s">
        <v>631</v>
      </c>
      <c r="E707" s="4" t="s">
        <v>86</v>
      </c>
      <c r="F707" s="4">
        <v>10</v>
      </c>
      <c r="G707" s="4">
        <v>0</v>
      </c>
      <c r="H707" s="4">
        <v>0</v>
      </c>
      <c r="K707" s="4">
        <v>0</v>
      </c>
      <c r="N707" s="4">
        <v>0</v>
      </c>
      <c r="O707" s="4">
        <v>0</v>
      </c>
      <c r="P707" s="4" t="str">
        <f t="shared" si="11"/>
        <v>PROGRAM.CA_ID2</v>
      </c>
      <c r="Q707" s="4" t="str">
        <f>VLOOKUP(Cobra8.5[[#This Row],[Table.Column]],ColumnMapping[Old Table.Column],1,)</f>
        <v>PROGRAM.CA_ID2</v>
      </c>
    </row>
    <row r="708" spans="1:17" hidden="1" x14ac:dyDescent="0.2">
      <c r="A708" s="4" t="s">
        <v>744</v>
      </c>
      <c r="B708" s="4">
        <v>0</v>
      </c>
      <c r="C708" s="4" t="s">
        <v>744</v>
      </c>
      <c r="D708" s="4" t="s">
        <v>633</v>
      </c>
      <c r="E708" s="4" t="s">
        <v>86</v>
      </c>
      <c r="F708" s="4">
        <v>10</v>
      </c>
      <c r="G708" s="4">
        <v>0</v>
      </c>
      <c r="H708" s="4">
        <v>0</v>
      </c>
      <c r="K708" s="4">
        <v>0</v>
      </c>
      <c r="N708" s="4">
        <v>0</v>
      </c>
      <c r="O708" s="4">
        <v>0</v>
      </c>
      <c r="P708" s="4" t="str">
        <f t="shared" si="11"/>
        <v>PROGRAM.CA_ID3</v>
      </c>
      <c r="Q708" s="4" t="str">
        <f>VLOOKUP(Cobra8.5[[#This Row],[Table.Column]],ColumnMapping[Old Table.Column],1,)</f>
        <v>PROGRAM.CA_ID3</v>
      </c>
    </row>
    <row r="709" spans="1:17" hidden="1" x14ac:dyDescent="0.2">
      <c r="A709" s="4" t="s">
        <v>744</v>
      </c>
      <c r="B709" s="4">
        <v>0</v>
      </c>
      <c r="C709" s="4" t="s">
        <v>744</v>
      </c>
      <c r="D709" s="4" t="s">
        <v>635</v>
      </c>
      <c r="E709" s="4" t="s">
        <v>86</v>
      </c>
      <c r="F709" s="4">
        <v>22</v>
      </c>
      <c r="G709" s="4">
        <v>0</v>
      </c>
      <c r="H709" s="4">
        <v>0</v>
      </c>
      <c r="K709" s="4">
        <v>0</v>
      </c>
      <c r="N709" s="4">
        <v>0</v>
      </c>
      <c r="O709" s="4">
        <v>0</v>
      </c>
      <c r="P709" s="4" t="str">
        <f t="shared" si="11"/>
        <v>PROGRAM.CALC_FILE</v>
      </c>
      <c r="Q709" s="4" t="str">
        <f>VLOOKUP(Cobra8.5[[#This Row],[Table.Column]],ColumnMapping[Old Table.Column],1,)</f>
        <v>PROGRAM.CALC_FILE</v>
      </c>
    </row>
    <row r="710" spans="1:17" hidden="1" x14ac:dyDescent="0.2">
      <c r="A710" s="4" t="s">
        <v>744</v>
      </c>
      <c r="B710" s="4">
        <v>0</v>
      </c>
      <c r="C710" s="4" t="s">
        <v>744</v>
      </c>
      <c r="D710" s="4" t="s">
        <v>637</v>
      </c>
      <c r="E710" s="4" t="s">
        <v>86</v>
      </c>
      <c r="F710" s="4">
        <v>59</v>
      </c>
      <c r="G710" s="4">
        <v>0</v>
      </c>
      <c r="H710" s="4">
        <v>0</v>
      </c>
      <c r="K710" s="4">
        <v>0</v>
      </c>
      <c r="N710" s="4">
        <v>0</v>
      </c>
      <c r="O710" s="4">
        <v>0</v>
      </c>
      <c r="P710" s="4" t="str">
        <f t="shared" si="11"/>
        <v>PROGRAM.CAMCODE</v>
      </c>
      <c r="Q710" s="4" t="str">
        <f>VLOOKUP(Cobra8.5[[#This Row],[Table.Column]],ColumnMapping[Old Table.Column],1,)</f>
        <v>PROGRAM.CAMCODE</v>
      </c>
    </row>
    <row r="711" spans="1:17" hidden="1" x14ac:dyDescent="0.2">
      <c r="A711" s="4" t="s">
        <v>744</v>
      </c>
      <c r="B711" s="4">
        <v>0</v>
      </c>
      <c r="C711" s="4" t="s">
        <v>744</v>
      </c>
      <c r="D711" s="4" t="s">
        <v>522</v>
      </c>
      <c r="E711" s="4" t="s">
        <v>2124</v>
      </c>
      <c r="F711" s="4">
        <v>21</v>
      </c>
      <c r="G711" s="4">
        <v>6</v>
      </c>
      <c r="H711" s="4">
        <v>0</v>
      </c>
      <c r="K711" s="4">
        <v>0</v>
      </c>
      <c r="N711" s="4">
        <v>0</v>
      </c>
      <c r="O711" s="4">
        <v>0</v>
      </c>
      <c r="P711" s="4" t="str">
        <f t="shared" si="11"/>
        <v>PROGRAM.CBB</v>
      </c>
      <c r="Q711" s="4" t="str">
        <f>VLOOKUP(Cobra8.5[[#This Row],[Table.Column]],ColumnMapping[Old Table.Column],1,)</f>
        <v>PROGRAM.CBB</v>
      </c>
    </row>
    <row r="712" spans="1:17" hidden="1" x14ac:dyDescent="0.2">
      <c r="A712" s="4" t="s">
        <v>744</v>
      </c>
      <c r="B712" s="4">
        <v>0</v>
      </c>
      <c r="C712" s="4" t="s">
        <v>744</v>
      </c>
      <c r="D712" s="4" t="s">
        <v>639</v>
      </c>
      <c r="E712" s="4" t="s">
        <v>86</v>
      </c>
      <c r="F712" s="4">
        <v>22</v>
      </c>
      <c r="G712" s="4">
        <v>0</v>
      </c>
      <c r="H712" s="4">
        <v>0</v>
      </c>
      <c r="K712" s="4">
        <v>0</v>
      </c>
      <c r="N712" s="4">
        <v>0</v>
      </c>
      <c r="O712" s="4">
        <v>0</v>
      </c>
      <c r="P712" s="4" t="str">
        <f t="shared" si="11"/>
        <v>PROGRAM.CCN_BDN</v>
      </c>
      <c r="Q712" s="4" t="str">
        <f>VLOOKUP(Cobra8.5[[#This Row],[Table.Column]],ColumnMapping[Old Table.Column],1,)</f>
        <v>PROGRAM.CCN_BDN</v>
      </c>
    </row>
    <row r="713" spans="1:17" hidden="1" x14ac:dyDescent="0.2">
      <c r="A713" s="4" t="s">
        <v>744</v>
      </c>
      <c r="B713" s="4">
        <v>0</v>
      </c>
      <c r="C713" s="4" t="s">
        <v>744</v>
      </c>
      <c r="D713" s="4" t="s">
        <v>554</v>
      </c>
      <c r="E713" s="4" t="s">
        <v>2108</v>
      </c>
      <c r="F713" s="4">
        <v>-1</v>
      </c>
      <c r="G713" s="4">
        <v>0</v>
      </c>
      <c r="H713" s="4">
        <v>0</v>
      </c>
      <c r="K713" s="4">
        <v>0</v>
      </c>
      <c r="N713" s="4">
        <v>0</v>
      </c>
      <c r="O713" s="4">
        <v>0</v>
      </c>
      <c r="P713" s="4" t="str">
        <f t="shared" si="11"/>
        <v>PROGRAM.CCN_USEBDN</v>
      </c>
      <c r="Q713" s="4" t="str">
        <f>VLOOKUP(Cobra8.5[[#This Row],[Table.Column]],ColumnMapping[Old Table.Column],1,)</f>
        <v>PROGRAM.CCN_USEBDN</v>
      </c>
    </row>
    <row r="714" spans="1:17" hidden="1" x14ac:dyDescent="0.2">
      <c r="A714" s="4" t="s">
        <v>744</v>
      </c>
      <c r="B714" s="4">
        <v>0</v>
      </c>
      <c r="C714" s="4" t="s">
        <v>744</v>
      </c>
      <c r="D714" s="4" t="s">
        <v>2237</v>
      </c>
      <c r="E714" s="4" t="s">
        <v>86</v>
      </c>
      <c r="F714" s="4">
        <v>1</v>
      </c>
      <c r="G714" s="4">
        <v>0</v>
      </c>
      <c r="H714" s="4">
        <v>0</v>
      </c>
      <c r="K714" s="4">
        <v>0</v>
      </c>
      <c r="N714" s="4">
        <v>0</v>
      </c>
      <c r="O714" s="4">
        <v>0</v>
      </c>
      <c r="P714" s="4" t="str">
        <f t="shared" si="11"/>
        <v>PROGRAM.CCN_VAL</v>
      </c>
      <c r="Q714" s="4" t="str">
        <f>VLOOKUP(Cobra8.5[[#This Row],[Table.Column]],ColumnMapping[Old Table.Column],1,)</f>
        <v>PROGRAM.CCN_VAL</v>
      </c>
    </row>
    <row r="715" spans="1:17" hidden="1" x14ac:dyDescent="0.2">
      <c r="A715" s="4" t="s">
        <v>744</v>
      </c>
      <c r="B715" s="4">
        <v>0</v>
      </c>
      <c r="C715" s="4" t="s">
        <v>744</v>
      </c>
      <c r="D715" s="4" t="s">
        <v>641</v>
      </c>
      <c r="E715" s="4" t="s">
        <v>86</v>
      </c>
      <c r="F715" s="4">
        <v>22</v>
      </c>
      <c r="G715" s="4">
        <v>0</v>
      </c>
      <c r="H715" s="4">
        <v>0</v>
      </c>
      <c r="K715" s="4">
        <v>0</v>
      </c>
      <c r="N715" s="4">
        <v>0</v>
      </c>
      <c r="O715" s="4">
        <v>0</v>
      </c>
      <c r="P715" s="4" t="str">
        <f t="shared" si="11"/>
        <v>PROGRAM.CE_BDN</v>
      </c>
      <c r="Q715" s="4" t="str">
        <f>VLOOKUP(Cobra8.5[[#This Row],[Table.Column]],ColumnMapping[Old Table.Column],1,)</f>
        <v>PROGRAM.CE_BDN</v>
      </c>
    </row>
    <row r="716" spans="1:17" hidden="1" x14ac:dyDescent="0.2">
      <c r="A716" s="4" t="s">
        <v>744</v>
      </c>
      <c r="B716" s="4">
        <v>0</v>
      </c>
      <c r="C716" s="4" t="s">
        <v>744</v>
      </c>
      <c r="D716" s="4" t="s">
        <v>643</v>
      </c>
      <c r="E716" s="4" t="s">
        <v>86</v>
      </c>
      <c r="F716" s="4">
        <v>10</v>
      </c>
      <c r="G716" s="4">
        <v>0</v>
      </c>
      <c r="H716" s="4">
        <v>0</v>
      </c>
      <c r="K716" s="4">
        <v>0</v>
      </c>
      <c r="N716" s="4">
        <v>0</v>
      </c>
      <c r="O716" s="4">
        <v>0</v>
      </c>
      <c r="P716" s="4" t="str">
        <f t="shared" si="11"/>
        <v>PROGRAM.CE_ID</v>
      </c>
      <c r="Q716" s="4" t="str">
        <f>VLOOKUP(Cobra8.5[[#This Row],[Table.Column]],ColumnMapping[Old Table.Column],1,)</f>
        <v>PROGRAM.CE_ID</v>
      </c>
    </row>
    <row r="717" spans="1:17" hidden="1" x14ac:dyDescent="0.2">
      <c r="A717" s="4" t="s">
        <v>744</v>
      </c>
      <c r="B717" s="4">
        <v>0</v>
      </c>
      <c r="C717" s="4" t="s">
        <v>744</v>
      </c>
      <c r="D717" s="4" t="s">
        <v>534</v>
      </c>
      <c r="E717" s="4" t="s">
        <v>2124</v>
      </c>
      <c r="F717" s="4">
        <v>21</v>
      </c>
      <c r="G717" s="4">
        <v>6</v>
      </c>
      <c r="H717" s="4">
        <v>0</v>
      </c>
      <c r="K717" s="4">
        <v>0</v>
      </c>
      <c r="N717" s="4">
        <v>0</v>
      </c>
      <c r="O717" s="4">
        <v>0</v>
      </c>
      <c r="P717" s="4" t="str">
        <f t="shared" si="11"/>
        <v>PROGRAM.CEILING</v>
      </c>
      <c r="Q717" s="4" t="str">
        <f>VLOOKUP(Cobra8.5[[#This Row],[Table.Column]],ColumnMapping[Old Table.Column],1,)</f>
        <v>PROGRAM.CEILING</v>
      </c>
    </row>
    <row r="718" spans="1:17" hidden="1" x14ac:dyDescent="0.2">
      <c r="A718" s="4" t="s">
        <v>744</v>
      </c>
      <c r="B718" s="4">
        <v>0</v>
      </c>
      <c r="C718" s="4" t="s">
        <v>744</v>
      </c>
      <c r="D718" s="4" t="s">
        <v>645</v>
      </c>
      <c r="E718" s="4" t="s">
        <v>86</v>
      </c>
      <c r="F718" s="4">
        <v>30</v>
      </c>
      <c r="G718" s="4">
        <v>0</v>
      </c>
      <c r="H718" s="4">
        <v>0</v>
      </c>
      <c r="K718" s="4">
        <v>0</v>
      </c>
      <c r="N718" s="4">
        <v>0</v>
      </c>
      <c r="O718" s="4">
        <v>0</v>
      </c>
      <c r="P718" s="4" t="str">
        <f t="shared" si="11"/>
        <v>PROGRAM.CITY</v>
      </c>
      <c r="Q718" s="4" t="str">
        <f>VLOOKUP(Cobra8.5[[#This Row],[Table.Column]],ColumnMapping[Old Table.Column],1,)</f>
        <v>PROGRAM.CITY</v>
      </c>
    </row>
    <row r="719" spans="1:17" hidden="1" x14ac:dyDescent="0.2">
      <c r="A719" s="4" t="s">
        <v>744</v>
      </c>
      <c r="B719" s="4">
        <v>0</v>
      </c>
      <c r="C719" s="4" t="s">
        <v>744</v>
      </c>
      <c r="D719" s="4" t="s">
        <v>2238</v>
      </c>
      <c r="E719" s="4" t="s">
        <v>86</v>
      </c>
      <c r="F719" s="4">
        <v>60</v>
      </c>
      <c r="G719" s="4">
        <v>0</v>
      </c>
      <c r="H719" s="4">
        <v>0</v>
      </c>
      <c r="K719" s="4">
        <v>0</v>
      </c>
      <c r="N719" s="4">
        <v>0</v>
      </c>
      <c r="O719" s="4">
        <v>0</v>
      </c>
      <c r="P719" s="4" t="str">
        <f t="shared" si="11"/>
        <v>PROGRAM.CLASSFCN</v>
      </c>
      <c r="Q719" s="4" t="str">
        <f>VLOOKUP(Cobra8.5[[#This Row],[Table.Column]],ColumnMapping[Old Table.Column],1,)</f>
        <v>PROGRAM.CLASSFCN</v>
      </c>
    </row>
    <row r="720" spans="1:17" hidden="1" x14ac:dyDescent="0.2">
      <c r="A720" s="4" t="s">
        <v>744</v>
      </c>
      <c r="B720" s="4">
        <v>0</v>
      </c>
      <c r="C720" s="4" t="s">
        <v>744</v>
      </c>
      <c r="D720" s="4" t="s">
        <v>647</v>
      </c>
      <c r="E720" s="4" t="s">
        <v>86</v>
      </c>
      <c r="F720" s="4">
        <v>20</v>
      </c>
      <c r="G720" s="4">
        <v>0</v>
      </c>
      <c r="H720" s="4">
        <v>0</v>
      </c>
      <c r="K720" s="4">
        <v>0</v>
      </c>
      <c r="N720" s="4">
        <v>0</v>
      </c>
      <c r="O720" s="4">
        <v>0</v>
      </c>
      <c r="P720" s="4" t="str">
        <f t="shared" si="11"/>
        <v>PROGRAM.CLC_PROMPT</v>
      </c>
      <c r="Q720" s="4" t="str">
        <f>VLOOKUP(Cobra8.5[[#This Row],[Table.Column]],ColumnMapping[Old Table.Column],1,)</f>
        <v>PROGRAM.CLC_PROMPT</v>
      </c>
    </row>
    <row r="721" spans="1:17" hidden="1" x14ac:dyDescent="0.2">
      <c r="A721" s="4" t="s">
        <v>744</v>
      </c>
      <c r="B721" s="4">
        <v>0</v>
      </c>
      <c r="C721" s="4" t="s">
        <v>744</v>
      </c>
      <c r="D721" s="4" t="s">
        <v>649</v>
      </c>
      <c r="E721" s="4" t="s">
        <v>86</v>
      </c>
      <c r="F721" s="4">
        <v>30</v>
      </c>
      <c r="G721" s="4">
        <v>0</v>
      </c>
      <c r="H721" s="4">
        <v>0</v>
      </c>
      <c r="K721" s="4">
        <v>0</v>
      </c>
      <c r="N721" s="4">
        <v>0</v>
      </c>
      <c r="O721" s="4">
        <v>0</v>
      </c>
      <c r="P721" s="4" t="str">
        <f t="shared" si="11"/>
        <v>PROGRAM.CLIN_CODE</v>
      </c>
      <c r="Q721" s="4" t="str">
        <f>VLOOKUP(Cobra8.5[[#This Row],[Table.Column]],ColumnMapping[Old Table.Column],1,)</f>
        <v>PROGRAM.CLIN_CODE</v>
      </c>
    </row>
    <row r="722" spans="1:17" hidden="1" x14ac:dyDescent="0.2">
      <c r="A722" s="4" t="s">
        <v>744</v>
      </c>
      <c r="B722" s="4">
        <v>0</v>
      </c>
      <c r="C722" s="4" t="s">
        <v>744</v>
      </c>
      <c r="D722" s="4" t="s">
        <v>582</v>
      </c>
      <c r="E722" s="4" t="s">
        <v>356</v>
      </c>
      <c r="F722" s="4">
        <v>-1</v>
      </c>
      <c r="G722" s="4">
        <v>0</v>
      </c>
      <c r="H722" s="4">
        <v>0</v>
      </c>
      <c r="K722" s="4">
        <v>0</v>
      </c>
      <c r="N722" s="4">
        <v>0</v>
      </c>
      <c r="O722" s="4">
        <v>0</v>
      </c>
      <c r="P722" s="4" t="str">
        <f t="shared" si="11"/>
        <v>PROGRAM.COMPLETE</v>
      </c>
      <c r="Q722" s="4" t="str">
        <f>VLOOKUP(Cobra8.5[[#This Row],[Table.Column]],ColumnMapping[Old Table.Column],1,)</f>
        <v>PROGRAM.COMPLETE</v>
      </c>
    </row>
    <row r="723" spans="1:17" hidden="1" x14ac:dyDescent="0.2">
      <c r="A723" s="4" t="s">
        <v>744</v>
      </c>
      <c r="B723" s="4">
        <v>0</v>
      </c>
      <c r="C723" s="4" t="s">
        <v>744</v>
      </c>
      <c r="D723" s="4" t="s">
        <v>651</v>
      </c>
      <c r="E723" s="4" t="s">
        <v>86</v>
      </c>
      <c r="F723" s="4">
        <v>1</v>
      </c>
      <c r="G723" s="4">
        <v>0</v>
      </c>
      <c r="H723" s="4">
        <v>0</v>
      </c>
      <c r="K723" s="4">
        <v>0</v>
      </c>
      <c r="N723" s="4">
        <v>0</v>
      </c>
      <c r="O723" s="4">
        <v>0</v>
      </c>
      <c r="P723" s="4" t="str">
        <f t="shared" si="11"/>
        <v>PROGRAM.CONT_FLAG</v>
      </c>
      <c r="Q723" s="4" t="str">
        <f>VLOOKUP(Cobra8.5[[#This Row],[Table.Column]],ColumnMapping[Old Table.Column],1,)</f>
        <v>PROGRAM.CONT_FLAG</v>
      </c>
    </row>
    <row r="724" spans="1:17" hidden="1" x14ac:dyDescent="0.2">
      <c r="A724" s="4" t="s">
        <v>744</v>
      </c>
      <c r="B724" s="4">
        <v>0</v>
      </c>
      <c r="C724" s="4" t="s">
        <v>744</v>
      </c>
      <c r="D724" s="4" t="s">
        <v>653</v>
      </c>
      <c r="E724" s="4" t="s">
        <v>86</v>
      </c>
      <c r="F724" s="4">
        <v>20</v>
      </c>
      <c r="G724" s="4">
        <v>0</v>
      </c>
      <c r="H724" s="4">
        <v>0</v>
      </c>
      <c r="K724" s="4">
        <v>0</v>
      </c>
      <c r="N724" s="4">
        <v>0</v>
      </c>
      <c r="O724" s="4">
        <v>0</v>
      </c>
      <c r="P724" s="4" t="str">
        <f t="shared" si="11"/>
        <v>PROGRAM.CONT_IDCODE</v>
      </c>
      <c r="Q724" s="4" t="str">
        <f>VLOOKUP(Cobra8.5[[#This Row],[Table.Column]],ColumnMapping[Old Table.Column],1,)</f>
        <v>PROGRAM.CONT_IDCODE</v>
      </c>
    </row>
    <row r="725" spans="1:17" hidden="1" x14ac:dyDescent="0.2">
      <c r="A725" s="4" t="s">
        <v>744</v>
      </c>
      <c r="B725" s="4">
        <v>0</v>
      </c>
      <c r="C725" s="4" t="s">
        <v>744</v>
      </c>
      <c r="D725" s="4" t="s">
        <v>655</v>
      </c>
      <c r="E725" s="4" t="s">
        <v>86</v>
      </c>
      <c r="F725" s="4">
        <v>15</v>
      </c>
      <c r="G725" s="4">
        <v>0</v>
      </c>
      <c r="H725" s="4">
        <v>0</v>
      </c>
      <c r="K725" s="4">
        <v>0</v>
      </c>
      <c r="N725" s="4">
        <v>0</v>
      </c>
      <c r="O725" s="4">
        <v>0</v>
      </c>
      <c r="P725" s="4" t="str">
        <f t="shared" si="11"/>
        <v>PROGRAM.CONT_IDTYPE</v>
      </c>
      <c r="Q725" s="4" t="str">
        <f>VLOOKUP(Cobra8.5[[#This Row],[Table.Column]],ColumnMapping[Old Table.Column],1,)</f>
        <v>PROGRAM.CONT_IDTYPE</v>
      </c>
    </row>
    <row r="726" spans="1:17" hidden="1" x14ac:dyDescent="0.2">
      <c r="A726" s="4" t="s">
        <v>744</v>
      </c>
      <c r="B726" s="4">
        <v>0</v>
      </c>
      <c r="C726" s="4" t="s">
        <v>744</v>
      </c>
      <c r="D726" s="4" t="s">
        <v>657</v>
      </c>
      <c r="E726" s="4" t="s">
        <v>86</v>
      </c>
      <c r="F726" s="4">
        <v>40</v>
      </c>
      <c r="G726" s="4">
        <v>0</v>
      </c>
      <c r="H726" s="4">
        <v>0</v>
      </c>
      <c r="K726" s="4">
        <v>0</v>
      </c>
      <c r="N726" s="4">
        <v>0</v>
      </c>
      <c r="O726" s="4">
        <v>0</v>
      </c>
      <c r="P726" s="4" t="str">
        <f t="shared" si="11"/>
        <v>PROGRAM.CONT_LOC</v>
      </c>
      <c r="Q726" s="4" t="str">
        <f>VLOOKUP(Cobra8.5[[#This Row],[Table.Column]],ColumnMapping[Old Table.Column],1,)</f>
        <v>PROGRAM.CONT_LOC</v>
      </c>
    </row>
    <row r="727" spans="1:17" hidden="1" x14ac:dyDescent="0.2">
      <c r="A727" s="4" t="s">
        <v>744</v>
      </c>
      <c r="B727" s="4">
        <v>0</v>
      </c>
      <c r="C727" s="4" t="s">
        <v>744</v>
      </c>
      <c r="D727" s="4" t="s">
        <v>659</v>
      </c>
      <c r="E727" s="4" t="s">
        <v>86</v>
      </c>
      <c r="F727" s="4">
        <v>250</v>
      </c>
      <c r="G727" s="4">
        <v>0</v>
      </c>
      <c r="H727" s="4">
        <v>0</v>
      </c>
      <c r="K727" s="4">
        <v>0</v>
      </c>
      <c r="N727" s="4">
        <v>0</v>
      </c>
      <c r="O727" s="4">
        <v>0</v>
      </c>
      <c r="P727" s="4" t="str">
        <f t="shared" si="11"/>
        <v>PROGRAM.CONT_NAME</v>
      </c>
      <c r="Q727" s="4" t="str">
        <f>VLOOKUP(Cobra8.5[[#This Row],[Table.Column]],ColumnMapping[Old Table.Column],1,)</f>
        <v>PROGRAM.CONT_NAME</v>
      </c>
    </row>
    <row r="728" spans="1:17" hidden="1" x14ac:dyDescent="0.2">
      <c r="A728" s="4" t="s">
        <v>744</v>
      </c>
      <c r="B728" s="4">
        <v>0</v>
      </c>
      <c r="C728" s="4" t="s">
        <v>744</v>
      </c>
      <c r="D728" s="4" t="s">
        <v>661</v>
      </c>
      <c r="E728" s="4" t="s">
        <v>86</v>
      </c>
      <c r="F728" s="4">
        <v>100</v>
      </c>
      <c r="G728" s="4">
        <v>0</v>
      </c>
      <c r="H728" s="4">
        <v>0</v>
      </c>
      <c r="K728" s="4">
        <v>0</v>
      </c>
      <c r="N728" s="4">
        <v>0</v>
      </c>
      <c r="O728" s="4">
        <v>0</v>
      </c>
      <c r="P728" s="4" t="str">
        <f t="shared" si="11"/>
        <v>PROGRAM.CONT_NO</v>
      </c>
      <c r="Q728" s="4" t="str">
        <f>VLOOKUP(Cobra8.5[[#This Row],[Table.Column]],ColumnMapping[Old Table.Column],1,)</f>
        <v>PROGRAM.CONT_NO</v>
      </c>
    </row>
    <row r="729" spans="1:17" hidden="1" x14ac:dyDescent="0.2">
      <c r="A729" s="4" t="s">
        <v>744</v>
      </c>
      <c r="B729" s="4">
        <v>0</v>
      </c>
      <c r="C729" s="4" t="s">
        <v>744</v>
      </c>
      <c r="D729" s="4" t="s">
        <v>663</v>
      </c>
      <c r="E729" s="4" t="s">
        <v>86</v>
      </c>
      <c r="F729" s="4">
        <v>20</v>
      </c>
      <c r="G729" s="4">
        <v>0</v>
      </c>
      <c r="H729" s="4">
        <v>0</v>
      </c>
      <c r="K729" s="4">
        <v>0</v>
      </c>
      <c r="N729" s="4">
        <v>0</v>
      </c>
      <c r="O729" s="4">
        <v>0</v>
      </c>
      <c r="P729" s="4" t="str">
        <f t="shared" si="11"/>
        <v>PROGRAM.CONT_PHASE</v>
      </c>
      <c r="Q729" s="4" t="str">
        <f>VLOOKUP(Cobra8.5[[#This Row],[Table.Column]],ColumnMapping[Old Table.Column],1,)</f>
        <v>PROGRAM.CONT_PHASE</v>
      </c>
    </row>
    <row r="730" spans="1:17" hidden="1" x14ac:dyDescent="0.2">
      <c r="A730" s="4" t="s">
        <v>744</v>
      </c>
      <c r="B730" s="4">
        <v>0</v>
      </c>
      <c r="C730" s="4" t="s">
        <v>744</v>
      </c>
      <c r="D730" s="4" t="s">
        <v>665</v>
      </c>
      <c r="E730" s="4" t="s">
        <v>86</v>
      </c>
      <c r="F730" s="4">
        <v>80</v>
      </c>
      <c r="G730" s="4">
        <v>0</v>
      </c>
      <c r="H730" s="4">
        <v>0</v>
      </c>
      <c r="K730" s="4">
        <v>0</v>
      </c>
      <c r="N730" s="4">
        <v>0</v>
      </c>
      <c r="O730" s="4">
        <v>0</v>
      </c>
      <c r="P730" s="4" t="str">
        <f t="shared" si="11"/>
        <v>PROGRAM.CONT_PROGRAM</v>
      </c>
      <c r="Q730" s="4" t="str">
        <f>VLOOKUP(Cobra8.5[[#This Row],[Table.Column]],ColumnMapping[Old Table.Column],1,)</f>
        <v>PROGRAM.CONT_PROGRAM</v>
      </c>
    </row>
    <row r="731" spans="1:17" hidden="1" x14ac:dyDescent="0.2">
      <c r="A731" s="4" t="s">
        <v>744</v>
      </c>
      <c r="B731" s="4">
        <v>0</v>
      </c>
      <c r="C731" s="4" t="s">
        <v>744</v>
      </c>
      <c r="D731" s="4" t="s">
        <v>667</v>
      </c>
      <c r="E731" s="4" t="s">
        <v>86</v>
      </c>
      <c r="F731" s="4">
        <v>2</v>
      </c>
      <c r="G731" s="4">
        <v>0</v>
      </c>
      <c r="H731" s="4">
        <v>0</v>
      </c>
      <c r="K731" s="4">
        <v>0</v>
      </c>
      <c r="N731" s="4">
        <v>0</v>
      </c>
      <c r="O731" s="4">
        <v>0</v>
      </c>
      <c r="P731" s="4" t="str">
        <f t="shared" si="11"/>
        <v>PROGRAM.CONT_PROGTYPE</v>
      </c>
      <c r="Q731" s="4" t="e">
        <f>VLOOKUP(Cobra8.5[[#This Row],[Table.Column]],ColumnMapping[Old Table.Column],1,)</f>
        <v>#N/A</v>
      </c>
    </row>
    <row r="732" spans="1:17" hidden="1" x14ac:dyDescent="0.2">
      <c r="A732" s="4" t="s">
        <v>744</v>
      </c>
      <c r="B732" s="4">
        <v>0</v>
      </c>
      <c r="C732" s="4" t="s">
        <v>744</v>
      </c>
      <c r="D732" s="4" t="s">
        <v>670</v>
      </c>
      <c r="E732" s="4" t="s">
        <v>86</v>
      </c>
      <c r="F732" s="4">
        <v>60</v>
      </c>
      <c r="G732" s="4">
        <v>0</v>
      </c>
      <c r="H732" s="4">
        <v>0</v>
      </c>
      <c r="K732" s="4">
        <v>0</v>
      </c>
      <c r="N732" s="4">
        <v>0</v>
      </c>
      <c r="O732" s="4">
        <v>0</v>
      </c>
      <c r="P732" s="4" t="str">
        <f t="shared" si="11"/>
        <v>PROGRAM.CONT_REPEMAIL</v>
      </c>
      <c r="Q732" s="4" t="e">
        <f>VLOOKUP(Cobra8.5[[#This Row],[Table.Column]],ColumnMapping[Old Table.Column],1,)</f>
        <v>#N/A</v>
      </c>
    </row>
    <row r="733" spans="1:17" hidden="1" x14ac:dyDescent="0.2">
      <c r="A733" s="4" t="s">
        <v>744</v>
      </c>
      <c r="B733" s="4">
        <v>0</v>
      </c>
      <c r="C733" s="4" t="s">
        <v>744</v>
      </c>
      <c r="D733" s="4" t="s">
        <v>672</v>
      </c>
      <c r="E733" s="4" t="s">
        <v>86</v>
      </c>
      <c r="F733" s="4">
        <v>60</v>
      </c>
      <c r="G733" s="4">
        <v>0</v>
      </c>
      <c r="H733" s="4">
        <v>0</v>
      </c>
      <c r="K733" s="4">
        <v>0</v>
      </c>
      <c r="N733" s="4">
        <v>0</v>
      </c>
      <c r="O733" s="4">
        <v>0</v>
      </c>
      <c r="P733" s="4" t="str">
        <f t="shared" si="11"/>
        <v>PROGRAM.CONT_REPN</v>
      </c>
      <c r="Q733" s="4" t="str">
        <f>VLOOKUP(Cobra8.5[[#This Row],[Table.Column]],ColumnMapping[Old Table.Column],1,)</f>
        <v>PROGRAM.CONT_REPN</v>
      </c>
    </row>
    <row r="734" spans="1:17" hidden="1" x14ac:dyDescent="0.2">
      <c r="A734" s="4" t="s">
        <v>744</v>
      </c>
      <c r="B734" s="4">
        <v>0</v>
      </c>
      <c r="C734" s="4" t="s">
        <v>744</v>
      </c>
      <c r="D734" s="4" t="s">
        <v>674</v>
      </c>
      <c r="E734" s="4" t="s">
        <v>86</v>
      </c>
      <c r="F734" s="4">
        <v>20</v>
      </c>
      <c r="G734" s="4">
        <v>0</v>
      </c>
      <c r="H734" s="4">
        <v>0</v>
      </c>
      <c r="K734" s="4">
        <v>0</v>
      </c>
      <c r="N734" s="4">
        <v>0</v>
      </c>
      <c r="O734" s="4">
        <v>0</v>
      </c>
      <c r="P734" s="4" t="str">
        <f t="shared" si="11"/>
        <v>PROGRAM.CONT_REPPHONE</v>
      </c>
      <c r="Q734" s="4" t="str">
        <f>VLOOKUP(Cobra8.5[[#This Row],[Table.Column]],ColumnMapping[Old Table.Column],1,)</f>
        <v>PROGRAM.CONT_REPPHONE</v>
      </c>
    </row>
    <row r="735" spans="1:17" hidden="1" x14ac:dyDescent="0.2">
      <c r="A735" s="4" t="s">
        <v>744</v>
      </c>
      <c r="B735" s="4">
        <v>0</v>
      </c>
      <c r="C735" s="4" t="s">
        <v>744</v>
      </c>
      <c r="D735" s="4" t="s">
        <v>676</v>
      </c>
      <c r="E735" s="4" t="s">
        <v>86</v>
      </c>
      <c r="F735" s="4">
        <v>60</v>
      </c>
      <c r="G735" s="4">
        <v>0</v>
      </c>
      <c r="H735" s="4">
        <v>0</v>
      </c>
      <c r="K735" s="4">
        <v>0</v>
      </c>
      <c r="N735" s="4">
        <v>0</v>
      </c>
      <c r="O735" s="4">
        <v>0</v>
      </c>
      <c r="P735" s="4" t="str">
        <f t="shared" si="11"/>
        <v>PROGRAM.CONT_REPT</v>
      </c>
      <c r="Q735" s="4" t="str">
        <f>VLOOKUP(Cobra8.5[[#This Row],[Table.Column]],ColumnMapping[Old Table.Column],1,)</f>
        <v>PROGRAM.CONT_REPT</v>
      </c>
    </row>
    <row r="736" spans="1:17" hidden="1" x14ac:dyDescent="0.2">
      <c r="A736" s="4" t="s">
        <v>744</v>
      </c>
      <c r="B736" s="4">
        <v>0</v>
      </c>
      <c r="C736" s="4" t="s">
        <v>744</v>
      </c>
      <c r="D736" s="4" t="s">
        <v>678</v>
      </c>
      <c r="E736" s="4" t="s">
        <v>86</v>
      </c>
      <c r="F736" s="4">
        <v>-1</v>
      </c>
      <c r="G736" s="4">
        <v>0</v>
      </c>
      <c r="H736" s="4">
        <v>0</v>
      </c>
      <c r="K736" s="4">
        <v>0</v>
      </c>
      <c r="N736" s="4">
        <v>0</v>
      </c>
      <c r="O736" s="4">
        <v>0</v>
      </c>
      <c r="P736" s="4" t="str">
        <f t="shared" si="11"/>
        <v>PROGRAM.CONT_STATEMENT</v>
      </c>
      <c r="Q736" s="4" t="e">
        <f>VLOOKUP(Cobra8.5[[#This Row],[Table.Column]],ColumnMapping[Old Table.Column],1,)</f>
        <v>#N/A</v>
      </c>
    </row>
    <row r="737" spans="1:17" hidden="1" x14ac:dyDescent="0.2">
      <c r="A737" s="4" t="s">
        <v>744</v>
      </c>
      <c r="B737" s="4">
        <v>0</v>
      </c>
      <c r="C737" s="4" t="s">
        <v>744</v>
      </c>
      <c r="D737" s="4" t="s">
        <v>682</v>
      </c>
      <c r="E737" s="4" t="s">
        <v>86</v>
      </c>
      <c r="F737" s="4">
        <v>80</v>
      </c>
      <c r="G737" s="4">
        <v>0</v>
      </c>
      <c r="H737" s="4">
        <v>0</v>
      </c>
      <c r="K737" s="4">
        <v>0</v>
      </c>
      <c r="N737" s="4">
        <v>0</v>
      </c>
      <c r="O737" s="4">
        <v>0</v>
      </c>
      <c r="P737" s="4" t="str">
        <f t="shared" si="11"/>
        <v>PROGRAM.CONT_TASK</v>
      </c>
      <c r="Q737" s="4" t="e">
        <f>VLOOKUP(Cobra8.5[[#This Row],[Table.Column]],ColumnMapping[Old Table.Column],1,)</f>
        <v>#N/A</v>
      </c>
    </row>
    <row r="738" spans="1:17" hidden="1" x14ac:dyDescent="0.2">
      <c r="A738" s="4" t="s">
        <v>744</v>
      </c>
      <c r="B738" s="4">
        <v>0</v>
      </c>
      <c r="C738" s="4" t="s">
        <v>744</v>
      </c>
      <c r="D738" s="4" t="s">
        <v>684</v>
      </c>
      <c r="E738" s="4" t="s">
        <v>86</v>
      </c>
      <c r="F738" s="4">
        <v>10</v>
      </c>
      <c r="G738" s="4">
        <v>0</v>
      </c>
      <c r="H738" s="4">
        <v>0</v>
      </c>
      <c r="K738" s="4">
        <v>0</v>
      </c>
      <c r="N738" s="4">
        <v>0</v>
      </c>
      <c r="O738" s="4">
        <v>0</v>
      </c>
      <c r="P738" s="4" t="str">
        <f t="shared" si="11"/>
        <v>PROGRAM.CONT_TYPE</v>
      </c>
      <c r="Q738" s="4" t="str">
        <f>VLOOKUP(Cobra8.5[[#This Row],[Table.Column]],ColumnMapping[Old Table.Column],1,)</f>
        <v>PROGRAM.CONT_TYPE</v>
      </c>
    </row>
    <row r="739" spans="1:17" hidden="1" x14ac:dyDescent="0.2">
      <c r="A739" s="4" t="s">
        <v>744</v>
      </c>
      <c r="B739" s="4">
        <v>0</v>
      </c>
      <c r="C739" s="4" t="s">
        <v>744</v>
      </c>
      <c r="D739" s="4" t="s">
        <v>686</v>
      </c>
      <c r="E739" s="4" t="s">
        <v>86</v>
      </c>
      <c r="F739" s="4">
        <v>100</v>
      </c>
      <c r="G739" s="4">
        <v>0</v>
      </c>
      <c r="H739" s="4">
        <v>0</v>
      </c>
      <c r="K739" s="4">
        <v>0</v>
      </c>
      <c r="N739" s="4">
        <v>0</v>
      </c>
      <c r="O739" s="4">
        <v>0</v>
      </c>
      <c r="P739" s="4" t="str">
        <f t="shared" si="11"/>
        <v>PROGRAM.CONTRACT</v>
      </c>
      <c r="Q739" s="4" t="str">
        <f>VLOOKUP(Cobra8.5[[#This Row],[Table.Column]],ColumnMapping[Old Table.Column],1,)</f>
        <v>PROGRAM.CONTRACT</v>
      </c>
    </row>
    <row r="740" spans="1:17" hidden="1" x14ac:dyDescent="0.2">
      <c r="A740" s="4" t="s">
        <v>744</v>
      </c>
      <c r="B740" s="4">
        <v>0</v>
      </c>
      <c r="C740" s="4" t="s">
        <v>744</v>
      </c>
      <c r="D740" s="4" t="s">
        <v>688</v>
      </c>
      <c r="E740" s="4" t="s">
        <v>86</v>
      </c>
      <c r="F740" s="4">
        <v>20</v>
      </c>
      <c r="G740" s="4">
        <v>0</v>
      </c>
      <c r="H740" s="4">
        <v>0</v>
      </c>
      <c r="K740" s="4">
        <v>0</v>
      </c>
      <c r="N740" s="4">
        <v>0</v>
      </c>
      <c r="O740" s="4">
        <v>0</v>
      </c>
      <c r="P740" s="4" t="str">
        <f t="shared" si="11"/>
        <v>PROGRAM.COUNTRY</v>
      </c>
      <c r="Q740" s="4" t="str">
        <f>VLOOKUP(Cobra8.5[[#This Row],[Table.Column]],ColumnMapping[Old Table.Column],1,)</f>
        <v>PROGRAM.COUNTRY</v>
      </c>
    </row>
    <row r="741" spans="1:17" hidden="1" x14ac:dyDescent="0.2">
      <c r="A741" s="4" t="s">
        <v>744</v>
      </c>
      <c r="B741" s="4">
        <v>0</v>
      </c>
      <c r="C741" s="4" t="s">
        <v>744</v>
      </c>
      <c r="D741" s="4" t="s">
        <v>513</v>
      </c>
      <c r="E741" s="4" t="s">
        <v>2124</v>
      </c>
      <c r="F741" s="4">
        <v>21</v>
      </c>
      <c r="G741" s="4">
        <v>6</v>
      </c>
      <c r="H741" s="4">
        <v>0</v>
      </c>
      <c r="K741" s="4">
        <v>0</v>
      </c>
      <c r="N741" s="4">
        <v>0</v>
      </c>
      <c r="O741" s="4">
        <v>0</v>
      </c>
      <c r="P741" s="4" t="str">
        <f t="shared" si="11"/>
        <v>PROGRAM.CTC</v>
      </c>
      <c r="Q741" s="4" t="str">
        <f>VLOOKUP(Cobra8.5[[#This Row],[Table.Column]],ColumnMapping[Old Table.Column],1,)</f>
        <v>PROGRAM.CTC</v>
      </c>
    </row>
    <row r="742" spans="1:17" hidden="1" x14ac:dyDescent="0.2">
      <c r="A742" s="4" t="s">
        <v>744</v>
      </c>
      <c r="B742" s="4">
        <v>0</v>
      </c>
      <c r="C742" s="4" t="s">
        <v>744</v>
      </c>
      <c r="D742" s="4" t="s">
        <v>585</v>
      </c>
      <c r="E742" s="4" t="s">
        <v>356</v>
      </c>
      <c r="F742" s="4">
        <v>-1</v>
      </c>
      <c r="G742" s="4">
        <v>0</v>
      </c>
      <c r="H742" s="4">
        <v>0</v>
      </c>
      <c r="K742" s="4">
        <v>0</v>
      </c>
      <c r="N742" s="4">
        <v>0</v>
      </c>
      <c r="O742" s="4">
        <v>0</v>
      </c>
      <c r="P742" s="4" t="str">
        <f t="shared" si="11"/>
        <v>PROGRAM.DEFINITE</v>
      </c>
      <c r="Q742" s="4" t="str">
        <f>VLOOKUP(Cobra8.5[[#This Row],[Table.Column]],ColumnMapping[Old Table.Column],1,)</f>
        <v>PROGRAM.DEFINITE</v>
      </c>
    </row>
    <row r="743" spans="1:17" hidden="1" x14ac:dyDescent="0.2">
      <c r="A743" s="4" t="s">
        <v>744</v>
      </c>
      <c r="B743" s="4">
        <v>0</v>
      </c>
      <c r="C743" s="4" t="s">
        <v>744</v>
      </c>
      <c r="D743" s="4" t="s">
        <v>690</v>
      </c>
      <c r="E743" s="4" t="s">
        <v>2124</v>
      </c>
      <c r="F743" s="4">
        <v>21</v>
      </c>
      <c r="G743" s="4">
        <v>6</v>
      </c>
      <c r="H743" s="4">
        <v>0</v>
      </c>
      <c r="K743" s="4">
        <v>0</v>
      </c>
      <c r="N743" s="4">
        <v>0</v>
      </c>
      <c r="O743" s="4">
        <v>0</v>
      </c>
      <c r="P743" s="4" t="str">
        <f t="shared" si="11"/>
        <v>PROGRAM.EAC</v>
      </c>
      <c r="Q743" s="4" t="str">
        <f>VLOOKUP(Cobra8.5[[#This Row],[Table.Column]],ColumnMapping[Old Table.Column],1,)</f>
        <v>PROGRAM.EAC</v>
      </c>
    </row>
    <row r="744" spans="1:17" hidden="1" x14ac:dyDescent="0.2">
      <c r="A744" s="4" t="s">
        <v>744</v>
      </c>
      <c r="B744" s="4">
        <v>0</v>
      </c>
      <c r="C744" s="4" t="s">
        <v>744</v>
      </c>
      <c r="D744" s="4" t="s">
        <v>576</v>
      </c>
      <c r="E744" s="4" t="s">
        <v>2124</v>
      </c>
      <c r="F744" s="4">
        <v>21</v>
      </c>
      <c r="G744" s="4">
        <v>6</v>
      </c>
      <c r="H744" s="4">
        <v>0</v>
      </c>
      <c r="K744" s="4">
        <v>0</v>
      </c>
      <c r="N744" s="4">
        <v>0</v>
      </c>
      <c r="O744" s="4">
        <v>0</v>
      </c>
      <c r="P744" s="4" t="str">
        <f t="shared" si="11"/>
        <v>PROGRAM.EAC_BEST</v>
      </c>
      <c r="Q744" s="4" t="str">
        <f>VLOOKUP(Cobra8.5[[#This Row],[Table.Column]],ColumnMapping[Old Table.Column],1,)</f>
        <v>PROGRAM.EAC_BEST</v>
      </c>
    </row>
    <row r="745" spans="1:17" hidden="1" x14ac:dyDescent="0.2">
      <c r="A745" s="4" t="s">
        <v>744</v>
      </c>
      <c r="B745" s="4">
        <v>0</v>
      </c>
      <c r="C745" s="4" t="s">
        <v>744</v>
      </c>
      <c r="D745" s="4" t="s">
        <v>692</v>
      </c>
      <c r="E745" s="4" t="s">
        <v>2124</v>
      </c>
      <c r="F745" s="4">
        <v>21</v>
      </c>
      <c r="G745" s="4">
        <v>6</v>
      </c>
      <c r="H745" s="4">
        <v>0</v>
      </c>
      <c r="K745" s="4">
        <v>0</v>
      </c>
      <c r="N745" s="4">
        <v>0</v>
      </c>
      <c r="O745" s="4">
        <v>0</v>
      </c>
      <c r="P745" s="4" t="str">
        <f t="shared" si="11"/>
        <v>PROGRAM.EAC_HRS</v>
      </c>
      <c r="Q745" s="4" t="str">
        <f>VLOOKUP(Cobra8.5[[#This Row],[Table.Column]],ColumnMapping[Old Table.Column],1,)</f>
        <v>PROGRAM.EAC_HRS</v>
      </c>
    </row>
    <row r="746" spans="1:17" hidden="1" x14ac:dyDescent="0.2">
      <c r="A746" s="4" t="s">
        <v>744</v>
      </c>
      <c r="B746" s="4">
        <v>0</v>
      </c>
      <c r="C746" s="4" t="s">
        <v>744</v>
      </c>
      <c r="D746" s="4" t="s">
        <v>579</v>
      </c>
      <c r="E746" s="4" t="s">
        <v>2124</v>
      </c>
      <c r="F746" s="4">
        <v>21</v>
      </c>
      <c r="G746" s="4">
        <v>6</v>
      </c>
      <c r="H746" s="4">
        <v>0</v>
      </c>
      <c r="K746" s="4">
        <v>0</v>
      </c>
      <c r="N746" s="4">
        <v>0</v>
      </c>
      <c r="O746" s="4">
        <v>0</v>
      </c>
      <c r="P746" s="4" t="str">
        <f t="shared" si="11"/>
        <v>PROGRAM.EAC_WORST</v>
      </c>
      <c r="Q746" s="4" t="str">
        <f>VLOOKUP(Cobra8.5[[#This Row],[Table.Column]],ColumnMapping[Old Table.Column],1,)</f>
        <v>PROGRAM.EAC_WORST</v>
      </c>
    </row>
    <row r="747" spans="1:17" hidden="1" x14ac:dyDescent="0.2">
      <c r="A747" s="4" t="s">
        <v>744</v>
      </c>
      <c r="B747" s="4">
        <v>0</v>
      </c>
      <c r="C747" s="4" t="s">
        <v>744</v>
      </c>
      <c r="D747" s="4" t="s">
        <v>540</v>
      </c>
      <c r="E747" s="4" t="s">
        <v>2124</v>
      </c>
      <c r="F747" s="4">
        <v>21</v>
      </c>
      <c r="G747" s="4">
        <v>6</v>
      </c>
      <c r="H747" s="4">
        <v>0</v>
      </c>
      <c r="K747" s="4">
        <v>0</v>
      </c>
      <c r="N747" s="4">
        <v>0</v>
      </c>
      <c r="O747" s="4">
        <v>0</v>
      </c>
      <c r="P747" s="4" t="str">
        <f t="shared" si="11"/>
        <v>PROGRAM.ESTCEILING</v>
      </c>
      <c r="Q747" s="4" t="str">
        <f>VLOOKUP(Cobra8.5[[#This Row],[Table.Column]],ColumnMapping[Old Table.Column],1,)</f>
        <v>PROGRAM.ESTCEILING</v>
      </c>
    </row>
    <row r="748" spans="1:17" hidden="1" x14ac:dyDescent="0.2">
      <c r="A748" s="4" t="s">
        <v>744</v>
      </c>
      <c r="B748" s="4">
        <v>0</v>
      </c>
      <c r="C748" s="4" t="s">
        <v>744</v>
      </c>
      <c r="D748" s="4" t="s">
        <v>543</v>
      </c>
      <c r="E748" s="4" t="s">
        <v>2124</v>
      </c>
      <c r="F748" s="4">
        <v>21</v>
      </c>
      <c r="G748" s="4">
        <v>6</v>
      </c>
      <c r="H748" s="4">
        <v>0</v>
      </c>
      <c r="K748" s="4">
        <v>0</v>
      </c>
      <c r="N748" s="4">
        <v>0</v>
      </c>
      <c r="O748" s="4">
        <v>0</v>
      </c>
      <c r="P748" s="4" t="str">
        <f t="shared" si="11"/>
        <v>PROGRAM.ESTMR</v>
      </c>
      <c r="Q748" s="4" t="str">
        <f>VLOOKUP(Cobra8.5[[#This Row],[Table.Column]],ColumnMapping[Old Table.Column],1,)</f>
        <v>PROGRAM.ESTMR</v>
      </c>
    </row>
    <row r="749" spans="1:17" hidden="1" x14ac:dyDescent="0.2">
      <c r="A749" s="4" t="s">
        <v>744</v>
      </c>
      <c r="B749" s="4">
        <v>0</v>
      </c>
      <c r="C749" s="4" t="s">
        <v>744</v>
      </c>
      <c r="D749" s="4" t="s">
        <v>594</v>
      </c>
      <c r="E749" s="4" t="s">
        <v>2124</v>
      </c>
      <c r="F749" s="4">
        <v>21</v>
      </c>
      <c r="G749" s="4">
        <v>6</v>
      </c>
      <c r="H749" s="4">
        <v>0</v>
      </c>
      <c r="K749" s="4">
        <v>0</v>
      </c>
      <c r="N749" s="4">
        <v>0</v>
      </c>
      <c r="O749" s="4">
        <v>0</v>
      </c>
      <c r="P749" s="4" t="str">
        <f t="shared" si="11"/>
        <v>PROGRAM.ESTPRICE</v>
      </c>
      <c r="Q749" s="4" t="str">
        <f>VLOOKUP(Cobra8.5[[#This Row],[Table.Column]],ColumnMapping[Old Table.Column],1,)</f>
        <v>PROGRAM.ESTPRICE</v>
      </c>
    </row>
    <row r="750" spans="1:17" hidden="1" x14ac:dyDescent="0.2">
      <c r="A750" s="4" t="s">
        <v>744</v>
      </c>
      <c r="B750" s="4">
        <v>0</v>
      </c>
      <c r="C750" s="4" t="s">
        <v>744</v>
      </c>
      <c r="D750" s="4" t="s">
        <v>546</v>
      </c>
      <c r="E750" s="4" t="s">
        <v>2124</v>
      </c>
      <c r="F750" s="4">
        <v>21</v>
      </c>
      <c r="G750" s="4">
        <v>6</v>
      </c>
      <c r="H750" s="4">
        <v>0</v>
      </c>
      <c r="K750" s="4">
        <v>0</v>
      </c>
      <c r="N750" s="4">
        <v>0</v>
      </c>
      <c r="O750" s="4">
        <v>0</v>
      </c>
      <c r="P750" s="4" t="str">
        <f t="shared" si="11"/>
        <v>PROGRAM.ESTUB</v>
      </c>
      <c r="Q750" s="4" t="str">
        <f>VLOOKUP(Cobra8.5[[#This Row],[Table.Column]],ColumnMapping[Old Table.Column],1,)</f>
        <v>PROGRAM.ESTUB</v>
      </c>
    </row>
    <row r="751" spans="1:17" hidden="1" x14ac:dyDescent="0.2">
      <c r="A751" s="4" t="s">
        <v>744</v>
      </c>
      <c r="B751" s="4">
        <v>0</v>
      </c>
      <c r="C751" s="4" t="s">
        <v>744</v>
      </c>
      <c r="D751" s="4" t="s">
        <v>2239</v>
      </c>
      <c r="E751" s="4" t="s">
        <v>2108</v>
      </c>
      <c r="F751" s="4">
        <v>-1</v>
      </c>
      <c r="G751" s="4">
        <v>0</v>
      </c>
      <c r="H751" s="4">
        <v>0</v>
      </c>
      <c r="K751" s="4">
        <v>0</v>
      </c>
      <c r="N751" s="4">
        <v>0</v>
      </c>
      <c r="O751" s="4">
        <v>0</v>
      </c>
      <c r="P751" s="4" t="str">
        <f t="shared" si="11"/>
        <v>PROGRAM.EVMS_ACC</v>
      </c>
      <c r="Q751" s="4" t="str">
        <f>VLOOKUP(Cobra8.5[[#This Row],[Table.Column]],ColumnMapping[Old Table.Column],1,)</f>
        <v>PROGRAM.EVMS_ACC</v>
      </c>
    </row>
    <row r="752" spans="1:17" hidden="1" x14ac:dyDescent="0.2">
      <c r="A752" s="4" t="s">
        <v>744</v>
      </c>
      <c r="B752" s="4">
        <v>0</v>
      </c>
      <c r="C752" s="4" t="s">
        <v>744</v>
      </c>
      <c r="D752" s="4" t="s">
        <v>2240</v>
      </c>
      <c r="E752" s="4" t="s">
        <v>356</v>
      </c>
      <c r="F752" s="4">
        <v>-1</v>
      </c>
      <c r="G752" s="4">
        <v>0</v>
      </c>
      <c r="H752" s="4">
        <v>0</v>
      </c>
      <c r="K752" s="4">
        <v>0</v>
      </c>
      <c r="N752" s="4">
        <v>0</v>
      </c>
      <c r="O752" s="4">
        <v>0</v>
      </c>
      <c r="P752" s="4" t="str">
        <f t="shared" si="11"/>
        <v>PROGRAM.EVMS_ADATE</v>
      </c>
      <c r="Q752" s="4" t="str">
        <f>VLOOKUP(Cobra8.5[[#This Row],[Table.Column]],ColumnMapping[Old Table.Column],1,)</f>
        <v>PROGRAM.EVMS_ADATE</v>
      </c>
    </row>
    <row r="753" spans="1:17" hidden="1" x14ac:dyDescent="0.2">
      <c r="A753" s="4" t="s">
        <v>744</v>
      </c>
      <c r="B753" s="4">
        <v>0</v>
      </c>
      <c r="C753" s="4" t="s">
        <v>744</v>
      </c>
      <c r="D753" s="4" t="s">
        <v>694</v>
      </c>
      <c r="E753" s="4" t="s">
        <v>86</v>
      </c>
      <c r="F753" s="4">
        <v>1</v>
      </c>
      <c r="G753" s="4">
        <v>0</v>
      </c>
      <c r="H753" s="4">
        <v>0</v>
      </c>
      <c r="K753" s="4">
        <v>0</v>
      </c>
      <c r="N753" s="4">
        <v>0</v>
      </c>
      <c r="O753" s="4">
        <v>0</v>
      </c>
      <c r="P753" s="4" t="str">
        <f t="shared" si="11"/>
        <v>PROGRAM.FC_TYPE1</v>
      </c>
      <c r="Q753" s="4" t="str">
        <f>VLOOKUP(Cobra8.5[[#This Row],[Table.Column]],ColumnMapping[Old Table.Column],1,)</f>
        <v>PROGRAM.FC_TYPE1</v>
      </c>
    </row>
    <row r="754" spans="1:17" hidden="1" x14ac:dyDescent="0.2">
      <c r="A754" s="4" t="s">
        <v>744</v>
      </c>
      <c r="B754" s="4">
        <v>0</v>
      </c>
      <c r="C754" s="4" t="s">
        <v>744</v>
      </c>
      <c r="D754" s="4" t="s">
        <v>696</v>
      </c>
      <c r="E754" s="4" t="s">
        <v>86</v>
      </c>
      <c r="F754" s="4">
        <v>1</v>
      </c>
      <c r="G754" s="4">
        <v>0</v>
      </c>
      <c r="H754" s="4">
        <v>0</v>
      </c>
      <c r="K754" s="4">
        <v>0</v>
      </c>
      <c r="N754" s="4">
        <v>0</v>
      </c>
      <c r="O754" s="4">
        <v>0</v>
      </c>
      <c r="P754" s="4" t="str">
        <f t="shared" si="11"/>
        <v>PROGRAM.FC_TYPE2</v>
      </c>
      <c r="Q754" s="4" t="str">
        <f>VLOOKUP(Cobra8.5[[#This Row],[Table.Column]],ColumnMapping[Old Table.Column],1,)</f>
        <v>PROGRAM.FC_TYPE2</v>
      </c>
    </row>
    <row r="755" spans="1:17" hidden="1" x14ac:dyDescent="0.2">
      <c r="A755" s="4" t="s">
        <v>744</v>
      </c>
      <c r="B755" s="4">
        <v>0</v>
      </c>
      <c r="C755" s="4" t="s">
        <v>744</v>
      </c>
      <c r="D755" s="4" t="s">
        <v>698</v>
      </c>
      <c r="E755" s="4" t="s">
        <v>86</v>
      </c>
      <c r="F755" s="4">
        <v>1</v>
      </c>
      <c r="G755" s="4">
        <v>0</v>
      </c>
      <c r="H755" s="4">
        <v>0</v>
      </c>
      <c r="K755" s="4">
        <v>0</v>
      </c>
      <c r="N755" s="4">
        <v>0</v>
      </c>
      <c r="O755" s="4">
        <v>0</v>
      </c>
      <c r="P755" s="4" t="str">
        <f t="shared" si="11"/>
        <v>PROGRAM.FC_TYPE3</v>
      </c>
      <c r="Q755" s="4" t="str">
        <f>VLOOKUP(Cobra8.5[[#This Row],[Table.Column]],ColumnMapping[Old Table.Column],1,)</f>
        <v>PROGRAM.FC_TYPE3</v>
      </c>
    </row>
    <row r="756" spans="1:17" hidden="1" x14ac:dyDescent="0.2">
      <c r="A756" s="4" t="s">
        <v>744</v>
      </c>
      <c r="B756" s="4">
        <v>0</v>
      </c>
      <c r="C756" s="4" t="s">
        <v>744</v>
      </c>
      <c r="D756" s="4" t="s">
        <v>700</v>
      </c>
      <c r="E756" s="4" t="s">
        <v>86</v>
      </c>
      <c r="F756" s="4">
        <v>1</v>
      </c>
      <c r="G756" s="4">
        <v>0</v>
      </c>
      <c r="H756" s="4">
        <v>0</v>
      </c>
      <c r="K756" s="4">
        <v>0</v>
      </c>
      <c r="N756" s="4">
        <v>0</v>
      </c>
      <c r="O756" s="4">
        <v>0</v>
      </c>
      <c r="P756" s="4" t="str">
        <f t="shared" si="11"/>
        <v>PROGRAM.FC_TYPE4</v>
      </c>
      <c r="Q756" s="4" t="str">
        <f>VLOOKUP(Cobra8.5[[#This Row],[Table.Column]],ColumnMapping[Old Table.Column],1,)</f>
        <v>PROGRAM.FC_TYPE4</v>
      </c>
    </row>
    <row r="757" spans="1:17" hidden="1" x14ac:dyDescent="0.2">
      <c r="A757" s="4" t="s">
        <v>744</v>
      </c>
      <c r="B757" s="4">
        <v>0</v>
      </c>
      <c r="C757" s="4" t="s">
        <v>744</v>
      </c>
      <c r="D757" s="4" t="s">
        <v>525</v>
      </c>
      <c r="E757" s="4" t="s">
        <v>2124</v>
      </c>
      <c r="F757" s="4">
        <v>21</v>
      </c>
      <c r="G757" s="4">
        <v>6</v>
      </c>
      <c r="H757" s="4">
        <v>0</v>
      </c>
      <c r="K757" s="4">
        <v>0</v>
      </c>
      <c r="N757" s="4">
        <v>0</v>
      </c>
      <c r="O757" s="4">
        <v>0</v>
      </c>
      <c r="P757" s="4" t="str">
        <f t="shared" si="11"/>
        <v>PROGRAM.FEE</v>
      </c>
      <c r="Q757" s="4" t="str">
        <f>VLOOKUP(Cobra8.5[[#This Row],[Table.Column]],ColumnMapping[Old Table.Column],1,)</f>
        <v>PROGRAM.FEE</v>
      </c>
    </row>
    <row r="758" spans="1:17" hidden="1" x14ac:dyDescent="0.2">
      <c r="A758" s="4" t="s">
        <v>744</v>
      </c>
      <c r="B758" s="4">
        <v>0</v>
      </c>
      <c r="C758" s="4" t="s">
        <v>744</v>
      </c>
      <c r="D758" s="4" t="s">
        <v>510</v>
      </c>
      <c r="E758" s="4" t="s">
        <v>2124</v>
      </c>
      <c r="F758" s="4">
        <v>21</v>
      </c>
      <c r="G758" s="4">
        <v>6</v>
      </c>
      <c r="H758" s="4">
        <v>0</v>
      </c>
      <c r="K758" s="4">
        <v>0</v>
      </c>
      <c r="N758" s="4">
        <v>0</v>
      </c>
      <c r="O758" s="4">
        <v>0</v>
      </c>
      <c r="P758" s="4" t="str">
        <f t="shared" si="11"/>
        <v>PROGRAM.FEE_PRCENT</v>
      </c>
      <c r="Q758" s="4" t="str">
        <f>VLOOKUP(Cobra8.5[[#This Row],[Table.Column]],ColumnMapping[Old Table.Column],1,)</f>
        <v>PROGRAM.FEE_PRCENT</v>
      </c>
    </row>
    <row r="759" spans="1:17" hidden="1" x14ac:dyDescent="0.2">
      <c r="A759" s="4" t="s">
        <v>744</v>
      </c>
      <c r="B759" s="4">
        <v>0</v>
      </c>
      <c r="C759" s="4" t="s">
        <v>744</v>
      </c>
      <c r="D759" s="4" t="s">
        <v>702</v>
      </c>
      <c r="E759" s="4" t="s">
        <v>86</v>
      </c>
      <c r="F759" s="4">
        <v>22</v>
      </c>
      <c r="G759" s="4">
        <v>0</v>
      </c>
      <c r="H759" s="4">
        <v>0</v>
      </c>
      <c r="K759" s="4">
        <v>0</v>
      </c>
      <c r="N759" s="4">
        <v>0</v>
      </c>
      <c r="O759" s="4">
        <v>0</v>
      </c>
      <c r="P759" s="4" t="str">
        <f t="shared" si="11"/>
        <v>PROGRAM.FISC_FILE</v>
      </c>
      <c r="Q759" s="4" t="str">
        <f>VLOOKUP(Cobra8.5[[#This Row],[Table.Column]],ColumnMapping[Old Table.Column],1,)</f>
        <v>PROGRAM.FISC_FILE</v>
      </c>
    </row>
    <row r="760" spans="1:17" hidden="1" x14ac:dyDescent="0.2">
      <c r="A760" s="4" t="s">
        <v>744</v>
      </c>
      <c r="B760" s="4">
        <v>0</v>
      </c>
      <c r="C760" s="4" t="s">
        <v>744</v>
      </c>
      <c r="D760" s="4" t="s">
        <v>704</v>
      </c>
      <c r="E760" s="4" t="s">
        <v>86</v>
      </c>
      <c r="F760" s="4">
        <v>22</v>
      </c>
      <c r="G760" s="4">
        <v>0</v>
      </c>
      <c r="H760" s="4">
        <v>0</v>
      </c>
      <c r="K760" s="4">
        <v>0</v>
      </c>
      <c r="N760" s="4">
        <v>0</v>
      </c>
      <c r="O760" s="4">
        <v>0</v>
      </c>
      <c r="P760" s="4" t="str">
        <f t="shared" si="11"/>
        <v>PROGRAM.FISC_RW</v>
      </c>
      <c r="Q760" s="4" t="str">
        <f>VLOOKUP(Cobra8.5[[#This Row],[Table.Column]],ColumnMapping[Old Table.Column],1,)</f>
        <v>PROGRAM.FISC_RW</v>
      </c>
    </row>
    <row r="761" spans="1:17" hidden="1" x14ac:dyDescent="0.2">
      <c r="A761" s="4" t="s">
        <v>744</v>
      </c>
      <c r="B761" s="4">
        <v>0</v>
      </c>
      <c r="C761" s="4" t="s">
        <v>744</v>
      </c>
      <c r="D761" s="4" t="s">
        <v>706</v>
      </c>
      <c r="E761" s="4" t="s">
        <v>86</v>
      </c>
      <c r="F761" s="4">
        <v>30</v>
      </c>
      <c r="G761" s="4">
        <v>0</v>
      </c>
      <c r="H761" s="4">
        <v>0</v>
      </c>
      <c r="K761" s="4">
        <v>0</v>
      </c>
      <c r="N761" s="4">
        <v>0</v>
      </c>
      <c r="O761" s="4">
        <v>0</v>
      </c>
      <c r="P761" s="4" t="str">
        <f t="shared" si="11"/>
        <v>PROGRAM.IPMR2_CODE</v>
      </c>
      <c r="Q761" s="4" t="str">
        <f>VLOOKUP(Cobra8.5[[#This Row],[Table.Column]],ColumnMapping[Old Table.Column],1,)</f>
        <v>PROGRAM.IPMR2_CODE</v>
      </c>
    </row>
    <row r="762" spans="1:17" hidden="1" x14ac:dyDescent="0.2">
      <c r="A762" s="4" t="s">
        <v>744</v>
      </c>
      <c r="B762" s="4">
        <v>0</v>
      </c>
      <c r="C762" s="4" t="s">
        <v>744</v>
      </c>
      <c r="D762" s="4" t="s">
        <v>708</v>
      </c>
      <c r="E762" s="4" t="s">
        <v>2108</v>
      </c>
      <c r="F762" s="4">
        <v>-1</v>
      </c>
      <c r="G762" s="4">
        <v>0</v>
      </c>
      <c r="H762" s="4">
        <v>0</v>
      </c>
      <c r="K762" s="4">
        <v>0</v>
      </c>
      <c r="N762" s="4">
        <v>0</v>
      </c>
      <c r="O762" s="4">
        <v>0</v>
      </c>
      <c r="P762" s="4" t="str">
        <f t="shared" si="11"/>
        <v>PROGRAM.ISMASTER</v>
      </c>
      <c r="Q762" s="4" t="str">
        <f>VLOOKUP(Cobra8.5[[#This Row],[Table.Column]],ColumnMapping[Old Table.Column],1,)</f>
        <v>PROGRAM.ISMASTER</v>
      </c>
    </row>
    <row r="763" spans="1:17" hidden="1" x14ac:dyDescent="0.2">
      <c r="A763" s="4" t="s">
        <v>744</v>
      </c>
      <c r="B763" s="4">
        <v>0</v>
      </c>
      <c r="C763" s="4" t="s">
        <v>744</v>
      </c>
      <c r="D763" s="4" t="s">
        <v>2111</v>
      </c>
      <c r="E763" s="4" t="s">
        <v>356</v>
      </c>
      <c r="F763" s="4">
        <v>-1</v>
      </c>
      <c r="G763" s="4">
        <v>0</v>
      </c>
      <c r="H763" s="4">
        <v>0</v>
      </c>
      <c r="K763" s="4">
        <v>0</v>
      </c>
      <c r="N763" s="4">
        <v>0</v>
      </c>
      <c r="O763" s="4">
        <v>0</v>
      </c>
      <c r="P763" s="4" t="str">
        <f t="shared" si="11"/>
        <v>PROGRAM.LASTUPDATE</v>
      </c>
      <c r="Q763" s="4" t="str">
        <f>VLOOKUP(Cobra8.5[[#This Row],[Table.Column]],ColumnMapping[Old Table.Column],1,)</f>
        <v>PROGRAM.LASTUPDATE</v>
      </c>
    </row>
    <row r="764" spans="1:17" hidden="1" x14ac:dyDescent="0.2">
      <c r="A764" s="4" t="s">
        <v>744</v>
      </c>
      <c r="B764" s="4">
        <v>0</v>
      </c>
      <c r="C764" s="4" t="s">
        <v>744</v>
      </c>
      <c r="D764" s="4" t="s">
        <v>2241</v>
      </c>
      <c r="E764" s="4" t="s">
        <v>86</v>
      </c>
      <c r="F764" s="4">
        <v>3</v>
      </c>
      <c r="G764" s="4">
        <v>0</v>
      </c>
      <c r="H764" s="4">
        <v>0</v>
      </c>
      <c r="K764" s="4">
        <v>0</v>
      </c>
      <c r="N764" s="4">
        <v>0</v>
      </c>
      <c r="O764" s="4">
        <v>0</v>
      </c>
      <c r="P764" s="4" t="str">
        <f t="shared" si="11"/>
        <v>PROGRAM.LOG</v>
      </c>
      <c r="Q764" s="4" t="str">
        <f>VLOOKUP(Cobra8.5[[#This Row],[Table.Column]],ColumnMapping[Old Table.Column],1,)</f>
        <v>PROGRAM.LOG</v>
      </c>
    </row>
    <row r="765" spans="1:17" hidden="1" x14ac:dyDescent="0.2">
      <c r="A765" s="4" t="s">
        <v>744</v>
      </c>
      <c r="B765" s="4">
        <v>0</v>
      </c>
      <c r="C765" s="4" t="s">
        <v>744</v>
      </c>
      <c r="D765" s="4" t="s">
        <v>537</v>
      </c>
      <c r="E765" s="4" t="s">
        <v>2124</v>
      </c>
      <c r="F765" s="4">
        <v>21</v>
      </c>
      <c r="G765" s="4">
        <v>6</v>
      </c>
      <c r="H765" s="4">
        <v>0</v>
      </c>
      <c r="K765" s="4">
        <v>0</v>
      </c>
      <c r="N765" s="4">
        <v>0</v>
      </c>
      <c r="O765" s="4">
        <v>0</v>
      </c>
      <c r="P765" s="4" t="str">
        <f t="shared" si="11"/>
        <v>PROGRAM.LRE</v>
      </c>
      <c r="Q765" s="4" t="str">
        <f>VLOOKUP(Cobra8.5[[#This Row],[Table.Column]],ColumnMapping[Old Table.Column],1,)</f>
        <v>PROGRAM.LRE</v>
      </c>
    </row>
    <row r="766" spans="1:17" hidden="1" x14ac:dyDescent="0.2">
      <c r="A766" s="4" t="s">
        <v>744</v>
      </c>
      <c r="B766" s="4">
        <v>0</v>
      </c>
      <c r="C766" s="4" t="s">
        <v>744</v>
      </c>
      <c r="D766" s="4" t="s">
        <v>710</v>
      </c>
      <c r="E766" s="4" t="s">
        <v>86</v>
      </c>
      <c r="F766" s="4">
        <v>22</v>
      </c>
      <c r="G766" s="4">
        <v>0</v>
      </c>
      <c r="H766" s="4">
        <v>0</v>
      </c>
      <c r="K766" s="4">
        <v>0</v>
      </c>
      <c r="N766" s="4">
        <v>0</v>
      </c>
      <c r="O766" s="4">
        <v>0</v>
      </c>
      <c r="P766" s="4" t="str">
        <f t="shared" si="11"/>
        <v>PROGRAM.MGRFILE</v>
      </c>
      <c r="Q766" s="4" t="str">
        <f>VLOOKUP(Cobra8.5[[#This Row],[Table.Column]],ColumnMapping[Old Table.Column],1,)</f>
        <v>PROGRAM.MGRFILE</v>
      </c>
    </row>
    <row r="767" spans="1:17" hidden="1" x14ac:dyDescent="0.2">
      <c r="A767" s="4" t="s">
        <v>744</v>
      </c>
      <c r="B767" s="4">
        <v>0</v>
      </c>
      <c r="C767" s="4" t="s">
        <v>744</v>
      </c>
      <c r="D767" s="4" t="s">
        <v>712</v>
      </c>
      <c r="E767" s="4" t="s">
        <v>86</v>
      </c>
      <c r="F767" s="4">
        <v>1</v>
      </c>
      <c r="G767" s="4">
        <v>0</v>
      </c>
      <c r="H767" s="4">
        <v>0</v>
      </c>
      <c r="K767" s="4">
        <v>0</v>
      </c>
      <c r="N767" s="4">
        <v>0</v>
      </c>
      <c r="O767" s="4">
        <v>0</v>
      </c>
      <c r="P767" s="4" t="str">
        <f t="shared" si="11"/>
        <v>PROGRAM.MGRTYPE</v>
      </c>
      <c r="Q767" s="4" t="str">
        <f>VLOOKUP(Cobra8.5[[#This Row],[Table.Column]],ColumnMapping[Old Table.Column],1,)</f>
        <v>PROGRAM.MGRTYPE</v>
      </c>
    </row>
    <row r="768" spans="1:17" hidden="1" x14ac:dyDescent="0.2">
      <c r="A768" s="4" t="s">
        <v>744</v>
      </c>
      <c r="B768" s="4">
        <v>0</v>
      </c>
      <c r="C768" s="4" t="s">
        <v>744</v>
      </c>
      <c r="D768" s="4" t="s">
        <v>2242</v>
      </c>
      <c r="E768" s="4" t="s">
        <v>86</v>
      </c>
      <c r="F768" s="4">
        <v>1</v>
      </c>
      <c r="G768" s="4">
        <v>0</v>
      </c>
      <c r="H768" s="4">
        <v>0</v>
      </c>
      <c r="K768" s="4">
        <v>0</v>
      </c>
      <c r="N768" s="4">
        <v>0</v>
      </c>
      <c r="O768" s="4">
        <v>0</v>
      </c>
      <c r="P768" s="4" t="str">
        <f t="shared" si="11"/>
        <v>PROGRAM.MGRVALID</v>
      </c>
      <c r="Q768" s="4" t="str">
        <f>VLOOKUP(Cobra8.5[[#This Row],[Table.Column]],ColumnMapping[Old Table.Column],1,)</f>
        <v>PROGRAM.MGRVALID</v>
      </c>
    </row>
    <row r="769" spans="1:17" hidden="1" x14ac:dyDescent="0.2">
      <c r="A769" s="4" t="s">
        <v>744</v>
      </c>
      <c r="B769" s="4">
        <v>0</v>
      </c>
      <c r="C769" s="4" t="s">
        <v>744</v>
      </c>
      <c r="D769" s="4" t="s">
        <v>714</v>
      </c>
      <c r="E769" s="4" t="s">
        <v>86</v>
      </c>
      <c r="F769" s="4">
        <v>59</v>
      </c>
      <c r="G769" s="4">
        <v>0</v>
      </c>
      <c r="H769" s="4">
        <v>0</v>
      </c>
      <c r="K769" s="4">
        <v>0</v>
      </c>
      <c r="N769" s="4">
        <v>0</v>
      </c>
      <c r="O769" s="4">
        <v>0</v>
      </c>
      <c r="P769" s="4" t="str">
        <f t="shared" si="11"/>
        <v>PROGRAM.MPSCODE</v>
      </c>
      <c r="Q769" s="4" t="str">
        <f>VLOOKUP(Cobra8.5[[#This Row],[Table.Column]],ColumnMapping[Old Table.Column],1,)</f>
        <v>PROGRAM.MPSCODE</v>
      </c>
    </row>
    <row r="770" spans="1:17" hidden="1" x14ac:dyDescent="0.2">
      <c r="A770" s="4" t="s">
        <v>744</v>
      </c>
      <c r="B770" s="4">
        <v>0</v>
      </c>
      <c r="C770" s="4" t="s">
        <v>744</v>
      </c>
      <c r="D770" s="4" t="s">
        <v>528</v>
      </c>
      <c r="E770" s="4" t="s">
        <v>2124</v>
      </c>
      <c r="F770" s="4">
        <v>21</v>
      </c>
      <c r="G770" s="4">
        <v>6</v>
      </c>
      <c r="H770" s="4">
        <v>0</v>
      </c>
      <c r="K770" s="4">
        <v>0</v>
      </c>
      <c r="N770" s="4">
        <v>0</v>
      </c>
      <c r="O770" s="4">
        <v>0</v>
      </c>
      <c r="P770" s="4" t="str">
        <f t="shared" ref="P770:P833" si="12">_xlfn.CONCAT(A770,".",D770)</f>
        <v>PROGRAM.MR</v>
      </c>
      <c r="Q770" s="4" t="str">
        <f>VLOOKUP(Cobra8.5[[#This Row],[Table.Column]],ColumnMapping[Old Table.Column],1,)</f>
        <v>PROGRAM.MR</v>
      </c>
    </row>
    <row r="771" spans="1:17" hidden="1" x14ac:dyDescent="0.2">
      <c r="A771" s="4" t="s">
        <v>744</v>
      </c>
      <c r="B771" s="4">
        <v>0</v>
      </c>
      <c r="C771" s="4" t="s">
        <v>744</v>
      </c>
      <c r="D771" s="4" t="s">
        <v>716</v>
      </c>
      <c r="E771" s="4" t="s">
        <v>86</v>
      </c>
      <c r="F771" s="4">
        <v>254</v>
      </c>
      <c r="G771" s="4">
        <v>0</v>
      </c>
      <c r="H771" s="4">
        <v>0</v>
      </c>
      <c r="K771" s="4">
        <v>0</v>
      </c>
      <c r="N771" s="4">
        <v>0</v>
      </c>
      <c r="O771" s="4">
        <v>0</v>
      </c>
      <c r="P771" s="4" t="str">
        <f t="shared" si="12"/>
        <v>PROGRAM.OPP_PROJ</v>
      </c>
      <c r="Q771" s="4" t="str">
        <f>VLOOKUP(Cobra8.5[[#This Row],[Table.Column]],ColumnMapping[Old Table.Column],1,)</f>
        <v>PROGRAM.OPP_PROJ</v>
      </c>
    </row>
    <row r="772" spans="1:17" hidden="1" x14ac:dyDescent="0.2">
      <c r="A772" s="4" t="s">
        <v>744</v>
      </c>
      <c r="B772" s="4">
        <v>0</v>
      </c>
      <c r="C772" s="4" t="s">
        <v>744</v>
      </c>
      <c r="D772" s="4" t="s">
        <v>552</v>
      </c>
      <c r="E772" s="4" t="s">
        <v>2124</v>
      </c>
      <c r="F772" s="4">
        <v>21</v>
      </c>
      <c r="G772" s="4">
        <v>6</v>
      </c>
      <c r="H772" s="4">
        <v>0</v>
      </c>
      <c r="K772" s="4">
        <v>0</v>
      </c>
      <c r="N772" s="4">
        <v>0</v>
      </c>
      <c r="O772" s="4">
        <v>0</v>
      </c>
      <c r="P772" s="4" t="str">
        <f t="shared" si="12"/>
        <v>PROGRAM.OTB</v>
      </c>
      <c r="Q772" s="4" t="str">
        <f>VLOOKUP(Cobra8.5[[#This Row],[Table.Column]],ColumnMapping[Old Table.Column],1,)</f>
        <v>PROGRAM.OTB</v>
      </c>
    </row>
    <row r="773" spans="1:17" hidden="1" x14ac:dyDescent="0.2">
      <c r="A773" s="4" t="s">
        <v>744</v>
      </c>
      <c r="B773" s="4">
        <v>0</v>
      </c>
      <c r="C773" s="4" t="s">
        <v>744</v>
      </c>
      <c r="D773" s="4" t="s">
        <v>573</v>
      </c>
      <c r="E773" s="4" t="s">
        <v>356</v>
      </c>
      <c r="F773" s="4">
        <v>-1</v>
      </c>
      <c r="G773" s="4">
        <v>0</v>
      </c>
      <c r="H773" s="4">
        <v>0</v>
      </c>
      <c r="K773" s="4">
        <v>0</v>
      </c>
      <c r="N773" s="4">
        <v>0</v>
      </c>
      <c r="O773" s="4">
        <v>0</v>
      </c>
      <c r="P773" s="4" t="str">
        <f t="shared" si="12"/>
        <v>PROGRAM.OTB_DATE</v>
      </c>
      <c r="Q773" s="4" t="str">
        <f>VLOOKUP(Cobra8.5[[#This Row],[Table.Column]],ColumnMapping[Old Table.Column],1,)</f>
        <v>PROGRAM.OTB_DATE</v>
      </c>
    </row>
    <row r="774" spans="1:17" hidden="1" x14ac:dyDescent="0.2">
      <c r="A774" s="4" t="s">
        <v>744</v>
      </c>
      <c r="B774" s="4">
        <v>0</v>
      </c>
      <c r="C774" s="4" t="s">
        <v>744</v>
      </c>
      <c r="D774" s="4" t="s">
        <v>597</v>
      </c>
      <c r="E774" s="4" t="s">
        <v>2124</v>
      </c>
      <c r="F774" s="4">
        <v>21</v>
      </c>
      <c r="G774" s="4">
        <v>6</v>
      </c>
      <c r="H774" s="4">
        <v>0</v>
      </c>
      <c r="K774" s="4">
        <v>0</v>
      </c>
      <c r="N774" s="4">
        <v>0</v>
      </c>
      <c r="O774" s="4">
        <v>0</v>
      </c>
      <c r="P774" s="4" t="str">
        <f t="shared" si="12"/>
        <v>PROGRAM.OTB_MR</v>
      </c>
      <c r="Q774" s="4" t="e">
        <f>VLOOKUP(Cobra8.5[[#This Row],[Table.Column]],ColumnMapping[Old Table.Column],1,)</f>
        <v>#N/A</v>
      </c>
    </row>
    <row r="775" spans="1:17" hidden="1" x14ac:dyDescent="0.2">
      <c r="A775" s="4" t="s">
        <v>744</v>
      </c>
      <c r="B775" s="4">
        <v>0</v>
      </c>
      <c r="C775" s="4" t="s">
        <v>744</v>
      </c>
      <c r="D775" s="4" t="s">
        <v>519</v>
      </c>
      <c r="E775" s="4" t="s">
        <v>2124</v>
      </c>
      <c r="F775" s="4">
        <v>21</v>
      </c>
      <c r="G775" s="4">
        <v>6</v>
      </c>
      <c r="H775" s="4">
        <v>0</v>
      </c>
      <c r="K775" s="4">
        <v>0</v>
      </c>
      <c r="N775" s="4">
        <v>0</v>
      </c>
      <c r="O775" s="4">
        <v>0</v>
      </c>
      <c r="P775" s="4" t="str">
        <f t="shared" si="12"/>
        <v>PROGRAM.OTC</v>
      </c>
      <c r="Q775" s="4" t="str">
        <f>VLOOKUP(Cobra8.5[[#This Row],[Table.Column]],ColumnMapping[Old Table.Column],1,)</f>
        <v>PROGRAM.OTC</v>
      </c>
    </row>
    <row r="776" spans="1:17" hidden="1" x14ac:dyDescent="0.2">
      <c r="A776" s="4" t="s">
        <v>744</v>
      </c>
      <c r="B776" s="4">
        <v>0</v>
      </c>
      <c r="C776" s="4" t="s">
        <v>744</v>
      </c>
      <c r="D776" s="4" t="s">
        <v>718</v>
      </c>
      <c r="E776" s="4" t="s">
        <v>86</v>
      </c>
      <c r="F776" s="4">
        <v>59</v>
      </c>
      <c r="G776" s="4">
        <v>0</v>
      </c>
      <c r="H776" s="4">
        <v>0</v>
      </c>
      <c r="K776" s="4">
        <v>0</v>
      </c>
      <c r="N776" s="4">
        <v>0</v>
      </c>
      <c r="O776" s="4">
        <v>0</v>
      </c>
      <c r="P776" s="4" t="str">
        <f t="shared" si="12"/>
        <v>PROGRAM.P1</v>
      </c>
      <c r="Q776" s="4" t="str">
        <f>VLOOKUP(Cobra8.5[[#This Row],[Table.Column]],ColumnMapping[Old Table.Column],1,)</f>
        <v>PROGRAM.P1</v>
      </c>
    </row>
    <row r="777" spans="1:17" hidden="1" x14ac:dyDescent="0.2">
      <c r="A777" s="4" t="s">
        <v>744</v>
      </c>
      <c r="B777" s="4">
        <v>0</v>
      </c>
      <c r="C777" s="4" t="s">
        <v>744</v>
      </c>
      <c r="D777" s="4" t="s">
        <v>720</v>
      </c>
      <c r="E777" s="4" t="s">
        <v>86</v>
      </c>
      <c r="F777" s="4">
        <v>59</v>
      </c>
      <c r="G777" s="4">
        <v>0</v>
      </c>
      <c r="H777" s="4">
        <v>0</v>
      </c>
      <c r="K777" s="4">
        <v>0</v>
      </c>
      <c r="N777" s="4">
        <v>0</v>
      </c>
      <c r="O777" s="4">
        <v>0</v>
      </c>
      <c r="P777" s="4" t="str">
        <f t="shared" si="12"/>
        <v>PROGRAM.P2</v>
      </c>
      <c r="Q777" s="4" t="str">
        <f>VLOOKUP(Cobra8.5[[#This Row],[Table.Column]],ColumnMapping[Old Table.Column],1,)</f>
        <v>PROGRAM.P2</v>
      </c>
    </row>
    <row r="778" spans="1:17" hidden="1" x14ac:dyDescent="0.2">
      <c r="A778" s="4" t="s">
        <v>744</v>
      </c>
      <c r="B778" s="4">
        <v>0</v>
      </c>
      <c r="C778" s="4" t="s">
        <v>744</v>
      </c>
      <c r="D778" s="4" t="s">
        <v>722</v>
      </c>
      <c r="E778" s="4" t="s">
        <v>86</v>
      </c>
      <c r="F778" s="4">
        <v>59</v>
      </c>
      <c r="G778" s="4">
        <v>0</v>
      </c>
      <c r="H778" s="4">
        <v>0</v>
      </c>
      <c r="K778" s="4">
        <v>0</v>
      </c>
      <c r="N778" s="4">
        <v>0</v>
      </c>
      <c r="O778" s="4">
        <v>0</v>
      </c>
      <c r="P778" s="4" t="str">
        <f t="shared" si="12"/>
        <v>PROGRAM.P3</v>
      </c>
      <c r="Q778" s="4" t="str">
        <f>VLOOKUP(Cobra8.5[[#This Row],[Table.Column]],ColumnMapping[Old Table.Column],1,)</f>
        <v>PROGRAM.P3</v>
      </c>
    </row>
    <row r="779" spans="1:17" hidden="1" x14ac:dyDescent="0.2">
      <c r="A779" s="4" t="s">
        <v>744</v>
      </c>
      <c r="B779" s="4">
        <v>0</v>
      </c>
      <c r="C779" s="4" t="s">
        <v>744</v>
      </c>
      <c r="D779" s="4" t="s">
        <v>724</v>
      </c>
      <c r="E779" s="4" t="s">
        <v>86</v>
      </c>
      <c r="F779" s="4">
        <v>59</v>
      </c>
      <c r="G779" s="4">
        <v>0</v>
      </c>
      <c r="H779" s="4">
        <v>0</v>
      </c>
      <c r="K779" s="4">
        <v>0</v>
      </c>
      <c r="N779" s="4">
        <v>0</v>
      </c>
      <c r="O779" s="4">
        <v>0</v>
      </c>
      <c r="P779" s="4" t="str">
        <f t="shared" si="12"/>
        <v>PROGRAM.P4</v>
      </c>
      <c r="Q779" s="4" t="str">
        <f>VLOOKUP(Cobra8.5[[#This Row],[Table.Column]],ColumnMapping[Old Table.Column],1,)</f>
        <v>PROGRAM.P4</v>
      </c>
    </row>
    <row r="780" spans="1:17" hidden="1" x14ac:dyDescent="0.2">
      <c r="A780" s="4" t="s">
        <v>744</v>
      </c>
      <c r="B780" s="4">
        <v>0</v>
      </c>
      <c r="C780" s="4" t="s">
        <v>744</v>
      </c>
      <c r="D780" s="4" t="s">
        <v>726</v>
      </c>
      <c r="E780" s="4" t="s">
        <v>86</v>
      </c>
      <c r="F780" s="4">
        <v>59</v>
      </c>
      <c r="G780" s="4">
        <v>0</v>
      </c>
      <c r="H780" s="4">
        <v>0</v>
      </c>
      <c r="K780" s="4">
        <v>0</v>
      </c>
      <c r="N780" s="4">
        <v>0</v>
      </c>
      <c r="O780" s="4">
        <v>0</v>
      </c>
      <c r="P780" s="4" t="str">
        <f t="shared" si="12"/>
        <v>PROGRAM.P5</v>
      </c>
      <c r="Q780" s="4" t="str">
        <f>VLOOKUP(Cobra8.5[[#This Row],[Table.Column]],ColumnMapping[Old Table.Column],1,)</f>
        <v>PROGRAM.P5</v>
      </c>
    </row>
    <row r="781" spans="1:17" hidden="1" x14ac:dyDescent="0.2">
      <c r="A781" s="4" t="s">
        <v>744</v>
      </c>
      <c r="B781" s="4">
        <v>0</v>
      </c>
      <c r="C781" s="4" t="s">
        <v>744</v>
      </c>
      <c r="D781" s="4" t="s">
        <v>728</v>
      </c>
      <c r="E781" s="4" t="s">
        <v>86</v>
      </c>
      <c r="F781" s="4">
        <v>59</v>
      </c>
      <c r="G781" s="4">
        <v>0</v>
      </c>
      <c r="H781" s="4">
        <v>0</v>
      </c>
      <c r="K781" s="4">
        <v>0</v>
      </c>
      <c r="N781" s="4">
        <v>0</v>
      </c>
      <c r="O781" s="4">
        <v>0</v>
      </c>
      <c r="P781" s="4" t="str">
        <f t="shared" si="12"/>
        <v>PROGRAM.P6</v>
      </c>
      <c r="Q781" s="4" t="str">
        <f>VLOOKUP(Cobra8.5[[#This Row],[Table.Column]],ColumnMapping[Old Table.Column],1,)</f>
        <v>PROGRAM.P6</v>
      </c>
    </row>
    <row r="782" spans="1:17" hidden="1" x14ac:dyDescent="0.2">
      <c r="A782" s="4" t="s">
        <v>744</v>
      </c>
      <c r="B782" s="4">
        <v>0</v>
      </c>
      <c r="C782" s="4" t="s">
        <v>744</v>
      </c>
      <c r="D782" s="4" t="s">
        <v>730</v>
      </c>
      <c r="E782" s="4" t="s">
        <v>86</v>
      </c>
      <c r="F782" s="4">
        <v>59</v>
      </c>
      <c r="G782" s="4">
        <v>0</v>
      </c>
      <c r="H782" s="4">
        <v>0</v>
      </c>
      <c r="K782" s="4">
        <v>0</v>
      </c>
      <c r="N782" s="4">
        <v>0</v>
      </c>
      <c r="O782" s="4">
        <v>0</v>
      </c>
      <c r="P782" s="4" t="str">
        <f t="shared" si="12"/>
        <v>PROGRAM.P7</v>
      </c>
      <c r="Q782" s="4" t="str">
        <f>VLOOKUP(Cobra8.5[[#This Row],[Table.Column]],ColumnMapping[Old Table.Column],1,)</f>
        <v>PROGRAM.P7</v>
      </c>
    </row>
    <row r="783" spans="1:17" hidden="1" x14ac:dyDescent="0.2">
      <c r="A783" s="4" t="s">
        <v>744</v>
      </c>
      <c r="B783" s="4">
        <v>0</v>
      </c>
      <c r="C783" s="4" t="s">
        <v>744</v>
      </c>
      <c r="D783" s="4" t="s">
        <v>732</v>
      </c>
      <c r="E783" s="4" t="s">
        <v>86</v>
      </c>
      <c r="F783" s="4">
        <v>59</v>
      </c>
      <c r="G783" s="4">
        <v>0</v>
      </c>
      <c r="H783" s="4">
        <v>0</v>
      </c>
      <c r="K783" s="4">
        <v>0</v>
      </c>
      <c r="N783" s="4">
        <v>0</v>
      </c>
      <c r="O783" s="4">
        <v>0</v>
      </c>
      <c r="P783" s="4" t="str">
        <f t="shared" si="12"/>
        <v>PROGRAM.P8</v>
      </c>
      <c r="Q783" s="4" t="str">
        <f>VLOOKUP(Cobra8.5[[#This Row],[Table.Column]],ColumnMapping[Old Table.Column],1,)</f>
        <v>PROGRAM.P8</v>
      </c>
    </row>
    <row r="784" spans="1:17" hidden="1" x14ac:dyDescent="0.2">
      <c r="A784" s="4" t="s">
        <v>744</v>
      </c>
      <c r="B784" s="4">
        <v>0</v>
      </c>
      <c r="C784" s="4" t="s">
        <v>744</v>
      </c>
      <c r="D784" s="4" t="s">
        <v>734</v>
      </c>
      <c r="E784" s="4" t="s">
        <v>86</v>
      </c>
      <c r="F784" s="4">
        <v>59</v>
      </c>
      <c r="G784" s="4">
        <v>0</v>
      </c>
      <c r="H784" s="4">
        <v>0</v>
      </c>
      <c r="K784" s="4">
        <v>0</v>
      </c>
      <c r="N784" s="4">
        <v>0</v>
      </c>
      <c r="O784" s="4">
        <v>0</v>
      </c>
      <c r="P784" s="4" t="str">
        <f t="shared" si="12"/>
        <v>PROGRAM.P9</v>
      </c>
      <c r="Q784" s="4" t="str">
        <f>VLOOKUP(Cobra8.5[[#This Row],[Table.Column]],ColumnMapping[Old Table.Column],1,)</f>
        <v>PROGRAM.P9</v>
      </c>
    </row>
    <row r="785" spans="1:17" hidden="1" x14ac:dyDescent="0.2">
      <c r="A785" s="4" t="s">
        <v>744</v>
      </c>
      <c r="B785" s="4">
        <v>0</v>
      </c>
      <c r="C785" s="4" t="s">
        <v>744</v>
      </c>
      <c r="D785" s="4" t="s">
        <v>1983</v>
      </c>
      <c r="E785" s="4" t="s">
        <v>356</v>
      </c>
      <c r="F785" s="4">
        <v>-1</v>
      </c>
      <c r="G785" s="4">
        <v>0</v>
      </c>
      <c r="H785" s="4">
        <v>0</v>
      </c>
      <c r="K785" s="4">
        <v>0</v>
      </c>
      <c r="N785" s="4">
        <v>0</v>
      </c>
      <c r="O785" s="4">
        <v>0</v>
      </c>
      <c r="P785" s="4" t="str">
        <f t="shared" si="12"/>
        <v>PROGRAM.PD_START</v>
      </c>
      <c r="Q785" s="4" t="str">
        <f>VLOOKUP(Cobra8.5[[#This Row],[Table.Column]],ColumnMapping[Old Table.Column],1,)</f>
        <v>PROGRAM.PD_START</v>
      </c>
    </row>
    <row r="786" spans="1:17" hidden="1" x14ac:dyDescent="0.2">
      <c r="A786" s="4" t="s">
        <v>744</v>
      </c>
      <c r="B786" s="4">
        <v>0</v>
      </c>
      <c r="C786" s="4" t="s">
        <v>744</v>
      </c>
      <c r="D786" s="4" t="s">
        <v>736</v>
      </c>
      <c r="E786" s="4" t="s">
        <v>2108</v>
      </c>
      <c r="F786" s="4">
        <v>-1</v>
      </c>
      <c r="G786" s="4">
        <v>0</v>
      </c>
      <c r="H786" s="4">
        <v>0</v>
      </c>
      <c r="K786" s="4">
        <v>0</v>
      </c>
      <c r="N786" s="4">
        <v>0</v>
      </c>
      <c r="O786" s="4">
        <v>0</v>
      </c>
      <c r="P786" s="4" t="str">
        <f t="shared" si="12"/>
        <v>PROGRAM.PERCENT1</v>
      </c>
      <c r="Q786" s="4" t="str">
        <f>VLOOKUP(Cobra8.5[[#This Row],[Table.Column]],ColumnMapping[Old Table.Column],1,)</f>
        <v>PROGRAM.PERCENT1</v>
      </c>
    </row>
    <row r="787" spans="1:17" hidden="1" x14ac:dyDescent="0.2">
      <c r="A787" s="4" t="s">
        <v>744</v>
      </c>
      <c r="B787" s="4">
        <v>0</v>
      </c>
      <c r="C787" s="4" t="s">
        <v>744</v>
      </c>
      <c r="D787" s="4" t="s">
        <v>738</v>
      </c>
      <c r="E787" s="4" t="s">
        <v>2108</v>
      </c>
      <c r="F787" s="4">
        <v>-1</v>
      </c>
      <c r="G787" s="4">
        <v>0</v>
      </c>
      <c r="H787" s="4">
        <v>0</v>
      </c>
      <c r="K787" s="4">
        <v>0</v>
      </c>
      <c r="N787" s="4">
        <v>0</v>
      </c>
      <c r="O787" s="4">
        <v>0</v>
      </c>
      <c r="P787" s="4" t="str">
        <f t="shared" si="12"/>
        <v>PROGRAM.PERCENT2</v>
      </c>
      <c r="Q787" s="4" t="str">
        <f>VLOOKUP(Cobra8.5[[#This Row],[Table.Column]],ColumnMapping[Old Table.Column],1,)</f>
        <v>PROGRAM.PERCENT2</v>
      </c>
    </row>
    <row r="788" spans="1:17" hidden="1" x14ac:dyDescent="0.2">
      <c r="A788" s="4" t="s">
        <v>744</v>
      </c>
      <c r="B788" s="4">
        <v>0</v>
      </c>
      <c r="C788" s="4" t="s">
        <v>744</v>
      </c>
      <c r="D788" s="4" t="s">
        <v>740</v>
      </c>
      <c r="E788" s="4" t="s">
        <v>2108</v>
      </c>
      <c r="F788" s="4">
        <v>-1</v>
      </c>
      <c r="G788" s="4">
        <v>0</v>
      </c>
      <c r="H788" s="4">
        <v>0</v>
      </c>
      <c r="K788" s="4">
        <v>0</v>
      </c>
      <c r="N788" s="4">
        <v>0</v>
      </c>
      <c r="O788" s="4">
        <v>0</v>
      </c>
      <c r="P788" s="4" t="str">
        <f t="shared" si="12"/>
        <v>PROGRAM.PERCENT3</v>
      </c>
      <c r="Q788" s="4" t="str">
        <f>VLOOKUP(Cobra8.5[[#This Row],[Table.Column]],ColumnMapping[Old Table.Column],1,)</f>
        <v>PROGRAM.PERCENT3</v>
      </c>
    </row>
    <row r="789" spans="1:17" hidden="1" x14ac:dyDescent="0.2">
      <c r="A789" s="4" t="s">
        <v>744</v>
      </c>
      <c r="B789" s="4">
        <v>0</v>
      </c>
      <c r="C789" s="4" t="s">
        <v>744</v>
      </c>
      <c r="D789" s="4" t="s">
        <v>742</v>
      </c>
      <c r="E789" s="4" t="s">
        <v>2108</v>
      </c>
      <c r="F789" s="4">
        <v>-1</v>
      </c>
      <c r="G789" s="4">
        <v>0</v>
      </c>
      <c r="H789" s="4">
        <v>0</v>
      </c>
      <c r="K789" s="4">
        <v>0</v>
      </c>
      <c r="N789" s="4">
        <v>0</v>
      </c>
      <c r="O789" s="4">
        <v>0</v>
      </c>
      <c r="P789" s="4" t="str">
        <f t="shared" si="12"/>
        <v>PROGRAM.PRODVIS</v>
      </c>
      <c r="Q789" s="4" t="str">
        <f>VLOOKUP(Cobra8.5[[#This Row],[Table.Column]],ColumnMapping[Old Table.Column],1,)</f>
        <v>PROGRAM.PRODVIS</v>
      </c>
    </row>
    <row r="790" spans="1:17" hidden="1" x14ac:dyDescent="0.2">
      <c r="A790" s="4" t="s">
        <v>744</v>
      </c>
      <c r="B790" s="4">
        <v>0</v>
      </c>
      <c r="C790" s="4" t="s">
        <v>744</v>
      </c>
      <c r="D790" s="4" t="s">
        <v>744</v>
      </c>
      <c r="E790" s="4" t="s">
        <v>86</v>
      </c>
      <c r="F790" s="4">
        <v>22</v>
      </c>
      <c r="G790" s="4">
        <v>0</v>
      </c>
      <c r="H790" s="4">
        <v>0</v>
      </c>
      <c r="K790" s="4">
        <v>0</v>
      </c>
      <c r="N790" s="4">
        <v>0</v>
      </c>
      <c r="O790" s="4">
        <v>0</v>
      </c>
      <c r="P790" s="4" t="str">
        <f t="shared" si="12"/>
        <v>PROGRAM.PROGRAM</v>
      </c>
      <c r="Q790" s="4" t="str">
        <f>VLOOKUP(Cobra8.5[[#This Row],[Table.Column]],ColumnMapping[Old Table.Column],1,)</f>
        <v>PROGRAM.PROGRAM</v>
      </c>
    </row>
    <row r="791" spans="1:17" hidden="1" x14ac:dyDescent="0.2">
      <c r="A791" s="4" t="s">
        <v>744</v>
      </c>
      <c r="B791" s="4">
        <v>0</v>
      </c>
      <c r="C791" s="4" t="s">
        <v>744</v>
      </c>
      <c r="D791" s="4" t="s">
        <v>746</v>
      </c>
      <c r="E791" s="4" t="s">
        <v>2108</v>
      </c>
      <c r="F791" s="4">
        <v>-1</v>
      </c>
      <c r="G791" s="4">
        <v>0</v>
      </c>
      <c r="H791" s="4">
        <v>0</v>
      </c>
      <c r="K791" s="4">
        <v>0</v>
      </c>
      <c r="N791" s="4">
        <v>0</v>
      </c>
      <c r="O791" s="4">
        <v>0</v>
      </c>
      <c r="P791" s="4" t="str">
        <f t="shared" si="12"/>
        <v>PROGRAM.QUANTITY</v>
      </c>
      <c r="Q791" s="4" t="str">
        <f>VLOOKUP(Cobra8.5[[#This Row],[Table.Column]],ColumnMapping[Old Table.Column],1,)</f>
        <v>PROGRAM.QUANTITY</v>
      </c>
    </row>
    <row r="792" spans="1:17" hidden="1" x14ac:dyDescent="0.2">
      <c r="A792" s="4" t="s">
        <v>744</v>
      </c>
      <c r="B792" s="4">
        <v>0</v>
      </c>
      <c r="C792" s="4" t="s">
        <v>744</v>
      </c>
      <c r="D792" s="4" t="s">
        <v>476</v>
      </c>
      <c r="E792" s="4" t="s">
        <v>86</v>
      </c>
      <c r="F792" s="4">
        <v>22</v>
      </c>
      <c r="G792" s="4">
        <v>0</v>
      </c>
      <c r="H792" s="4">
        <v>0</v>
      </c>
      <c r="K792" s="4">
        <v>0</v>
      </c>
      <c r="N792" s="4">
        <v>0</v>
      </c>
      <c r="O792" s="4">
        <v>0</v>
      </c>
      <c r="P792" s="4" t="str">
        <f t="shared" si="12"/>
        <v>PROGRAM.RATE_FILE</v>
      </c>
      <c r="Q792" s="4" t="str">
        <f>VLOOKUP(Cobra8.5[[#This Row],[Table.Column]],ColumnMapping[Old Table.Column],1,)</f>
        <v>PROGRAM.RATE_FILE</v>
      </c>
    </row>
    <row r="793" spans="1:17" hidden="1" x14ac:dyDescent="0.2">
      <c r="A793" s="4" t="s">
        <v>744</v>
      </c>
      <c r="B793" s="4">
        <v>0</v>
      </c>
      <c r="C793" s="4" t="s">
        <v>744</v>
      </c>
      <c r="D793" s="4" t="s">
        <v>495</v>
      </c>
      <c r="E793" s="4" t="s">
        <v>86</v>
      </c>
      <c r="F793" s="4">
        <v>20</v>
      </c>
      <c r="G793" s="4">
        <v>0</v>
      </c>
      <c r="H793" s="4">
        <v>0</v>
      </c>
      <c r="K793" s="4">
        <v>0</v>
      </c>
      <c r="N793" s="4">
        <v>0</v>
      </c>
      <c r="O793" s="4">
        <v>0</v>
      </c>
      <c r="P793" s="4" t="str">
        <f t="shared" si="12"/>
        <v>PROGRAM.SCALECAP</v>
      </c>
      <c r="Q793" s="4" t="str">
        <f>VLOOKUP(Cobra8.5[[#This Row],[Table.Column]],ColumnMapping[Old Table.Column],1,)</f>
        <v>PROGRAM.SCALECAP</v>
      </c>
    </row>
    <row r="794" spans="1:17" hidden="1" x14ac:dyDescent="0.2">
      <c r="A794" s="4" t="s">
        <v>744</v>
      </c>
      <c r="B794" s="4">
        <v>0</v>
      </c>
      <c r="C794" s="4" t="s">
        <v>744</v>
      </c>
      <c r="D794" s="4" t="s">
        <v>507</v>
      </c>
      <c r="E794" s="4" t="s">
        <v>2108</v>
      </c>
      <c r="F794" s="4">
        <v>-1</v>
      </c>
      <c r="G794" s="4">
        <v>0</v>
      </c>
      <c r="H794" s="4">
        <v>0</v>
      </c>
      <c r="K794" s="4">
        <v>0</v>
      </c>
      <c r="N794" s="4">
        <v>0</v>
      </c>
      <c r="O794" s="4">
        <v>0</v>
      </c>
      <c r="P794" s="4" t="str">
        <f t="shared" si="12"/>
        <v>PROGRAM.SCALEFAC</v>
      </c>
      <c r="Q794" s="4" t="str">
        <f>VLOOKUP(Cobra8.5[[#This Row],[Table.Column]],ColumnMapping[Old Table.Column],1,)</f>
        <v>PROGRAM.SCALEFAC</v>
      </c>
    </row>
    <row r="795" spans="1:17" hidden="1" x14ac:dyDescent="0.2">
      <c r="A795" s="4" t="s">
        <v>744</v>
      </c>
      <c r="B795" s="4">
        <v>0</v>
      </c>
      <c r="C795" s="4" t="s">
        <v>744</v>
      </c>
      <c r="D795" s="4" t="s">
        <v>35</v>
      </c>
      <c r="E795" s="4" t="s">
        <v>2108</v>
      </c>
      <c r="F795" s="4">
        <v>-1</v>
      </c>
      <c r="G795" s="4">
        <v>0</v>
      </c>
      <c r="H795" s="4">
        <v>0</v>
      </c>
      <c r="K795" s="4">
        <v>0</v>
      </c>
      <c r="N795" s="4">
        <v>0</v>
      </c>
      <c r="O795" s="4">
        <v>0</v>
      </c>
      <c r="P795" s="4" t="str">
        <f t="shared" si="12"/>
        <v>PROGRAM.SEQUENCE</v>
      </c>
      <c r="Q795" s="4" t="str">
        <f>VLOOKUP(Cobra8.5[[#This Row],[Table.Column]],ColumnMapping[Old Table.Column],1,)</f>
        <v>PROGRAM.SEQUENCE</v>
      </c>
    </row>
    <row r="796" spans="1:17" hidden="1" x14ac:dyDescent="0.2">
      <c r="A796" s="4" t="s">
        <v>744</v>
      </c>
      <c r="B796" s="4">
        <v>0</v>
      </c>
      <c r="C796" s="4" t="s">
        <v>744</v>
      </c>
      <c r="D796" s="4" t="s">
        <v>2184</v>
      </c>
      <c r="E796" s="4" t="s">
        <v>356</v>
      </c>
      <c r="F796" s="4">
        <v>-1</v>
      </c>
      <c r="G796" s="4">
        <v>0</v>
      </c>
      <c r="H796" s="4">
        <v>0</v>
      </c>
      <c r="K796" s="4">
        <v>0</v>
      </c>
      <c r="N796" s="4">
        <v>0</v>
      </c>
      <c r="O796" s="4">
        <v>0</v>
      </c>
      <c r="P796" s="4" t="str">
        <f t="shared" si="12"/>
        <v>PROGRAM.SFD</v>
      </c>
      <c r="Q796" s="4" t="str">
        <f>VLOOKUP(Cobra8.5[[#This Row],[Table.Column]],ColumnMapping[Old Table.Column],1,)</f>
        <v>PROGRAM.SFD</v>
      </c>
    </row>
    <row r="797" spans="1:17" hidden="1" x14ac:dyDescent="0.2">
      <c r="A797" s="4" t="s">
        <v>744</v>
      </c>
      <c r="B797" s="4">
        <v>0</v>
      </c>
      <c r="C797" s="4" t="s">
        <v>744</v>
      </c>
      <c r="D797" s="4" t="s">
        <v>749</v>
      </c>
      <c r="E797" s="4" t="s">
        <v>86</v>
      </c>
      <c r="F797" s="4">
        <v>20</v>
      </c>
      <c r="G797" s="4">
        <v>0</v>
      </c>
      <c r="H797" s="4">
        <v>0</v>
      </c>
      <c r="K797" s="4">
        <v>0</v>
      </c>
      <c r="N797" s="4">
        <v>0</v>
      </c>
      <c r="O797" s="4">
        <v>0</v>
      </c>
      <c r="P797" s="4" t="str">
        <f t="shared" si="12"/>
        <v>PROGRAM.SHARERATIO</v>
      </c>
      <c r="Q797" s="4" t="str">
        <f>VLOOKUP(Cobra8.5[[#This Row],[Table.Column]],ColumnMapping[Old Table.Column],1,)</f>
        <v>PROGRAM.SHARERATIO</v>
      </c>
    </row>
    <row r="798" spans="1:17" hidden="1" x14ac:dyDescent="0.2">
      <c r="A798" s="4" t="s">
        <v>744</v>
      </c>
      <c r="B798" s="4">
        <v>0</v>
      </c>
      <c r="C798" s="4" t="s">
        <v>744</v>
      </c>
      <c r="D798" s="4" t="s">
        <v>489</v>
      </c>
      <c r="E798" s="4" t="s">
        <v>2108</v>
      </c>
      <c r="F798" s="4">
        <v>-1</v>
      </c>
      <c r="G798" s="4">
        <v>0</v>
      </c>
      <c r="H798" s="4">
        <v>0</v>
      </c>
      <c r="K798" s="4">
        <v>0</v>
      </c>
      <c r="N798" s="4">
        <v>0</v>
      </c>
      <c r="O798" s="4">
        <v>0</v>
      </c>
      <c r="P798" s="4" t="str">
        <f t="shared" si="12"/>
        <v>PROGRAM.SPTYPE</v>
      </c>
      <c r="Q798" s="4" t="str">
        <f>VLOOKUP(Cobra8.5[[#This Row],[Table.Column]],ColumnMapping[Old Table.Column],1,)</f>
        <v>PROGRAM.SPTYPE</v>
      </c>
    </row>
    <row r="799" spans="1:17" hidden="1" x14ac:dyDescent="0.2">
      <c r="A799" s="4" t="s">
        <v>744</v>
      </c>
      <c r="B799" s="4">
        <v>0</v>
      </c>
      <c r="C799" s="4" t="s">
        <v>744</v>
      </c>
      <c r="D799" s="4" t="s">
        <v>2185</v>
      </c>
      <c r="E799" s="4" t="s">
        <v>356</v>
      </c>
      <c r="F799" s="4">
        <v>-1</v>
      </c>
      <c r="G799" s="4">
        <v>0</v>
      </c>
      <c r="H799" s="4">
        <v>0</v>
      </c>
      <c r="K799" s="4">
        <v>0</v>
      </c>
      <c r="N799" s="4">
        <v>0</v>
      </c>
      <c r="O799" s="4">
        <v>0</v>
      </c>
      <c r="P799" s="4" t="str">
        <f t="shared" si="12"/>
        <v>PROGRAM.SSD</v>
      </c>
      <c r="Q799" s="4" t="str">
        <f>VLOOKUP(Cobra8.5[[#This Row],[Table.Column]],ColumnMapping[Old Table.Column],1,)</f>
        <v>PROGRAM.SSD</v>
      </c>
    </row>
    <row r="800" spans="1:17" hidden="1" x14ac:dyDescent="0.2">
      <c r="A800" s="4" t="s">
        <v>744</v>
      </c>
      <c r="B800" s="4">
        <v>0</v>
      </c>
      <c r="C800" s="4" t="s">
        <v>744</v>
      </c>
      <c r="D800" s="4" t="s">
        <v>751</v>
      </c>
      <c r="E800" s="4" t="s">
        <v>86</v>
      </c>
      <c r="F800" s="4">
        <v>3</v>
      </c>
      <c r="G800" s="4">
        <v>0</v>
      </c>
      <c r="H800" s="4">
        <v>0</v>
      </c>
      <c r="K800" s="4">
        <v>0</v>
      </c>
      <c r="N800" s="4">
        <v>0</v>
      </c>
      <c r="O800" s="4">
        <v>0</v>
      </c>
      <c r="P800" s="4" t="str">
        <f t="shared" si="12"/>
        <v>PROGRAM.STATE</v>
      </c>
      <c r="Q800" s="4" t="str">
        <f>VLOOKUP(Cobra8.5[[#This Row],[Table.Column]],ColumnMapping[Old Table.Column],1,)</f>
        <v>PROGRAM.STATE</v>
      </c>
    </row>
    <row r="801" spans="1:17" hidden="1" x14ac:dyDescent="0.2">
      <c r="A801" s="4" t="s">
        <v>744</v>
      </c>
      <c r="B801" s="4">
        <v>0</v>
      </c>
      <c r="C801" s="4" t="s">
        <v>744</v>
      </c>
      <c r="D801" s="4" t="s">
        <v>2139</v>
      </c>
      <c r="E801" s="4" t="s">
        <v>356</v>
      </c>
      <c r="F801" s="4">
        <v>-1</v>
      </c>
      <c r="G801" s="4">
        <v>0</v>
      </c>
      <c r="H801" s="4">
        <v>0</v>
      </c>
      <c r="K801" s="4">
        <v>0</v>
      </c>
      <c r="N801" s="4">
        <v>0</v>
      </c>
      <c r="O801" s="4">
        <v>0</v>
      </c>
      <c r="P801" s="4" t="str">
        <f t="shared" si="12"/>
        <v>PROGRAM.STATUSDATE</v>
      </c>
      <c r="Q801" s="4" t="str">
        <f>VLOOKUP(Cobra8.5[[#This Row],[Table.Column]],ColumnMapping[Old Table.Column],1,)</f>
        <v>PROGRAM.STATUSDATE</v>
      </c>
    </row>
    <row r="802" spans="1:17" hidden="1" x14ac:dyDescent="0.2">
      <c r="A802" s="4" t="s">
        <v>744</v>
      </c>
      <c r="B802" s="4">
        <v>0</v>
      </c>
      <c r="C802" s="4" t="s">
        <v>744</v>
      </c>
      <c r="D802" s="4" t="s">
        <v>531</v>
      </c>
      <c r="E802" s="4" t="s">
        <v>2124</v>
      </c>
      <c r="F802" s="4">
        <v>21</v>
      </c>
      <c r="G802" s="4">
        <v>6</v>
      </c>
      <c r="H802" s="4">
        <v>0</v>
      </c>
      <c r="K802" s="4">
        <v>0</v>
      </c>
      <c r="N802" s="4">
        <v>0</v>
      </c>
      <c r="O802" s="4">
        <v>0</v>
      </c>
      <c r="P802" s="4" t="str">
        <f t="shared" si="12"/>
        <v>PROGRAM.UB</v>
      </c>
      <c r="Q802" s="4" t="str">
        <f>VLOOKUP(Cobra8.5[[#This Row],[Table.Column]],ColumnMapping[Old Table.Column],1,)</f>
        <v>PROGRAM.UB</v>
      </c>
    </row>
    <row r="803" spans="1:17" hidden="1" x14ac:dyDescent="0.2">
      <c r="A803" s="4" t="s">
        <v>744</v>
      </c>
      <c r="B803" s="4">
        <v>0</v>
      </c>
      <c r="C803" s="4" t="s">
        <v>744</v>
      </c>
      <c r="D803" s="4" t="s">
        <v>2112</v>
      </c>
      <c r="E803" s="4" t="s">
        <v>86</v>
      </c>
      <c r="F803" s="4">
        <v>20</v>
      </c>
      <c r="G803" s="4">
        <v>0</v>
      </c>
      <c r="H803" s="4">
        <v>0</v>
      </c>
      <c r="K803" s="4">
        <v>0</v>
      </c>
      <c r="N803" s="4">
        <v>0</v>
      </c>
      <c r="O803" s="4">
        <v>0</v>
      </c>
      <c r="P803" s="4" t="str">
        <f t="shared" si="12"/>
        <v>PROGRAM.USR_ID</v>
      </c>
      <c r="Q803" s="4" t="str">
        <f>VLOOKUP(Cobra8.5[[#This Row],[Table.Column]],ColumnMapping[Old Table.Column],1,)</f>
        <v>PROGRAM.USR_ID</v>
      </c>
    </row>
    <row r="804" spans="1:17" hidden="1" x14ac:dyDescent="0.2">
      <c r="A804" s="4" t="s">
        <v>744</v>
      </c>
      <c r="B804" s="4">
        <v>0</v>
      </c>
      <c r="C804" s="4" t="s">
        <v>744</v>
      </c>
      <c r="D804" s="4" t="s">
        <v>753</v>
      </c>
      <c r="E804" s="4" t="s">
        <v>86</v>
      </c>
      <c r="F804" s="4">
        <v>22</v>
      </c>
      <c r="G804" s="4">
        <v>0</v>
      </c>
      <c r="H804" s="4">
        <v>0</v>
      </c>
      <c r="K804" s="4">
        <v>0</v>
      </c>
      <c r="N804" s="4">
        <v>0</v>
      </c>
      <c r="O804" s="4">
        <v>0</v>
      </c>
      <c r="P804" s="4" t="str">
        <f t="shared" si="12"/>
        <v>PROGRAM.WP_BDN</v>
      </c>
      <c r="Q804" s="4" t="str">
        <f>VLOOKUP(Cobra8.5[[#This Row],[Table.Column]],ColumnMapping[Old Table.Column],1,)</f>
        <v>PROGRAM.WP_BDN</v>
      </c>
    </row>
    <row r="805" spans="1:17" hidden="1" x14ac:dyDescent="0.2">
      <c r="A805" s="4" t="s">
        <v>744</v>
      </c>
      <c r="B805" s="4">
        <v>0</v>
      </c>
      <c r="C805" s="4" t="s">
        <v>744</v>
      </c>
      <c r="D805" s="4" t="s">
        <v>755</v>
      </c>
      <c r="E805" s="4" t="s">
        <v>86</v>
      </c>
      <c r="F805" s="4">
        <v>10</v>
      </c>
      <c r="G805" s="4">
        <v>0</v>
      </c>
      <c r="H805" s="4">
        <v>0</v>
      </c>
      <c r="K805" s="4">
        <v>0</v>
      </c>
      <c r="N805" s="4">
        <v>0</v>
      </c>
      <c r="O805" s="4">
        <v>0</v>
      </c>
      <c r="P805" s="4" t="str">
        <f t="shared" si="12"/>
        <v>PROGRAM.WP_ID</v>
      </c>
      <c r="Q805" s="4" t="str">
        <f>VLOOKUP(Cobra8.5[[#This Row],[Table.Column]],ColumnMapping[Old Table.Column],1,)</f>
        <v>PROGRAM.WP_ID</v>
      </c>
    </row>
    <row r="806" spans="1:17" hidden="1" x14ac:dyDescent="0.2">
      <c r="A806" s="4" t="s">
        <v>744</v>
      </c>
      <c r="B806" s="4">
        <v>0</v>
      </c>
      <c r="C806" s="4" t="s">
        <v>744</v>
      </c>
      <c r="D806" s="4" t="s">
        <v>757</v>
      </c>
      <c r="E806" s="4" t="s">
        <v>86</v>
      </c>
      <c r="F806" s="4">
        <v>11</v>
      </c>
      <c r="G806" s="4">
        <v>0</v>
      </c>
      <c r="H806" s="4">
        <v>0</v>
      </c>
      <c r="K806" s="4">
        <v>0</v>
      </c>
      <c r="N806" s="4">
        <v>0</v>
      </c>
      <c r="O806" s="4">
        <v>0</v>
      </c>
      <c r="P806" s="4" t="str">
        <f t="shared" si="12"/>
        <v>PROGRAM.ZIP</v>
      </c>
      <c r="Q806" s="4" t="str">
        <f>VLOOKUP(Cobra8.5[[#This Row],[Table.Column]],ColumnMapping[Old Table.Column],1,)</f>
        <v>PROGRAM.ZIP</v>
      </c>
    </row>
    <row r="807" spans="1:17" hidden="1" x14ac:dyDescent="0.2">
      <c r="A807" s="4" t="s">
        <v>1417</v>
      </c>
      <c r="B807" s="4">
        <v>0</v>
      </c>
      <c r="C807" s="4" t="s">
        <v>1417</v>
      </c>
      <c r="D807" s="4" t="s">
        <v>2111</v>
      </c>
      <c r="E807" s="4" t="s">
        <v>356</v>
      </c>
      <c r="F807" s="4">
        <v>-1</v>
      </c>
      <c r="G807" s="4">
        <v>0</v>
      </c>
      <c r="H807" s="4">
        <v>0</v>
      </c>
      <c r="K807" s="4">
        <v>0</v>
      </c>
      <c r="N807" s="4">
        <v>0</v>
      </c>
      <c r="O807" s="4">
        <v>0</v>
      </c>
      <c r="P807" s="4" t="str">
        <f t="shared" si="12"/>
        <v>RATE.LASTUPDATE</v>
      </c>
      <c r="Q807" s="4" t="str">
        <f>VLOOKUP(Cobra8.5[[#This Row],[Table.Column]],ColumnMapping[Old Table.Column],1,)</f>
        <v>RATE.LASTUPDATE</v>
      </c>
    </row>
    <row r="808" spans="1:17" hidden="1" x14ac:dyDescent="0.2">
      <c r="A808" s="4" t="s">
        <v>1417</v>
      </c>
      <c r="B808" s="4">
        <v>0</v>
      </c>
      <c r="C808" s="4" t="s">
        <v>1417</v>
      </c>
      <c r="D808" s="4" t="s">
        <v>1433</v>
      </c>
      <c r="E808" s="4" t="s">
        <v>86</v>
      </c>
      <c r="F808" s="4">
        <v>22</v>
      </c>
      <c r="G808" s="4">
        <v>0</v>
      </c>
      <c r="H808" s="4">
        <v>0</v>
      </c>
      <c r="K808" s="4">
        <v>0</v>
      </c>
      <c r="N808" s="4">
        <v>0</v>
      </c>
      <c r="O808" s="4">
        <v>0</v>
      </c>
      <c r="P808" s="4" t="str">
        <f t="shared" si="12"/>
        <v>RATE.RATEFILE</v>
      </c>
      <c r="Q808" s="4" t="str">
        <f>VLOOKUP(Cobra8.5[[#This Row],[Table.Column]],ColumnMapping[Old Table.Column],1,)</f>
        <v>RATE.RATEFILE</v>
      </c>
    </row>
    <row r="809" spans="1:17" hidden="1" x14ac:dyDescent="0.2">
      <c r="A809" s="4" t="s">
        <v>1417</v>
      </c>
      <c r="B809" s="4">
        <v>0</v>
      </c>
      <c r="C809" s="4" t="s">
        <v>1417</v>
      </c>
      <c r="D809" s="4" t="s">
        <v>35</v>
      </c>
      <c r="E809" s="4" t="s">
        <v>2108</v>
      </c>
      <c r="F809" s="4">
        <v>-1</v>
      </c>
      <c r="G809" s="4">
        <v>0</v>
      </c>
      <c r="H809" s="4">
        <v>0</v>
      </c>
      <c r="K809" s="4">
        <v>0</v>
      </c>
      <c r="N809" s="4">
        <v>0</v>
      </c>
      <c r="O809" s="4">
        <v>0</v>
      </c>
      <c r="P809" s="4" t="str">
        <f t="shared" si="12"/>
        <v>RATE.SEQUENCE</v>
      </c>
      <c r="Q809" s="4" t="str">
        <f>VLOOKUP(Cobra8.5[[#This Row],[Table.Column]],ColumnMapping[Old Table.Column],1,)</f>
        <v>RATE.SEQUENCE</v>
      </c>
    </row>
    <row r="810" spans="1:17" hidden="1" x14ac:dyDescent="0.2">
      <c r="A810" s="4" t="s">
        <v>1417</v>
      </c>
      <c r="B810" s="4">
        <v>0</v>
      </c>
      <c r="C810" s="4" t="s">
        <v>1417</v>
      </c>
      <c r="D810" s="4" t="s">
        <v>2112</v>
      </c>
      <c r="E810" s="4" t="s">
        <v>86</v>
      </c>
      <c r="F810" s="4">
        <v>20</v>
      </c>
      <c r="G810" s="4">
        <v>0</v>
      </c>
      <c r="H810" s="4">
        <v>0</v>
      </c>
      <c r="K810" s="4">
        <v>0</v>
      </c>
      <c r="N810" s="4">
        <v>0</v>
      </c>
      <c r="O810" s="4">
        <v>0</v>
      </c>
      <c r="P810" s="4" t="str">
        <f t="shared" si="12"/>
        <v>RATE.USR_ID</v>
      </c>
      <c r="Q810" s="4" t="str">
        <f>VLOOKUP(Cobra8.5[[#This Row],[Table.Column]],ColumnMapping[Old Table.Column],1,)</f>
        <v>RATE.USR_ID</v>
      </c>
    </row>
    <row r="811" spans="1:17" hidden="1" x14ac:dyDescent="0.2">
      <c r="A811" s="4" t="s">
        <v>2243</v>
      </c>
      <c r="B811" s="4">
        <v>0</v>
      </c>
      <c r="C811" s="4" t="s">
        <v>2243</v>
      </c>
      <c r="D811" s="4" t="s">
        <v>963</v>
      </c>
      <c r="E811" s="4" t="s">
        <v>86</v>
      </c>
      <c r="F811" s="4">
        <v>59</v>
      </c>
      <c r="G811" s="4">
        <v>0</v>
      </c>
      <c r="H811" s="4">
        <v>0</v>
      </c>
      <c r="K811" s="4">
        <v>0</v>
      </c>
      <c r="N811" s="4">
        <v>0</v>
      </c>
      <c r="O811" s="4">
        <v>0</v>
      </c>
      <c r="P811" s="4" t="str">
        <f t="shared" si="12"/>
        <v>RATEDESC.C1</v>
      </c>
      <c r="Q811" s="4" t="str">
        <f>VLOOKUP(Cobra8.5[[#This Row],[Table.Column]],ColumnMapping[Old Table.Column],1,)</f>
        <v>RATEDESC.C1</v>
      </c>
    </row>
    <row r="812" spans="1:17" hidden="1" x14ac:dyDescent="0.2">
      <c r="A812" s="4" t="s">
        <v>2243</v>
      </c>
      <c r="B812" s="4">
        <v>0</v>
      </c>
      <c r="C812" s="4" t="s">
        <v>2243</v>
      </c>
      <c r="D812" s="4" t="s">
        <v>985</v>
      </c>
      <c r="E812" s="4" t="s">
        <v>86</v>
      </c>
      <c r="F812" s="4">
        <v>59</v>
      </c>
      <c r="G812" s="4">
        <v>0</v>
      </c>
      <c r="H812" s="4">
        <v>0</v>
      </c>
      <c r="K812" s="4">
        <v>0</v>
      </c>
      <c r="N812" s="4">
        <v>0</v>
      </c>
      <c r="O812" s="4">
        <v>0</v>
      </c>
      <c r="P812" s="4" t="str">
        <f t="shared" si="12"/>
        <v>RATEDESC.C2</v>
      </c>
      <c r="Q812" s="4" t="str">
        <f>VLOOKUP(Cobra8.5[[#This Row],[Table.Column]],ColumnMapping[Old Table.Column],1,)</f>
        <v>RATEDESC.C2</v>
      </c>
    </row>
    <row r="813" spans="1:17" hidden="1" x14ac:dyDescent="0.2">
      <c r="A813" s="4" t="s">
        <v>2243</v>
      </c>
      <c r="B813" s="4">
        <v>0</v>
      </c>
      <c r="C813" s="4" t="s">
        <v>2243</v>
      </c>
      <c r="D813" s="4" t="s">
        <v>2111</v>
      </c>
      <c r="E813" s="4" t="s">
        <v>356</v>
      </c>
      <c r="F813" s="4">
        <v>-1</v>
      </c>
      <c r="G813" s="4">
        <v>0</v>
      </c>
      <c r="H813" s="4">
        <v>0</v>
      </c>
      <c r="K813" s="4">
        <v>0</v>
      </c>
      <c r="N813" s="4">
        <v>0</v>
      </c>
      <c r="O813" s="4">
        <v>0</v>
      </c>
      <c r="P813" s="4" t="str">
        <f t="shared" si="12"/>
        <v>RATEDESC.LASTUPDATE</v>
      </c>
      <c r="Q813" s="4" t="str">
        <f>VLOOKUP(Cobra8.5[[#This Row],[Table.Column]],ColumnMapping[Old Table.Column],1,)</f>
        <v>RATEDESC.LASTUPDATE</v>
      </c>
    </row>
    <row r="814" spans="1:17" hidden="1" x14ac:dyDescent="0.2">
      <c r="A814" s="4" t="s">
        <v>2243</v>
      </c>
      <c r="B814" s="4">
        <v>0</v>
      </c>
      <c r="C814" s="4" t="s">
        <v>2243</v>
      </c>
      <c r="D814" s="4" t="s">
        <v>1434</v>
      </c>
      <c r="E814" s="4" t="s">
        <v>86</v>
      </c>
      <c r="F814" s="4">
        <v>59</v>
      </c>
      <c r="G814" s="4">
        <v>0</v>
      </c>
      <c r="H814" s="4">
        <v>0</v>
      </c>
      <c r="K814" s="4">
        <v>0</v>
      </c>
      <c r="N814" s="4">
        <v>0</v>
      </c>
      <c r="O814" s="4">
        <v>0</v>
      </c>
      <c r="P814" s="4" t="str">
        <f t="shared" si="12"/>
        <v>RATEDESC.RATE_TABLE</v>
      </c>
      <c r="Q814" s="4" t="str">
        <f>VLOOKUP(Cobra8.5[[#This Row],[Table.Column]],ColumnMapping[Old Table.Column],1,)</f>
        <v>RATEDESC.RATE_TABLE</v>
      </c>
    </row>
    <row r="815" spans="1:17" hidden="1" x14ac:dyDescent="0.2">
      <c r="A815" s="4" t="s">
        <v>2243</v>
      </c>
      <c r="B815" s="4">
        <v>0</v>
      </c>
      <c r="C815" s="4" t="s">
        <v>2243</v>
      </c>
      <c r="D815" s="4" t="s">
        <v>1433</v>
      </c>
      <c r="E815" s="4" t="s">
        <v>86</v>
      </c>
      <c r="F815" s="4">
        <v>22</v>
      </c>
      <c r="G815" s="4">
        <v>0</v>
      </c>
      <c r="H815" s="4">
        <v>0</v>
      </c>
      <c r="K815" s="4">
        <v>0</v>
      </c>
      <c r="N815" s="4">
        <v>0</v>
      </c>
      <c r="O815" s="4">
        <v>0</v>
      </c>
      <c r="P815" s="4" t="str">
        <f t="shared" si="12"/>
        <v>RATEDESC.RATEFILE</v>
      </c>
      <c r="Q815" s="4" t="str">
        <f>VLOOKUP(Cobra8.5[[#This Row],[Table.Column]],ColumnMapping[Old Table.Column],1,)</f>
        <v>RATEDESC.RATEFILE</v>
      </c>
    </row>
    <row r="816" spans="1:17" hidden="1" x14ac:dyDescent="0.2">
      <c r="A816" s="4" t="s">
        <v>2243</v>
      </c>
      <c r="B816" s="4">
        <v>0</v>
      </c>
      <c r="C816" s="4" t="s">
        <v>2243</v>
      </c>
      <c r="D816" s="4" t="s">
        <v>2244</v>
      </c>
      <c r="E816" s="4" t="s">
        <v>86</v>
      </c>
      <c r="F816" s="4">
        <v>254</v>
      </c>
      <c r="G816" s="4">
        <v>0</v>
      </c>
      <c r="H816" s="4">
        <v>0</v>
      </c>
      <c r="K816" s="4">
        <v>0</v>
      </c>
      <c r="N816" s="4">
        <v>0</v>
      </c>
      <c r="O816" s="4">
        <v>0</v>
      </c>
      <c r="P816" s="4" t="str">
        <f t="shared" si="12"/>
        <v>RATEDESC.RTDESC</v>
      </c>
      <c r="Q816" s="4" t="str">
        <f>VLOOKUP(Cobra8.5[[#This Row],[Table.Column]],ColumnMapping[Old Table.Column],1,)</f>
        <v>RATEDESC.RTDESC</v>
      </c>
    </row>
    <row r="817" spans="1:17" hidden="1" x14ac:dyDescent="0.2">
      <c r="A817" s="4" t="s">
        <v>2243</v>
      </c>
      <c r="B817" s="4">
        <v>0</v>
      </c>
      <c r="C817" s="4" t="s">
        <v>2243</v>
      </c>
      <c r="D817" s="4" t="s">
        <v>35</v>
      </c>
      <c r="E817" s="4" t="s">
        <v>2108</v>
      </c>
      <c r="F817" s="4">
        <v>-1</v>
      </c>
      <c r="G817" s="4">
        <v>0</v>
      </c>
      <c r="H817" s="4">
        <v>0</v>
      </c>
      <c r="K817" s="4">
        <v>0</v>
      </c>
      <c r="N817" s="4">
        <v>0</v>
      </c>
      <c r="O817" s="4">
        <v>0</v>
      </c>
      <c r="P817" s="4" t="str">
        <f t="shared" si="12"/>
        <v>RATEDESC.SEQUENCE</v>
      </c>
      <c r="Q817" s="4" t="str">
        <f>VLOOKUP(Cobra8.5[[#This Row],[Table.Column]],ColumnMapping[Old Table.Column],1,)</f>
        <v>RATEDESC.SEQUENCE</v>
      </c>
    </row>
    <row r="818" spans="1:17" hidden="1" x14ac:dyDescent="0.2">
      <c r="A818" s="4" t="s">
        <v>2243</v>
      </c>
      <c r="B818" s="4">
        <v>0</v>
      </c>
      <c r="C818" s="4" t="s">
        <v>2243</v>
      </c>
      <c r="D818" s="4" t="s">
        <v>2112</v>
      </c>
      <c r="E818" s="4" t="s">
        <v>86</v>
      </c>
      <c r="F818" s="4">
        <v>20</v>
      </c>
      <c r="G818" s="4">
        <v>0</v>
      </c>
      <c r="H818" s="4">
        <v>0</v>
      </c>
      <c r="K818" s="4">
        <v>0</v>
      </c>
      <c r="N818" s="4">
        <v>0</v>
      </c>
      <c r="O818" s="4">
        <v>0</v>
      </c>
      <c r="P818" s="4" t="str">
        <f t="shared" si="12"/>
        <v>RATEDESC.USR_ID</v>
      </c>
      <c r="Q818" s="4" t="str">
        <f>VLOOKUP(Cobra8.5[[#This Row],[Table.Column]],ColumnMapping[Old Table.Column],1,)</f>
        <v>RATEDESC.USR_ID</v>
      </c>
    </row>
    <row r="819" spans="1:17" hidden="1" x14ac:dyDescent="0.2">
      <c r="A819" s="4" t="s">
        <v>2245</v>
      </c>
      <c r="B819" s="4">
        <v>0</v>
      </c>
      <c r="C819" s="4" t="s">
        <v>2245</v>
      </c>
      <c r="D819" s="4" t="s">
        <v>2111</v>
      </c>
      <c r="E819" s="4" t="s">
        <v>356</v>
      </c>
      <c r="F819" s="4">
        <v>-1</v>
      </c>
      <c r="G819" s="4">
        <v>0</v>
      </c>
      <c r="H819" s="4">
        <v>0</v>
      </c>
      <c r="K819" s="4">
        <v>0</v>
      </c>
      <c r="N819" s="4">
        <v>0</v>
      </c>
      <c r="O819" s="4">
        <v>0</v>
      </c>
      <c r="P819" s="4" t="str">
        <f t="shared" si="12"/>
        <v>RATEDETL.LASTUPDATE</v>
      </c>
      <c r="Q819" s="4" t="str">
        <f>VLOOKUP(Cobra8.5[[#This Row],[Table.Column]],ColumnMapping[Old Table.Column],1,)</f>
        <v>RATEDETL.LASTUPDATE</v>
      </c>
    </row>
    <row r="820" spans="1:17" hidden="1" x14ac:dyDescent="0.2">
      <c r="A820" s="4" t="s">
        <v>2245</v>
      </c>
      <c r="B820" s="4">
        <v>0</v>
      </c>
      <c r="C820" s="4" t="s">
        <v>2245</v>
      </c>
      <c r="D820" s="4" t="s">
        <v>1417</v>
      </c>
      <c r="E820" s="4" t="s">
        <v>2124</v>
      </c>
      <c r="F820" s="4">
        <v>21</v>
      </c>
      <c r="G820" s="4">
        <v>6</v>
      </c>
      <c r="H820" s="4">
        <v>0</v>
      </c>
      <c r="K820" s="4">
        <v>0</v>
      </c>
      <c r="N820" s="4">
        <v>0</v>
      </c>
      <c r="O820" s="4">
        <v>0</v>
      </c>
      <c r="P820" s="4" t="str">
        <f t="shared" si="12"/>
        <v>RATEDETL.RATE</v>
      </c>
      <c r="Q820" s="4" t="str">
        <f>VLOOKUP(Cobra8.5[[#This Row],[Table.Column]],ColumnMapping[Old Table.Column],1,)</f>
        <v>RATEDETL.RATE</v>
      </c>
    </row>
    <row r="821" spans="1:17" hidden="1" x14ac:dyDescent="0.2">
      <c r="A821" s="4" t="s">
        <v>2245</v>
      </c>
      <c r="B821" s="4">
        <v>0</v>
      </c>
      <c r="C821" s="4" t="s">
        <v>2245</v>
      </c>
      <c r="D821" s="4" t="s">
        <v>1423</v>
      </c>
      <c r="E821" s="4" t="s">
        <v>356</v>
      </c>
      <c r="F821" s="4">
        <v>-1</v>
      </c>
      <c r="G821" s="4">
        <v>0</v>
      </c>
      <c r="H821" s="4">
        <v>0</v>
      </c>
      <c r="K821" s="4">
        <v>0</v>
      </c>
      <c r="N821" s="4">
        <v>0</v>
      </c>
      <c r="O821" s="4">
        <v>0</v>
      </c>
      <c r="P821" s="4" t="str">
        <f t="shared" si="12"/>
        <v>RATEDETL.RATE_DATE</v>
      </c>
      <c r="Q821" s="4" t="str">
        <f>VLOOKUP(Cobra8.5[[#This Row],[Table.Column]],ColumnMapping[Old Table.Column],1,)</f>
        <v>RATEDETL.RATE_DATE</v>
      </c>
    </row>
    <row r="822" spans="1:17" hidden="1" x14ac:dyDescent="0.2">
      <c r="A822" s="4" t="s">
        <v>2245</v>
      </c>
      <c r="B822" s="4">
        <v>0</v>
      </c>
      <c r="C822" s="4" t="s">
        <v>2245</v>
      </c>
      <c r="D822" s="4" t="s">
        <v>1434</v>
      </c>
      <c r="E822" s="4" t="s">
        <v>86</v>
      </c>
      <c r="F822" s="4">
        <v>59</v>
      </c>
      <c r="G822" s="4">
        <v>0</v>
      </c>
      <c r="H822" s="4">
        <v>0</v>
      </c>
      <c r="K822" s="4">
        <v>0</v>
      </c>
      <c r="N822" s="4">
        <v>0</v>
      </c>
      <c r="O822" s="4">
        <v>0</v>
      </c>
      <c r="P822" s="4" t="str">
        <f t="shared" si="12"/>
        <v>RATEDETL.RATE_TABLE</v>
      </c>
      <c r="Q822" s="4" t="str">
        <f>VLOOKUP(Cobra8.5[[#This Row],[Table.Column]],ColumnMapping[Old Table.Column],1,)</f>
        <v>RATEDETL.RATE_TABLE</v>
      </c>
    </row>
    <row r="823" spans="1:17" hidden="1" x14ac:dyDescent="0.2">
      <c r="A823" s="4" t="s">
        <v>2245</v>
      </c>
      <c r="B823" s="4">
        <v>0</v>
      </c>
      <c r="C823" s="4" t="s">
        <v>2245</v>
      </c>
      <c r="D823" s="4" t="s">
        <v>1433</v>
      </c>
      <c r="E823" s="4" t="s">
        <v>86</v>
      </c>
      <c r="F823" s="4">
        <v>22</v>
      </c>
      <c r="G823" s="4">
        <v>0</v>
      </c>
      <c r="H823" s="4">
        <v>0</v>
      </c>
      <c r="K823" s="4">
        <v>0</v>
      </c>
      <c r="N823" s="4">
        <v>0</v>
      </c>
      <c r="O823" s="4">
        <v>0</v>
      </c>
      <c r="P823" s="4" t="str">
        <f t="shared" si="12"/>
        <v>RATEDETL.RATEFILE</v>
      </c>
      <c r="Q823" s="4" t="str">
        <f>VLOOKUP(Cobra8.5[[#This Row],[Table.Column]],ColumnMapping[Old Table.Column],1,)</f>
        <v>RATEDETL.RATEFILE</v>
      </c>
    </row>
    <row r="824" spans="1:17" hidden="1" x14ac:dyDescent="0.2">
      <c r="A824" s="4" t="s">
        <v>2245</v>
      </c>
      <c r="B824" s="4">
        <v>0</v>
      </c>
      <c r="C824" s="4" t="s">
        <v>2245</v>
      </c>
      <c r="D824" s="4" t="s">
        <v>35</v>
      </c>
      <c r="E824" s="4" t="s">
        <v>2108</v>
      </c>
      <c r="F824" s="4">
        <v>-1</v>
      </c>
      <c r="G824" s="4">
        <v>0</v>
      </c>
      <c r="H824" s="4">
        <v>0</v>
      </c>
      <c r="K824" s="4">
        <v>0</v>
      </c>
      <c r="N824" s="4">
        <v>0</v>
      </c>
      <c r="O824" s="4">
        <v>0</v>
      </c>
      <c r="P824" s="4" t="str">
        <f t="shared" si="12"/>
        <v>RATEDETL.SEQUENCE</v>
      </c>
      <c r="Q824" s="4" t="str">
        <f>VLOOKUP(Cobra8.5[[#This Row],[Table.Column]],ColumnMapping[Old Table.Column],1,)</f>
        <v>RATEDETL.SEQUENCE</v>
      </c>
    </row>
    <row r="825" spans="1:17" hidden="1" x14ac:dyDescent="0.2">
      <c r="A825" s="4" t="s">
        <v>2245</v>
      </c>
      <c r="B825" s="4">
        <v>0</v>
      </c>
      <c r="C825" s="4" t="s">
        <v>2245</v>
      </c>
      <c r="D825" s="4" t="s">
        <v>2112</v>
      </c>
      <c r="E825" s="4" t="s">
        <v>86</v>
      </c>
      <c r="F825" s="4">
        <v>20</v>
      </c>
      <c r="G825" s="4">
        <v>0</v>
      </c>
      <c r="H825" s="4">
        <v>0</v>
      </c>
      <c r="K825" s="4">
        <v>0</v>
      </c>
      <c r="N825" s="4">
        <v>0</v>
      </c>
      <c r="O825" s="4">
        <v>0</v>
      </c>
      <c r="P825" s="4" t="str">
        <f t="shared" si="12"/>
        <v>RATEDETL.USR_ID</v>
      </c>
      <c r="Q825" s="4" t="str">
        <f>VLOOKUP(Cobra8.5[[#This Row],[Table.Column]],ColumnMapping[Old Table.Column],1,)</f>
        <v>RATEDETL.USR_ID</v>
      </c>
    </row>
    <row r="826" spans="1:17" hidden="1" x14ac:dyDescent="0.2">
      <c r="A826" s="4" t="s">
        <v>1979</v>
      </c>
      <c r="B826" s="4">
        <v>0</v>
      </c>
      <c r="C826" s="4" t="s">
        <v>1979</v>
      </c>
      <c r="D826" s="4" t="s">
        <v>299</v>
      </c>
      <c r="E826" s="4" t="s">
        <v>2124</v>
      </c>
      <c r="F826" s="4">
        <v>6</v>
      </c>
      <c r="G826" s="4">
        <v>2</v>
      </c>
      <c r="H826" s="4">
        <v>0</v>
      </c>
      <c r="K826" s="4">
        <v>0</v>
      </c>
      <c r="N826" s="4">
        <v>0</v>
      </c>
      <c r="O826" s="4">
        <v>0</v>
      </c>
      <c r="P826" s="4" t="str">
        <f t="shared" si="12"/>
        <v>RCUTOFF.HOURS</v>
      </c>
      <c r="Q826" s="4" t="str">
        <f>VLOOKUP(Cobra8.5[[#This Row],[Table.Column]],ColumnMapping[Old Table.Column],1,)</f>
        <v>RCUTOFF.HOURS</v>
      </c>
    </row>
    <row r="827" spans="1:17" hidden="1" x14ac:dyDescent="0.2">
      <c r="A827" s="4" t="s">
        <v>1979</v>
      </c>
      <c r="B827" s="4">
        <v>0</v>
      </c>
      <c r="C827" s="4" t="s">
        <v>1979</v>
      </c>
      <c r="D827" s="4" t="s">
        <v>1943</v>
      </c>
      <c r="E827" s="4" t="s">
        <v>86</v>
      </c>
      <c r="F827" s="4">
        <v>22</v>
      </c>
      <c r="G827" s="4">
        <v>0</v>
      </c>
      <c r="H827" s="4">
        <v>0</v>
      </c>
      <c r="K827" s="4">
        <v>0</v>
      </c>
      <c r="N827" s="4">
        <v>0</v>
      </c>
      <c r="O827" s="4">
        <v>0</v>
      </c>
      <c r="P827" s="4" t="str">
        <f t="shared" si="12"/>
        <v>RCUTOFF.INSTANCE</v>
      </c>
      <c r="Q827" s="4" t="str">
        <f>VLOOKUP(Cobra8.5[[#This Row],[Table.Column]],ColumnMapping[Old Table.Column],1,)</f>
        <v>RCUTOFF.INSTANCE</v>
      </c>
    </row>
    <row r="828" spans="1:17" hidden="1" x14ac:dyDescent="0.2">
      <c r="A828" s="4" t="s">
        <v>1979</v>
      </c>
      <c r="B828" s="4">
        <v>0</v>
      </c>
      <c r="C828" s="4" t="s">
        <v>1979</v>
      </c>
      <c r="D828" s="4" t="s">
        <v>1981</v>
      </c>
      <c r="E828" s="4" t="s">
        <v>356</v>
      </c>
      <c r="F828" s="4">
        <v>-1</v>
      </c>
      <c r="G828" s="4">
        <v>0</v>
      </c>
      <c r="H828" s="4">
        <v>0</v>
      </c>
      <c r="K828" s="4">
        <v>0</v>
      </c>
      <c r="N828" s="4">
        <v>0</v>
      </c>
      <c r="O828" s="4">
        <v>0</v>
      </c>
      <c r="P828" s="4" t="str">
        <f t="shared" si="12"/>
        <v>RCUTOFF.PD_FINISH</v>
      </c>
      <c r="Q828" s="4" t="str">
        <f>VLOOKUP(Cobra8.5[[#This Row],[Table.Column]],ColumnMapping[Old Table.Column],1,)</f>
        <v>RCUTOFF.PD_FINISH</v>
      </c>
    </row>
    <row r="829" spans="1:17" hidden="1" x14ac:dyDescent="0.2">
      <c r="A829" s="4" t="s">
        <v>1979</v>
      </c>
      <c r="B829" s="4">
        <v>0</v>
      </c>
      <c r="C829" s="4" t="s">
        <v>1979</v>
      </c>
      <c r="D829" s="4" t="s">
        <v>1983</v>
      </c>
      <c r="E829" s="4" t="s">
        <v>356</v>
      </c>
      <c r="F829" s="4">
        <v>-1</v>
      </c>
      <c r="G829" s="4">
        <v>0</v>
      </c>
      <c r="H829" s="4">
        <v>0</v>
      </c>
      <c r="K829" s="4">
        <v>0</v>
      </c>
      <c r="N829" s="4">
        <v>0</v>
      </c>
      <c r="O829" s="4">
        <v>0</v>
      </c>
      <c r="P829" s="4" t="str">
        <f t="shared" si="12"/>
        <v>RCUTOFF.PD_START</v>
      </c>
      <c r="Q829" s="4" t="str">
        <f>VLOOKUP(Cobra8.5[[#This Row],[Table.Column]],ColumnMapping[Old Table.Column],1,)</f>
        <v>RCUTOFF.PD_START</v>
      </c>
    </row>
    <row r="830" spans="1:17" hidden="1" x14ac:dyDescent="0.2">
      <c r="A830" s="4" t="s">
        <v>1979</v>
      </c>
      <c r="B830" s="4">
        <v>0</v>
      </c>
      <c r="C830" s="4" t="s">
        <v>1979</v>
      </c>
      <c r="D830" s="4" t="s">
        <v>65</v>
      </c>
      <c r="E830" s="4" t="s">
        <v>356</v>
      </c>
      <c r="F830" s="4">
        <v>-1</v>
      </c>
      <c r="G830" s="4">
        <v>0</v>
      </c>
      <c r="H830" s="4">
        <v>0</v>
      </c>
      <c r="K830" s="4">
        <v>0</v>
      </c>
      <c r="N830" s="4">
        <v>0</v>
      </c>
      <c r="O830" s="4">
        <v>0</v>
      </c>
      <c r="P830" s="4" t="str">
        <f t="shared" si="12"/>
        <v>RCUTOFF.TIMESTAMP</v>
      </c>
      <c r="Q830" s="4" t="e">
        <f>VLOOKUP(Cobra8.5[[#This Row],[Table.Column]],ColumnMapping[Old Table.Column],1,)</f>
        <v>#N/A</v>
      </c>
    </row>
    <row r="831" spans="1:17" hidden="1" x14ac:dyDescent="0.2">
      <c r="A831" s="4" t="s">
        <v>2246</v>
      </c>
      <c r="B831" s="4">
        <v>0</v>
      </c>
      <c r="C831" s="4" t="s">
        <v>2246</v>
      </c>
      <c r="D831" s="4" t="s">
        <v>2247</v>
      </c>
      <c r="E831" s="4" t="s">
        <v>86</v>
      </c>
      <c r="F831" s="4">
        <v>20</v>
      </c>
      <c r="G831" s="4">
        <v>0</v>
      </c>
      <c r="H831" s="4">
        <v>0</v>
      </c>
      <c r="K831" s="4">
        <v>0</v>
      </c>
      <c r="N831" s="4">
        <v>0</v>
      </c>
      <c r="O831" s="4">
        <v>0</v>
      </c>
      <c r="P831" s="4" t="str">
        <f t="shared" si="12"/>
        <v>REPORT.CATEGORY</v>
      </c>
      <c r="Q831" s="4" t="e">
        <f>VLOOKUP(Cobra8.5[[#This Row],[Table.Column]],ColumnMapping[Old Table.Column],1,)</f>
        <v>#N/A</v>
      </c>
    </row>
    <row r="832" spans="1:17" hidden="1" x14ac:dyDescent="0.2">
      <c r="A832" s="4" t="s">
        <v>2246</v>
      </c>
      <c r="B832" s="4">
        <v>0</v>
      </c>
      <c r="C832" s="4" t="s">
        <v>2246</v>
      </c>
      <c r="D832" s="4" t="s">
        <v>2141</v>
      </c>
      <c r="E832" s="4" t="s">
        <v>86</v>
      </c>
      <c r="F832" s="4">
        <v>254</v>
      </c>
      <c r="G832" s="4">
        <v>0</v>
      </c>
      <c r="H832" s="4">
        <v>0</v>
      </c>
      <c r="K832" s="4">
        <v>0</v>
      </c>
      <c r="N832" s="4">
        <v>0</v>
      </c>
      <c r="O832" s="4">
        <v>0</v>
      </c>
      <c r="P832" s="4" t="str">
        <f t="shared" si="12"/>
        <v>REPORT.DESCRIP</v>
      </c>
      <c r="Q832" s="4" t="e">
        <f>VLOOKUP(Cobra8.5[[#This Row],[Table.Column]],ColumnMapping[Old Table.Column],1,)</f>
        <v>#N/A</v>
      </c>
    </row>
    <row r="833" spans="1:17" hidden="1" x14ac:dyDescent="0.2">
      <c r="A833" s="4" t="s">
        <v>2246</v>
      </c>
      <c r="B833" s="4">
        <v>0</v>
      </c>
      <c r="C833" s="4" t="s">
        <v>2246</v>
      </c>
      <c r="D833" s="4" t="s">
        <v>2248</v>
      </c>
      <c r="E833" s="4" t="s">
        <v>86</v>
      </c>
      <c r="F833" s="4">
        <v>-1</v>
      </c>
      <c r="G833" s="4">
        <v>0</v>
      </c>
      <c r="H833" s="4">
        <v>0</v>
      </c>
      <c r="K833" s="4">
        <v>0</v>
      </c>
      <c r="N833" s="4">
        <v>0</v>
      </c>
      <c r="O833" s="4">
        <v>0</v>
      </c>
      <c r="P833" s="4" t="str">
        <f t="shared" si="12"/>
        <v>REPORT.INFO</v>
      </c>
      <c r="Q833" s="4" t="e">
        <f>VLOOKUP(Cobra8.5[[#This Row],[Table.Column]],ColumnMapping[Old Table.Column],1,)</f>
        <v>#N/A</v>
      </c>
    </row>
    <row r="834" spans="1:17" hidden="1" x14ac:dyDescent="0.2">
      <c r="A834" s="4" t="s">
        <v>2246</v>
      </c>
      <c r="B834" s="4">
        <v>0</v>
      </c>
      <c r="C834" s="4" t="s">
        <v>2246</v>
      </c>
      <c r="D834" s="4" t="s">
        <v>2111</v>
      </c>
      <c r="E834" s="4" t="s">
        <v>356</v>
      </c>
      <c r="F834" s="4">
        <v>-1</v>
      </c>
      <c r="G834" s="4">
        <v>0</v>
      </c>
      <c r="H834" s="4">
        <v>0</v>
      </c>
      <c r="K834" s="4">
        <v>0</v>
      </c>
      <c r="N834" s="4">
        <v>0</v>
      </c>
      <c r="O834" s="4">
        <v>0</v>
      </c>
      <c r="P834" s="4" t="str">
        <f t="shared" ref="P834:P897" si="13">_xlfn.CONCAT(A834,".",D834)</f>
        <v>REPORT.LASTUPDATE</v>
      </c>
      <c r="Q834" s="4" t="e">
        <f>VLOOKUP(Cobra8.5[[#This Row],[Table.Column]],ColumnMapping[Old Table.Column],1,)</f>
        <v>#N/A</v>
      </c>
    </row>
    <row r="835" spans="1:17" hidden="1" x14ac:dyDescent="0.2">
      <c r="A835" s="4" t="s">
        <v>2246</v>
      </c>
      <c r="B835" s="4">
        <v>0</v>
      </c>
      <c r="C835" s="4" t="s">
        <v>2246</v>
      </c>
      <c r="D835" s="4" t="s">
        <v>1936</v>
      </c>
      <c r="E835" s="4" t="s">
        <v>86</v>
      </c>
      <c r="F835" s="4">
        <v>20</v>
      </c>
      <c r="G835" s="4">
        <v>0</v>
      </c>
      <c r="H835" s="4">
        <v>0</v>
      </c>
      <c r="K835" s="4">
        <v>0</v>
      </c>
      <c r="N835" s="4">
        <v>0</v>
      </c>
      <c r="O835" s="4">
        <v>0</v>
      </c>
      <c r="P835" s="4" t="str">
        <f t="shared" si="13"/>
        <v>REPORT.OWNER_ID</v>
      </c>
      <c r="Q835" s="4" t="e">
        <f>VLOOKUP(Cobra8.5[[#This Row],[Table.Column]],ColumnMapping[Old Table.Column],1,)</f>
        <v>#N/A</v>
      </c>
    </row>
    <row r="836" spans="1:17" hidden="1" x14ac:dyDescent="0.2">
      <c r="A836" s="4" t="s">
        <v>2246</v>
      </c>
      <c r="B836" s="4">
        <v>0</v>
      </c>
      <c r="C836" s="4" t="s">
        <v>2246</v>
      </c>
      <c r="D836" s="4" t="s">
        <v>2249</v>
      </c>
      <c r="E836" s="4" t="s">
        <v>86</v>
      </c>
      <c r="F836" s="4">
        <v>-1</v>
      </c>
      <c r="G836" s="4">
        <v>0</v>
      </c>
      <c r="H836" s="4">
        <v>0</v>
      </c>
      <c r="K836" s="4">
        <v>0</v>
      </c>
      <c r="N836" s="4">
        <v>0</v>
      </c>
      <c r="O836" s="4">
        <v>0</v>
      </c>
      <c r="P836" s="4" t="str">
        <f t="shared" si="13"/>
        <v>REPORT.PARAMETERS</v>
      </c>
      <c r="Q836" s="4" t="e">
        <f>VLOOKUP(Cobra8.5[[#This Row],[Table.Column]],ColumnMapping[Old Table.Column],1,)</f>
        <v>#N/A</v>
      </c>
    </row>
    <row r="837" spans="1:17" hidden="1" x14ac:dyDescent="0.2">
      <c r="A837" s="4" t="s">
        <v>2246</v>
      </c>
      <c r="B837" s="4">
        <v>0</v>
      </c>
      <c r="C837" s="4" t="s">
        <v>2246</v>
      </c>
      <c r="D837" s="4" t="s">
        <v>2022</v>
      </c>
      <c r="E837" s="4" t="s">
        <v>86</v>
      </c>
      <c r="F837" s="4">
        <v>22</v>
      </c>
      <c r="G837" s="4">
        <v>0</v>
      </c>
      <c r="H837" s="4">
        <v>0</v>
      </c>
      <c r="K837" s="4">
        <v>0</v>
      </c>
      <c r="N837" s="4">
        <v>0</v>
      </c>
      <c r="O837" s="4">
        <v>0</v>
      </c>
      <c r="P837" s="4" t="str">
        <f t="shared" si="13"/>
        <v>REPORT.REPORT_ID</v>
      </c>
      <c r="Q837" s="4" t="e">
        <f>VLOOKUP(Cobra8.5[[#This Row],[Table.Column]],ColumnMapping[Old Table.Column],1,)</f>
        <v>#N/A</v>
      </c>
    </row>
    <row r="838" spans="1:17" hidden="1" x14ac:dyDescent="0.2">
      <c r="A838" s="4" t="s">
        <v>2246</v>
      </c>
      <c r="B838" s="4">
        <v>0</v>
      </c>
      <c r="C838" s="4" t="s">
        <v>2246</v>
      </c>
      <c r="D838" s="4" t="s">
        <v>2250</v>
      </c>
      <c r="E838" s="4" t="s">
        <v>86</v>
      </c>
      <c r="F838" s="4">
        <v>5</v>
      </c>
      <c r="G838" s="4">
        <v>0</v>
      </c>
      <c r="H838" s="4">
        <v>0</v>
      </c>
      <c r="K838" s="4">
        <v>0</v>
      </c>
      <c r="N838" s="4">
        <v>0</v>
      </c>
      <c r="O838" s="4">
        <v>0</v>
      </c>
      <c r="P838" s="4" t="str">
        <f t="shared" si="13"/>
        <v>REPORT.REPORT_TYPE</v>
      </c>
      <c r="Q838" s="4" t="e">
        <f>VLOOKUP(Cobra8.5[[#This Row],[Table.Column]],ColumnMapping[Old Table.Column],1,)</f>
        <v>#N/A</v>
      </c>
    </row>
    <row r="839" spans="1:17" hidden="1" x14ac:dyDescent="0.2">
      <c r="A839" s="4" t="s">
        <v>2246</v>
      </c>
      <c r="B839" s="4">
        <v>0</v>
      </c>
      <c r="C839" s="4" t="s">
        <v>2246</v>
      </c>
      <c r="D839" s="4" t="s">
        <v>2251</v>
      </c>
      <c r="E839" s="4" t="s">
        <v>31</v>
      </c>
      <c r="F839" s="4">
        <v>22</v>
      </c>
      <c r="G839" s="4">
        <v>0</v>
      </c>
      <c r="H839" s="4">
        <v>0</v>
      </c>
      <c r="K839" s="4">
        <v>0</v>
      </c>
      <c r="N839" s="4">
        <v>0</v>
      </c>
      <c r="O839" s="4">
        <v>0</v>
      </c>
      <c r="P839" s="4" t="str">
        <f t="shared" si="13"/>
        <v>REPORT.REPORT_UID</v>
      </c>
      <c r="Q839" s="4" t="e">
        <f>VLOOKUP(Cobra8.5[[#This Row],[Table.Column]],ColumnMapping[Old Table.Column],1,)</f>
        <v>#N/A</v>
      </c>
    </row>
    <row r="840" spans="1:17" hidden="1" x14ac:dyDescent="0.2">
      <c r="A840" s="4" t="s">
        <v>2246</v>
      </c>
      <c r="B840" s="4">
        <v>0</v>
      </c>
      <c r="C840" s="4" t="s">
        <v>2246</v>
      </c>
      <c r="D840" s="4" t="s">
        <v>2252</v>
      </c>
      <c r="E840" s="4" t="s">
        <v>2108</v>
      </c>
      <c r="F840" s="4">
        <v>-1</v>
      </c>
      <c r="G840" s="4">
        <v>0</v>
      </c>
      <c r="H840" s="4">
        <v>0</v>
      </c>
      <c r="K840" s="4">
        <v>0</v>
      </c>
      <c r="N840" s="4">
        <v>0</v>
      </c>
      <c r="O840" s="4">
        <v>0</v>
      </c>
      <c r="P840" s="4" t="str">
        <f t="shared" si="13"/>
        <v>REPORT.SAVED_REPORT</v>
      </c>
      <c r="Q840" s="4" t="e">
        <f>VLOOKUP(Cobra8.5[[#This Row],[Table.Column]],ColumnMapping[Old Table.Column],1,)</f>
        <v>#N/A</v>
      </c>
    </row>
    <row r="841" spans="1:17" hidden="1" x14ac:dyDescent="0.2">
      <c r="A841" s="4" t="s">
        <v>2246</v>
      </c>
      <c r="B841" s="4">
        <v>0</v>
      </c>
      <c r="C841" s="4" t="s">
        <v>2246</v>
      </c>
      <c r="D841" s="4" t="s">
        <v>35</v>
      </c>
      <c r="E841" s="4" t="s">
        <v>2108</v>
      </c>
      <c r="F841" s="4">
        <v>-1</v>
      </c>
      <c r="G841" s="4">
        <v>0</v>
      </c>
      <c r="H841" s="4">
        <v>0</v>
      </c>
      <c r="K841" s="4">
        <v>0</v>
      </c>
      <c r="N841" s="4">
        <v>0</v>
      </c>
      <c r="O841" s="4">
        <v>0</v>
      </c>
      <c r="P841" s="4" t="str">
        <f t="shared" si="13"/>
        <v>REPORT.SEQUENCE</v>
      </c>
      <c r="Q841" s="4" t="e">
        <f>VLOOKUP(Cobra8.5[[#This Row],[Table.Column]],ColumnMapping[Old Table.Column],1,)</f>
        <v>#N/A</v>
      </c>
    </row>
    <row r="842" spans="1:17" hidden="1" x14ac:dyDescent="0.2">
      <c r="A842" s="4" t="s">
        <v>2246</v>
      </c>
      <c r="B842" s="4">
        <v>0</v>
      </c>
      <c r="C842" s="4" t="s">
        <v>2246</v>
      </c>
      <c r="D842" s="4" t="s">
        <v>2005</v>
      </c>
      <c r="E842" s="4" t="s">
        <v>86</v>
      </c>
      <c r="F842" s="4">
        <v>30</v>
      </c>
      <c r="G842" s="4">
        <v>0</v>
      </c>
      <c r="H842" s="4">
        <v>0</v>
      </c>
      <c r="K842" s="4">
        <v>0</v>
      </c>
      <c r="N842" s="4">
        <v>0</v>
      </c>
      <c r="O842" s="4">
        <v>0</v>
      </c>
      <c r="P842" s="4" t="str">
        <f t="shared" si="13"/>
        <v>REPORT.TABLE_TYPE</v>
      </c>
      <c r="Q842" s="4" t="e">
        <f>VLOOKUP(Cobra8.5[[#This Row],[Table.Column]],ColumnMapping[Old Table.Column],1,)</f>
        <v>#N/A</v>
      </c>
    </row>
    <row r="843" spans="1:17" hidden="1" x14ac:dyDescent="0.2">
      <c r="A843" s="4" t="s">
        <v>2246</v>
      </c>
      <c r="B843" s="4">
        <v>0</v>
      </c>
      <c r="C843" s="4" t="s">
        <v>2246</v>
      </c>
      <c r="D843" s="4" t="s">
        <v>2112</v>
      </c>
      <c r="E843" s="4" t="s">
        <v>86</v>
      </c>
      <c r="F843" s="4">
        <v>20</v>
      </c>
      <c r="G843" s="4">
        <v>0</v>
      </c>
      <c r="H843" s="4">
        <v>0</v>
      </c>
      <c r="K843" s="4">
        <v>0</v>
      </c>
      <c r="N843" s="4">
        <v>0</v>
      </c>
      <c r="O843" s="4">
        <v>0</v>
      </c>
      <c r="P843" s="4" t="str">
        <f t="shared" si="13"/>
        <v>REPORT.USR_ID</v>
      </c>
      <c r="Q843" s="4" t="e">
        <f>VLOOKUP(Cobra8.5[[#This Row],[Table.Column]],ColumnMapping[Old Table.Column],1,)</f>
        <v>#N/A</v>
      </c>
    </row>
    <row r="844" spans="1:17" hidden="1" x14ac:dyDescent="0.2">
      <c r="A844" s="4" t="s">
        <v>2253</v>
      </c>
      <c r="B844" s="4">
        <v>0</v>
      </c>
      <c r="C844" s="4" t="s">
        <v>2253</v>
      </c>
      <c r="D844" s="4" t="s">
        <v>2111</v>
      </c>
      <c r="E844" s="4" t="s">
        <v>356</v>
      </c>
      <c r="F844" s="4">
        <v>-1</v>
      </c>
      <c r="G844" s="4">
        <v>0</v>
      </c>
      <c r="H844" s="4">
        <v>0</v>
      </c>
      <c r="K844" s="4">
        <v>0</v>
      </c>
      <c r="N844" s="4">
        <v>0</v>
      </c>
      <c r="O844" s="4">
        <v>0</v>
      </c>
      <c r="P844" s="4" t="str">
        <f t="shared" si="13"/>
        <v>RESTORE_RESULTS.LASTUPDATE</v>
      </c>
      <c r="Q844" s="4" t="e">
        <f>VLOOKUP(Cobra8.5[[#This Row],[Table.Column]],ColumnMapping[Old Table.Column],1,)</f>
        <v>#N/A</v>
      </c>
    </row>
    <row r="845" spans="1:17" hidden="1" x14ac:dyDescent="0.2">
      <c r="A845" s="4" t="s">
        <v>2253</v>
      </c>
      <c r="B845" s="4">
        <v>0</v>
      </c>
      <c r="C845" s="4" t="s">
        <v>2253</v>
      </c>
      <c r="D845" s="4" t="s">
        <v>865</v>
      </c>
      <c r="E845" s="4" t="s">
        <v>86</v>
      </c>
      <c r="F845" s="4">
        <v>10</v>
      </c>
      <c r="G845" s="4">
        <v>0</v>
      </c>
      <c r="H845" s="4">
        <v>0</v>
      </c>
      <c r="K845" s="4">
        <v>0</v>
      </c>
      <c r="N845" s="4">
        <v>0</v>
      </c>
      <c r="O845" s="4">
        <v>0</v>
      </c>
      <c r="P845" s="4" t="str">
        <f t="shared" si="13"/>
        <v>RESTORE_RESULTS.RESULT</v>
      </c>
      <c r="Q845" s="4" t="e">
        <f>VLOOKUP(Cobra8.5[[#This Row],[Table.Column]],ColumnMapping[Old Table.Column],1,)</f>
        <v>#N/A</v>
      </c>
    </row>
    <row r="846" spans="1:17" hidden="1" x14ac:dyDescent="0.2">
      <c r="A846" s="4" t="s">
        <v>2253</v>
      </c>
      <c r="B846" s="4">
        <v>0</v>
      </c>
      <c r="C846" s="4" t="s">
        <v>2253</v>
      </c>
      <c r="D846" s="4" t="s">
        <v>2112</v>
      </c>
      <c r="E846" s="4" t="s">
        <v>86</v>
      </c>
      <c r="F846" s="4">
        <v>20</v>
      </c>
      <c r="G846" s="4">
        <v>0</v>
      </c>
      <c r="H846" s="4">
        <v>0</v>
      </c>
      <c r="K846" s="4">
        <v>0</v>
      </c>
      <c r="N846" s="4">
        <v>0</v>
      </c>
      <c r="O846" s="4">
        <v>0</v>
      </c>
      <c r="P846" s="4" t="str">
        <f t="shared" si="13"/>
        <v>RESTORE_RESULTS.USR_ID</v>
      </c>
      <c r="Q846" s="4" t="e">
        <f>VLOOKUP(Cobra8.5[[#This Row],[Table.Column]],ColumnMapping[Old Table.Column],1,)</f>
        <v>#N/A</v>
      </c>
    </row>
    <row r="847" spans="1:17" hidden="1" x14ac:dyDescent="0.2">
      <c r="A847" s="4" t="s">
        <v>2254</v>
      </c>
      <c r="B847" s="4">
        <v>0</v>
      </c>
      <c r="C847" s="4" t="s">
        <v>2254</v>
      </c>
      <c r="D847" s="4" t="s">
        <v>1961</v>
      </c>
      <c r="E847" s="4" t="s">
        <v>86</v>
      </c>
      <c r="F847" s="4">
        <v>30</v>
      </c>
      <c r="G847" s="4">
        <v>0</v>
      </c>
      <c r="H847" s="4">
        <v>0</v>
      </c>
      <c r="K847" s="4">
        <v>0</v>
      </c>
      <c r="N847" s="4">
        <v>0</v>
      </c>
      <c r="O847" s="4">
        <v>0</v>
      </c>
      <c r="P847" s="4" t="str">
        <f t="shared" si="13"/>
        <v>SETTING.CONTEXT</v>
      </c>
      <c r="Q847" s="4" t="str">
        <f>VLOOKUP(Cobra8.5[[#This Row],[Table.Column]],ColumnMapping[Old Table.Column],1,)</f>
        <v>SETTING.CONTEXT</v>
      </c>
    </row>
    <row r="848" spans="1:17" hidden="1" x14ac:dyDescent="0.2">
      <c r="A848" s="4" t="s">
        <v>2254</v>
      </c>
      <c r="B848" s="4">
        <v>0</v>
      </c>
      <c r="C848" s="4" t="s">
        <v>2254</v>
      </c>
      <c r="D848" s="4" t="s">
        <v>270</v>
      </c>
      <c r="E848" s="4" t="s">
        <v>86</v>
      </c>
      <c r="F848" s="4">
        <v>-1</v>
      </c>
      <c r="G848" s="4">
        <v>0</v>
      </c>
      <c r="H848" s="4">
        <v>0</v>
      </c>
      <c r="K848" s="4">
        <v>0</v>
      </c>
      <c r="N848" s="4">
        <v>0</v>
      </c>
      <c r="O848" s="4">
        <v>0</v>
      </c>
      <c r="P848" s="4" t="str">
        <f t="shared" si="13"/>
        <v>SETTING.DATA</v>
      </c>
      <c r="Q848" s="4" t="str">
        <f>VLOOKUP(Cobra8.5[[#This Row],[Table.Column]],ColumnMapping[Old Table.Column],1,)</f>
        <v>SETTING.DATA</v>
      </c>
    </row>
    <row r="849" spans="1:17" hidden="1" x14ac:dyDescent="0.2">
      <c r="A849" s="4" t="s">
        <v>2254</v>
      </c>
      <c r="B849" s="4">
        <v>0</v>
      </c>
      <c r="C849" s="4" t="s">
        <v>2254</v>
      </c>
      <c r="D849" s="4" t="s">
        <v>1962</v>
      </c>
      <c r="E849" s="4" t="s">
        <v>86</v>
      </c>
      <c r="F849" s="4">
        <v>22</v>
      </c>
      <c r="G849" s="4">
        <v>0</v>
      </c>
      <c r="H849" s="4">
        <v>0</v>
      </c>
      <c r="K849" s="4">
        <v>0</v>
      </c>
      <c r="N849" s="4">
        <v>0</v>
      </c>
      <c r="O849" s="4">
        <v>0</v>
      </c>
      <c r="P849" s="4" t="str">
        <f t="shared" si="13"/>
        <v>SETTING.DIR_ID</v>
      </c>
      <c r="Q849" s="4" t="str">
        <f>VLOOKUP(Cobra8.5[[#This Row],[Table.Column]],ColumnMapping[Old Table.Column],1,)</f>
        <v>SETTING.DIR_ID</v>
      </c>
    </row>
    <row r="850" spans="1:17" hidden="1" x14ac:dyDescent="0.2">
      <c r="A850" s="4" t="s">
        <v>2254</v>
      </c>
      <c r="B850" s="4">
        <v>0</v>
      </c>
      <c r="C850" s="4" t="s">
        <v>2254</v>
      </c>
      <c r="D850" s="4" t="s">
        <v>2111</v>
      </c>
      <c r="E850" s="4" t="s">
        <v>356</v>
      </c>
      <c r="F850" s="4">
        <v>-1</v>
      </c>
      <c r="G850" s="4">
        <v>0</v>
      </c>
      <c r="H850" s="4">
        <v>0</v>
      </c>
      <c r="K850" s="4">
        <v>0</v>
      </c>
      <c r="N850" s="4">
        <v>0</v>
      </c>
      <c r="O850" s="4">
        <v>0</v>
      </c>
      <c r="P850" s="4" t="str">
        <f t="shared" si="13"/>
        <v>SETTING.LASTUPDATE</v>
      </c>
      <c r="Q850" s="4" t="str">
        <f>VLOOKUP(Cobra8.5[[#This Row],[Table.Column]],ColumnMapping[Old Table.Column],1,)</f>
        <v>SETTING.LASTUPDATE</v>
      </c>
    </row>
    <row r="851" spans="1:17" hidden="1" x14ac:dyDescent="0.2">
      <c r="A851" s="4" t="s">
        <v>2254</v>
      </c>
      <c r="B851" s="4">
        <v>0</v>
      </c>
      <c r="C851" s="4" t="s">
        <v>2254</v>
      </c>
      <c r="D851" s="4" t="s">
        <v>1936</v>
      </c>
      <c r="E851" s="4" t="s">
        <v>86</v>
      </c>
      <c r="F851" s="4">
        <v>20</v>
      </c>
      <c r="G851" s="4">
        <v>0</v>
      </c>
      <c r="H851" s="4">
        <v>0</v>
      </c>
      <c r="K851" s="4">
        <v>0</v>
      </c>
      <c r="N851" s="4">
        <v>0</v>
      </c>
      <c r="O851" s="4">
        <v>0</v>
      </c>
      <c r="P851" s="4" t="str">
        <f t="shared" si="13"/>
        <v>SETTING.OWNER_ID</v>
      </c>
      <c r="Q851" s="4" t="str">
        <f>VLOOKUP(Cobra8.5[[#This Row],[Table.Column]],ColumnMapping[Old Table.Column],1,)</f>
        <v>SETTING.OWNER_ID</v>
      </c>
    </row>
    <row r="852" spans="1:17" hidden="1" x14ac:dyDescent="0.2">
      <c r="A852" s="4" t="s">
        <v>2254</v>
      </c>
      <c r="B852" s="4">
        <v>0</v>
      </c>
      <c r="C852" s="4" t="s">
        <v>2254</v>
      </c>
      <c r="D852" s="4" t="s">
        <v>35</v>
      </c>
      <c r="E852" s="4" t="s">
        <v>2108</v>
      </c>
      <c r="F852" s="4">
        <v>-1</v>
      </c>
      <c r="G852" s="4">
        <v>0</v>
      </c>
      <c r="H852" s="4">
        <v>0</v>
      </c>
      <c r="K852" s="4">
        <v>0</v>
      </c>
      <c r="N852" s="4">
        <v>0</v>
      </c>
      <c r="O852" s="4">
        <v>0</v>
      </c>
      <c r="P852" s="4" t="str">
        <f t="shared" si="13"/>
        <v>SETTING.SEQUENCE</v>
      </c>
      <c r="Q852" s="4" t="str">
        <f>VLOOKUP(Cobra8.5[[#This Row],[Table.Column]],ColumnMapping[Old Table.Column],1,)</f>
        <v>SETTING.SEQUENCE</v>
      </c>
    </row>
    <row r="853" spans="1:17" hidden="1" x14ac:dyDescent="0.2">
      <c r="A853" s="4" t="s">
        <v>2254</v>
      </c>
      <c r="B853" s="4">
        <v>0</v>
      </c>
      <c r="C853" s="4" t="s">
        <v>2254</v>
      </c>
      <c r="D853" s="4" t="s">
        <v>2112</v>
      </c>
      <c r="E853" s="4" t="s">
        <v>86</v>
      </c>
      <c r="F853" s="4">
        <v>20</v>
      </c>
      <c r="G853" s="4">
        <v>0</v>
      </c>
      <c r="H853" s="4">
        <v>0</v>
      </c>
      <c r="K853" s="4">
        <v>0</v>
      </c>
      <c r="N853" s="4">
        <v>0</v>
      </c>
      <c r="O853" s="4">
        <v>0</v>
      </c>
      <c r="P853" s="4" t="str">
        <f t="shared" si="13"/>
        <v>SETTING.USR_ID</v>
      </c>
      <c r="Q853" s="4" t="str">
        <f>VLOOKUP(Cobra8.5[[#This Row],[Table.Column]],ColumnMapping[Old Table.Column],1,)</f>
        <v>SETTING.USR_ID</v>
      </c>
    </row>
    <row r="854" spans="1:17" hidden="1" x14ac:dyDescent="0.2">
      <c r="A854" s="4" t="s">
        <v>2255</v>
      </c>
      <c r="B854" s="4">
        <v>0</v>
      </c>
      <c r="C854" s="4" t="s">
        <v>2255</v>
      </c>
      <c r="D854" s="4" t="s">
        <v>270</v>
      </c>
      <c r="E854" s="4" t="s">
        <v>86</v>
      </c>
      <c r="F854" s="4">
        <v>-1</v>
      </c>
      <c r="G854" s="4">
        <v>0</v>
      </c>
      <c r="H854" s="4">
        <v>0</v>
      </c>
      <c r="K854" s="4">
        <v>0</v>
      </c>
      <c r="N854" s="4">
        <v>0</v>
      </c>
      <c r="O854" s="4">
        <v>0</v>
      </c>
      <c r="P854" s="4" t="str">
        <f t="shared" si="13"/>
        <v>SORT.DATA</v>
      </c>
      <c r="Q854" s="4" t="e">
        <f>VLOOKUP(Cobra8.5[[#This Row],[Table.Column]],ColumnMapping[Old Table.Column],1,)</f>
        <v>#N/A</v>
      </c>
    </row>
    <row r="855" spans="1:17" hidden="1" x14ac:dyDescent="0.2">
      <c r="A855" s="4" t="s">
        <v>2255</v>
      </c>
      <c r="B855" s="4">
        <v>0</v>
      </c>
      <c r="C855" s="4" t="s">
        <v>2255</v>
      </c>
      <c r="D855" s="4" t="s">
        <v>1935</v>
      </c>
      <c r="E855" s="4" t="s">
        <v>86</v>
      </c>
      <c r="F855" s="4">
        <v>20</v>
      </c>
      <c r="G855" s="4">
        <v>0</v>
      </c>
      <c r="H855" s="4">
        <v>0</v>
      </c>
      <c r="K855" s="4">
        <v>0</v>
      </c>
      <c r="N855" s="4">
        <v>0</v>
      </c>
      <c r="O855" s="4">
        <v>0</v>
      </c>
      <c r="P855" s="4" t="str">
        <f t="shared" si="13"/>
        <v>SORT.GRP_ID</v>
      </c>
      <c r="Q855" s="4" t="e">
        <f>VLOOKUP(Cobra8.5[[#This Row],[Table.Column]],ColumnMapping[Old Table.Column],1,)</f>
        <v>#N/A</v>
      </c>
    </row>
    <row r="856" spans="1:17" hidden="1" x14ac:dyDescent="0.2">
      <c r="A856" s="4" t="s">
        <v>2255</v>
      </c>
      <c r="B856" s="4">
        <v>0</v>
      </c>
      <c r="C856" s="4" t="s">
        <v>2255</v>
      </c>
      <c r="D856" s="4" t="s">
        <v>2111</v>
      </c>
      <c r="E856" s="4" t="s">
        <v>356</v>
      </c>
      <c r="F856" s="4">
        <v>-1</v>
      </c>
      <c r="G856" s="4">
        <v>0</v>
      </c>
      <c r="H856" s="4">
        <v>0</v>
      </c>
      <c r="K856" s="4">
        <v>0</v>
      </c>
      <c r="N856" s="4">
        <v>0</v>
      </c>
      <c r="O856" s="4">
        <v>0</v>
      </c>
      <c r="P856" s="4" t="str">
        <f t="shared" si="13"/>
        <v>SORT.LASTUPDATE</v>
      </c>
      <c r="Q856" s="4" t="e">
        <f>VLOOKUP(Cobra8.5[[#This Row],[Table.Column]],ColumnMapping[Old Table.Column],1,)</f>
        <v>#N/A</v>
      </c>
    </row>
    <row r="857" spans="1:17" hidden="1" x14ac:dyDescent="0.2">
      <c r="A857" s="4" t="s">
        <v>2255</v>
      </c>
      <c r="B857" s="4">
        <v>0</v>
      </c>
      <c r="C857" s="4" t="s">
        <v>2255</v>
      </c>
      <c r="D857" s="4" t="s">
        <v>1936</v>
      </c>
      <c r="E857" s="4" t="s">
        <v>86</v>
      </c>
      <c r="F857" s="4">
        <v>20</v>
      </c>
      <c r="G857" s="4">
        <v>0</v>
      </c>
      <c r="H857" s="4">
        <v>0</v>
      </c>
      <c r="K857" s="4">
        <v>0</v>
      </c>
      <c r="N857" s="4">
        <v>0</v>
      </c>
      <c r="O857" s="4">
        <v>0</v>
      </c>
      <c r="P857" s="4" t="str">
        <f t="shared" si="13"/>
        <v>SORT.OWNER_ID</v>
      </c>
      <c r="Q857" s="4" t="e">
        <f>VLOOKUP(Cobra8.5[[#This Row],[Table.Column]],ColumnMapping[Old Table.Column],1,)</f>
        <v>#N/A</v>
      </c>
    </row>
    <row r="858" spans="1:17" hidden="1" x14ac:dyDescent="0.2">
      <c r="A858" s="4" t="s">
        <v>2255</v>
      </c>
      <c r="B858" s="4">
        <v>0</v>
      </c>
      <c r="C858" s="4" t="s">
        <v>2255</v>
      </c>
      <c r="D858" s="4" t="s">
        <v>35</v>
      </c>
      <c r="E858" s="4" t="s">
        <v>2108</v>
      </c>
      <c r="F858" s="4">
        <v>-1</v>
      </c>
      <c r="G858" s="4">
        <v>0</v>
      </c>
      <c r="H858" s="4">
        <v>0</v>
      </c>
      <c r="K858" s="4">
        <v>0</v>
      </c>
      <c r="N858" s="4">
        <v>0</v>
      </c>
      <c r="O858" s="4">
        <v>0</v>
      </c>
      <c r="P858" s="4" t="str">
        <f t="shared" si="13"/>
        <v>SORT.SEQUENCE</v>
      </c>
      <c r="Q858" s="4" t="e">
        <f>VLOOKUP(Cobra8.5[[#This Row],[Table.Column]],ColumnMapping[Old Table.Column],1,)</f>
        <v>#N/A</v>
      </c>
    </row>
    <row r="859" spans="1:17" hidden="1" x14ac:dyDescent="0.2">
      <c r="A859" s="4" t="s">
        <v>2255</v>
      </c>
      <c r="B859" s="4">
        <v>0</v>
      </c>
      <c r="C859" s="4" t="s">
        <v>2255</v>
      </c>
      <c r="D859" s="4" t="s">
        <v>1939</v>
      </c>
      <c r="E859" s="4" t="s">
        <v>2108</v>
      </c>
      <c r="F859" s="4">
        <v>-1</v>
      </c>
      <c r="G859" s="4">
        <v>0</v>
      </c>
      <c r="H859" s="4">
        <v>0</v>
      </c>
      <c r="K859" s="4">
        <v>0</v>
      </c>
      <c r="N859" s="4">
        <v>0</v>
      </c>
      <c r="O859" s="4">
        <v>0</v>
      </c>
      <c r="P859" s="4" t="str">
        <f t="shared" si="13"/>
        <v>SORT.SHARED</v>
      </c>
      <c r="Q859" s="4" t="e">
        <f>VLOOKUP(Cobra8.5[[#This Row],[Table.Column]],ColumnMapping[Old Table.Column],1,)</f>
        <v>#N/A</v>
      </c>
    </row>
    <row r="860" spans="1:17" hidden="1" x14ac:dyDescent="0.2">
      <c r="A860" s="4" t="s">
        <v>2255</v>
      </c>
      <c r="B860" s="4">
        <v>0</v>
      </c>
      <c r="C860" s="4" t="s">
        <v>2255</v>
      </c>
      <c r="D860" s="4" t="s">
        <v>2024</v>
      </c>
      <c r="E860" s="4" t="s">
        <v>86</v>
      </c>
      <c r="F860" s="4">
        <v>59</v>
      </c>
      <c r="G860" s="4">
        <v>0</v>
      </c>
      <c r="H860" s="4">
        <v>0</v>
      </c>
      <c r="K860" s="4">
        <v>0</v>
      </c>
      <c r="N860" s="4">
        <v>0</v>
      </c>
      <c r="O860" s="4">
        <v>0</v>
      </c>
      <c r="P860" s="4" t="str">
        <f t="shared" si="13"/>
        <v>SORT.SORT_ID</v>
      </c>
      <c r="Q860" s="4" t="e">
        <f>VLOOKUP(Cobra8.5[[#This Row],[Table.Column]],ColumnMapping[Old Table.Column],1,)</f>
        <v>#N/A</v>
      </c>
    </row>
    <row r="861" spans="1:17" hidden="1" x14ac:dyDescent="0.2">
      <c r="A861" s="4" t="s">
        <v>2255</v>
      </c>
      <c r="B861" s="4">
        <v>0</v>
      </c>
      <c r="C861" s="4" t="s">
        <v>2255</v>
      </c>
      <c r="D861" s="4" t="s">
        <v>2005</v>
      </c>
      <c r="E861" s="4" t="s">
        <v>86</v>
      </c>
      <c r="F861" s="4">
        <v>30</v>
      </c>
      <c r="G861" s="4">
        <v>0</v>
      </c>
      <c r="H861" s="4">
        <v>0</v>
      </c>
      <c r="K861" s="4">
        <v>0</v>
      </c>
      <c r="N861" s="4">
        <v>0</v>
      </c>
      <c r="O861" s="4">
        <v>0</v>
      </c>
      <c r="P861" s="4" t="str">
        <f t="shared" si="13"/>
        <v>SORT.TABLE_TYPE</v>
      </c>
      <c r="Q861" s="4" t="e">
        <f>VLOOKUP(Cobra8.5[[#This Row],[Table.Column]],ColumnMapping[Old Table.Column],1,)</f>
        <v>#N/A</v>
      </c>
    </row>
    <row r="862" spans="1:17" hidden="1" x14ac:dyDescent="0.2">
      <c r="A862" s="4" t="s">
        <v>2255</v>
      </c>
      <c r="B862" s="4">
        <v>0</v>
      </c>
      <c r="C862" s="4" t="s">
        <v>2255</v>
      </c>
      <c r="D862" s="4" t="s">
        <v>2112</v>
      </c>
      <c r="E862" s="4" t="s">
        <v>86</v>
      </c>
      <c r="F862" s="4">
        <v>20</v>
      </c>
      <c r="G862" s="4">
        <v>0</v>
      </c>
      <c r="H862" s="4">
        <v>0</v>
      </c>
      <c r="K862" s="4">
        <v>0</v>
      </c>
      <c r="N862" s="4">
        <v>0</v>
      </c>
      <c r="O862" s="4">
        <v>0</v>
      </c>
      <c r="P862" s="4" t="str">
        <f t="shared" si="13"/>
        <v>SORT.USR_ID</v>
      </c>
      <c r="Q862" s="4" t="e">
        <f>VLOOKUP(Cobra8.5[[#This Row],[Table.Column]],ColumnMapping[Old Table.Column],1,)</f>
        <v>#N/A</v>
      </c>
    </row>
    <row r="863" spans="1:17" hidden="1" x14ac:dyDescent="0.2">
      <c r="A863" s="4" t="s">
        <v>2256</v>
      </c>
      <c r="B863" s="4">
        <v>0</v>
      </c>
      <c r="C863" s="4" t="s">
        <v>2256</v>
      </c>
      <c r="D863" s="4" t="s">
        <v>1596</v>
      </c>
      <c r="E863" s="4" t="s">
        <v>2108</v>
      </c>
      <c r="F863" s="4">
        <v>-1</v>
      </c>
      <c r="G863" s="4">
        <v>0</v>
      </c>
      <c r="H863" s="4">
        <v>0</v>
      </c>
      <c r="K863" s="4">
        <v>0</v>
      </c>
      <c r="N863" s="4">
        <v>0</v>
      </c>
      <c r="O863" s="4">
        <v>0</v>
      </c>
      <c r="P863" s="4" t="str">
        <f t="shared" si="13"/>
        <v>SPREAD.POINTS</v>
      </c>
      <c r="Q863" s="4" t="str">
        <f>VLOOKUP(Cobra8.5[[#This Row],[Table.Column]],ColumnMapping[Old Table.Column],1,)</f>
        <v>SPREAD.POINTS</v>
      </c>
    </row>
    <row r="864" spans="1:17" hidden="1" x14ac:dyDescent="0.2">
      <c r="A864" s="4" t="s">
        <v>2256</v>
      </c>
      <c r="B864" s="4">
        <v>0</v>
      </c>
      <c r="C864" s="4" t="s">
        <v>2256</v>
      </c>
      <c r="D864" s="4" t="s">
        <v>1807</v>
      </c>
      <c r="E864" s="4" t="s">
        <v>2108</v>
      </c>
      <c r="F864" s="4">
        <v>-1</v>
      </c>
      <c r="G864" s="4">
        <v>0</v>
      </c>
      <c r="H864" s="4">
        <v>0</v>
      </c>
      <c r="K864" s="4">
        <v>0</v>
      </c>
      <c r="N864" s="4">
        <v>0</v>
      </c>
      <c r="O864" s="4">
        <v>0</v>
      </c>
      <c r="P864" s="4" t="str">
        <f t="shared" si="13"/>
        <v>SPREAD.SP_F1</v>
      </c>
      <c r="Q864" s="4" t="str">
        <f>VLOOKUP(Cobra8.5[[#This Row],[Table.Column]],ColumnMapping[Old Table.Column],1,)</f>
        <v>SPREAD.SP_F1</v>
      </c>
    </row>
    <row r="865" spans="1:17" hidden="1" x14ac:dyDescent="0.2">
      <c r="A865" s="4" t="s">
        <v>2256</v>
      </c>
      <c r="B865" s="4">
        <v>0</v>
      </c>
      <c r="C865" s="4" t="s">
        <v>2256</v>
      </c>
      <c r="D865" s="4" t="s">
        <v>1809</v>
      </c>
      <c r="E865" s="4" t="s">
        <v>2108</v>
      </c>
      <c r="F865" s="4">
        <v>-1</v>
      </c>
      <c r="G865" s="4">
        <v>0</v>
      </c>
      <c r="H865" s="4">
        <v>0</v>
      </c>
      <c r="K865" s="4">
        <v>0</v>
      </c>
      <c r="N865" s="4">
        <v>0</v>
      </c>
      <c r="O865" s="4">
        <v>0</v>
      </c>
      <c r="P865" s="4" t="str">
        <f t="shared" si="13"/>
        <v>SPREAD.SP_F10</v>
      </c>
      <c r="Q865" s="4" t="str">
        <f>VLOOKUP(Cobra8.5[[#This Row],[Table.Column]],ColumnMapping[Old Table.Column],1,)</f>
        <v>SPREAD.SP_F10</v>
      </c>
    </row>
    <row r="866" spans="1:17" hidden="1" x14ac:dyDescent="0.2">
      <c r="A866" s="4" t="s">
        <v>2256</v>
      </c>
      <c r="B866" s="4">
        <v>0</v>
      </c>
      <c r="C866" s="4" t="s">
        <v>2256</v>
      </c>
      <c r="D866" s="4" t="s">
        <v>1811</v>
      </c>
      <c r="E866" s="4" t="s">
        <v>2108</v>
      </c>
      <c r="F866" s="4">
        <v>-1</v>
      </c>
      <c r="G866" s="4">
        <v>0</v>
      </c>
      <c r="H866" s="4">
        <v>0</v>
      </c>
      <c r="K866" s="4">
        <v>0</v>
      </c>
      <c r="N866" s="4">
        <v>0</v>
      </c>
      <c r="O866" s="4">
        <v>0</v>
      </c>
      <c r="P866" s="4" t="str">
        <f t="shared" si="13"/>
        <v>SPREAD.SP_F11</v>
      </c>
      <c r="Q866" s="4" t="str">
        <f>VLOOKUP(Cobra8.5[[#This Row],[Table.Column]],ColumnMapping[Old Table.Column],1,)</f>
        <v>SPREAD.SP_F11</v>
      </c>
    </row>
    <row r="867" spans="1:17" hidden="1" x14ac:dyDescent="0.2">
      <c r="A867" s="4" t="s">
        <v>2256</v>
      </c>
      <c r="B867" s="4">
        <v>0</v>
      </c>
      <c r="C867" s="4" t="s">
        <v>2256</v>
      </c>
      <c r="D867" s="4" t="s">
        <v>1813</v>
      </c>
      <c r="E867" s="4" t="s">
        <v>2108</v>
      </c>
      <c r="F867" s="4">
        <v>-1</v>
      </c>
      <c r="G867" s="4">
        <v>0</v>
      </c>
      <c r="H867" s="4">
        <v>0</v>
      </c>
      <c r="K867" s="4">
        <v>0</v>
      </c>
      <c r="N867" s="4">
        <v>0</v>
      </c>
      <c r="O867" s="4">
        <v>0</v>
      </c>
      <c r="P867" s="4" t="str">
        <f t="shared" si="13"/>
        <v>SPREAD.SP_F12</v>
      </c>
      <c r="Q867" s="4" t="str">
        <f>VLOOKUP(Cobra8.5[[#This Row],[Table.Column]],ColumnMapping[Old Table.Column],1,)</f>
        <v>SPREAD.SP_F12</v>
      </c>
    </row>
    <row r="868" spans="1:17" hidden="1" x14ac:dyDescent="0.2">
      <c r="A868" s="4" t="s">
        <v>2256</v>
      </c>
      <c r="B868" s="4">
        <v>0</v>
      </c>
      <c r="C868" s="4" t="s">
        <v>2256</v>
      </c>
      <c r="D868" s="4" t="s">
        <v>1815</v>
      </c>
      <c r="E868" s="4" t="s">
        <v>2108</v>
      </c>
      <c r="F868" s="4">
        <v>-1</v>
      </c>
      <c r="G868" s="4">
        <v>0</v>
      </c>
      <c r="H868" s="4">
        <v>0</v>
      </c>
      <c r="K868" s="4">
        <v>0</v>
      </c>
      <c r="N868" s="4">
        <v>0</v>
      </c>
      <c r="O868" s="4">
        <v>0</v>
      </c>
      <c r="P868" s="4" t="str">
        <f t="shared" si="13"/>
        <v>SPREAD.SP_F13</v>
      </c>
      <c r="Q868" s="4" t="str">
        <f>VLOOKUP(Cobra8.5[[#This Row],[Table.Column]],ColumnMapping[Old Table.Column],1,)</f>
        <v>SPREAD.SP_F13</v>
      </c>
    </row>
    <row r="869" spans="1:17" hidden="1" x14ac:dyDescent="0.2">
      <c r="A869" s="4" t="s">
        <v>2256</v>
      </c>
      <c r="B869" s="4">
        <v>0</v>
      </c>
      <c r="C869" s="4" t="s">
        <v>2256</v>
      </c>
      <c r="D869" s="4" t="s">
        <v>1817</v>
      </c>
      <c r="E869" s="4" t="s">
        <v>2108</v>
      </c>
      <c r="F869" s="4">
        <v>-1</v>
      </c>
      <c r="G869" s="4">
        <v>0</v>
      </c>
      <c r="H869" s="4">
        <v>0</v>
      </c>
      <c r="K869" s="4">
        <v>0</v>
      </c>
      <c r="N869" s="4">
        <v>0</v>
      </c>
      <c r="O869" s="4">
        <v>0</v>
      </c>
      <c r="P869" s="4" t="str">
        <f t="shared" si="13"/>
        <v>SPREAD.SP_F14</v>
      </c>
      <c r="Q869" s="4" t="str">
        <f>VLOOKUP(Cobra8.5[[#This Row],[Table.Column]],ColumnMapping[Old Table.Column],1,)</f>
        <v>SPREAD.SP_F14</v>
      </c>
    </row>
    <row r="870" spans="1:17" hidden="1" x14ac:dyDescent="0.2">
      <c r="A870" s="4" t="s">
        <v>2256</v>
      </c>
      <c r="B870" s="4">
        <v>0</v>
      </c>
      <c r="C870" s="4" t="s">
        <v>2256</v>
      </c>
      <c r="D870" s="4" t="s">
        <v>1819</v>
      </c>
      <c r="E870" s="4" t="s">
        <v>2108</v>
      </c>
      <c r="F870" s="4">
        <v>-1</v>
      </c>
      <c r="G870" s="4">
        <v>0</v>
      </c>
      <c r="H870" s="4">
        <v>0</v>
      </c>
      <c r="K870" s="4">
        <v>0</v>
      </c>
      <c r="N870" s="4">
        <v>0</v>
      </c>
      <c r="O870" s="4">
        <v>0</v>
      </c>
      <c r="P870" s="4" t="str">
        <f t="shared" si="13"/>
        <v>SPREAD.SP_F15</v>
      </c>
      <c r="Q870" s="4" t="str">
        <f>VLOOKUP(Cobra8.5[[#This Row],[Table.Column]],ColumnMapping[Old Table.Column],1,)</f>
        <v>SPREAD.SP_F15</v>
      </c>
    </row>
    <row r="871" spans="1:17" hidden="1" x14ac:dyDescent="0.2">
      <c r="A871" s="4" t="s">
        <v>2256</v>
      </c>
      <c r="B871" s="4">
        <v>0</v>
      </c>
      <c r="C871" s="4" t="s">
        <v>2256</v>
      </c>
      <c r="D871" s="4" t="s">
        <v>1821</v>
      </c>
      <c r="E871" s="4" t="s">
        <v>2108</v>
      </c>
      <c r="F871" s="4">
        <v>-1</v>
      </c>
      <c r="G871" s="4">
        <v>0</v>
      </c>
      <c r="H871" s="4">
        <v>0</v>
      </c>
      <c r="K871" s="4">
        <v>0</v>
      </c>
      <c r="N871" s="4">
        <v>0</v>
      </c>
      <c r="O871" s="4">
        <v>0</v>
      </c>
      <c r="P871" s="4" t="str">
        <f t="shared" si="13"/>
        <v>SPREAD.SP_F16</v>
      </c>
      <c r="Q871" s="4" t="str">
        <f>VLOOKUP(Cobra8.5[[#This Row],[Table.Column]],ColumnMapping[Old Table.Column],1,)</f>
        <v>SPREAD.SP_F16</v>
      </c>
    </row>
    <row r="872" spans="1:17" hidden="1" x14ac:dyDescent="0.2">
      <c r="A872" s="4" t="s">
        <v>2256</v>
      </c>
      <c r="B872" s="4">
        <v>0</v>
      </c>
      <c r="C872" s="4" t="s">
        <v>2256</v>
      </c>
      <c r="D872" s="4" t="s">
        <v>1823</v>
      </c>
      <c r="E872" s="4" t="s">
        <v>2108</v>
      </c>
      <c r="F872" s="4">
        <v>-1</v>
      </c>
      <c r="G872" s="4">
        <v>0</v>
      </c>
      <c r="H872" s="4">
        <v>0</v>
      </c>
      <c r="K872" s="4">
        <v>0</v>
      </c>
      <c r="N872" s="4">
        <v>0</v>
      </c>
      <c r="O872" s="4">
        <v>0</v>
      </c>
      <c r="P872" s="4" t="str">
        <f t="shared" si="13"/>
        <v>SPREAD.SP_F17</v>
      </c>
      <c r="Q872" s="4" t="str">
        <f>VLOOKUP(Cobra8.5[[#This Row],[Table.Column]],ColumnMapping[Old Table.Column],1,)</f>
        <v>SPREAD.SP_F17</v>
      </c>
    </row>
    <row r="873" spans="1:17" hidden="1" x14ac:dyDescent="0.2">
      <c r="A873" s="4" t="s">
        <v>2256</v>
      </c>
      <c r="B873" s="4">
        <v>0</v>
      </c>
      <c r="C873" s="4" t="s">
        <v>2256</v>
      </c>
      <c r="D873" s="4" t="s">
        <v>1825</v>
      </c>
      <c r="E873" s="4" t="s">
        <v>2108</v>
      </c>
      <c r="F873" s="4">
        <v>-1</v>
      </c>
      <c r="G873" s="4">
        <v>0</v>
      </c>
      <c r="H873" s="4">
        <v>0</v>
      </c>
      <c r="K873" s="4">
        <v>0</v>
      </c>
      <c r="N873" s="4">
        <v>0</v>
      </c>
      <c r="O873" s="4">
        <v>0</v>
      </c>
      <c r="P873" s="4" t="str">
        <f t="shared" si="13"/>
        <v>SPREAD.SP_F18</v>
      </c>
      <c r="Q873" s="4" t="str">
        <f>VLOOKUP(Cobra8.5[[#This Row],[Table.Column]],ColumnMapping[Old Table.Column],1,)</f>
        <v>SPREAD.SP_F18</v>
      </c>
    </row>
    <row r="874" spans="1:17" hidden="1" x14ac:dyDescent="0.2">
      <c r="A874" s="4" t="s">
        <v>2256</v>
      </c>
      <c r="B874" s="4">
        <v>0</v>
      </c>
      <c r="C874" s="4" t="s">
        <v>2256</v>
      </c>
      <c r="D874" s="4" t="s">
        <v>1827</v>
      </c>
      <c r="E874" s="4" t="s">
        <v>2108</v>
      </c>
      <c r="F874" s="4">
        <v>-1</v>
      </c>
      <c r="G874" s="4">
        <v>0</v>
      </c>
      <c r="H874" s="4">
        <v>0</v>
      </c>
      <c r="K874" s="4">
        <v>0</v>
      </c>
      <c r="N874" s="4">
        <v>0</v>
      </c>
      <c r="O874" s="4">
        <v>0</v>
      </c>
      <c r="P874" s="4" t="str">
        <f t="shared" si="13"/>
        <v>SPREAD.SP_F19</v>
      </c>
      <c r="Q874" s="4" t="str">
        <f>VLOOKUP(Cobra8.5[[#This Row],[Table.Column]],ColumnMapping[Old Table.Column],1,)</f>
        <v>SPREAD.SP_F19</v>
      </c>
    </row>
    <row r="875" spans="1:17" hidden="1" x14ac:dyDescent="0.2">
      <c r="A875" s="4" t="s">
        <v>2256</v>
      </c>
      <c r="B875" s="4">
        <v>0</v>
      </c>
      <c r="C875" s="4" t="s">
        <v>2256</v>
      </c>
      <c r="D875" s="4" t="s">
        <v>1829</v>
      </c>
      <c r="E875" s="4" t="s">
        <v>2108</v>
      </c>
      <c r="F875" s="4">
        <v>-1</v>
      </c>
      <c r="G875" s="4">
        <v>0</v>
      </c>
      <c r="H875" s="4">
        <v>0</v>
      </c>
      <c r="K875" s="4">
        <v>0</v>
      </c>
      <c r="N875" s="4">
        <v>0</v>
      </c>
      <c r="O875" s="4">
        <v>0</v>
      </c>
      <c r="P875" s="4" t="str">
        <f t="shared" si="13"/>
        <v>SPREAD.SP_F2</v>
      </c>
      <c r="Q875" s="4" t="str">
        <f>VLOOKUP(Cobra8.5[[#This Row],[Table.Column]],ColumnMapping[Old Table.Column],1,)</f>
        <v>SPREAD.SP_F2</v>
      </c>
    </row>
    <row r="876" spans="1:17" hidden="1" x14ac:dyDescent="0.2">
      <c r="A876" s="4" t="s">
        <v>2256</v>
      </c>
      <c r="B876" s="4">
        <v>0</v>
      </c>
      <c r="C876" s="4" t="s">
        <v>2256</v>
      </c>
      <c r="D876" s="4" t="s">
        <v>1831</v>
      </c>
      <c r="E876" s="4" t="s">
        <v>2108</v>
      </c>
      <c r="F876" s="4">
        <v>-1</v>
      </c>
      <c r="G876" s="4">
        <v>0</v>
      </c>
      <c r="H876" s="4">
        <v>0</v>
      </c>
      <c r="K876" s="4">
        <v>0</v>
      </c>
      <c r="N876" s="4">
        <v>0</v>
      </c>
      <c r="O876" s="4">
        <v>0</v>
      </c>
      <c r="P876" s="4" t="str">
        <f t="shared" si="13"/>
        <v>SPREAD.SP_F20</v>
      </c>
      <c r="Q876" s="4" t="str">
        <f>VLOOKUP(Cobra8.5[[#This Row],[Table.Column]],ColumnMapping[Old Table.Column],1,)</f>
        <v>SPREAD.SP_F20</v>
      </c>
    </row>
    <row r="877" spans="1:17" hidden="1" x14ac:dyDescent="0.2">
      <c r="A877" s="4" t="s">
        <v>2256</v>
      </c>
      <c r="B877" s="4">
        <v>0</v>
      </c>
      <c r="C877" s="4" t="s">
        <v>2256</v>
      </c>
      <c r="D877" s="4" t="s">
        <v>1833</v>
      </c>
      <c r="E877" s="4" t="s">
        <v>2108</v>
      </c>
      <c r="F877" s="4">
        <v>-1</v>
      </c>
      <c r="G877" s="4">
        <v>0</v>
      </c>
      <c r="H877" s="4">
        <v>0</v>
      </c>
      <c r="K877" s="4">
        <v>0</v>
      </c>
      <c r="N877" s="4">
        <v>0</v>
      </c>
      <c r="O877" s="4">
        <v>0</v>
      </c>
      <c r="P877" s="4" t="str">
        <f t="shared" si="13"/>
        <v>SPREAD.SP_F21</v>
      </c>
      <c r="Q877" s="4" t="str">
        <f>VLOOKUP(Cobra8.5[[#This Row],[Table.Column]],ColumnMapping[Old Table.Column],1,)</f>
        <v>SPREAD.SP_F21</v>
      </c>
    </row>
    <row r="878" spans="1:17" hidden="1" x14ac:dyDescent="0.2">
      <c r="A878" s="4" t="s">
        <v>2256</v>
      </c>
      <c r="B878" s="4">
        <v>0</v>
      </c>
      <c r="C878" s="4" t="s">
        <v>2256</v>
      </c>
      <c r="D878" s="4" t="s">
        <v>1835</v>
      </c>
      <c r="E878" s="4" t="s">
        <v>2108</v>
      </c>
      <c r="F878" s="4">
        <v>-1</v>
      </c>
      <c r="G878" s="4">
        <v>0</v>
      </c>
      <c r="H878" s="4">
        <v>0</v>
      </c>
      <c r="K878" s="4">
        <v>0</v>
      </c>
      <c r="N878" s="4">
        <v>0</v>
      </c>
      <c r="O878" s="4">
        <v>0</v>
      </c>
      <c r="P878" s="4" t="str">
        <f t="shared" si="13"/>
        <v>SPREAD.SP_F22</v>
      </c>
      <c r="Q878" s="4" t="str">
        <f>VLOOKUP(Cobra8.5[[#This Row],[Table.Column]],ColumnMapping[Old Table.Column],1,)</f>
        <v>SPREAD.SP_F22</v>
      </c>
    </row>
    <row r="879" spans="1:17" hidden="1" x14ac:dyDescent="0.2">
      <c r="A879" s="4" t="s">
        <v>2256</v>
      </c>
      <c r="B879" s="4">
        <v>0</v>
      </c>
      <c r="C879" s="4" t="s">
        <v>2256</v>
      </c>
      <c r="D879" s="4" t="s">
        <v>1837</v>
      </c>
      <c r="E879" s="4" t="s">
        <v>2108</v>
      </c>
      <c r="F879" s="4">
        <v>-1</v>
      </c>
      <c r="G879" s="4">
        <v>0</v>
      </c>
      <c r="H879" s="4">
        <v>0</v>
      </c>
      <c r="K879" s="4">
        <v>0</v>
      </c>
      <c r="N879" s="4">
        <v>0</v>
      </c>
      <c r="O879" s="4">
        <v>0</v>
      </c>
      <c r="P879" s="4" t="str">
        <f t="shared" si="13"/>
        <v>SPREAD.SP_F23</v>
      </c>
      <c r="Q879" s="4" t="str">
        <f>VLOOKUP(Cobra8.5[[#This Row],[Table.Column]],ColumnMapping[Old Table.Column],1,)</f>
        <v>SPREAD.SP_F23</v>
      </c>
    </row>
    <row r="880" spans="1:17" hidden="1" x14ac:dyDescent="0.2">
      <c r="A880" s="4" t="s">
        <v>2256</v>
      </c>
      <c r="B880" s="4">
        <v>0</v>
      </c>
      <c r="C880" s="4" t="s">
        <v>2256</v>
      </c>
      <c r="D880" s="4" t="s">
        <v>1839</v>
      </c>
      <c r="E880" s="4" t="s">
        <v>2108</v>
      </c>
      <c r="F880" s="4">
        <v>-1</v>
      </c>
      <c r="G880" s="4">
        <v>0</v>
      </c>
      <c r="H880" s="4">
        <v>0</v>
      </c>
      <c r="K880" s="4">
        <v>0</v>
      </c>
      <c r="N880" s="4">
        <v>0</v>
      </c>
      <c r="O880" s="4">
        <v>0</v>
      </c>
      <c r="P880" s="4" t="str">
        <f t="shared" si="13"/>
        <v>SPREAD.SP_F24</v>
      </c>
      <c r="Q880" s="4" t="str">
        <f>VLOOKUP(Cobra8.5[[#This Row],[Table.Column]],ColumnMapping[Old Table.Column],1,)</f>
        <v>SPREAD.SP_F24</v>
      </c>
    </row>
    <row r="881" spans="1:17" hidden="1" x14ac:dyDescent="0.2">
      <c r="A881" s="4" t="s">
        <v>2256</v>
      </c>
      <c r="B881" s="4">
        <v>0</v>
      </c>
      <c r="C881" s="4" t="s">
        <v>2256</v>
      </c>
      <c r="D881" s="4" t="s">
        <v>1841</v>
      </c>
      <c r="E881" s="4" t="s">
        <v>2108</v>
      </c>
      <c r="F881" s="4">
        <v>-1</v>
      </c>
      <c r="G881" s="4">
        <v>0</v>
      </c>
      <c r="H881" s="4">
        <v>0</v>
      </c>
      <c r="K881" s="4">
        <v>0</v>
      </c>
      <c r="N881" s="4">
        <v>0</v>
      </c>
      <c r="O881" s="4">
        <v>0</v>
      </c>
      <c r="P881" s="4" t="str">
        <f t="shared" si="13"/>
        <v>SPREAD.SP_F25</v>
      </c>
      <c r="Q881" s="4" t="str">
        <f>VLOOKUP(Cobra8.5[[#This Row],[Table.Column]],ColumnMapping[Old Table.Column],1,)</f>
        <v>SPREAD.SP_F25</v>
      </c>
    </row>
    <row r="882" spans="1:17" hidden="1" x14ac:dyDescent="0.2">
      <c r="A882" s="4" t="s">
        <v>2256</v>
      </c>
      <c r="B882" s="4">
        <v>0</v>
      </c>
      <c r="C882" s="4" t="s">
        <v>2256</v>
      </c>
      <c r="D882" s="4" t="s">
        <v>1843</v>
      </c>
      <c r="E882" s="4" t="s">
        <v>2108</v>
      </c>
      <c r="F882" s="4">
        <v>-1</v>
      </c>
      <c r="G882" s="4">
        <v>0</v>
      </c>
      <c r="H882" s="4">
        <v>0</v>
      </c>
      <c r="K882" s="4">
        <v>0</v>
      </c>
      <c r="N882" s="4">
        <v>0</v>
      </c>
      <c r="O882" s="4">
        <v>0</v>
      </c>
      <c r="P882" s="4" t="str">
        <f t="shared" si="13"/>
        <v>SPREAD.SP_F26</v>
      </c>
      <c r="Q882" s="4" t="str">
        <f>VLOOKUP(Cobra8.5[[#This Row],[Table.Column]],ColumnMapping[Old Table.Column],1,)</f>
        <v>SPREAD.SP_F26</v>
      </c>
    </row>
    <row r="883" spans="1:17" hidden="1" x14ac:dyDescent="0.2">
      <c r="A883" s="4" t="s">
        <v>2256</v>
      </c>
      <c r="B883" s="4">
        <v>0</v>
      </c>
      <c r="C883" s="4" t="s">
        <v>2256</v>
      </c>
      <c r="D883" s="4" t="s">
        <v>1845</v>
      </c>
      <c r="E883" s="4" t="s">
        <v>2108</v>
      </c>
      <c r="F883" s="4">
        <v>-1</v>
      </c>
      <c r="G883" s="4">
        <v>0</v>
      </c>
      <c r="H883" s="4">
        <v>0</v>
      </c>
      <c r="K883" s="4">
        <v>0</v>
      </c>
      <c r="N883" s="4">
        <v>0</v>
      </c>
      <c r="O883" s="4">
        <v>0</v>
      </c>
      <c r="P883" s="4" t="str">
        <f t="shared" si="13"/>
        <v>SPREAD.SP_F27</v>
      </c>
      <c r="Q883" s="4" t="str">
        <f>VLOOKUP(Cobra8.5[[#This Row],[Table.Column]],ColumnMapping[Old Table.Column],1,)</f>
        <v>SPREAD.SP_F27</v>
      </c>
    </row>
    <row r="884" spans="1:17" hidden="1" x14ac:dyDescent="0.2">
      <c r="A884" s="4" t="s">
        <v>2256</v>
      </c>
      <c r="B884" s="4">
        <v>0</v>
      </c>
      <c r="C884" s="4" t="s">
        <v>2256</v>
      </c>
      <c r="D884" s="4" t="s">
        <v>1847</v>
      </c>
      <c r="E884" s="4" t="s">
        <v>2108</v>
      </c>
      <c r="F884" s="4">
        <v>-1</v>
      </c>
      <c r="G884" s="4">
        <v>0</v>
      </c>
      <c r="H884" s="4">
        <v>0</v>
      </c>
      <c r="K884" s="4">
        <v>0</v>
      </c>
      <c r="N884" s="4">
        <v>0</v>
      </c>
      <c r="O884" s="4">
        <v>0</v>
      </c>
      <c r="P884" s="4" t="str">
        <f t="shared" si="13"/>
        <v>SPREAD.SP_F28</v>
      </c>
      <c r="Q884" s="4" t="str">
        <f>VLOOKUP(Cobra8.5[[#This Row],[Table.Column]],ColumnMapping[Old Table.Column],1,)</f>
        <v>SPREAD.SP_F28</v>
      </c>
    </row>
    <row r="885" spans="1:17" hidden="1" x14ac:dyDescent="0.2">
      <c r="A885" s="4" t="s">
        <v>2256</v>
      </c>
      <c r="B885" s="4">
        <v>0</v>
      </c>
      <c r="C885" s="4" t="s">
        <v>2256</v>
      </c>
      <c r="D885" s="4" t="s">
        <v>1849</v>
      </c>
      <c r="E885" s="4" t="s">
        <v>2108</v>
      </c>
      <c r="F885" s="4">
        <v>-1</v>
      </c>
      <c r="G885" s="4">
        <v>0</v>
      </c>
      <c r="H885" s="4">
        <v>0</v>
      </c>
      <c r="K885" s="4">
        <v>0</v>
      </c>
      <c r="N885" s="4">
        <v>0</v>
      </c>
      <c r="O885" s="4">
        <v>0</v>
      </c>
      <c r="P885" s="4" t="str">
        <f t="shared" si="13"/>
        <v>SPREAD.SP_F29</v>
      </c>
      <c r="Q885" s="4" t="str">
        <f>VLOOKUP(Cobra8.5[[#This Row],[Table.Column]],ColumnMapping[Old Table.Column],1,)</f>
        <v>SPREAD.SP_F29</v>
      </c>
    </row>
    <row r="886" spans="1:17" hidden="1" x14ac:dyDescent="0.2">
      <c r="A886" s="4" t="s">
        <v>2256</v>
      </c>
      <c r="B886" s="4">
        <v>0</v>
      </c>
      <c r="C886" s="4" t="s">
        <v>2256</v>
      </c>
      <c r="D886" s="4" t="s">
        <v>1851</v>
      </c>
      <c r="E886" s="4" t="s">
        <v>2108</v>
      </c>
      <c r="F886" s="4">
        <v>-1</v>
      </c>
      <c r="G886" s="4">
        <v>0</v>
      </c>
      <c r="H886" s="4">
        <v>0</v>
      </c>
      <c r="K886" s="4">
        <v>0</v>
      </c>
      <c r="N886" s="4">
        <v>0</v>
      </c>
      <c r="O886" s="4">
        <v>0</v>
      </c>
      <c r="P886" s="4" t="str">
        <f t="shared" si="13"/>
        <v>SPREAD.SP_F3</v>
      </c>
      <c r="Q886" s="4" t="str">
        <f>VLOOKUP(Cobra8.5[[#This Row],[Table.Column]],ColumnMapping[Old Table.Column],1,)</f>
        <v>SPREAD.SP_F3</v>
      </c>
    </row>
    <row r="887" spans="1:17" hidden="1" x14ac:dyDescent="0.2">
      <c r="A887" s="4" t="s">
        <v>2256</v>
      </c>
      <c r="B887" s="4">
        <v>0</v>
      </c>
      <c r="C887" s="4" t="s">
        <v>2256</v>
      </c>
      <c r="D887" s="4" t="s">
        <v>1853</v>
      </c>
      <c r="E887" s="4" t="s">
        <v>2108</v>
      </c>
      <c r="F887" s="4">
        <v>-1</v>
      </c>
      <c r="G887" s="4">
        <v>0</v>
      </c>
      <c r="H887" s="4">
        <v>0</v>
      </c>
      <c r="K887" s="4">
        <v>0</v>
      </c>
      <c r="N887" s="4">
        <v>0</v>
      </c>
      <c r="O887" s="4">
        <v>0</v>
      </c>
      <c r="P887" s="4" t="str">
        <f t="shared" si="13"/>
        <v>SPREAD.SP_F30</v>
      </c>
      <c r="Q887" s="4" t="str">
        <f>VLOOKUP(Cobra8.5[[#This Row],[Table.Column]],ColumnMapping[Old Table.Column],1,)</f>
        <v>SPREAD.SP_F30</v>
      </c>
    </row>
    <row r="888" spans="1:17" hidden="1" x14ac:dyDescent="0.2">
      <c r="A888" s="4" t="s">
        <v>2256</v>
      </c>
      <c r="B888" s="4">
        <v>0</v>
      </c>
      <c r="C888" s="4" t="s">
        <v>2256</v>
      </c>
      <c r="D888" s="4" t="s">
        <v>1855</v>
      </c>
      <c r="E888" s="4" t="s">
        <v>2108</v>
      </c>
      <c r="F888" s="4">
        <v>-1</v>
      </c>
      <c r="G888" s="4">
        <v>0</v>
      </c>
      <c r="H888" s="4">
        <v>0</v>
      </c>
      <c r="K888" s="4">
        <v>0</v>
      </c>
      <c r="N888" s="4">
        <v>0</v>
      </c>
      <c r="O888" s="4">
        <v>0</v>
      </c>
      <c r="P888" s="4" t="str">
        <f t="shared" si="13"/>
        <v>SPREAD.SP_F31</v>
      </c>
      <c r="Q888" s="4" t="str">
        <f>VLOOKUP(Cobra8.5[[#This Row],[Table.Column]],ColumnMapping[Old Table.Column],1,)</f>
        <v>SPREAD.SP_F31</v>
      </c>
    </row>
    <row r="889" spans="1:17" hidden="1" x14ac:dyDescent="0.2">
      <c r="A889" s="4" t="s">
        <v>2256</v>
      </c>
      <c r="B889" s="4">
        <v>0</v>
      </c>
      <c r="C889" s="4" t="s">
        <v>2256</v>
      </c>
      <c r="D889" s="4" t="s">
        <v>1857</v>
      </c>
      <c r="E889" s="4" t="s">
        <v>2108</v>
      </c>
      <c r="F889" s="4">
        <v>-1</v>
      </c>
      <c r="G889" s="4">
        <v>0</v>
      </c>
      <c r="H889" s="4">
        <v>0</v>
      </c>
      <c r="K889" s="4">
        <v>0</v>
      </c>
      <c r="N889" s="4">
        <v>0</v>
      </c>
      <c r="O889" s="4">
        <v>0</v>
      </c>
      <c r="P889" s="4" t="str">
        <f t="shared" si="13"/>
        <v>SPREAD.SP_F32</v>
      </c>
      <c r="Q889" s="4" t="str">
        <f>VLOOKUP(Cobra8.5[[#This Row],[Table.Column]],ColumnMapping[Old Table.Column],1,)</f>
        <v>SPREAD.SP_F32</v>
      </c>
    </row>
    <row r="890" spans="1:17" hidden="1" x14ac:dyDescent="0.2">
      <c r="A890" s="4" t="s">
        <v>2256</v>
      </c>
      <c r="B890" s="4">
        <v>0</v>
      </c>
      <c r="C890" s="4" t="s">
        <v>2256</v>
      </c>
      <c r="D890" s="4" t="s">
        <v>1859</v>
      </c>
      <c r="E890" s="4" t="s">
        <v>2108</v>
      </c>
      <c r="F890" s="4">
        <v>-1</v>
      </c>
      <c r="G890" s="4">
        <v>0</v>
      </c>
      <c r="H890" s="4">
        <v>0</v>
      </c>
      <c r="K890" s="4">
        <v>0</v>
      </c>
      <c r="N890" s="4">
        <v>0</v>
      </c>
      <c r="O890" s="4">
        <v>0</v>
      </c>
      <c r="P890" s="4" t="str">
        <f t="shared" si="13"/>
        <v>SPREAD.SP_F33</v>
      </c>
      <c r="Q890" s="4" t="str">
        <f>VLOOKUP(Cobra8.5[[#This Row],[Table.Column]],ColumnMapping[Old Table.Column],1,)</f>
        <v>SPREAD.SP_F33</v>
      </c>
    </row>
    <row r="891" spans="1:17" hidden="1" x14ac:dyDescent="0.2">
      <c r="A891" s="4" t="s">
        <v>2256</v>
      </c>
      <c r="B891" s="4">
        <v>0</v>
      </c>
      <c r="C891" s="4" t="s">
        <v>2256</v>
      </c>
      <c r="D891" s="4" t="s">
        <v>1861</v>
      </c>
      <c r="E891" s="4" t="s">
        <v>2108</v>
      </c>
      <c r="F891" s="4">
        <v>-1</v>
      </c>
      <c r="G891" s="4">
        <v>0</v>
      </c>
      <c r="H891" s="4">
        <v>0</v>
      </c>
      <c r="K891" s="4">
        <v>0</v>
      </c>
      <c r="N891" s="4">
        <v>0</v>
      </c>
      <c r="O891" s="4">
        <v>0</v>
      </c>
      <c r="P891" s="4" t="str">
        <f t="shared" si="13"/>
        <v>SPREAD.SP_F34</v>
      </c>
      <c r="Q891" s="4" t="str">
        <f>VLOOKUP(Cobra8.5[[#This Row],[Table.Column]],ColumnMapping[Old Table.Column],1,)</f>
        <v>SPREAD.SP_F34</v>
      </c>
    </row>
    <row r="892" spans="1:17" hidden="1" x14ac:dyDescent="0.2">
      <c r="A892" s="4" t="s">
        <v>2256</v>
      </c>
      <c r="B892" s="4">
        <v>0</v>
      </c>
      <c r="C892" s="4" t="s">
        <v>2256</v>
      </c>
      <c r="D892" s="4" t="s">
        <v>1863</v>
      </c>
      <c r="E892" s="4" t="s">
        <v>2108</v>
      </c>
      <c r="F892" s="4">
        <v>-1</v>
      </c>
      <c r="G892" s="4">
        <v>0</v>
      </c>
      <c r="H892" s="4">
        <v>0</v>
      </c>
      <c r="K892" s="4">
        <v>0</v>
      </c>
      <c r="N892" s="4">
        <v>0</v>
      </c>
      <c r="O892" s="4">
        <v>0</v>
      </c>
      <c r="P892" s="4" t="str">
        <f t="shared" si="13"/>
        <v>SPREAD.SP_F35</v>
      </c>
      <c r="Q892" s="4" t="str">
        <f>VLOOKUP(Cobra8.5[[#This Row],[Table.Column]],ColumnMapping[Old Table.Column],1,)</f>
        <v>SPREAD.SP_F35</v>
      </c>
    </row>
    <row r="893" spans="1:17" hidden="1" x14ac:dyDescent="0.2">
      <c r="A893" s="4" t="s">
        <v>2256</v>
      </c>
      <c r="B893" s="4">
        <v>0</v>
      </c>
      <c r="C893" s="4" t="s">
        <v>2256</v>
      </c>
      <c r="D893" s="4" t="s">
        <v>1865</v>
      </c>
      <c r="E893" s="4" t="s">
        <v>2108</v>
      </c>
      <c r="F893" s="4">
        <v>-1</v>
      </c>
      <c r="G893" s="4">
        <v>0</v>
      </c>
      <c r="H893" s="4">
        <v>0</v>
      </c>
      <c r="K893" s="4">
        <v>0</v>
      </c>
      <c r="N893" s="4">
        <v>0</v>
      </c>
      <c r="O893" s="4">
        <v>0</v>
      </c>
      <c r="P893" s="4" t="str">
        <f t="shared" si="13"/>
        <v>SPREAD.SP_F36</v>
      </c>
      <c r="Q893" s="4" t="str">
        <f>VLOOKUP(Cobra8.5[[#This Row],[Table.Column]],ColumnMapping[Old Table.Column],1,)</f>
        <v>SPREAD.SP_F36</v>
      </c>
    </row>
    <row r="894" spans="1:17" hidden="1" x14ac:dyDescent="0.2">
      <c r="A894" s="4" t="s">
        <v>2256</v>
      </c>
      <c r="B894" s="4">
        <v>0</v>
      </c>
      <c r="C894" s="4" t="s">
        <v>2256</v>
      </c>
      <c r="D894" s="4" t="s">
        <v>1867</v>
      </c>
      <c r="E894" s="4" t="s">
        <v>2108</v>
      </c>
      <c r="F894" s="4">
        <v>-1</v>
      </c>
      <c r="G894" s="4">
        <v>0</v>
      </c>
      <c r="H894" s="4">
        <v>0</v>
      </c>
      <c r="K894" s="4">
        <v>0</v>
      </c>
      <c r="N894" s="4">
        <v>0</v>
      </c>
      <c r="O894" s="4">
        <v>0</v>
      </c>
      <c r="P894" s="4" t="str">
        <f t="shared" si="13"/>
        <v>SPREAD.SP_F37</v>
      </c>
      <c r="Q894" s="4" t="str">
        <f>VLOOKUP(Cobra8.5[[#This Row],[Table.Column]],ColumnMapping[Old Table.Column],1,)</f>
        <v>SPREAD.SP_F37</v>
      </c>
    </row>
    <row r="895" spans="1:17" hidden="1" x14ac:dyDescent="0.2">
      <c r="A895" s="4" t="s">
        <v>2256</v>
      </c>
      <c r="B895" s="4">
        <v>0</v>
      </c>
      <c r="C895" s="4" t="s">
        <v>2256</v>
      </c>
      <c r="D895" s="4" t="s">
        <v>1869</v>
      </c>
      <c r="E895" s="4" t="s">
        <v>2108</v>
      </c>
      <c r="F895" s="4">
        <v>-1</v>
      </c>
      <c r="G895" s="4">
        <v>0</v>
      </c>
      <c r="H895" s="4">
        <v>0</v>
      </c>
      <c r="K895" s="4">
        <v>0</v>
      </c>
      <c r="N895" s="4">
        <v>0</v>
      </c>
      <c r="O895" s="4">
        <v>0</v>
      </c>
      <c r="P895" s="4" t="str">
        <f t="shared" si="13"/>
        <v>SPREAD.SP_F38</v>
      </c>
      <c r="Q895" s="4" t="str">
        <f>VLOOKUP(Cobra8.5[[#This Row],[Table.Column]],ColumnMapping[Old Table.Column],1,)</f>
        <v>SPREAD.SP_F38</v>
      </c>
    </row>
    <row r="896" spans="1:17" hidden="1" x14ac:dyDescent="0.2">
      <c r="A896" s="4" t="s">
        <v>2256</v>
      </c>
      <c r="B896" s="4">
        <v>0</v>
      </c>
      <c r="C896" s="4" t="s">
        <v>2256</v>
      </c>
      <c r="D896" s="4" t="s">
        <v>1871</v>
      </c>
      <c r="E896" s="4" t="s">
        <v>2108</v>
      </c>
      <c r="F896" s="4">
        <v>-1</v>
      </c>
      <c r="G896" s="4">
        <v>0</v>
      </c>
      <c r="H896" s="4">
        <v>0</v>
      </c>
      <c r="K896" s="4">
        <v>0</v>
      </c>
      <c r="N896" s="4">
        <v>0</v>
      </c>
      <c r="O896" s="4">
        <v>0</v>
      </c>
      <c r="P896" s="4" t="str">
        <f t="shared" si="13"/>
        <v>SPREAD.SP_F39</v>
      </c>
      <c r="Q896" s="4" t="str">
        <f>VLOOKUP(Cobra8.5[[#This Row],[Table.Column]],ColumnMapping[Old Table.Column],1,)</f>
        <v>SPREAD.SP_F39</v>
      </c>
    </row>
    <row r="897" spans="1:17" hidden="1" x14ac:dyDescent="0.2">
      <c r="A897" s="4" t="s">
        <v>2256</v>
      </c>
      <c r="B897" s="4">
        <v>0</v>
      </c>
      <c r="C897" s="4" t="s">
        <v>2256</v>
      </c>
      <c r="D897" s="4" t="s">
        <v>1873</v>
      </c>
      <c r="E897" s="4" t="s">
        <v>2108</v>
      </c>
      <c r="F897" s="4">
        <v>-1</v>
      </c>
      <c r="G897" s="4">
        <v>0</v>
      </c>
      <c r="H897" s="4">
        <v>0</v>
      </c>
      <c r="K897" s="4">
        <v>0</v>
      </c>
      <c r="N897" s="4">
        <v>0</v>
      </c>
      <c r="O897" s="4">
        <v>0</v>
      </c>
      <c r="P897" s="4" t="str">
        <f t="shared" si="13"/>
        <v>SPREAD.SP_F4</v>
      </c>
      <c r="Q897" s="4" t="str">
        <f>VLOOKUP(Cobra8.5[[#This Row],[Table.Column]],ColumnMapping[Old Table.Column],1,)</f>
        <v>SPREAD.SP_F4</v>
      </c>
    </row>
    <row r="898" spans="1:17" hidden="1" x14ac:dyDescent="0.2">
      <c r="A898" s="4" t="s">
        <v>2256</v>
      </c>
      <c r="B898" s="4">
        <v>0</v>
      </c>
      <c r="C898" s="4" t="s">
        <v>2256</v>
      </c>
      <c r="D898" s="4" t="s">
        <v>1875</v>
      </c>
      <c r="E898" s="4" t="s">
        <v>2108</v>
      </c>
      <c r="F898" s="4">
        <v>-1</v>
      </c>
      <c r="G898" s="4">
        <v>0</v>
      </c>
      <c r="H898" s="4">
        <v>0</v>
      </c>
      <c r="K898" s="4">
        <v>0</v>
      </c>
      <c r="N898" s="4">
        <v>0</v>
      </c>
      <c r="O898" s="4">
        <v>0</v>
      </c>
      <c r="P898" s="4" t="str">
        <f t="shared" ref="P898:P961" si="14">_xlfn.CONCAT(A898,".",D898)</f>
        <v>SPREAD.SP_F40</v>
      </c>
      <c r="Q898" s="4" t="str">
        <f>VLOOKUP(Cobra8.5[[#This Row],[Table.Column]],ColumnMapping[Old Table.Column],1,)</f>
        <v>SPREAD.SP_F40</v>
      </c>
    </row>
    <row r="899" spans="1:17" hidden="1" x14ac:dyDescent="0.2">
      <c r="A899" s="4" t="s">
        <v>2256</v>
      </c>
      <c r="B899" s="4">
        <v>0</v>
      </c>
      <c r="C899" s="4" t="s">
        <v>2256</v>
      </c>
      <c r="D899" s="4" t="s">
        <v>1877</v>
      </c>
      <c r="E899" s="4" t="s">
        <v>2108</v>
      </c>
      <c r="F899" s="4">
        <v>-1</v>
      </c>
      <c r="G899" s="4">
        <v>0</v>
      </c>
      <c r="H899" s="4">
        <v>0</v>
      </c>
      <c r="K899" s="4">
        <v>0</v>
      </c>
      <c r="N899" s="4">
        <v>0</v>
      </c>
      <c r="O899" s="4">
        <v>0</v>
      </c>
      <c r="P899" s="4" t="str">
        <f t="shared" si="14"/>
        <v>SPREAD.SP_F41</v>
      </c>
      <c r="Q899" s="4" t="str">
        <f>VLOOKUP(Cobra8.5[[#This Row],[Table.Column]],ColumnMapping[Old Table.Column],1,)</f>
        <v>SPREAD.SP_F41</v>
      </c>
    </row>
    <row r="900" spans="1:17" hidden="1" x14ac:dyDescent="0.2">
      <c r="A900" s="4" t="s">
        <v>2256</v>
      </c>
      <c r="B900" s="4">
        <v>0</v>
      </c>
      <c r="C900" s="4" t="s">
        <v>2256</v>
      </c>
      <c r="D900" s="4" t="s">
        <v>1879</v>
      </c>
      <c r="E900" s="4" t="s">
        <v>2108</v>
      </c>
      <c r="F900" s="4">
        <v>-1</v>
      </c>
      <c r="G900" s="4">
        <v>0</v>
      </c>
      <c r="H900" s="4">
        <v>0</v>
      </c>
      <c r="K900" s="4">
        <v>0</v>
      </c>
      <c r="N900" s="4">
        <v>0</v>
      </c>
      <c r="O900" s="4">
        <v>0</v>
      </c>
      <c r="P900" s="4" t="str">
        <f t="shared" si="14"/>
        <v>SPREAD.SP_F42</v>
      </c>
      <c r="Q900" s="4" t="str">
        <f>VLOOKUP(Cobra8.5[[#This Row],[Table.Column]],ColumnMapping[Old Table.Column],1,)</f>
        <v>SPREAD.SP_F42</v>
      </c>
    </row>
    <row r="901" spans="1:17" hidden="1" x14ac:dyDescent="0.2">
      <c r="A901" s="4" t="s">
        <v>2256</v>
      </c>
      <c r="B901" s="4">
        <v>0</v>
      </c>
      <c r="C901" s="4" t="s">
        <v>2256</v>
      </c>
      <c r="D901" s="4" t="s">
        <v>1881</v>
      </c>
      <c r="E901" s="4" t="s">
        <v>2108</v>
      </c>
      <c r="F901" s="4">
        <v>-1</v>
      </c>
      <c r="G901" s="4">
        <v>0</v>
      </c>
      <c r="H901" s="4">
        <v>0</v>
      </c>
      <c r="K901" s="4">
        <v>0</v>
      </c>
      <c r="N901" s="4">
        <v>0</v>
      </c>
      <c r="O901" s="4">
        <v>0</v>
      </c>
      <c r="P901" s="4" t="str">
        <f t="shared" si="14"/>
        <v>SPREAD.SP_F43</v>
      </c>
      <c r="Q901" s="4" t="str">
        <f>VLOOKUP(Cobra8.5[[#This Row],[Table.Column]],ColumnMapping[Old Table.Column],1,)</f>
        <v>SPREAD.SP_F43</v>
      </c>
    </row>
    <row r="902" spans="1:17" hidden="1" x14ac:dyDescent="0.2">
      <c r="A902" s="4" t="s">
        <v>2256</v>
      </c>
      <c r="B902" s="4">
        <v>0</v>
      </c>
      <c r="C902" s="4" t="s">
        <v>2256</v>
      </c>
      <c r="D902" s="4" t="s">
        <v>1883</v>
      </c>
      <c r="E902" s="4" t="s">
        <v>2108</v>
      </c>
      <c r="F902" s="4">
        <v>-1</v>
      </c>
      <c r="G902" s="4">
        <v>0</v>
      </c>
      <c r="H902" s="4">
        <v>0</v>
      </c>
      <c r="K902" s="4">
        <v>0</v>
      </c>
      <c r="N902" s="4">
        <v>0</v>
      </c>
      <c r="O902" s="4">
        <v>0</v>
      </c>
      <c r="P902" s="4" t="str">
        <f t="shared" si="14"/>
        <v>SPREAD.SP_F44</v>
      </c>
      <c r="Q902" s="4" t="str">
        <f>VLOOKUP(Cobra8.5[[#This Row],[Table.Column]],ColumnMapping[Old Table.Column],1,)</f>
        <v>SPREAD.SP_F44</v>
      </c>
    </row>
    <row r="903" spans="1:17" hidden="1" x14ac:dyDescent="0.2">
      <c r="A903" s="4" t="s">
        <v>2256</v>
      </c>
      <c r="B903" s="4">
        <v>0</v>
      </c>
      <c r="C903" s="4" t="s">
        <v>2256</v>
      </c>
      <c r="D903" s="4" t="s">
        <v>1885</v>
      </c>
      <c r="E903" s="4" t="s">
        <v>2108</v>
      </c>
      <c r="F903" s="4">
        <v>-1</v>
      </c>
      <c r="G903" s="4">
        <v>0</v>
      </c>
      <c r="H903" s="4">
        <v>0</v>
      </c>
      <c r="K903" s="4">
        <v>0</v>
      </c>
      <c r="N903" s="4">
        <v>0</v>
      </c>
      <c r="O903" s="4">
        <v>0</v>
      </c>
      <c r="P903" s="4" t="str">
        <f t="shared" si="14"/>
        <v>SPREAD.SP_F45</v>
      </c>
      <c r="Q903" s="4" t="str">
        <f>VLOOKUP(Cobra8.5[[#This Row],[Table.Column]],ColumnMapping[Old Table.Column],1,)</f>
        <v>SPREAD.SP_F45</v>
      </c>
    </row>
    <row r="904" spans="1:17" hidden="1" x14ac:dyDescent="0.2">
      <c r="A904" s="4" t="s">
        <v>2256</v>
      </c>
      <c r="B904" s="4">
        <v>0</v>
      </c>
      <c r="C904" s="4" t="s">
        <v>2256</v>
      </c>
      <c r="D904" s="4" t="s">
        <v>1887</v>
      </c>
      <c r="E904" s="4" t="s">
        <v>2108</v>
      </c>
      <c r="F904" s="4">
        <v>-1</v>
      </c>
      <c r="G904" s="4">
        <v>0</v>
      </c>
      <c r="H904" s="4">
        <v>0</v>
      </c>
      <c r="K904" s="4">
        <v>0</v>
      </c>
      <c r="N904" s="4">
        <v>0</v>
      </c>
      <c r="O904" s="4">
        <v>0</v>
      </c>
      <c r="P904" s="4" t="str">
        <f t="shared" si="14"/>
        <v>SPREAD.SP_F46</v>
      </c>
      <c r="Q904" s="4" t="str">
        <f>VLOOKUP(Cobra8.5[[#This Row],[Table.Column]],ColumnMapping[Old Table.Column],1,)</f>
        <v>SPREAD.SP_F46</v>
      </c>
    </row>
    <row r="905" spans="1:17" hidden="1" x14ac:dyDescent="0.2">
      <c r="A905" s="4" t="s">
        <v>2256</v>
      </c>
      <c r="B905" s="4">
        <v>0</v>
      </c>
      <c r="C905" s="4" t="s">
        <v>2256</v>
      </c>
      <c r="D905" s="4" t="s">
        <v>1889</v>
      </c>
      <c r="E905" s="4" t="s">
        <v>2108</v>
      </c>
      <c r="F905" s="4">
        <v>-1</v>
      </c>
      <c r="G905" s="4">
        <v>0</v>
      </c>
      <c r="H905" s="4">
        <v>0</v>
      </c>
      <c r="K905" s="4">
        <v>0</v>
      </c>
      <c r="N905" s="4">
        <v>0</v>
      </c>
      <c r="O905" s="4">
        <v>0</v>
      </c>
      <c r="P905" s="4" t="str">
        <f t="shared" si="14"/>
        <v>SPREAD.SP_F47</v>
      </c>
      <c r="Q905" s="4" t="str">
        <f>VLOOKUP(Cobra8.5[[#This Row],[Table.Column]],ColumnMapping[Old Table.Column],1,)</f>
        <v>SPREAD.SP_F47</v>
      </c>
    </row>
    <row r="906" spans="1:17" hidden="1" x14ac:dyDescent="0.2">
      <c r="A906" s="4" t="s">
        <v>2256</v>
      </c>
      <c r="B906" s="4">
        <v>0</v>
      </c>
      <c r="C906" s="4" t="s">
        <v>2256</v>
      </c>
      <c r="D906" s="4" t="s">
        <v>1891</v>
      </c>
      <c r="E906" s="4" t="s">
        <v>2108</v>
      </c>
      <c r="F906" s="4">
        <v>-1</v>
      </c>
      <c r="G906" s="4">
        <v>0</v>
      </c>
      <c r="H906" s="4">
        <v>0</v>
      </c>
      <c r="K906" s="4">
        <v>0</v>
      </c>
      <c r="N906" s="4">
        <v>0</v>
      </c>
      <c r="O906" s="4">
        <v>0</v>
      </c>
      <c r="P906" s="4" t="str">
        <f t="shared" si="14"/>
        <v>SPREAD.SP_F48</v>
      </c>
      <c r="Q906" s="4" t="str">
        <f>VLOOKUP(Cobra8.5[[#This Row],[Table.Column]],ColumnMapping[Old Table.Column],1,)</f>
        <v>SPREAD.SP_F48</v>
      </c>
    </row>
    <row r="907" spans="1:17" hidden="1" x14ac:dyDescent="0.2">
      <c r="A907" s="4" t="s">
        <v>2256</v>
      </c>
      <c r="B907" s="4">
        <v>0</v>
      </c>
      <c r="C907" s="4" t="s">
        <v>2256</v>
      </c>
      <c r="D907" s="4" t="s">
        <v>1893</v>
      </c>
      <c r="E907" s="4" t="s">
        <v>2108</v>
      </c>
      <c r="F907" s="4">
        <v>-1</v>
      </c>
      <c r="G907" s="4">
        <v>0</v>
      </c>
      <c r="H907" s="4">
        <v>0</v>
      </c>
      <c r="K907" s="4">
        <v>0</v>
      </c>
      <c r="N907" s="4">
        <v>0</v>
      </c>
      <c r="O907" s="4">
        <v>0</v>
      </c>
      <c r="P907" s="4" t="str">
        <f t="shared" si="14"/>
        <v>SPREAD.SP_F49</v>
      </c>
      <c r="Q907" s="4" t="str">
        <f>VLOOKUP(Cobra8.5[[#This Row],[Table.Column]],ColumnMapping[Old Table.Column],1,)</f>
        <v>SPREAD.SP_F49</v>
      </c>
    </row>
    <row r="908" spans="1:17" hidden="1" x14ac:dyDescent="0.2">
      <c r="A908" s="4" t="s">
        <v>2256</v>
      </c>
      <c r="B908" s="4">
        <v>0</v>
      </c>
      <c r="C908" s="4" t="s">
        <v>2256</v>
      </c>
      <c r="D908" s="4" t="s">
        <v>1895</v>
      </c>
      <c r="E908" s="4" t="s">
        <v>2108</v>
      </c>
      <c r="F908" s="4">
        <v>-1</v>
      </c>
      <c r="G908" s="4">
        <v>0</v>
      </c>
      <c r="H908" s="4">
        <v>0</v>
      </c>
      <c r="K908" s="4">
        <v>0</v>
      </c>
      <c r="N908" s="4">
        <v>0</v>
      </c>
      <c r="O908" s="4">
        <v>0</v>
      </c>
      <c r="P908" s="4" t="str">
        <f t="shared" si="14"/>
        <v>SPREAD.SP_F5</v>
      </c>
      <c r="Q908" s="4" t="str">
        <f>VLOOKUP(Cobra8.5[[#This Row],[Table.Column]],ColumnMapping[Old Table.Column],1,)</f>
        <v>SPREAD.SP_F5</v>
      </c>
    </row>
    <row r="909" spans="1:17" hidden="1" x14ac:dyDescent="0.2">
      <c r="A909" s="4" t="s">
        <v>2256</v>
      </c>
      <c r="B909" s="4">
        <v>0</v>
      </c>
      <c r="C909" s="4" t="s">
        <v>2256</v>
      </c>
      <c r="D909" s="4" t="s">
        <v>1897</v>
      </c>
      <c r="E909" s="4" t="s">
        <v>2108</v>
      </c>
      <c r="F909" s="4">
        <v>-1</v>
      </c>
      <c r="G909" s="4">
        <v>0</v>
      </c>
      <c r="H909" s="4">
        <v>0</v>
      </c>
      <c r="K909" s="4">
        <v>0</v>
      </c>
      <c r="N909" s="4">
        <v>0</v>
      </c>
      <c r="O909" s="4">
        <v>0</v>
      </c>
      <c r="P909" s="4" t="str">
        <f t="shared" si="14"/>
        <v>SPREAD.SP_F50</v>
      </c>
      <c r="Q909" s="4" t="str">
        <f>VLOOKUP(Cobra8.5[[#This Row],[Table.Column]],ColumnMapping[Old Table.Column],1,)</f>
        <v>SPREAD.SP_F50</v>
      </c>
    </row>
    <row r="910" spans="1:17" hidden="1" x14ac:dyDescent="0.2">
      <c r="A910" s="4" t="s">
        <v>2256</v>
      </c>
      <c r="B910" s="4">
        <v>0</v>
      </c>
      <c r="C910" s="4" t="s">
        <v>2256</v>
      </c>
      <c r="D910" s="4" t="s">
        <v>1899</v>
      </c>
      <c r="E910" s="4" t="s">
        <v>2108</v>
      </c>
      <c r="F910" s="4">
        <v>-1</v>
      </c>
      <c r="G910" s="4">
        <v>0</v>
      </c>
      <c r="H910" s="4">
        <v>0</v>
      </c>
      <c r="K910" s="4">
        <v>0</v>
      </c>
      <c r="N910" s="4">
        <v>0</v>
      </c>
      <c r="O910" s="4">
        <v>0</v>
      </c>
      <c r="P910" s="4" t="str">
        <f t="shared" si="14"/>
        <v>SPREAD.SP_F51</v>
      </c>
      <c r="Q910" s="4" t="str">
        <f>VLOOKUP(Cobra8.5[[#This Row],[Table.Column]],ColumnMapping[Old Table.Column],1,)</f>
        <v>SPREAD.SP_F51</v>
      </c>
    </row>
    <row r="911" spans="1:17" hidden="1" x14ac:dyDescent="0.2">
      <c r="A911" s="4" t="s">
        <v>2256</v>
      </c>
      <c r="B911" s="4">
        <v>0</v>
      </c>
      <c r="C911" s="4" t="s">
        <v>2256</v>
      </c>
      <c r="D911" s="4" t="s">
        <v>1901</v>
      </c>
      <c r="E911" s="4" t="s">
        <v>2108</v>
      </c>
      <c r="F911" s="4">
        <v>-1</v>
      </c>
      <c r="G911" s="4">
        <v>0</v>
      </c>
      <c r="H911" s="4">
        <v>0</v>
      </c>
      <c r="K911" s="4">
        <v>0</v>
      </c>
      <c r="N911" s="4">
        <v>0</v>
      </c>
      <c r="O911" s="4">
        <v>0</v>
      </c>
      <c r="P911" s="4" t="str">
        <f t="shared" si="14"/>
        <v>SPREAD.SP_F52</v>
      </c>
      <c r="Q911" s="4" t="str">
        <f>VLOOKUP(Cobra8.5[[#This Row],[Table.Column]],ColumnMapping[Old Table.Column],1,)</f>
        <v>SPREAD.SP_F52</v>
      </c>
    </row>
    <row r="912" spans="1:17" hidden="1" x14ac:dyDescent="0.2">
      <c r="A912" s="4" t="s">
        <v>2256</v>
      </c>
      <c r="B912" s="4">
        <v>0</v>
      </c>
      <c r="C912" s="4" t="s">
        <v>2256</v>
      </c>
      <c r="D912" s="4" t="s">
        <v>1903</v>
      </c>
      <c r="E912" s="4" t="s">
        <v>2108</v>
      </c>
      <c r="F912" s="4">
        <v>-1</v>
      </c>
      <c r="G912" s="4">
        <v>0</v>
      </c>
      <c r="H912" s="4">
        <v>0</v>
      </c>
      <c r="K912" s="4">
        <v>0</v>
      </c>
      <c r="N912" s="4">
        <v>0</v>
      </c>
      <c r="O912" s="4">
        <v>0</v>
      </c>
      <c r="P912" s="4" t="str">
        <f t="shared" si="14"/>
        <v>SPREAD.SP_F6</v>
      </c>
      <c r="Q912" s="4" t="str">
        <f>VLOOKUP(Cobra8.5[[#This Row],[Table.Column]],ColumnMapping[Old Table.Column],1,)</f>
        <v>SPREAD.SP_F6</v>
      </c>
    </row>
    <row r="913" spans="1:17" hidden="1" x14ac:dyDescent="0.2">
      <c r="A913" s="4" t="s">
        <v>2256</v>
      </c>
      <c r="B913" s="4">
        <v>0</v>
      </c>
      <c r="C913" s="4" t="s">
        <v>2256</v>
      </c>
      <c r="D913" s="4" t="s">
        <v>1905</v>
      </c>
      <c r="E913" s="4" t="s">
        <v>2108</v>
      </c>
      <c r="F913" s="4">
        <v>-1</v>
      </c>
      <c r="G913" s="4">
        <v>0</v>
      </c>
      <c r="H913" s="4">
        <v>0</v>
      </c>
      <c r="K913" s="4">
        <v>0</v>
      </c>
      <c r="N913" s="4">
        <v>0</v>
      </c>
      <c r="O913" s="4">
        <v>0</v>
      </c>
      <c r="P913" s="4" t="str">
        <f t="shared" si="14"/>
        <v>SPREAD.SP_F7</v>
      </c>
      <c r="Q913" s="4" t="str">
        <f>VLOOKUP(Cobra8.5[[#This Row],[Table.Column]],ColumnMapping[Old Table.Column],1,)</f>
        <v>SPREAD.SP_F7</v>
      </c>
    </row>
    <row r="914" spans="1:17" hidden="1" x14ac:dyDescent="0.2">
      <c r="A914" s="4" t="s">
        <v>2256</v>
      </c>
      <c r="B914" s="4">
        <v>0</v>
      </c>
      <c r="C914" s="4" t="s">
        <v>2256</v>
      </c>
      <c r="D914" s="4" t="s">
        <v>1907</v>
      </c>
      <c r="E914" s="4" t="s">
        <v>2108</v>
      </c>
      <c r="F914" s="4">
        <v>-1</v>
      </c>
      <c r="G914" s="4">
        <v>0</v>
      </c>
      <c r="H914" s="4">
        <v>0</v>
      </c>
      <c r="K914" s="4">
        <v>0</v>
      </c>
      <c r="N914" s="4">
        <v>0</v>
      </c>
      <c r="O914" s="4">
        <v>0</v>
      </c>
      <c r="P914" s="4" t="str">
        <f t="shared" si="14"/>
        <v>SPREAD.SP_F8</v>
      </c>
      <c r="Q914" s="4" t="str">
        <f>VLOOKUP(Cobra8.5[[#This Row],[Table.Column]],ColumnMapping[Old Table.Column],1,)</f>
        <v>SPREAD.SP_F8</v>
      </c>
    </row>
    <row r="915" spans="1:17" hidden="1" x14ac:dyDescent="0.2">
      <c r="A915" s="4" t="s">
        <v>2256</v>
      </c>
      <c r="B915" s="4">
        <v>0</v>
      </c>
      <c r="C915" s="4" t="s">
        <v>2256</v>
      </c>
      <c r="D915" s="4" t="s">
        <v>1909</v>
      </c>
      <c r="E915" s="4" t="s">
        <v>2108</v>
      </c>
      <c r="F915" s="4">
        <v>-1</v>
      </c>
      <c r="G915" s="4">
        <v>0</v>
      </c>
      <c r="H915" s="4">
        <v>0</v>
      </c>
      <c r="K915" s="4">
        <v>0</v>
      </c>
      <c r="N915" s="4">
        <v>0</v>
      </c>
      <c r="O915" s="4">
        <v>0</v>
      </c>
      <c r="P915" s="4" t="str">
        <f t="shared" si="14"/>
        <v>SPREAD.SP_F9</v>
      </c>
      <c r="Q915" s="4" t="str">
        <f>VLOOKUP(Cobra8.5[[#This Row],[Table.Column]],ColumnMapping[Old Table.Column],1,)</f>
        <v>SPREAD.SP_F9</v>
      </c>
    </row>
    <row r="916" spans="1:17" hidden="1" x14ac:dyDescent="0.2">
      <c r="A916" s="4" t="s">
        <v>2256</v>
      </c>
      <c r="B916" s="4">
        <v>0</v>
      </c>
      <c r="C916" s="4" t="s">
        <v>2256</v>
      </c>
      <c r="D916" s="4" t="s">
        <v>1102</v>
      </c>
      <c r="E916" s="4" t="s">
        <v>86</v>
      </c>
      <c r="F916" s="4">
        <v>16</v>
      </c>
      <c r="G916" s="4">
        <v>0</v>
      </c>
      <c r="H916" s="4">
        <v>0</v>
      </c>
      <c r="K916" s="4">
        <v>0</v>
      </c>
      <c r="N916" s="4">
        <v>0</v>
      </c>
      <c r="O916" s="4">
        <v>0</v>
      </c>
      <c r="P916" s="4" t="str">
        <f t="shared" si="14"/>
        <v>SPREAD.SPREADNAME</v>
      </c>
      <c r="Q916" s="4" t="str">
        <f>VLOOKUP(Cobra8.5[[#This Row],[Table.Column]],ColumnMapping[Old Table.Column],1,)</f>
        <v>SPREAD.SPREADNAME</v>
      </c>
    </row>
    <row r="917" spans="1:17" hidden="1" x14ac:dyDescent="0.2">
      <c r="A917" s="4" t="s">
        <v>2256</v>
      </c>
      <c r="B917" s="4">
        <v>0</v>
      </c>
      <c r="C917" s="4" t="s">
        <v>2256</v>
      </c>
      <c r="D917" s="4" t="s">
        <v>1911</v>
      </c>
      <c r="E917" s="4" t="s">
        <v>2108</v>
      </c>
      <c r="F917" s="4">
        <v>-1</v>
      </c>
      <c r="G917" s="4">
        <v>0</v>
      </c>
      <c r="H917" s="4">
        <v>0</v>
      </c>
      <c r="K917" s="4">
        <v>0</v>
      </c>
      <c r="N917" s="4">
        <v>0</v>
      </c>
      <c r="O917" s="4">
        <v>0</v>
      </c>
      <c r="P917" s="4" t="str">
        <f t="shared" si="14"/>
        <v>SPREAD.SPREADORD</v>
      </c>
      <c r="Q917" s="4" t="str">
        <f>VLOOKUP(Cobra8.5[[#This Row],[Table.Column]],ColumnMapping[Old Table.Column],1,)</f>
        <v>SPREAD.SPREADORD</v>
      </c>
    </row>
    <row r="918" spans="1:17" hidden="1" x14ac:dyDescent="0.2">
      <c r="A918" s="4" t="s">
        <v>1985</v>
      </c>
      <c r="B918" s="4">
        <v>0</v>
      </c>
      <c r="C918" s="4" t="s">
        <v>1985</v>
      </c>
      <c r="D918" s="4" t="s">
        <v>1009</v>
      </c>
      <c r="E918" s="4" t="s">
        <v>2108</v>
      </c>
      <c r="F918" s="4">
        <v>-1</v>
      </c>
      <c r="G918" s="4">
        <v>0</v>
      </c>
      <c r="H918" s="4">
        <v>0</v>
      </c>
      <c r="K918" s="4">
        <v>0</v>
      </c>
      <c r="N918" s="4">
        <v>0</v>
      </c>
      <c r="O918" s="4">
        <v>0</v>
      </c>
      <c r="P918" s="4" t="str">
        <f t="shared" si="14"/>
        <v>TEMP_CAWPID.CAWPID</v>
      </c>
      <c r="Q918" s="4" t="str">
        <f>VLOOKUP(Cobra8.5[[#This Row],[Table.Column]],ColumnMapping[Old Table.Column],1,)</f>
        <v>TEMP_CAWPID.CAWPID</v>
      </c>
    </row>
    <row r="919" spans="1:17" hidden="1" x14ac:dyDescent="0.2">
      <c r="A919" s="4" t="s">
        <v>1985</v>
      </c>
      <c r="B919" s="4">
        <v>0</v>
      </c>
      <c r="C919" s="4" t="s">
        <v>1985</v>
      </c>
      <c r="D919" s="4" t="s">
        <v>1943</v>
      </c>
      <c r="E919" s="4" t="s">
        <v>86</v>
      </c>
      <c r="F919" s="4">
        <v>22</v>
      </c>
      <c r="G919" s="4">
        <v>0</v>
      </c>
      <c r="H919" s="4">
        <v>0</v>
      </c>
      <c r="K919" s="4">
        <v>0</v>
      </c>
      <c r="N919" s="4">
        <v>0</v>
      </c>
      <c r="O919" s="4">
        <v>0</v>
      </c>
      <c r="P919" s="4" t="str">
        <f t="shared" si="14"/>
        <v>TEMP_CAWPID.INSTANCE</v>
      </c>
      <c r="Q919" s="4" t="str">
        <f>VLOOKUP(Cobra8.5[[#This Row],[Table.Column]],ColumnMapping[Old Table.Column],1,)</f>
        <v>TEMP_CAWPID.INSTANCE</v>
      </c>
    </row>
    <row r="920" spans="1:17" hidden="1" x14ac:dyDescent="0.2">
      <c r="A920" s="4" t="s">
        <v>1985</v>
      </c>
      <c r="B920" s="4">
        <v>0</v>
      </c>
      <c r="C920" s="4" t="s">
        <v>1985</v>
      </c>
      <c r="D920" s="4" t="s">
        <v>744</v>
      </c>
      <c r="E920" s="4" t="s">
        <v>86</v>
      </c>
      <c r="F920" s="4">
        <v>22</v>
      </c>
      <c r="G920" s="4">
        <v>0</v>
      </c>
      <c r="H920" s="4">
        <v>0</v>
      </c>
      <c r="K920" s="4">
        <v>0</v>
      </c>
      <c r="N920" s="4">
        <v>0</v>
      </c>
      <c r="O920" s="4">
        <v>0</v>
      </c>
      <c r="P920" s="4" t="str">
        <f t="shared" si="14"/>
        <v>TEMP_CAWPID.PROGRAM</v>
      </c>
      <c r="Q920" s="4" t="str">
        <f>VLOOKUP(Cobra8.5[[#This Row],[Table.Column]],ColumnMapping[Old Table.Column],1,)</f>
        <v>TEMP_CAWPID.PROGRAM</v>
      </c>
    </row>
    <row r="921" spans="1:17" hidden="1" x14ac:dyDescent="0.2">
      <c r="A921" s="4" t="s">
        <v>1985</v>
      </c>
      <c r="B921" s="4">
        <v>0</v>
      </c>
      <c r="C921" s="4" t="s">
        <v>1985</v>
      </c>
      <c r="D921" s="4" t="s">
        <v>65</v>
      </c>
      <c r="E921" s="4" t="s">
        <v>356</v>
      </c>
      <c r="F921" s="4">
        <v>-1</v>
      </c>
      <c r="G921" s="4">
        <v>0</v>
      </c>
      <c r="H921" s="4">
        <v>0</v>
      </c>
      <c r="K921" s="4">
        <v>0</v>
      </c>
      <c r="N921" s="4">
        <v>0</v>
      </c>
      <c r="O921" s="4">
        <v>0</v>
      </c>
      <c r="P921" s="4" t="str">
        <f t="shared" si="14"/>
        <v>TEMP_CAWPID.TIMESTAMP</v>
      </c>
      <c r="Q921" s="4" t="e">
        <f>VLOOKUP(Cobra8.5[[#This Row],[Table.Column]],ColumnMapping[Old Table.Column],1,)</f>
        <v>#N/A</v>
      </c>
    </row>
    <row r="922" spans="1:17" hidden="1" x14ac:dyDescent="0.2">
      <c r="A922" s="4" t="s">
        <v>1988</v>
      </c>
      <c r="B922" s="4">
        <v>0</v>
      </c>
      <c r="C922" s="4" t="s">
        <v>1988</v>
      </c>
      <c r="D922" s="4" t="s">
        <v>1989</v>
      </c>
      <c r="E922" s="4" t="s">
        <v>86</v>
      </c>
      <c r="F922" s="4">
        <v>255</v>
      </c>
      <c r="G922" s="4">
        <v>0</v>
      </c>
      <c r="H922" s="4">
        <v>0</v>
      </c>
      <c r="K922" s="4">
        <v>0</v>
      </c>
      <c r="N922" s="4">
        <v>0</v>
      </c>
      <c r="O922" s="4">
        <v>0</v>
      </c>
      <c r="P922" s="4" t="str">
        <f t="shared" si="14"/>
        <v>TEMP_CHAR.CHAR_VAL</v>
      </c>
      <c r="Q922" s="4" t="str">
        <f>VLOOKUP(Cobra8.5[[#This Row],[Table.Column]],ColumnMapping[Old Table.Column],1,)</f>
        <v>TEMP_CHAR.CHAR_VAL</v>
      </c>
    </row>
    <row r="923" spans="1:17" hidden="1" x14ac:dyDescent="0.2">
      <c r="A923" s="4" t="s">
        <v>1988</v>
      </c>
      <c r="B923" s="4">
        <v>0</v>
      </c>
      <c r="C923" s="4" t="s">
        <v>1988</v>
      </c>
      <c r="D923" s="4" t="s">
        <v>1943</v>
      </c>
      <c r="E923" s="4" t="s">
        <v>86</v>
      </c>
      <c r="F923" s="4">
        <v>22</v>
      </c>
      <c r="G923" s="4">
        <v>0</v>
      </c>
      <c r="H923" s="4">
        <v>0</v>
      </c>
      <c r="K923" s="4">
        <v>0</v>
      </c>
      <c r="N923" s="4">
        <v>0</v>
      </c>
      <c r="O923" s="4">
        <v>0</v>
      </c>
      <c r="P923" s="4" t="str">
        <f t="shared" si="14"/>
        <v>TEMP_CHAR.INSTANCE</v>
      </c>
      <c r="Q923" s="4" t="str">
        <f>VLOOKUP(Cobra8.5[[#This Row],[Table.Column]],ColumnMapping[Old Table.Column],1,)</f>
        <v>TEMP_CHAR.INSTANCE</v>
      </c>
    </row>
    <row r="924" spans="1:17" hidden="1" x14ac:dyDescent="0.2">
      <c r="A924" s="4" t="s">
        <v>1988</v>
      </c>
      <c r="B924" s="4">
        <v>0</v>
      </c>
      <c r="C924" s="4" t="s">
        <v>1988</v>
      </c>
      <c r="D924" s="4" t="s">
        <v>65</v>
      </c>
      <c r="E924" s="4" t="s">
        <v>356</v>
      </c>
      <c r="F924" s="4">
        <v>-1</v>
      </c>
      <c r="G924" s="4">
        <v>0</v>
      </c>
      <c r="H924" s="4">
        <v>0</v>
      </c>
      <c r="K924" s="4">
        <v>0</v>
      </c>
      <c r="N924" s="4">
        <v>0</v>
      </c>
      <c r="O924" s="4">
        <v>0</v>
      </c>
      <c r="P924" s="4" t="str">
        <f t="shared" si="14"/>
        <v>TEMP_CHAR.TIMESTAMP</v>
      </c>
      <c r="Q924" s="4" t="str">
        <f>VLOOKUP(Cobra8.5[[#This Row],[Table.Column]],ColumnMapping[Old Table.Column],1,)</f>
        <v>TEMP_CHAR.TIMESTAMP</v>
      </c>
    </row>
    <row r="925" spans="1:17" hidden="1" x14ac:dyDescent="0.2">
      <c r="A925" s="4" t="s">
        <v>1991</v>
      </c>
      <c r="B925" s="4">
        <v>0</v>
      </c>
      <c r="C925" s="4" t="s">
        <v>1991</v>
      </c>
      <c r="D925" s="4" t="s">
        <v>1962</v>
      </c>
      <c r="E925" s="4" t="s">
        <v>86</v>
      </c>
      <c r="F925" s="4">
        <v>22</v>
      </c>
      <c r="G925" s="4">
        <v>0</v>
      </c>
      <c r="H925" s="4">
        <v>0</v>
      </c>
      <c r="K925" s="4">
        <v>0</v>
      </c>
      <c r="N925" s="4">
        <v>0</v>
      </c>
      <c r="O925" s="4">
        <v>0</v>
      </c>
      <c r="P925" s="4" t="str">
        <f t="shared" si="14"/>
        <v>TEMP_DIR.DIR_ID</v>
      </c>
      <c r="Q925" s="4" t="str">
        <f>VLOOKUP(Cobra8.5[[#This Row],[Table.Column]],ColumnMapping[Old Table.Column],1,)</f>
        <v>TEMP_DIR.DIR_ID</v>
      </c>
    </row>
    <row r="926" spans="1:17" hidden="1" x14ac:dyDescent="0.2">
      <c r="A926" s="4" t="s">
        <v>1991</v>
      </c>
      <c r="B926" s="4">
        <v>0</v>
      </c>
      <c r="C926" s="4" t="s">
        <v>1991</v>
      </c>
      <c r="D926" s="4" t="s">
        <v>1943</v>
      </c>
      <c r="E926" s="4" t="s">
        <v>86</v>
      </c>
      <c r="F926" s="4">
        <v>22</v>
      </c>
      <c r="G926" s="4">
        <v>0</v>
      </c>
      <c r="H926" s="4">
        <v>0</v>
      </c>
      <c r="K926" s="4">
        <v>0</v>
      </c>
      <c r="N926" s="4">
        <v>0</v>
      </c>
      <c r="O926" s="4">
        <v>0</v>
      </c>
      <c r="P926" s="4" t="str">
        <f t="shared" si="14"/>
        <v>TEMP_DIR.INSTANCE</v>
      </c>
      <c r="Q926" s="4" t="str">
        <f>VLOOKUP(Cobra8.5[[#This Row],[Table.Column]],ColumnMapping[Old Table.Column],1,)</f>
        <v>TEMP_DIR.INSTANCE</v>
      </c>
    </row>
    <row r="927" spans="1:17" hidden="1" x14ac:dyDescent="0.2">
      <c r="A927" s="4" t="s">
        <v>1991</v>
      </c>
      <c r="B927" s="4">
        <v>0</v>
      </c>
      <c r="C927" s="4" t="s">
        <v>1991</v>
      </c>
      <c r="D927" s="4" t="s">
        <v>65</v>
      </c>
      <c r="E927" s="4" t="s">
        <v>356</v>
      </c>
      <c r="F927" s="4">
        <v>-1</v>
      </c>
      <c r="G927" s="4">
        <v>0</v>
      </c>
      <c r="H927" s="4">
        <v>0</v>
      </c>
      <c r="K927" s="4">
        <v>0</v>
      </c>
      <c r="N927" s="4">
        <v>0</v>
      </c>
      <c r="O927" s="4">
        <v>0</v>
      </c>
      <c r="P927" s="4" t="str">
        <f t="shared" si="14"/>
        <v>TEMP_DIR.TIMESTAMP</v>
      </c>
      <c r="Q927" s="4" t="str">
        <f>VLOOKUP(Cobra8.5[[#This Row],[Table.Column]],ColumnMapping[Old Table.Column],1,)</f>
        <v>TEMP_DIR.TIMESTAMP</v>
      </c>
    </row>
    <row r="928" spans="1:17" hidden="1" x14ac:dyDescent="0.2">
      <c r="A928" s="4" t="s">
        <v>2257</v>
      </c>
      <c r="B928" s="4">
        <v>0</v>
      </c>
      <c r="C928" s="4" t="s">
        <v>2257</v>
      </c>
      <c r="D928" s="4" t="s">
        <v>611</v>
      </c>
      <c r="E928" s="4" t="s">
        <v>2108</v>
      </c>
      <c r="F928" s="4">
        <v>-1</v>
      </c>
      <c r="G928" s="4">
        <v>0</v>
      </c>
      <c r="H928" s="4">
        <v>0</v>
      </c>
      <c r="K928" s="4">
        <v>0</v>
      </c>
      <c r="N928" s="4">
        <v>0</v>
      </c>
      <c r="O928" s="4">
        <v>0</v>
      </c>
      <c r="P928" s="4" t="str">
        <f t="shared" si="14"/>
        <v>TPHASE.BATCHNO</v>
      </c>
      <c r="Q928" s="4" t="str">
        <f>VLOOKUP(Cobra8.5[[#This Row],[Table.Column]],ColumnMapping[Old Table.Column],1,)</f>
        <v>TPHASE.BATCHNO</v>
      </c>
    </row>
    <row r="929" spans="1:17" hidden="1" x14ac:dyDescent="0.2">
      <c r="A929" s="4" t="s">
        <v>2257</v>
      </c>
      <c r="B929" s="4">
        <v>0</v>
      </c>
      <c r="C929" s="4" t="s">
        <v>2257</v>
      </c>
      <c r="D929" s="4" t="s">
        <v>1009</v>
      </c>
      <c r="E929" s="4" t="s">
        <v>2108</v>
      </c>
      <c r="F929" s="4">
        <v>-1</v>
      </c>
      <c r="G929" s="4">
        <v>0</v>
      </c>
      <c r="H929" s="4">
        <v>0</v>
      </c>
      <c r="K929" s="4">
        <v>0</v>
      </c>
      <c r="N929" s="4">
        <v>0</v>
      </c>
      <c r="O929" s="4">
        <v>0</v>
      </c>
      <c r="P929" s="4" t="str">
        <f t="shared" si="14"/>
        <v>TPHASE.CAWPID</v>
      </c>
      <c r="Q929" s="4" t="str">
        <f>VLOOKUP(Cobra8.5[[#This Row],[Table.Column]],ColumnMapping[Old Table.Column],1,)</f>
        <v>TPHASE.CAWPID</v>
      </c>
    </row>
    <row r="930" spans="1:17" hidden="1" x14ac:dyDescent="0.2">
      <c r="A930" s="4" t="s">
        <v>2257</v>
      </c>
      <c r="B930" s="4">
        <v>0</v>
      </c>
      <c r="C930" s="4" t="s">
        <v>2257</v>
      </c>
      <c r="D930" s="4" t="s">
        <v>1098</v>
      </c>
      <c r="E930" s="4" t="s">
        <v>86</v>
      </c>
      <c r="F930" s="4">
        <v>59</v>
      </c>
      <c r="G930" s="4">
        <v>0</v>
      </c>
      <c r="H930" s="4">
        <v>0</v>
      </c>
      <c r="K930" s="4">
        <v>0</v>
      </c>
      <c r="N930" s="4">
        <v>0</v>
      </c>
      <c r="O930" s="4">
        <v>0</v>
      </c>
      <c r="P930" s="4" t="str">
        <f t="shared" si="14"/>
        <v>TPHASE.CECODE</v>
      </c>
      <c r="Q930" s="4" t="str">
        <f>VLOOKUP(Cobra8.5[[#This Row],[Table.Column]],ColumnMapping[Old Table.Column],1,)</f>
        <v>TPHASE.CECODE</v>
      </c>
    </row>
    <row r="931" spans="1:17" hidden="1" x14ac:dyDescent="0.2">
      <c r="A931" s="4" t="s">
        <v>2257</v>
      </c>
      <c r="B931" s="4">
        <v>0</v>
      </c>
      <c r="C931" s="4" t="s">
        <v>2257</v>
      </c>
      <c r="D931" s="4" t="s">
        <v>1100</v>
      </c>
      <c r="E931" s="4" t="s">
        <v>86</v>
      </c>
      <c r="F931" s="4">
        <v>20</v>
      </c>
      <c r="G931" s="4">
        <v>0</v>
      </c>
      <c r="H931" s="4">
        <v>0</v>
      </c>
      <c r="K931" s="4">
        <v>0</v>
      </c>
      <c r="N931" s="4">
        <v>0</v>
      </c>
      <c r="O931" s="4">
        <v>0</v>
      </c>
      <c r="P931" s="4" t="str">
        <f t="shared" si="14"/>
        <v>TPHASE.CLASS</v>
      </c>
      <c r="Q931" s="4" t="str">
        <f>VLOOKUP(Cobra8.5[[#This Row],[Table.Column]],ColumnMapping[Old Table.Column],1,)</f>
        <v>TPHASE.CLASS</v>
      </c>
    </row>
    <row r="932" spans="1:17" hidden="1" x14ac:dyDescent="0.2">
      <c r="A932" s="4" t="s">
        <v>2257</v>
      </c>
      <c r="B932" s="4">
        <v>0</v>
      </c>
      <c r="C932" s="4" t="s">
        <v>2257</v>
      </c>
      <c r="D932" s="4" t="s">
        <v>1180</v>
      </c>
      <c r="E932" s="4" t="s">
        <v>2124</v>
      </c>
      <c r="F932" s="4">
        <v>21</v>
      </c>
      <c r="G932" s="4">
        <v>6</v>
      </c>
      <c r="H932" s="4">
        <v>1</v>
      </c>
      <c r="K932" s="4">
        <v>0</v>
      </c>
      <c r="N932" s="4">
        <v>0</v>
      </c>
      <c r="O932" s="4">
        <v>0</v>
      </c>
      <c r="P932" s="4" t="str">
        <f t="shared" si="14"/>
        <v>TPHASE.COM</v>
      </c>
      <c r="Q932" s="4" t="str">
        <f>VLOOKUP(Cobra8.5[[#This Row],[Table.Column]],ColumnMapping[Old Table.Column],1,)</f>
        <v>TPHASE.COM</v>
      </c>
    </row>
    <row r="933" spans="1:17" hidden="1" x14ac:dyDescent="0.2">
      <c r="A933" s="4" t="s">
        <v>2257</v>
      </c>
      <c r="B933" s="4">
        <v>0</v>
      </c>
      <c r="C933" s="4" t="s">
        <v>2257</v>
      </c>
      <c r="D933" s="4" t="s">
        <v>2258</v>
      </c>
      <c r="E933" s="4" t="s">
        <v>356</v>
      </c>
      <c r="F933" s="4">
        <v>-1</v>
      </c>
      <c r="G933" s="4">
        <v>0</v>
      </c>
      <c r="H933" s="4">
        <v>0</v>
      </c>
      <c r="K933" s="4">
        <v>0</v>
      </c>
      <c r="N933" s="4">
        <v>0</v>
      </c>
      <c r="O933" s="4">
        <v>0</v>
      </c>
      <c r="P933" s="4" t="str">
        <f t="shared" si="14"/>
        <v>TPHASE.DF_DATE</v>
      </c>
      <c r="Q933" s="4" t="str">
        <f>VLOOKUP(Cobra8.5[[#This Row],[Table.Column]],ColumnMapping[Old Table.Column],1,)</f>
        <v>TPHASE.DF_DATE</v>
      </c>
    </row>
    <row r="934" spans="1:17" hidden="1" x14ac:dyDescent="0.2">
      <c r="A934" s="4" t="s">
        <v>2257</v>
      </c>
      <c r="B934" s="4">
        <v>0</v>
      </c>
      <c r="C934" s="4" t="s">
        <v>2257</v>
      </c>
      <c r="D934" s="4" t="s">
        <v>1182</v>
      </c>
      <c r="E934" s="4" t="s">
        <v>2124</v>
      </c>
      <c r="F934" s="4">
        <v>21</v>
      </c>
      <c r="G934" s="4">
        <v>6</v>
      </c>
      <c r="H934" s="4">
        <v>1</v>
      </c>
      <c r="K934" s="4">
        <v>0</v>
      </c>
      <c r="N934" s="4">
        <v>0</v>
      </c>
      <c r="O934" s="4">
        <v>0</v>
      </c>
      <c r="P934" s="4" t="str">
        <f t="shared" si="14"/>
        <v>TPHASE.DIRECT</v>
      </c>
      <c r="Q934" s="4" t="str">
        <f>VLOOKUP(Cobra8.5[[#This Row],[Table.Column]],ColumnMapping[Old Table.Column],1,)</f>
        <v>TPHASE.DIRECT</v>
      </c>
    </row>
    <row r="935" spans="1:17" hidden="1" x14ac:dyDescent="0.2">
      <c r="A935" s="4" t="s">
        <v>2257</v>
      </c>
      <c r="B935" s="4">
        <v>0</v>
      </c>
      <c r="C935" s="4" t="s">
        <v>2257</v>
      </c>
      <c r="D935" s="4" t="s">
        <v>525</v>
      </c>
      <c r="E935" s="4" t="s">
        <v>2124</v>
      </c>
      <c r="F935" s="4">
        <v>21</v>
      </c>
      <c r="G935" s="4">
        <v>6</v>
      </c>
      <c r="H935" s="4">
        <v>1</v>
      </c>
      <c r="K935" s="4">
        <v>0</v>
      </c>
      <c r="N935" s="4">
        <v>0</v>
      </c>
      <c r="O935" s="4">
        <v>0</v>
      </c>
      <c r="P935" s="4" t="str">
        <f t="shared" si="14"/>
        <v>TPHASE.FEE</v>
      </c>
      <c r="Q935" s="4" t="str">
        <f>VLOOKUP(Cobra8.5[[#This Row],[Table.Column]],ColumnMapping[Old Table.Column],1,)</f>
        <v>TPHASE.FEE</v>
      </c>
    </row>
    <row r="936" spans="1:17" hidden="1" x14ac:dyDescent="0.2">
      <c r="A936" s="4" t="s">
        <v>2257</v>
      </c>
      <c r="B936" s="4">
        <v>0</v>
      </c>
      <c r="C936" s="4" t="s">
        <v>2257</v>
      </c>
      <c r="D936" s="4" t="s">
        <v>1185</v>
      </c>
      <c r="E936" s="4" t="s">
        <v>2124</v>
      </c>
      <c r="F936" s="4">
        <v>21</v>
      </c>
      <c r="G936" s="4">
        <v>6</v>
      </c>
      <c r="H936" s="4">
        <v>1</v>
      </c>
      <c r="K936" s="4">
        <v>0</v>
      </c>
      <c r="N936" s="4">
        <v>0</v>
      </c>
      <c r="O936" s="4">
        <v>0</v>
      </c>
      <c r="P936" s="4" t="str">
        <f t="shared" si="14"/>
        <v>TPHASE.FRINGE</v>
      </c>
      <c r="Q936" s="4" t="str">
        <f>VLOOKUP(Cobra8.5[[#This Row],[Table.Column]],ColumnMapping[Old Table.Column],1,)</f>
        <v>TPHASE.FRINGE</v>
      </c>
    </row>
    <row r="937" spans="1:17" hidden="1" x14ac:dyDescent="0.2">
      <c r="A937" s="4" t="s">
        <v>2257</v>
      </c>
      <c r="B937" s="4">
        <v>0</v>
      </c>
      <c r="C937" s="4" t="s">
        <v>2257</v>
      </c>
      <c r="D937" s="4" t="s">
        <v>1187</v>
      </c>
      <c r="E937" s="4" t="s">
        <v>2124</v>
      </c>
      <c r="F937" s="4">
        <v>21</v>
      </c>
      <c r="G937" s="4">
        <v>6</v>
      </c>
      <c r="H937" s="4">
        <v>1</v>
      </c>
      <c r="K937" s="4">
        <v>0</v>
      </c>
      <c r="N937" s="4">
        <v>0</v>
      </c>
      <c r="O937" s="4">
        <v>0</v>
      </c>
      <c r="P937" s="4" t="str">
        <f t="shared" si="14"/>
        <v>TPHASE.FTE</v>
      </c>
      <c r="Q937" s="4" t="str">
        <f>VLOOKUP(Cobra8.5[[#This Row],[Table.Column]],ColumnMapping[Old Table.Column],1,)</f>
        <v>TPHASE.FTE</v>
      </c>
    </row>
    <row r="938" spans="1:17" hidden="1" x14ac:dyDescent="0.2">
      <c r="A938" s="4" t="s">
        <v>2257</v>
      </c>
      <c r="B938" s="4">
        <v>0</v>
      </c>
      <c r="C938" s="4" t="s">
        <v>2257</v>
      </c>
      <c r="D938" s="4" t="s">
        <v>1189</v>
      </c>
      <c r="E938" s="4" t="s">
        <v>2124</v>
      </c>
      <c r="F938" s="4">
        <v>21</v>
      </c>
      <c r="G938" s="4">
        <v>6</v>
      </c>
      <c r="H938" s="4">
        <v>1</v>
      </c>
      <c r="K938" s="4">
        <v>0</v>
      </c>
      <c r="N938" s="4">
        <v>0</v>
      </c>
      <c r="O938" s="4">
        <v>0</v>
      </c>
      <c r="P938" s="4" t="str">
        <f t="shared" si="14"/>
        <v>TPHASE.GANDA</v>
      </c>
      <c r="Q938" s="4" t="str">
        <f>VLOOKUP(Cobra8.5[[#This Row],[Table.Column]],ColumnMapping[Old Table.Column],1,)</f>
        <v>TPHASE.GANDA</v>
      </c>
    </row>
    <row r="939" spans="1:17" hidden="1" x14ac:dyDescent="0.2">
      <c r="A939" s="4" t="s">
        <v>2257</v>
      </c>
      <c r="B939" s="4">
        <v>0</v>
      </c>
      <c r="C939" s="4" t="s">
        <v>2257</v>
      </c>
      <c r="D939" s="4" t="s">
        <v>299</v>
      </c>
      <c r="E939" s="4" t="s">
        <v>2124</v>
      </c>
      <c r="F939" s="4">
        <v>21</v>
      </c>
      <c r="G939" s="4">
        <v>6</v>
      </c>
      <c r="H939" s="4">
        <v>1</v>
      </c>
      <c r="K939" s="4">
        <v>0</v>
      </c>
      <c r="N939" s="4">
        <v>0</v>
      </c>
      <c r="O939" s="4">
        <v>0</v>
      </c>
      <c r="P939" s="4" t="str">
        <f t="shared" si="14"/>
        <v>TPHASE.HOURS</v>
      </c>
      <c r="Q939" s="4" t="str">
        <f>VLOOKUP(Cobra8.5[[#This Row],[Table.Column]],ColumnMapping[Old Table.Column],1,)</f>
        <v>TPHASE.HOURS</v>
      </c>
    </row>
    <row r="940" spans="1:17" hidden="1" x14ac:dyDescent="0.2">
      <c r="A940" s="4" t="s">
        <v>2257</v>
      </c>
      <c r="B940" s="4">
        <v>0</v>
      </c>
      <c r="C940" s="4" t="s">
        <v>2257</v>
      </c>
      <c r="D940" s="4" t="s">
        <v>1192</v>
      </c>
      <c r="E940" s="4" t="s">
        <v>2124</v>
      </c>
      <c r="F940" s="4">
        <v>21</v>
      </c>
      <c r="G940" s="4">
        <v>6</v>
      </c>
      <c r="H940" s="4">
        <v>1</v>
      </c>
      <c r="K940" s="4">
        <v>0</v>
      </c>
      <c r="N940" s="4">
        <v>0</v>
      </c>
      <c r="O940" s="4">
        <v>0</v>
      </c>
      <c r="P940" s="4" t="str">
        <f t="shared" si="14"/>
        <v>TPHASE.OVERHEAD</v>
      </c>
      <c r="Q940" s="4" t="str">
        <f>VLOOKUP(Cobra8.5[[#This Row],[Table.Column]],ColumnMapping[Old Table.Column],1,)</f>
        <v>TPHASE.OVERHEAD</v>
      </c>
    </row>
    <row r="941" spans="1:17" hidden="1" x14ac:dyDescent="0.2">
      <c r="A941" s="4" t="s">
        <v>2257</v>
      </c>
      <c r="B941" s="4">
        <v>0</v>
      </c>
      <c r="C941" s="4" t="s">
        <v>2257</v>
      </c>
      <c r="D941" s="4" t="s">
        <v>744</v>
      </c>
      <c r="E941" s="4" t="s">
        <v>86</v>
      </c>
      <c r="F941" s="4">
        <v>22</v>
      </c>
      <c r="G941" s="4">
        <v>0</v>
      </c>
      <c r="H941" s="4">
        <v>0</v>
      </c>
      <c r="K941" s="4">
        <v>0</v>
      </c>
      <c r="N941" s="4">
        <v>0</v>
      </c>
      <c r="O941" s="4">
        <v>0</v>
      </c>
      <c r="P941" s="4" t="str">
        <f t="shared" si="14"/>
        <v>TPHASE.PROGRAM</v>
      </c>
      <c r="Q941" s="4" t="str">
        <f>VLOOKUP(Cobra8.5[[#This Row],[Table.Column]],ColumnMapping[Old Table.Column],1,)</f>
        <v>TPHASE.PROGRAM</v>
      </c>
    </row>
    <row r="942" spans="1:17" hidden="1" x14ac:dyDescent="0.2">
      <c r="A942" s="4" t="s">
        <v>2259</v>
      </c>
      <c r="B942" s="4">
        <v>0</v>
      </c>
      <c r="C942" s="4" t="s">
        <v>2259</v>
      </c>
      <c r="D942" s="4" t="s">
        <v>2260</v>
      </c>
      <c r="E942" s="4" t="s">
        <v>86</v>
      </c>
      <c r="F942" s="4">
        <v>10</v>
      </c>
      <c r="G942" s="4">
        <v>0</v>
      </c>
      <c r="H942" s="4">
        <v>0</v>
      </c>
      <c r="K942" s="4">
        <v>0</v>
      </c>
      <c r="N942" s="4">
        <v>0</v>
      </c>
      <c r="O942" s="4">
        <v>0</v>
      </c>
      <c r="P942" s="4" t="str">
        <f t="shared" si="14"/>
        <v>USERTBLS.KEYFIELD</v>
      </c>
      <c r="Q942" s="4" t="e">
        <f>VLOOKUP(Cobra8.5[[#This Row],[Table.Column]],ColumnMapping[Old Table.Column],1,)</f>
        <v>#N/A</v>
      </c>
    </row>
    <row r="943" spans="1:17" hidden="1" x14ac:dyDescent="0.2">
      <c r="A943" s="4" t="s">
        <v>2259</v>
      </c>
      <c r="B943" s="4">
        <v>0</v>
      </c>
      <c r="C943" s="4" t="s">
        <v>2259</v>
      </c>
      <c r="D943" s="4" t="s">
        <v>2261</v>
      </c>
      <c r="E943" s="4" t="s">
        <v>86</v>
      </c>
      <c r="F943" s="4">
        <v>22</v>
      </c>
      <c r="G943" s="4">
        <v>0</v>
      </c>
      <c r="H943" s="4">
        <v>0</v>
      </c>
      <c r="K943" s="4">
        <v>0</v>
      </c>
      <c r="N943" s="4">
        <v>0</v>
      </c>
      <c r="O943" s="4">
        <v>0</v>
      </c>
      <c r="P943" s="4" t="str">
        <f t="shared" si="14"/>
        <v>USERTBLS.TABLENAME</v>
      </c>
      <c r="Q943" s="4" t="e">
        <f>VLOOKUP(Cobra8.5[[#This Row],[Table.Column]],ColumnMapping[Old Table.Column],1,)</f>
        <v>#N/A</v>
      </c>
    </row>
    <row r="944" spans="1:17" hidden="1" x14ac:dyDescent="0.2">
      <c r="A944" s="4" t="s">
        <v>2262</v>
      </c>
      <c r="B944" s="4">
        <v>0</v>
      </c>
      <c r="C944" s="4" t="s">
        <v>2263</v>
      </c>
      <c r="D944" s="4" t="s">
        <v>2264</v>
      </c>
      <c r="E944" s="4" t="s">
        <v>31</v>
      </c>
      <c r="F944" s="4">
        <v>22</v>
      </c>
      <c r="G944" s="4">
        <v>0</v>
      </c>
      <c r="H944" s="4">
        <v>0</v>
      </c>
      <c r="K944" s="4">
        <v>0</v>
      </c>
      <c r="N944" s="4">
        <v>0</v>
      </c>
      <c r="O944" s="4">
        <v>0</v>
      </c>
      <c r="P944" s="4" t="str">
        <f t="shared" si="14"/>
        <v>WST_ACL.ACL_UID</v>
      </c>
      <c r="Q944" s="4" t="str">
        <f>VLOOKUP(Cobra8.5[[#This Row],[Table.Column]],ColumnMapping[Old Table.Column],1,)</f>
        <v>WST_ACL.ACL_UID</v>
      </c>
    </row>
    <row r="945" spans="1:17" hidden="1" x14ac:dyDescent="0.2">
      <c r="A945" s="4" t="s">
        <v>2262</v>
      </c>
      <c r="B945" s="4">
        <v>0</v>
      </c>
      <c r="C945" s="4" t="s">
        <v>2263</v>
      </c>
      <c r="D945" s="4" t="s">
        <v>1997</v>
      </c>
      <c r="E945" s="4" t="s">
        <v>31</v>
      </c>
      <c r="F945" s="4">
        <v>22</v>
      </c>
      <c r="G945" s="4">
        <v>0</v>
      </c>
      <c r="H945" s="4">
        <v>0</v>
      </c>
      <c r="K945" s="4">
        <v>0</v>
      </c>
      <c r="N945" s="4">
        <v>0</v>
      </c>
      <c r="O945" s="4">
        <v>0</v>
      </c>
      <c r="P945" s="4" t="str">
        <f t="shared" si="14"/>
        <v>WST_ACL.DIR_UID</v>
      </c>
      <c r="Q945" s="4" t="str">
        <f>VLOOKUP(Cobra8.5[[#This Row],[Table.Column]],ColumnMapping[Old Table.Column],1,)</f>
        <v>WST_ACL.DIR_UID</v>
      </c>
    </row>
    <row r="946" spans="1:17" hidden="1" x14ac:dyDescent="0.2">
      <c r="A946" s="4" t="s">
        <v>2262</v>
      </c>
      <c r="B946" s="4">
        <v>0</v>
      </c>
      <c r="C946" s="4" t="s">
        <v>2263</v>
      </c>
      <c r="D946" s="4" t="s">
        <v>1935</v>
      </c>
      <c r="E946" s="4" t="s">
        <v>86</v>
      </c>
      <c r="F946" s="4">
        <v>20</v>
      </c>
      <c r="G946" s="4">
        <v>0</v>
      </c>
      <c r="H946" s="4">
        <v>0</v>
      </c>
      <c r="K946" s="4">
        <v>30501</v>
      </c>
      <c r="N946" s="4">
        <v>0</v>
      </c>
      <c r="O946" s="4">
        <v>0</v>
      </c>
      <c r="P946" s="4" t="str">
        <f t="shared" si="14"/>
        <v>WST_ACL.GRP_ID</v>
      </c>
      <c r="Q946" s="4" t="str">
        <f>VLOOKUP(Cobra8.5[[#This Row],[Table.Column]],ColumnMapping[Old Table.Column],1,)</f>
        <v>WST_ACL.GRP_ID</v>
      </c>
    </row>
    <row r="947" spans="1:17" hidden="1" x14ac:dyDescent="0.2">
      <c r="A947" s="4" t="s">
        <v>2262</v>
      </c>
      <c r="B947" s="4">
        <v>0</v>
      </c>
      <c r="C947" s="4" t="s">
        <v>2263</v>
      </c>
      <c r="D947" s="4" t="s">
        <v>1312</v>
      </c>
      <c r="E947" s="4" t="s">
        <v>2108</v>
      </c>
      <c r="F947" s="4">
        <v>4</v>
      </c>
      <c r="G947" s="4">
        <v>0</v>
      </c>
      <c r="H947" s="4">
        <v>0</v>
      </c>
      <c r="K947" s="4">
        <v>30502</v>
      </c>
      <c r="N947" s="4">
        <v>0</v>
      </c>
      <c r="O947" s="4">
        <v>0</v>
      </c>
      <c r="P947" s="4" t="str">
        <f t="shared" si="14"/>
        <v>WST_ACL.READONLY</v>
      </c>
      <c r="Q947" s="4" t="str">
        <f>VLOOKUP(Cobra8.5[[#This Row],[Table.Column]],ColumnMapping[Old Table.Column],1,)</f>
        <v>WST_ACL.READONLY</v>
      </c>
    </row>
    <row r="948" spans="1:17" hidden="1" x14ac:dyDescent="0.2">
      <c r="A948" s="4" t="s">
        <v>2262</v>
      </c>
      <c r="B948" s="4">
        <v>0</v>
      </c>
      <c r="C948" s="4" t="s">
        <v>2263</v>
      </c>
      <c r="D948" s="4" t="s">
        <v>2265</v>
      </c>
      <c r="E948" s="4" t="s">
        <v>86</v>
      </c>
      <c r="F948" s="4">
        <v>20</v>
      </c>
      <c r="G948" s="4">
        <v>0</v>
      </c>
      <c r="H948" s="4">
        <v>0</v>
      </c>
      <c r="K948" s="4">
        <v>30503</v>
      </c>
      <c r="N948" s="4">
        <v>0</v>
      </c>
      <c r="O948" s="4">
        <v>0</v>
      </c>
      <c r="P948" s="4" t="str">
        <f t="shared" si="14"/>
        <v>WST_ACL.ROL_ID</v>
      </c>
      <c r="Q948" s="4" t="str">
        <f>VLOOKUP(Cobra8.5[[#This Row],[Table.Column]],ColumnMapping[Old Table.Column],1,)</f>
        <v>WST_ACL.ROL_ID</v>
      </c>
    </row>
    <row r="949" spans="1:17" hidden="1" x14ac:dyDescent="0.2">
      <c r="A949" s="4" t="s">
        <v>2262</v>
      </c>
      <c r="B949" s="4">
        <v>0</v>
      </c>
      <c r="C949" s="4" t="s">
        <v>2263</v>
      </c>
      <c r="D949" s="4" t="s">
        <v>2112</v>
      </c>
      <c r="E949" s="4" t="s">
        <v>86</v>
      </c>
      <c r="F949" s="4">
        <v>20</v>
      </c>
      <c r="G949" s="4">
        <v>0</v>
      </c>
      <c r="H949" s="4">
        <v>131072</v>
      </c>
      <c r="K949" s="4">
        <v>30451</v>
      </c>
      <c r="N949" s="4">
        <v>0</v>
      </c>
      <c r="O949" s="4">
        <v>0</v>
      </c>
      <c r="P949" s="4" t="str">
        <f t="shared" si="14"/>
        <v>WST_ACL.USR_ID</v>
      </c>
      <c r="Q949" s="4" t="str">
        <f>VLOOKUP(Cobra8.5[[#This Row],[Table.Column]],ColumnMapping[Old Table.Column],1,)</f>
        <v>WST_ACL.USR_ID</v>
      </c>
    </row>
    <row r="950" spans="1:17" hidden="1" x14ac:dyDescent="0.2">
      <c r="A950" s="4" t="s">
        <v>2266</v>
      </c>
      <c r="B950" s="4">
        <v>7</v>
      </c>
      <c r="C950" s="4" t="s">
        <v>2267</v>
      </c>
      <c r="D950" s="4" t="s">
        <v>2268</v>
      </c>
      <c r="E950" s="4" t="s">
        <v>2269</v>
      </c>
      <c r="F950" s="4">
        <v>59</v>
      </c>
      <c r="G950" s="4">
        <v>0</v>
      </c>
      <c r="H950" s="4">
        <v>0</v>
      </c>
      <c r="K950" s="4">
        <v>30506</v>
      </c>
      <c r="N950" s="4">
        <v>0</v>
      </c>
      <c r="O950" s="4">
        <v>0</v>
      </c>
      <c r="P950" s="4" t="str">
        <f t="shared" si="14"/>
        <v>WST_CDR.CDR_ID</v>
      </c>
      <c r="Q950" s="4" t="e">
        <f>VLOOKUP(Cobra8.5[[#This Row],[Table.Column]],ColumnMapping[Old Table.Column],1,)</f>
        <v>#N/A</v>
      </c>
    </row>
    <row r="951" spans="1:17" hidden="1" x14ac:dyDescent="0.2">
      <c r="A951" s="4" t="s">
        <v>2266</v>
      </c>
      <c r="B951" s="4">
        <v>7</v>
      </c>
      <c r="C951" s="4" t="s">
        <v>2267</v>
      </c>
      <c r="D951" s="4" t="s">
        <v>2270</v>
      </c>
      <c r="E951" s="4" t="s">
        <v>31</v>
      </c>
      <c r="F951" s="4">
        <v>22</v>
      </c>
      <c r="G951" s="4">
        <v>0</v>
      </c>
      <c r="H951" s="4">
        <v>0</v>
      </c>
      <c r="K951" s="4">
        <v>0</v>
      </c>
      <c r="N951" s="4">
        <v>0</v>
      </c>
      <c r="O951" s="4">
        <v>0</v>
      </c>
      <c r="P951" s="4" t="str">
        <f t="shared" si="14"/>
        <v>WST_CDR.CDR_UID</v>
      </c>
      <c r="Q951" s="4" t="e">
        <f>VLOOKUP(Cobra8.5[[#This Row],[Table.Column]],ColumnMapping[Old Table.Column],1,)</f>
        <v>#N/A</v>
      </c>
    </row>
    <row r="952" spans="1:17" hidden="1" x14ac:dyDescent="0.2">
      <c r="A952" s="4" t="s">
        <v>2266</v>
      </c>
      <c r="B952" s="4">
        <v>7</v>
      </c>
      <c r="C952" s="4" t="s">
        <v>2267</v>
      </c>
      <c r="D952" s="4" t="s">
        <v>15</v>
      </c>
      <c r="E952" s="4" t="s">
        <v>86</v>
      </c>
      <c r="F952" s="4">
        <v>125</v>
      </c>
      <c r="G952" s="4">
        <v>0</v>
      </c>
      <c r="H952" s="4">
        <v>0</v>
      </c>
      <c r="K952" s="4">
        <v>30245</v>
      </c>
      <c r="N952" s="4">
        <v>0</v>
      </c>
      <c r="O952" s="4">
        <v>0</v>
      </c>
      <c r="P952" s="4" t="str">
        <f t="shared" si="14"/>
        <v>WST_CDR.DESCRIPTION</v>
      </c>
      <c r="Q952" s="4" t="e">
        <f>VLOOKUP(Cobra8.5[[#This Row],[Table.Column]],ColumnMapping[Old Table.Column],1,)</f>
        <v>#N/A</v>
      </c>
    </row>
    <row r="953" spans="1:17" hidden="1" x14ac:dyDescent="0.2">
      <c r="A953" s="4" t="s">
        <v>2266</v>
      </c>
      <c r="B953" s="4">
        <v>7</v>
      </c>
      <c r="C953" s="4" t="s">
        <v>2267</v>
      </c>
      <c r="D953" s="4" t="s">
        <v>1997</v>
      </c>
      <c r="E953" s="4" t="s">
        <v>31</v>
      </c>
      <c r="F953" s="4">
        <v>22</v>
      </c>
      <c r="G953" s="4">
        <v>0</v>
      </c>
      <c r="H953" s="4">
        <v>0</v>
      </c>
      <c r="K953" s="4">
        <v>712</v>
      </c>
      <c r="L953" s="4" t="s">
        <v>2271</v>
      </c>
      <c r="M953" s="4" t="s">
        <v>1997</v>
      </c>
      <c r="N953" s="4">
        <v>1</v>
      </c>
      <c r="O953" s="4">
        <v>0</v>
      </c>
      <c r="P953" s="4" t="str">
        <f t="shared" si="14"/>
        <v>WST_CDR.DIR_UID</v>
      </c>
      <c r="Q953" s="4" t="e">
        <f>VLOOKUP(Cobra8.5[[#This Row],[Table.Column]],ColumnMapping[Old Table.Column],1,)</f>
        <v>#N/A</v>
      </c>
    </row>
    <row r="954" spans="1:17" hidden="1" x14ac:dyDescent="0.2">
      <c r="A954" s="4" t="s">
        <v>2266</v>
      </c>
      <c r="B954" s="4">
        <v>7</v>
      </c>
      <c r="C954" s="4" t="s">
        <v>2267</v>
      </c>
      <c r="D954" s="4" t="s">
        <v>2272</v>
      </c>
      <c r="E954" s="4" t="s">
        <v>2108</v>
      </c>
      <c r="F954" s="4">
        <v>10</v>
      </c>
      <c r="G954" s="4">
        <v>0</v>
      </c>
      <c r="H954" s="4">
        <v>0</v>
      </c>
      <c r="K954" s="4">
        <v>31947</v>
      </c>
      <c r="N954" s="4">
        <v>0</v>
      </c>
      <c r="O954" s="4">
        <v>0</v>
      </c>
      <c r="P954" s="4" t="str">
        <f t="shared" si="14"/>
        <v>WST_CDR.INTEGRATION_ID</v>
      </c>
      <c r="Q954" s="4" t="e">
        <f>VLOOKUP(Cobra8.5[[#This Row],[Table.Column]],ColumnMapping[Old Table.Column],1,)</f>
        <v>#N/A</v>
      </c>
    </row>
    <row r="955" spans="1:17" hidden="1" x14ac:dyDescent="0.2">
      <c r="A955" s="4" t="s">
        <v>2266</v>
      </c>
      <c r="B955" s="4">
        <v>7</v>
      </c>
      <c r="C955" s="4" t="s">
        <v>2267</v>
      </c>
      <c r="D955" s="4" t="s">
        <v>2111</v>
      </c>
      <c r="E955" s="4" t="s">
        <v>356</v>
      </c>
      <c r="F955" s="4">
        <v>20</v>
      </c>
      <c r="G955" s="4">
        <v>0</v>
      </c>
      <c r="H955" s="4">
        <v>131072</v>
      </c>
      <c r="K955" s="4">
        <v>30460</v>
      </c>
      <c r="N955" s="4">
        <v>0</v>
      </c>
      <c r="O955" s="4">
        <v>0</v>
      </c>
      <c r="P955" s="4" t="str">
        <f t="shared" si="14"/>
        <v>WST_CDR.LASTUPDATE</v>
      </c>
      <c r="Q955" s="4" t="e">
        <f>VLOOKUP(Cobra8.5[[#This Row],[Table.Column]],ColumnMapping[Old Table.Column],1,)</f>
        <v>#N/A</v>
      </c>
    </row>
    <row r="956" spans="1:17" hidden="1" x14ac:dyDescent="0.2">
      <c r="A956" s="4" t="s">
        <v>2266</v>
      </c>
      <c r="B956" s="4">
        <v>7</v>
      </c>
      <c r="C956" s="4" t="s">
        <v>2267</v>
      </c>
      <c r="D956" s="4" t="s">
        <v>2273</v>
      </c>
      <c r="E956" s="4" t="s">
        <v>2108</v>
      </c>
      <c r="F956" s="4">
        <v>8</v>
      </c>
      <c r="G956" s="4">
        <v>0</v>
      </c>
      <c r="H956" s="4">
        <v>0</v>
      </c>
      <c r="K956" s="4">
        <v>30248</v>
      </c>
      <c r="N956" s="4">
        <v>0</v>
      </c>
      <c r="O956" s="4">
        <v>0</v>
      </c>
      <c r="P956" s="4" t="str">
        <f t="shared" si="14"/>
        <v>WST_CDR.POSITION_NUM</v>
      </c>
      <c r="Q956" s="4" t="e">
        <f>VLOOKUP(Cobra8.5[[#This Row],[Table.Column]],ColumnMapping[Old Table.Column],1,)</f>
        <v>#N/A</v>
      </c>
    </row>
    <row r="957" spans="1:17" hidden="1" x14ac:dyDescent="0.2">
      <c r="A957" s="4" t="s">
        <v>2266</v>
      </c>
      <c r="B957" s="4">
        <v>7</v>
      </c>
      <c r="C957" s="4" t="s">
        <v>2267</v>
      </c>
      <c r="D957" s="4" t="s">
        <v>35</v>
      </c>
      <c r="E957" s="4" t="s">
        <v>2108</v>
      </c>
      <c r="F957" s="4">
        <v>4</v>
      </c>
      <c r="G957" s="4">
        <v>0</v>
      </c>
      <c r="H957" s="4">
        <v>196608</v>
      </c>
      <c r="K957" s="4">
        <v>30042</v>
      </c>
      <c r="N957" s="4">
        <v>0</v>
      </c>
      <c r="O957" s="4">
        <v>0</v>
      </c>
      <c r="P957" s="4" t="str">
        <f t="shared" si="14"/>
        <v>WST_CDR.SEQUENCE</v>
      </c>
      <c r="Q957" s="4" t="e">
        <f>VLOOKUP(Cobra8.5[[#This Row],[Table.Column]],ColumnMapping[Old Table.Column],1,)</f>
        <v>#N/A</v>
      </c>
    </row>
    <row r="958" spans="1:17" hidden="1" x14ac:dyDescent="0.2">
      <c r="A958" s="4" t="s">
        <v>2266</v>
      </c>
      <c r="B958" s="4">
        <v>7</v>
      </c>
      <c r="C958" s="4" t="s">
        <v>2267</v>
      </c>
      <c r="D958" s="4" t="s">
        <v>2274</v>
      </c>
      <c r="E958" s="4" t="s">
        <v>2042</v>
      </c>
      <c r="F958" s="4">
        <v>4</v>
      </c>
      <c r="G958" s="4">
        <v>0</v>
      </c>
      <c r="H958" s="4">
        <v>0</v>
      </c>
      <c r="K958" s="4">
        <v>30332</v>
      </c>
      <c r="N958" s="4">
        <v>0</v>
      </c>
      <c r="O958" s="4">
        <v>0</v>
      </c>
      <c r="P958" s="4" t="str">
        <f t="shared" si="14"/>
        <v>WST_CDR.SUPPRESS</v>
      </c>
      <c r="Q958" s="4" t="e">
        <f>VLOOKUP(Cobra8.5[[#This Row],[Table.Column]],ColumnMapping[Old Table.Column],1,)</f>
        <v>#N/A</v>
      </c>
    </row>
    <row r="959" spans="1:17" hidden="1" x14ac:dyDescent="0.2">
      <c r="A959" s="4" t="s">
        <v>2266</v>
      </c>
      <c r="B959" s="4">
        <v>7</v>
      </c>
      <c r="C959" s="4" t="s">
        <v>2267</v>
      </c>
      <c r="D959" s="4" t="s">
        <v>2112</v>
      </c>
      <c r="E959" s="4" t="s">
        <v>86</v>
      </c>
      <c r="F959" s="4">
        <v>20</v>
      </c>
      <c r="G959" s="4">
        <v>0</v>
      </c>
      <c r="H959" s="4">
        <v>131072</v>
      </c>
      <c r="K959" s="4">
        <v>30451</v>
      </c>
      <c r="N959" s="4">
        <v>0</v>
      </c>
      <c r="O959" s="4">
        <v>0</v>
      </c>
      <c r="P959" s="4" t="str">
        <f t="shared" si="14"/>
        <v>WST_CDR.USR_ID</v>
      </c>
      <c r="Q959" s="4" t="e">
        <f>VLOOKUP(Cobra8.5[[#This Row],[Table.Column]],ColumnMapping[Old Table.Column],1,)</f>
        <v>#N/A</v>
      </c>
    </row>
    <row r="960" spans="1:17" hidden="1" x14ac:dyDescent="0.2">
      <c r="A960" s="4" t="s">
        <v>2275</v>
      </c>
      <c r="B960" s="4">
        <v>2</v>
      </c>
      <c r="C960" s="4" t="s">
        <v>2276</v>
      </c>
      <c r="D960" s="4" t="s">
        <v>2277</v>
      </c>
      <c r="E960" s="4" t="s">
        <v>86</v>
      </c>
      <c r="F960" s="4">
        <v>60</v>
      </c>
      <c r="G960" s="4">
        <v>0</v>
      </c>
      <c r="H960" s="4">
        <v>0</v>
      </c>
      <c r="K960" s="4">
        <v>0</v>
      </c>
      <c r="N960" s="4">
        <v>0</v>
      </c>
      <c r="O960" s="4">
        <v>0</v>
      </c>
      <c r="P960" s="4" t="str">
        <f t="shared" si="14"/>
        <v>WST_CFG.CFG_ID</v>
      </c>
      <c r="Q960" s="4" t="e">
        <f>VLOOKUP(Cobra8.5[[#This Row],[Table.Column]],ColumnMapping[Old Table.Column],1,)</f>
        <v>#N/A</v>
      </c>
    </row>
    <row r="961" spans="1:17" hidden="1" x14ac:dyDescent="0.2">
      <c r="A961" s="4" t="s">
        <v>2275</v>
      </c>
      <c r="B961" s="4">
        <v>2</v>
      </c>
      <c r="C961" s="4" t="s">
        <v>2276</v>
      </c>
      <c r="D961" s="4" t="s">
        <v>2278</v>
      </c>
      <c r="E961" s="4" t="s">
        <v>86</v>
      </c>
      <c r="F961" s="4">
        <v>30</v>
      </c>
      <c r="G961" s="4">
        <v>0</v>
      </c>
      <c r="H961" s="4">
        <v>0</v>
      </c>
      <c r="K961" s="4">
        <v>0</v>
      </c>
      <c r="N961" s="4">
        <v>0</v>
      </c>
      <c r="O961" s="4">
        <v>0</v>
      </c>
      <c r="P961" s="4" t="str">
        <f t="shared" si="14"/>
        <v>WST_CFG.CFG_TYPE</v>
      </c>
      <c r="Q961" s="4" t="e">
        <f>VLOOKUP(Cobra8.5[[#This Row],[Table.Column]],ColumnMapping[Old Table.Column],1,)</f>
        <v>#N/A</v>
      </c>
    </row>
    <row r="962" spans="1:17" hidden="1" x14ac:dyDescent="0.2">
      <c r="A962" s="4" t="s">
        <v>2275</v>
      </c>
      <c r="B962" s="4">
        <v>2</v>
      </c>
      <c r="C962" s="4" t="s">
        <v>2276</v>
      </c>
      <c r="D962" s="4" t="s">
        <v>2279</v>
      </c>
      <c r="E962" s="4" t="s">
        <v>31</v>
      </c>
      <c r="F962" s="4">
        <v>22</v>
      </c>
      <c r="G962" s="4">
        <v>0</v>
      </c>
      <c r="H962" s="4">
        <v>0</v>
      </c>
      <c r="K962" s="4">
        <v>0</v>
      </c>
      <c r="N962" s="4">
        <v>0</v>
      </c>
      <c r="O962" s="4">
        <v>0</v>
      </c>
      <c r="P962" s="4" t="str">
        <f t="shared" ref="P962:P1025" si="15">_xlfn.CONCAT(A962,".",D962)</f>
        <v>WST_CFG.CFG_UID</v>
      </c>
      <c r="Q962" s="4" t="e">
        <f>VLOOKUP(Cobra8.5[[#This Row],[Table.Column]],ColumnMapping[Old Table.Column],1,)</f>
        <v>#N/A</v>
      </c>
    </row>
    <row r="963" spans="1:17" hidden="1" x14ac:dyDescent="0.2">
      <c r="A963" s="4" t="s">
        <v>2275</v>
      </c>
      <c r="B963" s="4">
        <v>2</v>
      </c>
      <c r="C963" s="4" t="s">
        <v>2276</v>
      </c>
      <c r="D963" s="4" t="s">
        <v>270</v>
      </c>
      <c r="E963" s="4" t="s">
        <v>86</v>
      </c>
      <c r="F963" s="4">
        <v>8192</v>
      </c>
      <c r="G963" s="4">
        <v>0</v>
      </c>
      <c r="H963" s="4">
        <v>0</v>
      </c>
      <c r="K963" s="4">
        <v>0</v>
      </c>
      <c r="N963" s="4">
        <v>0</v>
      </c>
      <c r="O963" s="4">
        <v>0</v>
      </c>
      <c r="P963" s="4" t="str">
        <f t="shared" si="15"/>
        <v>WST_CFG.DATA</v>
      </c>
      <c r="Q963" s="4" t="e">
        <f>VLOOKUP(Cobra8.5[[#This Row],[Table.Column]],ColumnMapping[Old Table.Column],1,)</f>
        <v>#N/A</v>
      </c>
    </row>
    <row r="964" spans="1:17" hidden="1" x14ac:dyDescent="0.2">
      <c r="A964" s="4" t="s">
        <v>2275</v>
      </c>
      <c r="B964" s="4">
        <v>2</v>
      </c>
      <c r="C964" s="4" t="s">
        <v>2276</v>
      </c>
      <c r="D964" s="4" t="s">
        <v>15</v>
      </c>
      <c r="E964" s="4" t="s">
        <v>86</v>
      </c>
      <c r="F964" s="4">
        <v>254</v>
      </c>
      <c r="G964" s="4">
        <v>0</v>
      </c>
      <c r="H964" s="4">
        <v>0</v>
      </c>
      <c r="K964" s="4">
        <v>0</v>
      </c>
      <c r="N964" s="4">
        <v>0</v>
      </c>
      <c r="O964" s="4">
        <v>0</v>
      </c>
      <c r="P964" s="4" t="str">
        <f t="shared" si="15"/>
        <v>WST_CFG.DESCRIPTION</v>
      </c>
      <c r="Q964" s="4" t="e">
        <f>VLOOKUP(Cobra8.5[[#This Row],[Table.Column]],ColumnMapping[Old Table.Column],1,)</f>
        <v>#N/A</v>
      </c>
    </row>
    <row r="965" spans="1:17" hidden="1" x14ac:dyDescent="0.2">
      <c r="A965" s="4" t="s">
        <v>2275</v>
      </c>
      <c r="B965" s="4">
        <v>2</v>
      </c>
      <c r="C965" s="4" t="s">
        <v>2276</v>
      </c>
      <c r="D965" s="4" t="s">
        <v>2111</v>
      </c>
      <c r="E965" s="4" t="s">
        <v>356</v>
      </c>
      <c r="F965" s="4">
        <v>20</v>
      </c>
      <c r="G965" s="4">
        <v>0</v>
      </c>
      <c r="H965" s="4">
        <v>131072</v>
      </c>
      <c r="K965" s="4">
        <v>30460</v>
      </c>
      <c r="N965" s="4">
        <v>0</v>
      </c>
      <c r="O965" s="4">
        <v>0</v>
      </c>
      <c r="P965" s="4" t="str">
        <f t="shared" si="15"/>
        <v>WST_CFG.LASTUPDATE</v>
      </c>
      <c r="Q965" s="4" t="e">
        <f>VLOOKUP(Cobra8.5[[#This Row],[Table.Column]],ColumnMapping[Old Table.Column],1,)</f>
        <v>#N/A</v>
      </c>
    </row>
    <row r="966" spans="1:17" hidden="1" x14ac:dyDescent="0.2">
      <c r="A966" s="4" t="s">
        <v>2275</v>
      </c>
      <c r="B966" s="4">
        <v>2</v>
      </c>
      <c r="C966" s="4" t="s">
        <v>2276</v>
      </c>
      <c r="D966" s="4" t="s">
        <v>1936</v>
      </c>
      <c r="E966" s="4" t="s">
        <v>86</v>
      </c>
      <c r="F966" s="4">
        <v>20</v>
      </c>
      <c r="G966" s="4">
        <v>0</v>
      </c>
      <c r="H966" s="4">
        <v>131072</v>
      </c>
      <c r="K966" s="4">
        <v>30452</v>
      </c>
      <c r="N966" s="4">
        <v>0</v>
      </c>
      <c r="O966" s="4">
        <v>0</v>
      </c>
      <c r="P966" s="4" t="str">
        <f t="shared" si="15"/>
        <v>WST_CFG.OWNER_ID</v>
      </c>
      <c r="Q966" s="4" t="e">
        <f>VLOOKUP(Cobra8.5[[#This Row],[Table.Column]],ColumnMapping[Old Table.Column],1,)</f>
        <v>#N/A</v>
      </c>
    </row>
    <row r="967" spans="1:17" hidden="1" x14ac:dyDescent="0.2">
      <c r="A967" s="4" t="s">
        <v>2275</v>
      </c>
      <c r="B967" s="4">
        <v>2</v>
      </c>
      <c r="C967" s="4" t="s">
        <v>2276</v>
      </c>
      <c r="D967" s="4" t="s">
        <v>2002</v>
      </c>
      <c r="E967" s="4" t="s">
        <v>2108</v>
      </c>
      <c r="F967" s="4">
        <v>4</v>
      </c>
      <c r="G967" s="4">
        <v>0</v>
      </c>
      <c r="H967" s="4">
        <v>0</v>
      </c>
      <c r="K967" s="4">
        <v>15032</v>
      </c>
      <c r="N967" s="4">
        <v>0</v>
      </c>
      <c r="O967" s="4">
        <v>0</v>
      </c>
      <c r="P967" s="4" t="str">
        <f t="shared" si="15"/>
        <v>WST_CFG.PRD_UID</v>
      </c>
      <c r="Q967" s="4" t="str">
        <f>VLOOKUP(Cobra8.5[[#This Row],[Table.Column]],ColumnMapping[Old Table.Column],1,)</f>
        <v>WST_CFG.PRD_UID</v>
      </c>
    </row>
    <row r="968" spans="1:17" hidden="1" x14ac:dyDescent="0.2">
      <c r="A968" s="4" t="s">
        <v>2275</v>
      </c>
      <c r="B968" s="4">
        <v>2</v>
      </c>
      <c r="C968" s="4" t="s">
        <v>2276</v>
      </c>
      <c r="D968" s="4" t="s">
        <v>35</v>
      </c>
      <c r="E968" s="4" t="s">
        <v>2108</v>
      </c>
      <c r="F968" s="4">
        <v>4</v>
      </c>
      <c r="G968" s="4">
        <v>0</v>
      </c>
      <c r="H968" s="4">
        <v>196608</v>
      </c>
      <c r="K968" s="4">
        <v>30042</v>
      </c>
      <c r="N968" s="4">
        <v>0</v>
      </c>
      <c r="O968" s="4">
        <v>0</v>
      </c>
      <c r="P968" s="4" t="str">
        <f t="shared" si="15"/>
        <v>WST_CFG.SEQUENCE</v>
      </c>
      <c r="Q968" s="4" t="e">
        <f>VLOOKUP(Cobra8.5[[#This Row],[Table.Column]],ColumnMapping[Old Table.Column],1,)</f>
        <v>#N/A</v>
      </c>
    </row>
    <row r="969" spans="1:17" hidden="1" x14ac:dyDescent="0.2">
      <c r="A969" s="4" t="s">
        <v>2275</v>
      </c>
      <c r="B969" s="4">
        <v>2</v>
      </c>
      <c r="C969" s="4" t="s">
        <v>2276</v>
      </c>
      <c r="D969" s="4" t="s">
        <v>2112</v>
      </c>
      <c r="E969" s="4" t="s">
        <v>86</v>
      </c>
      <c r="F969" s="4">
        <v>20</v>
      </c>
      <c r="G969" s="4">
        <v>0</v>
      </c>
      <c r="H969" s="4">
        <v>131072</v>
      </c>
      <c r="K969" s="4">
        <v>30451</v>
      </c>
      <c r="N969" s="4">
        <v>0</v>
      </c>
      <c r="O969" s="4">
        <v>0</v>
      </c>
      <c r="P969" s="4" t="str">
        <f t="shared" si="15"/>
        <v>WST_CFG.USR_ID</v>
      </c>
      <c r="Q969" s="4" t="e">
        <f>VLOOKUP(Cobra8.5[[#This Row],[Table.Column]],ColumnMapping[Old Table.Column],1,)</f>
        <v>#N/A</v>
      </c>
    </row>
    <row r="970" spans="1:17" hidden="1" x14ac:dyDescent="0.2">
      <c r="A970" s="4" t="s">
        <v>2280</v>
      </c>
      <c r="B970" s="4">
        <v>7</v>
      </c>
      <c r="C970" s="4" t="s">
        <v>2271</v>
      </c>
      <c r="D970" s="4" t="s">
        <v>270</v>
      </c>
      <c r="E970" s="4" t="s">
        <v>86</v>
      </c>
      <c r="F970" s="4">
        <v>60</v>
      </c>
      <c r="G970" s="4">
        <v>0</v>
      </c>
      <c r="H970" s="4">
        <v>0</v>
      </c>
      <c r="K970" s="4">
        <v>30512</v>
      </c>
      <c r="N970" s="4">
        <v>0</v>
      </c>
      <c r="O970" s="4">
        <v>0</v>
      </c>
      <c r="P970" s="4" t="str">
        <f t="shared" si="15"/>
        <v>WST_COD.DATA</v>
      </c>
      <c r="Q970" s="4" t="e">
        <f>VLOOKUP(Cobra8.5[[#This Row],[Table.Column]],ColumnMapping[Old Table.Column],1,)</f>
        <v>#N/A</v>
      </c>
    </row>
    <row r="971" spans="1:17" hidden="1" x14ac:dyDescent="0.2">
      <c r="A971" s="4" t="s">
        <v>2280</v>
      </c>
      <c r="B971" s="4">
        <v>7</v>
      </c>
      <c r="C971" s="4" t="s">
        <v>2271</v>
      </c>
      <c r="D971" s="4" t="s">
        <v>1997</v>
      </c>
      <c r="E971" s="4" t="s">
        <v>31</v>
      </c>
      <c r="F971" s="4">
        <v>22</v>
      </c>
      <c r="G971" s="4">
        <v>0</v>
      </c>
      <c r="H971" s="4">
        <v>0</v>
      </c>
      <c r="K971" s="4">
        <v>0</v>
      </c>
      <c r="L971" s="4">
        <v>0</v>
      </c>
      <c r="M971" s="4" t="s">
        <v>1997</v>
      </c>
      <c r="N971" s="4">
        <v>1</v>
      </c>
      <c r="O971" s="4">
        <v>0</v>
      </c>
      <c r="P971" s="4" t="str">
        <f t="shared" si="15"/>
        <v>WST_COD.DIR_UID</v>
      </c>
      <c r="Q971" s="4" t="e">
        <f>VLOOKUP(Cobra8.5[[#This Row],[Table.Column]],ColumnMapping[Old Table.Column],1,)</f>
        <v>#N/A</v>
      </c>
    </row>
    <row r="972" spans="1:17" hidden="1" x14ac:dyDescent="0.2">
      <c r="A972" s="4" t="s">
        <v>2280</v>
      </c>
      <c r="B972" s="4">
        <v>7</v>
      </c>
      <c r="C972" s="4" t="s">
        <v>2271</v>
      </c>
      <c r="D972" s="4" t="s">
        <v>2281</v>
      </c>
      <c r="E972" s="4" t="s">
        <v>86</v>
      </c>
      <c r="F972" s="4">
        <v>20</v>
      </c>
      <c r="G972" s="4">
        <v>0</v>
      </c>
      <c r="H972" s="4">
        <v>0</v>
      </c>
      <c r="K972" s="4">
        <v>30511</v>
      </c>
      <c r="N972" s="4">
        <v>0</v>
      </c>
      <c r="O972" s="4">
        <v>0</v>
      </c>
      <c r="P972" s="4" t="str">
        <f t="shared" si="15"/>
        <v>WST_COD.PROMPT_TEXT</v>
      </c>
      <c r="Q972" s="4" t="e">
        <f>VLOOKUP(Cobra8.5[[#This Row],[Table.Column]],ColumnMapping[Old Table.Column],1,)</f>
        <v>#N/A</v>
      </c>
    </row>
    <row r="973" spans="1:17" hidden="1" x14ac:dyDescent="0.2">
      <c r="A973" s="4" t="s">
        <v>2280</v>
      </c>
      <c r="B973" s="4">
        <v>7</v>
      </c>
      <c r="C973" s="4" t="s">
        <v>2271</v>
      </c>
      <c r="D973" s="4" t="s">
        <v>2282</v>
      </c>
      <c r="E973" s="4" t="s">
        <v>86</v>
      </c>
      <c r="F973" s="4">
        <v>20</v>
      </c>
      <c r="G973" s="4">
        <v>0</v>
      </c>
      <c r="H973" s="4">
        <v>0</v>
      </c>
      <c r="K973" s="4">
        <v>31505</v>
      </c>
      <c r="N973" s="4">
        <v>0</v>
      </c>
      <c r="O973" s="4">
        <v>0</v>
      </c>
      <c r="P973" s="4" t="str">
        <f t="shared" si="15"/>
        <v>WST_COD.STARTVIEW</v>
      </c>
      <c r="Q973" s="4" t="e">
        <f>VLOOKUP(Cobra8.5[[#This Row],[Table.Column]],ColumnMapping[Old Table.Column],1,)</f>
        <v>#N/A</v>
      </c>
    </row>
    <row r="974" spans="1:17" hidden="1" x14ac:dyDescent="0.2">
      <c r="A974" s="4" t="s">
        <v>2280</v>
      </c>
      <c r="B974" s="4">
        <v>7</v>
      </c>
      <c r="C974" s="4" t="s">
        <v>2271</v>
      </c>
      <c r="D974" s="4" t="s">
        <v>93</v>
      </c>
      <c r="E974" s="4" t="s">
        <v>86</v>
      </c>
      <c r="F974" s="4">
        <v>10</v>
      </c>
      <c r="G974" s="4">
        <v>0</v>
      </c>
      <c r="H974" s="4">
        <v>0</v>
      </c>
      <c r="K974" s="4">
        <v>30513</v>
      </c>
      <c r="N974" s="4">
        <v>0</v>
      </c>
      <c r="O974" s="4">
        <v>0</v>
      </c>
      <c r="P974" s="4" t="str">
        <f t="shared" si="15"/>
        <v>WST_COD.TH_FLAGS</v>
      </c>
      <c r="Q974" s="4" t="e">
        <f>VLOOKUP(Cobra8.5[[#This Row],[Table.Column]],ColumnMapping[Old Table.Column],1,)</f>
        <v>#N/A</v>
      </c>
    </row>
    <row r="975" spans="1:17" hidden="1" x14ac:dyDescent="0.2">
      <c r="A975" s="4" t="s">
        <v>2283</v>
      </c>
      <c r="B975" s="4">
        <v>0</v>
      </c>
      <c r="C975" s="4" t="s">
        <v>2284</v>
      </c>
      <c r="D975" s="4" t="s">
        <v>15</v>
      </c>
      <c r="E975" s="4" t="s">
        <v>86</v>
      </c>
      <c r="F975" s="4">
        <v>125</v>
      </c>
      <c r="G975" s="4">
        <v>0</v>
      </c>
      <c r="H975" s="4">
        <v>0</v>
      </c>
      <c r="K975" s="4">
        <v>30525</v>
      </c>
      <c r="N975" s="4">
        <v>0</v>
      </c>
      <c r="O975" s="4">
        <v>0</v>
      </c>
      <c r="P975" s="4" t="str">
        <f t="shared" si="15"/>
        <v>WST_DIR.DESCRIPTION</v>
      </c>
      <c r="Q975" s="4" t="e">
        <f>VLOOKUP(Cobra8.5[[#This Row],[Table.Column]],ColumnMapping[Old Table.Column],1,)</f>
        <v>#N/A</v>
      </c>
    </row>
    <row r="976" spans="1:17" hidden="1" x14ac:dyDescent="0.2">
      <c r="A976" s="4" t="s">
        <v>2283</v>
      </c>
      <c r="B976" s="4">
        <v>0</v>
      </c>
      <c r="C976" s="4" t="s">
        <v>2284</v>
      </c>
      <c r="D976" s="4" t="s">
        <v>1962</v>
      </c>
      <c r="E976" s="4" t="s">
        <v>86</v>
      </c>
      <c r="F976" s="4">
        <v>22</v>
      </c>
      <c r="G976" s="4">
        <v>0</v>
      </c>
      <c r="H976" s="4">
        <v>0</v>
      </c>
      <c r="K976" s="4">
        <v>30527</v>
      </c>
      <c r="N976" s="4">
        <v>0</v>
      </c>
      <c r="O976" s="4">
        <v>0</v>
      </c>
      <c r="P976" s="4" t="str">
        <f t="shared" si="15"/>
        <v>WST_DIR.DIR_ID</v>
      </c>
      <c r="Q976" s="4" t="e">
        <f>VLOOKUP(Cobra8.5[[#This Row],[Table.Column]],ColumnMapping[Old Table.Column],1,)</f>
        <v>#N/A</v>
      </c>
    </row>
    <row r="977" spans="1:17" hidden="1" x14ac:dyDescent="0.2">
      <c r="A977" s="4" t="s">
        <v>2283</v>
      </c>
      <c r="B977" s="4">
        <v>0</v>
      </c>
      <c r="C977" s="4" t="s">
        <v>2284</v>
      </c>
      <c r="D977" s="4" t="s">
        <v>1997</v>
      </c>
      <c r="E977" s="4" t="s">
        <v>31</v>
      </c>
      <c r="F977" s="4">
        <v>22</v>
      </c>
      <c r="G977" s="4">
        <v>0</v>
      </c>
      <c r="H977" s="4">
        <v>0</v>
      </c>
      <c r="K977" s="4">
        <v>0</v>
      </c>
      <c r="N977" s="4">
        <v>0</v>
      </c>
      <c r="O977" s="4">
        <v>0</v>
      </c>
      <c r="P977" s="4" t="str">
        <f t="shared" si="15"/>
        <v>WST_DIR.DIR_UID</v>
      </c>
      <c r="Q977" s="4" t="e">
        <f>VLOOKUP(Cobra8.5[[#This Row],[Table.Column]],ColumnMapping[Old Table.Column],1,)</f>
        <v>#N/A</v>
      </c>
    </row>
    <row r="978" spans="1:17" hidden="1" x14ac:dyDescent="0.2">
      <c r="A978" s="4" t="s">
        <v>2283</v>
      </c>
      <c r="B978" s="4">
        <v>0</v>
      </c>
      <c r="C978" s="4" t="s">
        <v>2284</v>
      </c>
      <c r="D978" s="4" t="s">
        <v>2111</v>
      </c>
      <c r="E978" s="4" t="s">
        <v>356</v>
      </c>
      <c r="F978" s="4">
        <v>20</v>
      </c>
      <c r="G978" s="4">
        <v>0</v>
      </c>
      <c r="H978" s="4">
        <v>131072</v>
      </c>
      <c r="K978" s="4">
        <v>30460</v>
      </c>
      <c r="N978" s="4">
        <v>0</v>
      </c>
      <c r="O978" s="4">
        <v>0</v>
      </c>
      <c r="P978" s="4" t="str">
        <f t="shared" si="15"/>
        <v>WST_DIR.LASTUPDATE</v>
      </c>
      <c r="Q978" s="4" t="e">
        <f>VLOOKUP(Cobra8.5[[#This Row],[Table.Column]],ColumnMapping[Old Table.Column],1,)</f>
        <v>#N/A</v>
      </c>
    </row>
    <row r="979" spans="1:17" hidden="1" x14ac:dyDescent="0.2">
      <c r="A979" s="4" t="s">
        <v>2283</v>
      </c>
      <c r="B979" s="4">
        <v>0</v>
      </c>
      <c r="C979" s="4" t="s">
        <v>2284</v>
      </c>
      <c r="D979" s="4" t="s">
        <v>2285</v>
      </c>
      <c r="E979" s="4" t="s">
        <v>86</v>
      </c>
      <c r="F979" s="4">
        <v>1</v>
      </c>
      <c r="G979" s="4">
        <v>0</v>
      </c>
      <c r="H979" s="4">
        <v>0</v>
      </c>
      <c r="K979" s="4">
        <v>30528</v>
      </c>
      <c r="N979" s="4">
        <v>0</v>
      </c>
      <c r="O979" s="4">
        <v>0</v>
      </c>
      <c r="P979" s="4" t="str">
        <f t="shared" si="15"/>
        <v>WST_DIR.OPENMODE</v>
      </c>
      <c r="Q979" s="4" t="e">
        <f>VLOOKUP(Cobra8.5[[#This Row],[Table.Column]],ColumnMapping[Old Table.Column],1,)</f>
        <v>#N/A</v>
      </c>
    </row>
    <row r="980" spans="1:17" hidden="1" x14ac:dyDescent="0.2">
      <c r="A980" s="4" t="s">
        <v>2283</v>
      </c>
      <c r="B980" s="4">
        <v>0</v>
      </c>
      <c r="C980" s="4" t="s">
        <v>2284</v>
      </c>
      <c r="D980" s="4" t="s">
        <v>1936</v>
      </c>
      <c r="E980" s="4" t="s">
        <v>86</v>
      </c>
      <c r="F980" s="4">
        <v>20</v>
      </c>
      <c r="G980" s="4">
        <v>0</v>
      </c>
      <c r="H980" s="4">
        <v>131072</v>
      </c>
      <c r="K980" s="4">
        <v>30452</v>
      </c>
      <c r="N980" s="4">
        <v>0</v>
      </c>
      <c r="O980" s="4">
        <v>0</v>
      </c>
      <c r="P980" s="4" t="str">
        <f t="shared" si="15"/>
        <v>WST_DIR.OWNER_ID</v>
      </c>
      <c r="Q980" s="4" t="e">
        <f>VLOOKUP(Cobra8.5[[#This Row],[Table.Column]],ColumnMapping[Old Table.Column],1,)</f>
        <v>#N/A</v>
      </c>
    </row>
    <row r="981" spans="1:17" hidden="1" x14ac:dyDescent="0.2">
      <c r="A981" s="4" t="s">
        <v>2283</v>
      </c>
      <c r="B981" s="4">
        <v>0</v>
      </c>
      <c r="C981" s="4" t="s">
        <v>2284</v>
      </c>
      <c r="D981" s="4" t="s">
        <v>35</v>
      </c>
      <c r="E981" s="4" t="s">
        <v>2108</v>
      </c>
      <c r="F981" s="4">
        <v>4</v>
      </c>
      <c r="G981" s="4">
        <v>0</v>
      </c>
      <c r="H981" s="4">
        <v>196608</v>
      </c>
      <c r="K981" s="4">
        <v>30042</v>
      </c>
      <c r="N981" s="4">
        <v>0</v>
      </c>
      <c r="O981" s="4">
        <v>0</v>
      </c>
      <c r="P981" s="4" t="str">
        <f t="shared" si="15"/>
        <v>WST_DIR.SEQUENCE</v>
      </c>
      <c r="Q981" s="4" t="e">
        <f>VLOOKUP(Cobra8.5[[#This Row],[Table.Column]],ColumnMapping[Old Table.Column],1,)</f>
        <v>#N/A</v>
      </c>
    </row>
    <row r="982" spans="1:17" hidden="1" x14ac:dyDescent="0.2">
      <c r="A982" s="4" t="s">
        <v>2283</v>
      </c>
      <c r="B982" s="4">
        <v>0</v>
      </c>
      <c r="C982" s="4" t="s">
        <v>2284</v>
      </c>
      <c r="D982" s="4" t="s">
        <v>2005</v>
      </c>
      <c r="E982" s="4" t="s">
        <v>86</v>
      </c>
      <c r="F982" s="4">
        <v>30</v>
      </c>
      <c r="G982" s="4">
        <v>0</v>
      </c>
      <c r="H982" s="4">
        <v>0</v>
      </c>
      <c r="K982" s="4">
        <v>30526</v>
      </c>
      <c r="N982" s="4">
        <v>0</v>
      </c>
      <c r="O982" s="4">
        <v>0</v>
      </c>
      <c r="P982" s="4" t="str">
        <f t="shared" si="15"/>
        <v>WST_DIR.TABLE_TYPE</v>
      </c>
      <c r="Q982" s="4" t="e">
        <f>VLOOKUP(Cobra8.5[[#This Row],[Table.Column]],ColumnMapping[Old Table.Column],1,)</f>
        <v>#N/A</v>
      </c>
    </row>
    <row r="983" spans="1:17" hidden="1" x14ac:dyDescent="0.2">
      <c r="A983" s="4" t="s">
        <v>2283</v>
      </c>
      <c r="B983" s="4">
        <v>0</v>
      </c>
      <c r="C983" s="4" t="s">
        <v>2284</v>
      </c>
      <c r="D983" s="4" t="s">
        <v>2112</v>
      </c>
      <c r="E983" s="4" t="s">
        <v>86</v>
      </c>
      <c r="F983" s="4">
        <v>20</v>
      </c>
      <c r="G983" s="4">
        <v>0</v>
      </c>
      <c r="H983" s="4">
        <v>131072</v>
      </c>
      <c r="K983" s="4">
        <v>30451</v>
      </c>
      <c r="N983" s="4">
        <v>0</v>
      </c>
      <c r="O983" s="4">
        <v>0</v>
      </c>
      <c r="P983" s="4" t="str">
        <f t="shared" si="15"/>
        <v>WST_DIR.USR_ID</v>
      </c>
      <c r="Q983" s="4" t="e">
        <f>VLOOKUP(Cobra8.5[[#This Row],[Table.Column]],ColumnMapping[Old Table.Column],1,)</f>
        <v>#N/A</v>
      </c>
    </row>
    <row r="984" spans="1:17" hidden="1" x14ac:dyDescent="0.2">
      <c r="A984" s="4" t="s">
        <v>2286</v>
      </c>
      <c r="B984" s="4">
        <v>2</v>
      </c>
      <c r="C984" s="4" t="s">
        <v>2287</v>
      </c>
      <c r="D984" s="4" t="s">
        <v>15</v>
      </c>
      <c r="E984" s="4" t="s">
        <v>86</v>
      </c>
      <c r="F984" s="4">
        <v>60</v>
      </c>
      <c r="G984" s="4">
        <v>0</v>
      </c>
      <c r="H984" s="4">
        <v>0</v>
      </c>
      <c r="K984" s="4">
        <v>30525</v>
      </c>
      <c r="N984" s="4">
        <v>0</v>
      </c>
      <c r="O984" s="4">
        <v>0</v>
      </c>
      <c r="P984" s="4" t="str">
        <f t="shared" si="15"/>
        <v>WST_GRP.DESCRIPTION</v>
      </c>
      <c r="Q984" s="4" t="e">
        <f>VLOOKUP(Cobra8.5[[#This Row],[Table.Column]],ColumnMapping[Old Table.Column],1,)</f>
        <v>#N/A</v>
      </c>
    </row>
    <row r="985" spans="1:17" hidden="1" x14ac:dyDescent="0.2">
      <c r="A985" s="4" t="s">
        <v>2286</v>
      </c>
      <c r="B985" s="4">
        <v>2</v>
      </c>
      <c r="C985" s="4" t="s">
        <v>2287</v>
      </c>
      <c r="D985" s="4" t="s">
        <v>1935</v>
      </c>
      <c r="E985" s="4" t="s">
        <v>86</v>
      </c>
      <c r="F985" s="4">
        <v>20</v>
      </c>
      <c r="G985" s="4">
        <v>0</v>
      </c>
      <c r="H985" s="4">
        <v>0</v>
      </c>
      <c r="K985" s="4">
        <v>0</v>
      </c>
      <c r="N985" s="4">
        <v>0</v>
      </c>
      <c r="O985" s="4">
        <v>0</v>
      </c>
      <c r="P985" s="4" t="str">
        <f t="shared" si="15"/>
        <v>WST_GRP.GRP_ID</v>
      </c>
      <c r="Q985" s="4" t="e">
        <f>VLOOKUP(Cobra8.5[[#This Row],[Table.Column]],ColumnMapping[Old Table.Column],1,)</f>
        <v>#N/A</v>
      </c>
    </row>
    <row r="986" spans="1:17" hidden="1" x14ac:dyDescent="0.2">
      <c r="A986" s="4" t="s">
        <v>2286</v>
      </c>
      <c r="B986" s="4">
        <v>2</v>
      </c>
      <c r="C986" s="4" t="s">
        <v>2287</v>
      </c>
      <c r="D986" s="4" t="s">
        <v>2181</v>
      </c>
      <c r="E986" s="4" t="s">
        <v>86</v>
      </c>
      <c r="F986" s="4">
        <v>20</v>
      </c>
      <c r="G986" s="4">
        <v>0</v>
      </c>
      <c r="H986" s="4">
        <v>0</v>
      </c>
      <c r="K986" s="4">
        <v>0</v>
      </c>
      <c r="N986" s="4">
        <v>0</v>
      </c>
      <c r="O986" s="4">
        <v>0</v>
      </c>
      <c r="P986" s="4" t="str">
        <f t="shared" si="15"/>
        <v>WST_GRP.MANAGER</v>
      </c>
      <c r="Q986" s="4" t="e">
        <f>VLOOKUP(Cobra8.5[[#This Row],[Table.Column]],ColumnMapping[Old Table.Column],1,)</f>
        <v>#N/A</v>
      </c>
    </row>
    <row r="987" spans="1:17" hidden="1" x14ac:dyDescent="0.2">
      <c r="A987" s="4" t="s">
        <v>2286</v>
      </c>
      <c r="B987" s="4">
        <v>2</v>
      </c>
      <c r="C987" s="4" t="s">
        <v>2287</v>
      </c>
      <c r="D987" s="4" t="s">
        <v>2265</v>
      </c>
      <c r="E987" s="4" t="s">
        <v>86</v>
      </c>
      <c r="F987" s="4">
        <v>20</v>
      </c>
      <c r="G987" s="4">
        <v>0</v>
      </c>
      <c r="H987" s="4">
        <v>0</v>
      </c>
      <c r="K987" s="4">
        <v>0</v>
      </c>
      <c r="N987" s="4">
        <v>0</v>
      </c>
      <c r="O987" s="4">
        <v>0</v>
      </c>
      <c r="P987" s="4" t="str">
        <f t="shared" si="15"/>
        <v>WST_GRP.ROL_ID</v>
      </c>
      <c r="Q987" s="4" t="e">
        <f>VLOOKUP(Cobra8.5[[#This Row],[Table.Column]],ColumnMapping[Old Table.Column],1,)</f>
        <v>#N/A</v>
      </c>
    </row>
    <row r="988" spans="1:17" hidden="1" x14ac:dyDescent="0.2">
      <c r="A988" s="4" t="s">
        <v>1993</v>
      </c>
      <c r="B988" s="4">
        <v>32</v>
      </c>
      <c r="C988" s="4" t="s">
        <v>2288</v>
      </c>
      <c r="D988" s="4" t="s">
        <v>1961</v>
      </c>
      <c r="E988" s="4" t="s">
        <v>31</v>
      </c>
      <c r="F988" s="4">
        <v>22</v>
      </c>
      <c r="G988" s="4">
        <v>0</v>
      </c>
      <c r="H988" s="4">
        <v>1</v>
      </c>
      <c r="K988" s="4">
        <v>0</v>
      </c>
      <c r="N988" s="4">
        <v>0</v>
      </c>
      <c r="O988" s="4">
        <v>0</v>
      </c>
      <c r="P988" s="4" t="str">
        <f t="shared" si="15"/>
        <v>WST_LCK.CONTEXT</v>
      </c>
      <c r="Q988" s="4" t="str">
        <f>VLOOKUP(Cobra8.5[[#This Row],[Table.Column]],ColumnMapping[Old Table.Column],1,)</f>
        <v>WST_LCK.CONTEXT</v>
      </c>
    </row>
    <row r="989" spans="1:17" hidden="1" x14ac:dyDescent="0.2">
      <c r="A989" s="4" t="s">
        <v>1993</v>
      </c>
      <c r="B989" s="4">
        <v>32</v>
      </c>
      <c r="C989" s="4" t="s">
        <v>2288</v>
      </c>
      <c r="D989" s="4" t="s">
        <v>1995</v>
      </c>
      <c r="E989" s="4" t="s">
        <v>86</v>
      </c>
      <c r="F989" s="4">
        <v>200</v>
      </c>
      <c r="G989" s="4">
        <v>0</v>
      </c>
      <c r="H989" s="4">
        <v>1</v>
      </c>
      <c r="K989" s="4">
        <v>0</v>
      </c>
      <c r="N989" s="4">
        <v>0</v>
      </c>
      <c r="O989" s="4">
        <v>0</v>
      </c>
      <c r="P989" s="4" t="str">
        <f t="shared" si="15"/>
        <v>WST_LCK.CONTEXT_ID</v>
      </c>
      <c r="Q989" s="4" t="str">
        <f>VLOOKUP(Cobra8.5[[#This Row],[Table.Column]],ColumnMapping[Old Table.Column],1,)</f>
        <v>WST_LCK.CONTEXT_ID</v>
      </c>
    </row>
    <row r="990" spans="1:17" hidden="1" x14ac:dyDescent="0.2">
      <c r="A990" s="4" t="s">
        <v>1993</v>
      </c>
      <c r="B990" s="4">
        <v>32</v>
      </c>
      <c r="C990" s="4" t="s">
        <v>2288</v>
      </c>
      <c r="D990" s="4" t="s">
        <v>1997</v>
      </c>
      <c r="E990" s="4" t="s">
        <v>31</v>
      </c>
      <c r="F990" s="4">
        <v>22</v>
      </c>
      <c r="G990" s="4">
        <v>0</v>
      </c>
      <c r="H990" s="4">
        <v>1</v>
      </c>
      <c r="K990" s="4">
        <v>0</v>
      </c>
      <c r="N990" s="4">
        <v>0</v>
      </c>
      <c r="O990" s="4">
        <v>0</v>
      </c>
      <c r="P990" s="4" t="str">
        <f t="shared" si="15"/>
        <v>WST_LCK.DIR_UID</v>
      </c>
      <c r="Q990" s="4" t="str">
        <f>VLOOKUP(Cobra8.5[[#This Row],[Table.Column]],ColumnMapping[Old Table.Column],1,)</f>
        <v>WST_LCK.DIR_UID</v>
      </c>
    </row>
    <row r="991" spans="1:17" hidden="1" x14ac:dyDescent="0.2">
      <c r="A991" s="4" t="s">
        <v>1993</v>
      </c>
      <c r="B991" s="4">
        <v>32</v>
      </c>
      <c r="C991" s="4" t="s">
        <v>2288</v>
      </c>
      <c r="D991" s="4" t="s">
        <v>2111</v>
      </c>
      <c r="E991" s="4" t="s">
        <v>356</v>
      </c>
      <c r="F991" s="4">
        <v>20</v>
      </c>
      <c r="G991" s="4">
        <v>0</v>
      </c>
      <c r="H991" s="4">
        <v>131072</v>
      </c>
      <c r="K991" s="4">
        <v>30460</v>
      </c>
      <c r="N991" s="4">
        <v>0</v>
      </c>
      <c r="O991" s="4">
        <v>0</v>
      </c>
      <c r="P991" s="4" t="str">
        <f t="shared" si="15"/>
        <v>WST_LCK.LASTUPDATE</v>
      </c>
      <c r="Q991" s="4" t="str">
        <f>VLOOKUP(Cobra8.5[[#This Row],[Table.Column]],ColumnMapping[Old Table.Column],1,)</f>
        <v>WST_LCK.LASTUPDATE</v>
      </c>
    </row>
    <row r="992" spans="1:17" hidden="1" x14ac:dyDescent="0.2">
      <c r="A992" s="4" t="s">
        <v>1993</v>
      </c>
      <c r="B992" s="4">
        <v>32</v>
      </c>
      <c r="C992" s="4" t="s">
        <v>2288</v>
      </c>
      <c r="D992" s="4" t="s">
        <v>1999</v>
      </c>
      <c r="E992" s="4" t="s">
        <v>31</v>
      </c>
      <c r="F992" s="4">
        <v>22</v>
      </c>
      <c r="G992" s="4">
        <v>0</v>
      </c>
      <c r="H992" s="4">
        <v>1</v>
      </c>
      <c r="K992" s="4">
        <v>0</v>
      </c>
      <c r="N992" s="4">
        <v>0</v>
      </c>
      <c r="O992" s="4">
        <v>0</v>
      </c>
      <c r="P992" s="4" t="str">
        <f t="shared" si="15"/>
        <v>WST_LCK.LCK_UID</v>
      </c>
      <c r="Q992" s="4" t="str">
        <f>VLOOKUP(Cobra8.5[[#This Row],[Table.Column]],ColumnMapping[Old Table.Column],1,)</f>
        <v>WST_LCK.LCK_UID</v>
      </c>
    </row>
    <row r="993" spans="1:17" hidden="1" x14ac:dyDescent="0.2">
      <c r="A993" s="4" t="s">
        <v>1993</v>
      </c>
      <c r="B993" s="4">
        <v>32</v>
      </c>
      <c r="C993" s="4" t="s">
        <v>2288</v>
      </c>
      <c r="D993" s="4" t="s">
        <v>2000</v>
      </c>
      <c r="E993" s="4" t="s">
        <v>86</v>
      </c>
      <c r="F993" s="4">
        <v>1</v>
      </c>
      <c r="G993" s="4">
        <v>0</v>
      </c>
      <c r="H993" s="4">
        <v>1</v>
      </c>
      <c r="K993" s="4">
        <v>0</v>
      </c>
      <c r="N993" s="4">
        <v>0</v>
      </c>
      <c r="O993" s="4">
        <v>0</v>
      </c>
      <c r="P993" s="4" t="str">
        <f t="shared" si="15"/>
        <v>WST_LCK.LOCKMODE</v>
      </c>
      <c r="Q993" s="4" t="str">
        <f>VLOOKUP(Cobra8.5[[#This Row],[Table.Column]],ColumnMapping[Old Table.Column],1,)</f>
        <v>WST_LCK.LOCKMODE</v>
      </c>
    </row>
    <row r="994" spans="1:17" hidden="1" x14ac:dyDescent="0.2">
      <c r="A994" s="4" t="s">
        <v>1993</v>
      </c>
      <c r="B994" s="4">
        <v>32</v>
      </c>
      <c r="C994" s="4" t="s">
        <v>2288</v>
      </c>
      <c r="D994" s="4" t="s">
        <v>2001</v>
      </c>
      <c r="E994" s="4" t="s">
        <v>86</v>
      </c>
      <c r="F994" s="4">
        <v>48</v>
      </c>
      <c r="G994" s="4">
        <v>0</v>
      </c>
      <c r="H994" s="4">
        <v>1</v>
      </c>
      <c r="K994" s="4">
        <v>0</v>
      </c>
      <c r="N994" s="4">
        <v>0</v>
      </c>
      <c r="O994" s="4">
        <v>0</v>
      </c>
      <c r="P994" s="4" t="str">
        <f t="shared" si="15"/>
        <v>WST_LCK.MACHINE_ID</v>
      </c>
      <c r="Q994" s="4" t="str">
        <f>VLOOKUP(Cobra8.5[[#This Row],[Table.Column]],ColumnMapping[Old Table.Column],1,)</f>
        <v>WST_LCK.MACHINE_ID</v>
      </c>
    </row>
    <row r="995" spans="1:17" hidden="1" x14ac:dyDescent="0.2">
      <c r="A995" s="4" t="s">
        <v>1993</v>
      </c>
      <c r="B995" s="4">
        <v>32</v>
      </c>
      <c r="C995" s="4" t="s">
        <v>2288</v>
      </c>
      <c r="D995" s="4" t="s">
        <v>2002</v>
      </c>
      <c r="E995" s="4" t="s">
        <v>2108</v>
      </c>
      <c r="F995" s="4">
        <v>4</v>
      </c>
      <c r="G995" s="4">
        <v>0</v>
      </c>
      <c r="H995" s="4">
        <v>0</v>
      </c>
      <c r="K995" s="4">
        <v>15032</v>
      </c>
      <c r="N995" s="4">
        <v>0</v>
      </c>
      <c r="O995" s="4">
        <v>0</v>
      </c>
      <c r="P995" s="4" t="str">
        <f t="shared" si="15"/>
        <v>WST_LCK.PRD_UID</v>
      </c>
      <c r="Q995" s="4" t="str">
        <f>VLOOKUP(Cobra8.5[[#This Row],[Table.Column]],ColumnMapping[Old Table.Column],1,)</f>
        <v>WST_LCK.PRD_UID</v>
      </c>
    </row>
    <row r="996" spans="1:17" hidden="1" x14ac:dyDescent="0.2">
      <c r="A996" s="4" t="s">
        <v>1993</v>
      </c>
      <c r="B996" s="4">
        <v>32</v>
      </c>
      <c r="C996" s="4" t="s">
        <v>2288</v>
      </c>
      <c r="D996" s="4" t="s">
        <v>2003</v>
      </c>
      <c r="E996" s="4" t="s">
        <v>31</v>
      </c>
      <c r="F996" s="4">
        <v>22</v>
      </c>
      <c r="G996" s="4">
        <v>0</v>
      </c>
      <c r="H996" s="4">
        <v>0</v>
      </c>
      <c r="K996" s="4">
        <v>0</v>
      </c>
      <c r="N996" s="4">
        <v>0</v>
      </c>
      <c r="O996" s="4">
        <v>0</v>
      </c>
      <c r="P996" s="4" t="str">
        <f t="shared" si="15"/>
        <v>WST_LCK.ULI_UID</v>
      </c>
      <c r="Q996" s="4" t="str">
        <f>VLOOKUP(Cobra8.5[[#This Row],[Table.Column]],ColumnMapping[Old Table.Column],1,)</f>
        <v>WST_LCK.ULI_UID</v>
      </c>
    </row>
    <row r="997" spans="1:17" hidden="1" x14ac:dyDescent="0.2">
      <c r="A997" s="4" t="s">
        <v>1993</v>
      </c>
      <c r="B997" s="4">
        <v>32</v>
      </c>
      <c r="C997" s="4" t="s">
        <v>2288</v>
      </c>
      <c r="D997" s="4" t="s">
        <v>2112</v>
      </c>
      <c r="E997" s="4" t="s">
        <v>86</v>
      </c>
      <c r="F997" s="4">
        <v>20</v>
      </c>
      <c r="G997" s="4">
        <v>0</v>
      </c>
      <c r="H997" s="4">
        <v>131072</v>
      </c>
      <c r="K997" s="4">
        <v>30451</v>
      </c>
      <c r="N997" s="4">
        <v>0</v>
      </c>
      <c r="O997" s="4">
        <v>0</v>
      </c>
      <c r="P997" s="4" t="str">
        <f t="shared" si="15"/>
        <v>WST_LCK.USR_ID</v>
      </c>
      <c r="Q997" s="4" t="str">
        <f>VLOOKUP(Cobra8.5[[#This Row],[Table.Column]],ColumnMapping[Old Table.Column],1,)</f>
        <v>WST_LCK.USR_ID</v>
      </c>
    </row>
    <row r="998" spans="1:17" hidden="1" x14ac:dyDescent="0.2">
      <c r="A998" s="4" t="s">
        <v>2289</v>
      </c>
      <c r="B998" s="4">
        <v>0</v>
      </c>
      <c r="C998" s="4" t="s">
        <v>2290</v>
      </c>
      <c r="D998" s="4" t="s">
        <v>1997</v>
      </c>
      <c r="E998" s="4" t="s">
        <v>31</v>
      </c>
      <c r="F998" s="4">
        <v>22</v>
      </c>
      <c r="G998" s="4">
        <v>0</v>
      </c>
      <c r="H998" s="4">
        <v>0</v>
      </c>
      <c r="K998" s="4">
        <v>0</v>
      </c>
      <c r="L998" s="4">
        <v>0</v>
      </c>
      <c r="M998" s="4" t="s">
        <v>1997</v>
      </c>
      <c r="N998" s="4">
        <v>0</v>
      </c>
      <c r="O998" s="4">
        <v>0</v>
      </c>
      <c r="P998" s="4" t="str">
        <f t="shared" si="15"/>
        <v>WST_NTX.DIR_UID</v>
      </c>
      <c r="Q998" s="4" t="e">
        <f>VLOOKUP(Cobra8.5[[#This Row],[Table.Column]],ColumnMapping[Old Table.Column],1,)</f>
        <v>#N/A</v>
      </c>
    </row>
    <row r="999" spans="1:17" hidden="1" x14ac:dyDescent="0.2">
      <c r="A999" s="4" t="s">
        <v>2289</v>
      </c>
      <c r="B999" s="4">
        <v>0</v>
      </c>
      <c r="C999" s="4" t="s">
        <v>2290</v>
      </c>
      <c r="D999" s="4" t="s">
        <v>98</v>
      </c>
      <c r="E999" s="4" t="s">
        <v>86</v>
      </c>
      <c r="F999" s="4">
        <v>60</v>
      </c>
      <c r="G999" s="4">
        <v>0</v>
      </c>
      <c r="H999" s="4">
        <v>0</v>
      </c>
      <c r="K999" s="4">
        <v>0</v>
      </c>
      <c r="N999" s="4">
        <v>0</v>
      </c>
      <c r="O999" s="4">
        <v>0</v>
      </c>
      <c r="P999" s="4" t="str">
        <f t="shared" si="15"/>
        <v>WST_NTX.FIELD_NAME</v>
      </c>
      <c r="Q999" s="4" t="e">
        <f>VLOOKUP(Cobra8.5[[#This Row],[Table.Column]],ColumnMapping[Old Table.Column],1,)</f>
        <v>#N/A</v>
      </c>
    </row>
    <row r="1000" spans="1:17" hidden="1" x14ac:dyDescent="0.2">
      <c r="A1000" s="4" t="s">
        <v>2289</v>
      </c>
      <c r="B1000" s="4">
        <v>0</v>
      </c>
      <c r="C1000" s="4" t="s">
        <v>2290</v>
      </c>
      <c r="D1000" s="4" t="s">
        <v>1796</v>
      </c>
      <c r="E1000" s="4" t="s">
        <v>271</v>
      </c>
      <c r="F1000" s="4">
        <v>32768</v>
      </c>
      <c r="G1000" s="4">
        <v>0</v>
      </c>
      <c r="H1000" s="4">
        <v>0</v>
      </c>
      <c r="K1000" s="4">
        <v>0</v>
      </c>
      <c r="N1000" s="4">
        <v>0</v>
      </c>
      <c r="O1000" s="4">
        <v>0</v>
      </c>
      <c r="P1000" s="4" t="str">
        <f t="shared" si="15"/>
        <v>WST_NTX.FIELD_VALUE</v>
      </c>
      <c r="Q1000" s="4" t="e">
        <f>VLOOKUP(Cobra8.5[[#This Row],[Table.Column]],ColumnMapping[Old Table.Column],1,)</f>
        <v>#N/A</v>
      </c>
    </row>
    <row r="1001" spans="1:17" hidden="1" x14ac:dyDescent="0.2">
      <c r="A1001" s="4" t="s">
        <v>2289</v>
      </c>
      <c r="B1001" s="4">
        <v>0</v>
      </c>
      <c r="C1001" s="4" t="s">
        <v>2290</v>
      </c>
      <c r="D1001" s="4" t="s">
        <v>2291</v>
      </c>
      <c r="E1001" s="4" t="s">
        <v>31</v>
      </c>
      <c r="F1001" s="4">
        <v>22</v>
      </c>
      <c r="G1001" s="4">
        <v>0</v>
      </c>
      <c r="H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 t="str">
        <f t="shared" si="15"/>
        <v>WST_NTX.FK_UID</v>
      </c>
      <c r="Q1001" s="4" t="e">
        <f>VLOOKUP(Cobra8.5[[#This Row],[Table.Column]],ColumnMapping[Old Table.Column],1,)</f>
        <v>#N/A</v>
      </c>
    </row>
    <row r="1002" spans="1:17" hidden="1" x14ac:dyDescent="0.2">
      <c r="A1002" s="4" t="s">
        <v>2289</v>
      </c>
      <c r="B1002" s="4">
        <v>0</v>
      </c>
      <c r="C1002" s="4" t="s">
        <v>2290</v>
      </c>
      <c r="D1002" s="4" t="s">
        <v>30</v>
      </c>
      <c r="E1002" s="4" t="s">
        <v>31</v>
      </c>
      <c r="F1002" s="4">
        <v>22</v>
      </c>
      <c r="G1002" s="4">
        <v>0</v>
      </c>
      <c r="H1002" s="4">
        <v>0</v>
      </c>
      <c r="K1002" s="4">
        <v>0</v>
      </c>
      <c r="N1002" s="4">
        <v>0</v>
      </c>
      <c r="O1002" s="4">
        <v>0</v>
      </c>
      <c r="P1002" s="4" t="str">
        <f t="shared" si="15"/>
        <v>WST_NTX.ROW_UID</v>
      </c>
      <c r="Q1002" s="4" t="e">
        <f>VLOOKUP(Cobra8.5[[#This Row],[Table.Column]],ColumnMapping[Old Table.Column],1,)</f>
        <v>#N/A</v>
      </c>
    </row>
    <row r="1003" spans="1:17" hidden="1" x14ac:dyDescent="0.2">
      <c r="A1003" s="4" t="s">
        <v>2289</v>
      </c>
      <c r="B1003" s="4">
        <v>0</v>
      </c>
      <c r="C1003" s="4" t="s">
        <v>2290</v>
      </c>
      <c r="D1003" s="4" t="s">
        <v>2005</v>
      </c>
      <c r="E1003" s="4" t="s">
        <v>86</v>
      </c>
      <c r="F1003" s="4">
        <v>30</v>
      </c>
      <c r="G1003" s="4">
        <v>0</v>
      </c>
      <c r="H1003" s="4">
        <v>0</v>
      </c>
      <c r="K1003" s="4">
        <v>30526</v>
      </c>
      <c r="N1003" s="4">
        <v>0</v>
      </c>
      <c r="O1003" s="4">
        <v>0</v>
      </c>
      <c r="P1003" s="4" t="str">
        <f t="shared" si="15"/>
        <v>WST_NTX.TABLE_TYPE</v>
      </c>
      <c r="Q1003" s="4" t="e">
        <f>VLOOKUP(Cobra8.5[[#This Row],[Table.Column]],ColumnMapping[Old Table.Column],1,)</f>
        <v>#N/A</v>
      </c>
    </row>
    <row r="1004" spans="1:17" hidden="1" x14ac:dyDescent="0.2">
      <c r="A1004" s="4" t="s">
        <v>2292</v>
      </c>
      <c r="B1004" s="4">
        <v>2</v>
      </c>
      <c r="C1004" s="4" t="s">
        <v>2293</v>
      </c>
      <c r="D1004" s="4" t="s">
        <v>15</v>
      </c>
      <c r="E1004" s="4" t="s">
        <v>86</v>
      </c>
      <c r="F1004" s="4">
        <v>60</v>
      </c>
      <c r="G1004" s="4">
        <v>0</v>
      </c>
      <c r="H1004" s="4">
        <v>0</v>
      </c>
      <c r="K1004" s="4">
        <v>30525</v>
      </c>
      <c r="N1004" s="4">
        <v>0</v>
      </c>
      <c r="O1004" s="4">
        <v>0</v>
      </c>
      <c r="P1004" s="4" t="str">
        <f t="shared" si="15"/>
        <v>WST_ROL.DESCRIPTION</v>
      </c>
      <c r="Q1004" s="4" t="e">
        <f>VLOOKUP(Cobra8.5[[#This Row],[Table.Column]],ColumnMapping[Old Table.Column],1,)</f>
        <v>#N/A</v>
      </c>
    </row>
    <row r="1005" spans="1:17" hidden="1" x14ac:dyDescent="0.2">
      <c r="A1005" s="4" t="s">
        <v>2292</v>
      </c>
      <c r="B1005" s="4">
        <v>2</v>
      </c>
      <c r="C1005" s="4" t="s">
        <v>2293</v>
      </c>
      <c r="D1005" s="4" t="s">
        <v>2181</v>
      </c>
      <c r="E1005" s="4" t="s">
        <v>86</v>
      </c>
      <c r="F1005" s="4">
        <v>20</v>
      </c>
      <c r="G1005" s="4">
        <v>0</v>
      </c>
      <c r="H1005" s="4">
        <v>0</v>
      </c>
      <c r="K1005" s="4">
        <v>0</v>
      </c>
      <c r="N1005" s="4">
        <v>0</v>
      </c>
      <c r="O1005" s="4">
        <v>0</v>
      </c>
      <c r="P1005" s="4" t="str">
        <f t="shared" si="15"/>
        <v>WST_ROL.MANAGER</v>
      </c>
      <c r="Q1005" s="4" t="e">
        <f>VLOOKUP(Cobra8.5[[#This Row],[Table.Column]],ColumnMapping[Old Table.Column],1,)</f>
        <v>#N/A</v>
      </c>
    </row>
    <row r="1006" spans="1:17" hidden="1" x14ac:dyDescent="0.2">
      <c r="A1006" s="4" t="s">
        <v>2292</v>
      </c>
      <c r="B1006" s="4">
        <v>2</v>
      </c>
      <c r="C1006" s="4" t="s">
        <v>2293</v>
      </c>
      <c r="D1006" s="4" t="s">
        <v>2265</v>
      </c>
      <c r="E1006" s="4" t="s">
        <v>86</v>
      </c>
      <c r="F1006" s="4">
        <v>20</v>
      </c>
      <c r="G1006" s="4">
        <v>0</v>
      </c>
      <c r="H1006" s="4">
        <v>0</v>
      </c>
      <c r="K1006" s="4">
        <v>0</v>
      </c>
      <c r="N1006" s="4">
        <v>0</v>
      </c>
      <c r="O1006" s="4">
        <v>0</v>
      </c>
      <c r="P1006" s="4" t="str">
        <f t="shared" si="15"/>
        <v>WST_ROL.ROL_ID</v>
      </c>
      <c r="Q1006" s="4" t="e">
        <f>VLOOKUP(Cobra8.5[[#This Row],[Table.Column]],ColumnMapping[Old Table.Column],1,)</f>
        <v>#N/A</v>
      </c>
    </row>
    <row r="1007" spans="1:17" hidden="1" x14ac:dyDescent="0.2">
      <c r="A1007" s="4" t="s">
        <v>2294</v>
      </c>
      <c r="B1007" s="4">
        <v>0</v>
      </c>
      <c r="C1007" s="4" t="s">
        <v>2295</v>
      </c>
      <c r="D1007" s="4" t="s">
        <v>15</v>
      </c>
      <c r="E1007" s="4" t="s">
        <v>86</v>
      </c>
      <c r="F1007" s="4">
        <v>60</v>
      </c>
      <c r="G1007" s="4">
        <v>0</v>
      </c>
      <c r="H1007" s="4">
        <v>0</v>
      </c>
      <c r="K1007" s="4">
        <v>30525</v>
      </c>
      <c r="N1007" s="4">
        <v>0</v>
      </c>
      <c r="O1007" s="4">
        <v>0</v>
      </c>
      <c r="P1007" s="4" t="str">
        <f t="shared" si="15"/>
        <v>WST_UDF.DESCRIPTION</v>
      </c>
      <c r="Q1007" s="4" t="str">
        <f>VLOOKUP(Cobra8.5[[#This Row],[Table.Column]],ColumnMapping[Old Table.Column],1,)</f>
        <v>WST_UDF.DESCRIPTION</v>
      </c>
    </row>
    <row r="1008" spans="1:17" hidden="1" x14ac:dyDescent="0.2">
      <c r="A1008" s="4" t="s">
        <v>2294</v>
      </c>
      <c r="B1008" s="4">
        <v>0</v>
      </c>
      <c r="C1008" s="4" t="s">
        <v>2295</v>
      </c>
      <c r="D1008" s="4" t="s">
        <v>98</v>
      </c>
      <c r="E1008" s="4" t="s">
        <v>86</v>
      </c>
      <c r="F1008" s="4">
        <v>60</v>
      </c>
      <c r="G1008" s="4">
        <v>0</v>
      </c>
      <c r="H1008" s="4">
        <v>0</v>
      </c>
      <c r="K1008" s="4">
        <v>0</v>
      </c>
      <c r="N1008" s="4">
        <v>0</v>
      </c>
      <c r="O1008" s="4">
        <v>0</v>
      </c>
      <c r="P1008" s="4" t="str">
        <f t="shared" si="15"/>
        <v>WST_UDF.FIELD_NAME</v>
      </c>
      <c r="Q1008" s="4" t="e">
        <f>VLOOKUP(Cobra8.5[[#This Row],[Table.Column]],ColumnMapping[Old Table.Column],1,)</f>
        <v>#N/A</v>
      </c>
    </row>
    <row r="1009" spans="1:17" hidden="1" x14ac:dyDescent="0.2">
      <c r="A1009" s="4" t="s">
        <v>2294</v>
      </c>
      <c r="B1009" s="4">
        <v>0</v>
      </c>
      <c r="C1009" s="4" t="s">
        <v>2295</v>
      </c>
      <c r="D1009" s="4" t="s">
        <v>2296</v>
      </c>
      <c r="E1009" s="4" t="s">
        <v>86</v>
      </c>
      <c r="F1009" s="4">
        <v>4</v>
      </c>
      <c r="G1009" s="4">
        <v>0</v>
      </c>
      <c r="H1009" s="4">
        <v>0</v>
      </c>
      <c r="K1009" s="4">
        <v>0</v>
      </c>
      <c r="N1009" s="4">
        <v>0</v>
      </c>
      <c r="O1009" s="4">
        <v>0</v>
      </c>
      <c r="P1009" s="4" t="str">
        <f t="shared" si="15"/>
        <v>WST_UDF.FIELD_TYPE</v>
      </c>
      <c r="Q1009" s="4" t="str">
        <f>VLOOKUP(Cobra8.5[[#This Row],[Table.Column]],ColumnMapping[Old Table.Column],1,)</f>
        <v>WST_UDF.FIELD_TYPE</v>
      </c>
    </row>
    <row r="1010" spans="1:17" hidden="1" x14ac:dyDescent="0.2">
      <c r="A1010" s="4" t="s">
        <v>2294</v>
      </c>
      <c r="B1010" s="4">
        <v>0</v>
      </c>
      <c r="C1010" s="4" t="s">
        <v>2295</v>
      </c>
      <c r="D1010" s="4" t="s">
        <v>2297</v>
      </c>
      <c r="E1010" s="4" t="s">
        <v>86</v>
      </c>
      <c r="F1010" s="4">
        <v>30</v>
      </c>
      <c r="G1010" s="4">
        <v>0</v>
      </c>
      <c r="H1010" s="4">
        <v>0</v>
      </c>
      <c r="K1010" s="4">
        <v>0</v>
      </c>
      <c r="N1010" s="4">
        <v>0</v>
      </c>
      <c r="O1010" s="4">
        <v>0</v>
      </c>
      <c r="P1010" s="4" t="str">
        <f t="shared" si="15"/>
        <v>WST_UDF.LOOKUP_FIELD</v>
      </c>
      <c r="Q1010" s="4" t="str">
        <f>VLOOKUP(Cobra8.5[[#This Row],[Table.Column]],ColumnMapping[Old Table.Column],1,)</f>
        <v>WST_UDF.LOOKUP_FIELD</v>
      </c>
    </row>
    <row r="1011" spans="1:17" hidden="1" x14ac:dyDescent="0.2">
      <c r="A1011" s="4" t="s">
        <v>2294</v>
      </c>
      <c r="B1011" s="4">
        <v>0</v>
      </c>
      <c r="C1011" s="4" t="s">
        <v>2295</v>
      </c>
      <c r="D1011" s="4" t="s">
        <v>2298</v>
      </c>
      <c r="E1011" s="4" t="s">
        <v>86</v>
      </c>
      <c r="F1011" s="4">
        <v>30</v>
      </c>
      <c r="G1011" s="4">
        <v>0</v>
      </c>
      <c r="H1011" s="4">
        <v>0</v>
      </c>
      <c r="K1011" s="4">
        <v>0</v>
      </c>
      <c r="N1011" s="4">
        <v>0</v>
      </c>
      <c r="O1011" s="4">
        <v>0</v>
      </c>
      <c r="P1011" s="4" t="str">
        <f t="shared" si="15"/>
        <v>WST_UDF.LOOKUP_TABLE_NAME</v>
      </c>
      <c r="Q1011" s="4" t="str">
        <f>VLOOKUP(Cobra8.5[[#This Row],[Table.Column]],ColumnMapping[Old Table.Column],1,)</f>
        <v>WST_UDF.LOOKUP_TABLE_NAME</v>
      </c>
    </row>
    <row r="1012" spans="1:17" hidden="1" x14ac:dyDescent="0.2">
      <c r="A1012" s="4" t="s">
        <v>2294</v>
      </c>
      <c r="B1012" s="4">
        <v>0</v>
      </c>
      <c r="C1012" s="4" t="s">
        <v>2295</v>
      </c>
      <c r="D1012" s="4" t="s">
        <v>2299</v>
      </c>
      <c r="E1012" s="4" t="s">
        <v>86</v>
      </c>
      <c r="F1012" s="4">
        <v>30</v>
      </c>
      <c r="G1012" s="4">
        <v>0</v>
      </c>
      <c r="H1012" s="4">
        <v>0</v>
      </c>
      <c r="K1012" s="4">
        <v>0</v>
      </c>
      <c r="N1012" s="4">
        <v>0</v>
      </c>
      <c r="O1012" s="4">
        <v>0</v>
      </c>
      <c r="P1012" s="4" t="str">
        <f t="shared" si="15"/>
        <v>WST_UDF.LOOKUP_TABLE_TYPE</v>
      </c>
      <c r="Q1012" s="4" t="str">
        <f>VLOOKUP(Cobra8.5[[#This Row],[Table.Column]],ColumnMapping[Old Table.Column],1,)</f>
        <v>WST_UDF.LOOKUP_TABLE_TYPE</v>
      </c>
    </row>
    <row r="1013" spans="1:17" hidden="1" x14ac:dyDescent="0.2">
      <c r="A1013" s="4" t="s">
        <v>2294</v>
      </c>
      <c r="B1013" s="4">
        <v>0</v>
      </c>
      <c r="C1013" s="4" t="s">
        <v>2295</v>
      </c>
      <c r="D1013" s="4" t="s">
        <v>35</v>
      </c>
      <c r="E1013" s="4" t="s">
        <v>2108</v>
      </c>
      <c r="F1013" s="4">
        <v>4</v>
      </c>
      <c r="G1013" s="4">
        <v>0</v>
      </c>
      <c r="H1013" s="4">
        <v>196608</v>
      </c>
      <c r="K1013" s="4">
        <v>30042</v>
      </c>
      <c r="N1013" s="4">
        <v>0</v>
      </c>
      <c r="O1013" s="4">
        <v>0</v>
      </c>
      <c r="P1013" s="4" t="str">
        <f t="shared" si="15"/>
        <v>WST_UDF.SEQUENCE</v>
      </c>
      <c r="Q1013" s="4" t="e">
        <f>VLOOKUP(Cobra8.5[[#This Row],[Table.Column]],ColumnMapping[Old Table.Column],1,)</f>
        <v>#N/A</v>
      </c>
    </row>
    <row r="1014" spans="1:17" hidden="1" x14ac:dyDescent="0.2">
      <c r="A1014" s="4" t="s">
        <v>2294</v>
      </c>
      <c r="B1014" s="4">
        <v>0</v>
      </c>
      <c r="C1014" s="4" t="s">
        <v>2295</v>
      </c>
      <c r="D1014" s="4" t="s">
        <v>2005</v>
      </c>
      <c r="E1014" s="4" t="s">
        <v>86</v>
      </c>
      <c r="F1014" s="4">
        <v>30</v>
      </c>
      <c r="G1014" s="4">
        <v>0</v>
      </c>
      <c r="H1014" s="4">
        <v>0</v>
      </c>
      <c r="K1014" s="4">
        <v>30526</v>
      </c>
      <c r="N1014" s="4">
        <v>0</v>
      </c>
      <c r="O1014" s="4">
        <v>0</v>
      </c>
      <c r="P1014" s="4" t="str">
        <f t="shared" si="15"/>
        <v>WST_UDF.TABLE_TYPE</v>
      </c>
      <c r="Q1014" s="4" t="e">
        <f>VLOOKUP(Cobra8.5[[#This Row],[Table.Column]],ColumnMapping[Old Table.Column],1,)</f>
        <v>#N/A</v>
      </c>
    </row>
    <row r="1015" spans="1:17" hidden="1" x14ac:dyDescent="0.2">
      <c r="A1015" s="4" t="s">
        <v>2294</v>
      </c>
      <c r="B1015" s="4">
        <v>0</v>
      </c>
      <c r="C1015" s="4" t="s">
        <v>2295</v>
      </c>
      <c r="D1015" s="4" t="s">
        <v>2300</v>
      </c>
      <c r="E1015" s="4" t="s">
        <v>31</v>
      </c>
      <c r="F1015" s="4">
        <v>22</v>
      </c>
      <c r="G1015" s="4">
        <v>0</v>
      </c>
      <c r="H1015" s="4">
        <v>0</v>
      </c>
      <c r="K1015" s="4">
        <v>0</v>
      </c>
      <c r="N1015" s="4">
        <v>0</v>
      </c>
      <c r="O1015" s="4">
        <v>0</v>
      </c>
      <c r="P1015" s="4" t="str">
        <f t="shared" si="15"/>
        <v>WST_UDF.UDF_UID</v>
      </c>
      <c r="Q1015" s="4" t="e">
        <f>VLOOKUP(Cobra8.5[[#This Row],[Table.Column]],ColumnMapping[Old Table.Column],1,)</f>
        <v>#N/A</v>
      </c>
    </row>
    <row r="1016" spans="1:17" hidden="1" x14ac:dyDescent="0.2">
      <c r="A1016" s="4" t="s">
        <v>2301</v>
      </c>
      <c r="B1016" s="4">
        <v>0</v>
      </c>
      <c r="C1016" s="4" t="s">
        <v>2302</v>
      </c>
      <c r="D1016" s="4" t="s">
        <v>1997</v>
      </c>
      <c r="E1016" s="4" t="s">
        <v>31</v>
      </c>
      <c r="F1016" s="4">
        <v>22</v>
      </c>
      <c r="G1016" s="4">
        <v>0</v>
      </c>
      <c r="H1016" s="4">
        <v>0</v>
      </c>
      <c r="K1016" s="4">
        <v>0</v>
      </c>
      <c r="L1016" s="4">
        <v>0</v>
      </c>
      <c r="M1016" s="4" t="s">
        <v>1997</v>
      </c>
      <c r="N1016" s="4">
        <v>1</v>
      </c>
      <c r="O1016" s="4">
        <v>0</v>
      </c>
      <c r="P1016" s="4" t="str">
        <f t="shared" si="15"/>
        <v>WST_UDT.DIR_UID</v>
      </c>
      <c r="Q1016" s="4" t="e">
        <f>VLOOKUP(Cobra8.5[[#This Row],[Table.Column]],ColumnMapping[Old Table.Column],1,)</f>
        <v>#N/A</v>
      </c>
    </row>
    <row r="1017" spans="1:17" hidden="1" x14ac:dyDescent="0.2">
      <c r="A1017" s="4" t="s">
        <v>2301</v>
      </c>
      <c r="B1017" s="4">
        <v>0</v>
      </c>
      <c r="C1017" s="4" t="s">
        <v>2302</v>
      </c>
      <c r="D1017" s="4" t="s">
        <v>98</v>
      </c>
      <c r="E1017" s="4" t="s">
        <v>86</v>
      </c>
      <c r="F1017" s="4">
        <v>60</v>
      </c>
      <c r="G1017" s="4">
        <v>0</v>
      </c>
      <c r="H1017" s="4">
        <v>0</v>
      </c>
      <c r="K1017" s="4">
        <v>0</v>
      </c>
      <c r="N1017" s="4">
        <v>0</v>
      </c>
      <c r="O1017" s="4">
        <v>0</v>
      </c>
      <c r="P1017" s="4" t="str">
        <f t="shared" si="15"/>
        <v>WST_UDT.FIELD_NAME</v>
      </c>
      <c r="Q1017" s="4" t="e">
        <f>VLOOKUP(Cobra8.5[[#This Row],[Table.Column]],ColumnMapping[Old Table.Column],1,)</f>
        <v>#N/A</v>
      </c>
    </row>
    <row r="1018" spans="1:17" hidden="1" x14ac:dyDescent="0.2">
      <c r="A1018" s="4" t="s">
        <v>2301</v>
      </c>
      <c r="B1018" s="4">
        <v>0</v>
      </c>
      <c r="C1018" s="4" t="s">
        <v>2302</v>
      </c>
      <c r="D1018" s="4" t="s">
        <v>1796</v>
      </c>
      <c r="E1018" s="4" t="s">
        <v>356</v>
      </c>
      <c r="F1018" s="4">
        <v>20</v>
      </c>
      <c r="G1018" s="4">
        <v>0</v>
      </c>
      <c r="H1018" s="4">
        <v>0</v>
      </c>
      <c r="K1018" s="4">
        <v>0</v>
      </c>
      <c r="N1018" s="4">
        <v>0</v>
      </c>
      <c r="O1018" s="4">
        <v>0</v>
      </c>
      <c r="P1018" s="4" t="str">
        <f t="shared" si="15"/>
        <v>WST_UDT.FIELD_VALUE</v>
      </c>
      <c r="Q1018" s="4" t="e">
        <f>VLOOKUP(Cobra8.5[[#This Row],[Table.Column]],ColumnMapping[Old Table.Column],1,)</f>
        <v>#N/A</v>
      </c>
    </row>
    <row r="1019" spans="1:17" hidden="1" x14ac:dyDescent="0.2">
      <c r="A1019" s="4" t="s">
        <v>2301</v>
      </c>
      <c r="B1019" s="4">
        <v>0</v>
      </c>
      <c r="C1019" s="4" t="s">
        <v>2302</v>
      </c>
      <c r="D1019" s="4" t="s">
        <v>2291</v>
      </c>
      <c r="E1019" s="4" t="s">
        <v>31</v>
      </c>
      <c r="F1019" s="4">
        <v>22</v>
      </c>
      <c r="G1019" s="4">
        <v>0</v>
      </c>
      <c r="H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 t="str">
        <f t="shared" si="15"/>
        <v>WST_UDT.FK_UID</v>
      </c>
      <c r="Q1019" s="4" t="e">
        <f>VLOOKUP(Cobra8.5[[#This Row],[Table.Column]],ColumnMapping[Old Table.Column],1,)</f>
        <v>#N/A</v>
      </c>
    </row>
    <row r="1020" spans="1:17" hidden="1" x14ac:dyDescent="0.2">
      <c r="A1020" s="4" t="s">
        <v>2301</v>
      </c>
      <c r="B1020" s="4">
        <v>0</v>
      </c>
      <c r="C1020" s="4" t="s">
        <v>2302</v>
      </c>
      <c r="D1020" s="4" t="s">
        <v>30</v>
      </c>
      <c r="E1020" s="4" t="s">
        <v>31</v>
      </c>
      <c r="F1020" s="4">
        <v>22</v>
      </c>
      <c r="G1020" s="4">
        <v>0</v>
      </c>
      <c r="H1020" s="4">
        <v>0</v>
      </c>
      <c r="K1020" s="4">
        <v>0</v>
      </c>
      <c r="N1020" s="4">
        <v>0</v>
      </c>
      <c r="O1020" s="4">
        <v>0</v>
      </c>
      <c r="P1020" s="4" t="str">
        <f t="shared" si="15"/>
        <v>WST_UDT.ROW_UID</v>
      </c>
      <c r="Q1020" s="4" t="e">
        <f>VLOOKUP(Cobra8.5[[#This Row],[Table.Column]],ColumnMapping[Old Table.Column],1,)</f>
        <v>#N/A</v>
      </c>
    </row>
    <row r="1021" spans="1:17" hidden="1" x14ac:dyDescent="0.2">
      <c r="A1021" s="4" t="s">
        <v>2301</v>
      </c>
      <c r="B1021" s="4">
        <v>0</v>
      </c>
      <c r="C1021" s="4" t="s">
        <v>2302</v>
      </c>
      <c r="D1021" s="4" t="s">
        <v>2005</v>
      </c>
      <c r="E1021" s="4" t="s">
        <v>86</v>
      </c>
      <c r="F1021" s="4">
        <v>30</v>
      </c>
      <c r="G1021" s="4">
        <v>0</v>
      </c>
      <c r="H1021" s="4">
        <v>0</v>
      </c>
      <c r="K1021" s="4">
        <v>30526</v>
      </c>
      <c r="N1021" s="4">
        <v>0</v>
      </c>
      <c r="O1021" s="4">
        <v>0</v>
      </c>
      <c r="P1021" s="4" t="str">
        <f t="shared" si="15"/>
        <v>WST_UDT.TABLE_TYPE</v>
      </c>
      <c r="Q1021" s="4" t="e">
        <f>VLOOKUP(Cobra8.5[[#This Row],[Table.Column]],ColumnMapping[Old Table.Column],1,)</f>
        <v>#N/A</v>
      </c>
    </row>
    <row r="1022" spans="1:17" hidden="1" x14ac:dyDescent="0.2">
      <c r="A1022" s="4" t="s">
        <v>2303</v>
      </c>
      <c r="B1022" s="4">
        <v>0</v>
      </c>
      <c r="C1022" s="4" t="s">
        <v>2304</v>
      </c>
      <c r="D1022" s="4" t="s">
        <v>1997</v>
      </c>
      <c r="E1022" s="4" t="s">
        <v>31</v>
      </c>
      <c r="F1022" s="4">
        <v>22</v>
      </c>
      <c r="G1022" s="4">
        <v>0</v>
      </c>
      <c r="H1022" s="4">
        <v>0</v>
      </c>
      <c r="K1022" s="4">
        <v>0</v>
      </c>
      <c r="L1022" s="4">
        <v>0</v>
      </c>
      <c r="M1022" s="4" t="s">
        <v>1997</v>
      </c>
      <c r="N1022" s="4">
        <v>1</v>
      </c>
      <c r="O1022" s="4">
        <v>0</v>
      </c>
      <c r="P1022" s="4" t="str">
        <f t="shared" si="15"/>
        <v>WST_UDU.DIR_UID</v>
      </c>
      <c r="Q1022" s="4" t="e">
        <f>VLOOKUP(Cobra8.5[[#This Row],[Table.Column]],ColumnMapping[Old Table.Column],1,)</f>
        <v>#N/A</v>
      </c>
    </row>
    <row r="1023" spans="1:17" hidden="1" x14ac:dyDescent="0.2">
      <c r="A1023" s="4" t="s">
        <v>2303</v>
      </c>
      <c r="B1023" s="4">
        <v>0</v>
      </c>
      <c r="C1023" s="4" t="s">
        <v>2304</v>
      </c>
      <c r="D1023" s="4" t="s">
        <v>98</v>
      </c>
      <c r="E1023" s="4" t="s">
        <v>86</v>
      </c>
      <c r="F1023" s="4">
        <v>60</v>
      </c>
      <c r="G1023" s="4">
        <v>0</v>
      </c>
      <c r="H1023" s="4">
        <v>0</v>
      </c>
      <c r="K1023" s="4">
        <v>0</v>
      </c>
      <c r="N1023" s="4">
        <v>0</v>
      </c>
      <c r="O1023" s="4">
        <v>0</v>
      </c>
      <c r="P1023" s="4" t="str">
        <f t="shared" si="15"/>
        <v>WST_UDU.FIELD_NAME</v>
      </c>
      <c r="Q1023" s="4" t="e">
        <f>VLOOKUP(Cobra8.5[[#This Row],[Table.Column]],ColumnMapping[Old Table.Column],1,)</f>
        <v>#N/A</v>
      </c>
    </row>
    <row r="1024" spans="1:17" hidden="1" x14ac:dyDescent="0.2">
      <c r="A1024" s="4" t="s">
        <v>2303</v>
      </c>
      <c r="B1024" s="4">
        <v>0</v>
      </c>
      <c r="C1024" s="4" t="s">
        <v>2304</v>
      </c>
      <c r="D1024" s="4" t="s">
        <v>1796</v>
      </c>
      <c r="E1024" s="4" t="s">
        <v>2305</v>
      </c>
      <c r="F1024" s="4">
        <v>8</v>
      </c>
      <c r="G1024" s="4">
        <v>0</v>
      </c>
      <c r="H1024" s="4">
        <v>0</v>
      </c>
      <c r="K1024" s="4">
        <v>0</v>
      </c>
      <c r="N1024" s="4">
        <v>0</v>
      </c>
      <c r="O1024" s="4">
        <v>0</v>
      </c>
      <c r="P1024" s="4" t="str">
        <f t="shared" si="15"/>
        <v>WST_UDU.FIELD_VALUE</v>
      </c>
      <c r="Q1024" s="4" t="e">
        <f>VLOOKUP(Cobra8.5[[#This Row],[Table.Column]],ColumnMapping[Old Table.Column],1,)</f>
        <v>#N/A</v>
      </c>
    </row>
    <row r="1025" spans="1:17" hidden="1" x14ac:dyDescent="0.2">
      <c r="A1025" s="4" t="s">
        <v>2303</v>
      </c>
      <c r="B1025" s="4">
        <v>0</v>
      </c>
      <c r="C1025" s="4" t="s">
        <v>2304</v>
      </c>
      <c r="D1025" s="4" t="s">
        <v>2291</v>
      </c>
      <c r="E1025" s="4" t="s">
        <v>31</v>
      </c>
      <c r="F1025" s="4">
        <v>22</v>
      </c>
      <c r="G1025" s="4">
        <v>0</v>
      </c>
      <c r="H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 t="str">
        <f t="shared" si="15"/>
        <v>WST_UDU.FK_UID</v>
      </c>
      <c r="Q1025" s="4" t="e">
        <f>VLOOKUP(Cobra8.5[[#This Row],[Table.Column]],ColumnMapping[Old Table.Column],1,)</f>
        <v>#N/A</v>
      </c>
    </row>
    <row r="1026" spans="1:17" hidden="1" x14ac:dyDescent="0.2">
      <c r="A1026" s="4" t="s">
        <v>2303</v>
      </c>
      <c r="B1026" s="4">
        <v>0</v>
      </c>
      <c r="C1026" s="4" t="s">
        <v>2304</v>
      </c>
      <c r="D1026" s="4" t="s">
        <v>30</v>
      </c>
      <c r="E1026" s="4" t="s">
        <v>31</v>
      </c>
      <c r="F1026" s="4">
        <v>22</v>
      </c>
      <c r="G1026" s="4">
        <v>0</v>
      </c>
      <c r="H1026" s="4">
        <v>0</v>
      </c>
      <c r="K1026" s="4">
        <v>0</v>
      </c>
      <c r="N1026" s="4">
        <v>0</v>
      </c>
      <c r="O1026" s="4">
        <v>0</v>
      </c>
      <c r="P1026" s="4" t="str">
        <f t="shared" ref="P1026:P1078" si="16">_xlfn.CONCAT(A1026,".",D1026)</f>
        <v>WST_UDU.ROW_UID</v>
      </c>
      <c r="Q1026" s="4" t="e">
        <f>VLOOKUP(Cobra8.5[[#This Row],[Table.Column]],ColumnMapping[Old Table.Column],1,)</f>
        <v>#N/A</v>
      </c>
    </row>
    <row r="1027" spans="1:17" hidden="1" x14ac:dyDescent="0.2">
      <c r="A1027" s="4" t="s">
        <v>2303</v>
      </c>
      <c r="B1027" s="4">
        <v>0</v>
      </c>
      <c r="C1027" s="4" t="s">
        <v>2304</v>
      </c>
      <c r="D1027" s="4" t="s">
        <v>2005</v>
      </c>
      <c r="E1027" s="4" t="s">
        <v>86</v>
      </c>
      <c r="F1027" s="4">
        <v>30</v>
      </c>
      <c r="G1027" s="4">
        <v>0</v>
      </c>
      <c r="H1027" s="4">
        <v>0</v>
      </c>
      <c r="K1027" s="4">
        <v>30526</v>
      </c>
      <c r="N1027" s="4">
        <v>0</v>
      </c>
      <c r="O1027" s="4">
        <v>0</v>
      </c>
      <c r="P1027" s="4" t="str">
        <f t="shared" si="16"/>
        <v>WST_UDU.TABLE_TYPE</v>
      </c>
      <c r="Q1027" s="4" t="e">
        <f>VLOOKUP(Cobra8.5[[#This Row],[Table.Column]],ColumnMapping[Old Table.Column],1,)</f>
        <v>#N/A</v>
      </c>
    </row>
    <row r="1028" spans="1:17" hidden="1" x14ac:dyDescent="0.2">
      <c r="A1028" s="4" t="s">
        <v>2306</v>
      </c>
      <c r="B1028" s="4">
        <v>0</v>
      </c>
      <c r="C1028" s="4" t="s">
        <v>2307</v>
      </c>
      <c r="D1028" s="4" t="s">
        <v>2308</v>
      </c>
      <c r="E1028" s="4" t="s">
        <v>2108</v>
      </c>
      <c r="F1028" s="4">
        <v>4</v>
      </c>
      <c r="G1028" s="4">
        <v>0</v>
      </c>
      <c r="H1028" s="4">
        <v>0</v>
      </c>
      <c r="K1028" s="4">
        <v>0</v>
      </c>
      <c r="N1028" s="4">
        <v>0</v>
      </c>
      <c r="O1028" s="4">
        <v>0</v>
      </c>
      <c r="P1028" s="4" t="str">
        <f t="shared" si="16"/>
        <v>WST_ULI.LICENSEREVOKED</v>
      </c>
      <c r="Q1028" s="4" t="e">
        <f>VLOOKUP(Cobra8.5[[#This Row],[Table.Column]],ColumnMapping[Old Table.Column],1,)</f>
        <v>#N/A</v>
      </c>
    </row>
    <row r="1029" spans="1:17" hidden="1" x14ac:dyDescent="0.2">
      <c r="A1029" s="4" t="s">
        <v>2306</v>
      </c>
      <c r="B1029" s="4">
        <v>0</v>
      </c>
      <c r="C1029" s="4" t="s">
        <v>2307</v>
      </c>
      <c r="D1029" s="4" t="s">
        <v>2309</v>
      </c>
      <c r="E1029" s="4" t="s">
        <v>356</v>
      </c>
      <c r="F1029" s="4">
        <v>8</v>
      </c>
      <c r="G1029" s="4">
        <v>0</v>
      </c>
      <c r="H1029" s="4">
        <v>0</v>
      </c>
      <c r="K1029" s="4">
        <v>12418</v>
      </c>
      <c r="N1029" s="4">
        <v>0</v>
      </c>
      <c r="O1029" s="4">
        <v>0</v>
      </c>
      <c r="P1029" s="4" t="str">
        <f t="shared" si="16"/>
        <v>WST_ULI.LOGINTIME</v>
      </c>
      <c r="Q1029" s="4" t="e">
        <f>VLOOKUP(Cobra8.5[[#This Row],[Table.Column]],ColumnMapping[Old Table.Column],1,)</f>
        <v>#N/A</v>
      </c>
    </row>
    <row r="1030" spans="1:17" hidden="1" x14ac:dyDescent="0.2">
      <c r="A1030" s="4" t="s">
        <v>2306</v>
      </c>
      <c r="B1030" s="4">
        <v>0</v>
      </c>
      <c r="C1030" s="4" t="s">
        <v>2307</v>
      </c>
      <c r="D1030" s="4" t="s">
        <v>2001</v>
      </c>
      <c r="E1030" s="4" t="s">
        <v>86</v>
      </c>
      <c r="F1030" s="4">
        <v>48</v>
      </c>
      <c r="G1030" s="4">
        <v>0</v>
      </c>
      <c r="H1030" s="4">
        <v>0</v>
      </c>
      <c r="K1030" s="4">
        <v>5085</v>
      </c>
      <c r="N1030" s="4">
        <v>0</v>
      </c>
      <c r="O1030" s="4">
        <v>0</v>
      </c>
      <c r="P1030" s="4" t="str">
        <f t="shared" si="16"/>
        <v>WST_ULI.MACHINE_ID</v>
      </c>
      <c r="Q1030" s="4" t="e">
        <f>VLOOKUP(Cobra8.5[[#This Row],[Table.Column]],ColumnMapping[Old Table.Column],1,)</f>
        <v>#N/A</v>
      </c>
    </row>
    <row r="1031" spans="1:17" hidden="1" x14ac:dyDescent="0.2">
      <c r="A1031" s="4" t="s">
        <v>2306</v>
      </c>
      <c r="B1031" s="4">
        <v>0</v>
      </c>
      <c r="C1031" s="4" t="s">
        <v>2307</v>
      </c>
      <c r="D1031" s="4" t="s">
        <v>2002</v>
      </c>
      <c r="E1031" s="4" t="s">
        <v>2108</v>
      </c>
      <c r="F1031" s="4">
        <v>4</v>
      </c>
      <c r="G1031" s="4">
        <v>0</v>
      </c>
      <c r="H1031" s="4">
        <v>0</v>
      </c>
      <c r="K1031" s="4">
        <v>15032</v>
      </c>
      <c r="N1031" s="4">
        <v>0</v>
      </c>
      <c r="O1031" s="4">
        <v>0</v>
      </c>
      <c r="P1031" s="4" t="str">
        <f t="shared" si="16"/>
        <v>WST_ULI.PRD_UID</v>
      </c>
      <c r="Q1031" s="4" t="e">
        <f>VLOOKUP(Cobra8.5[[#This Row],[Table.Column]],ColumnMapping[Old Table.Column],1,)</f>
        <v>#N/A</v>
      </c>
    </row>
    <row r="1032" spans="1:17" hidden="1" x14ac:dyDescent="0.2">
      <c r="A1032" s="4" t="s">
        <v>2306</v>
      </c>
      <c r="B1032" s="4">
        <v>0</v>
      </c>
      <c r="C1032" s="4" t="s">
        <v>2307</v>
      </c>
      <c r="D1032" s="4" t="s">
        <v>2003</v>
      </c>
      <c r="E1032" s="4" t="s">
        <v>31</v>
      </c>
      <c r="F1032" s="4">
        <v>22</v>
      </c>
      <c r="G1032" s="4">
        <v>0</v>
      </c>
      <c r="H1032" s="4">
        <v>0</v>
      </c>
      <c r="K1032" s="4">
        <v>0</v>
      </c>
      <c r="N1032" s="4">
        <v>0</v>
      </c>
      <c r="O1032" s="4">
        <v>0</v>
      </c>
      <c r="P1032" s="4" t="str">
        <f t="shared" si="16"/>
        <v>WST_ULI.ULI_UID</v>
      </c>
      <c r="Q1032" s="4" t="e">
        <f>VLOOKUP(Cobra8.5[[#This Row],[Table.Column]],ColumnMapping[Old Table.Column],1,)</f>
        <v>#N/A</v>
      </c>
    </row>
    <row r="1033" spans="1:17" hidden="1" x14ac:dyDescent="0.2">
      <c r="A1033" s="4" t="s">
        <v>2306</v>
      </c>
      <c r="B1033" s="4">
        <v>0</v>
      </c>
      <c r="C1033" s="4" t="s">
        <v>2307</v>
      </c>
      <c r="D1033" s="4" t="s">
        <v>2112</v>
      </c>
      <c r="E1033" s="4" t="s">
        <v>86</v>
      </c>
      <c r="F1033" s="4">
        <v>20</v>
      </c>
      <c r="G1033" s="4">
        <v>0</v>
      </c>
      <c r="H1033" s="4">
        <v>131072</v>
      </c>
      <c r="K1033" s="4">
        <v>10422</v>
      </c>
      <c r="N1033" s="4">
        <v>0</v>
      </c>
      <c r="O1033" s="4">
        <v>0</v>
      </c>
      <c r="P1033" s="4" t="str">
        <f t="shared" si="16"/>
        <v>WST_ULI.USR_ID</v>
      </c>
      <c r="Q1033" s="4" t="e">
        <f>VLOOKUP(Cobra8.5[[#This Row],[Table.Column]],ColumnMapping[Old Table.Column],1,)</f>
        <v>#N/A</v>
      </c>
    </row>
    <row r="1034" spans="1:17" hidden="1" x14ac:dyDescent="0.2">
      <c r="A1034" s="4" t="s">
        <v>2310</v>
      </c>
      <c r="B1034" s="4">
        <v>0</v>
      </c>
      <c r="C1034" s="4" t="s">
        <v>2311</v>
      </c>
      <c r="D1034" s="4" t="s">
        <v>1997</v>
      </c>
      <c r="E1034" s="4" t="s">
        <v>31</v>
      </c>
      <c r="F1034" s="4">
        <v>22</v>
      </c>
      <c r="G1034" s="4">
        <v>0</v>
      </c>
      <c r="H1034" s="4">
        <v>0</v>
      </c>
      <c r="K1034" s="4">
        <v>0</v>
      </c>
      <c r="L1034" s="4">
        <v>0</v>
      </c>
      <c r="M1034" s="4" t="s">
        <v>1997</v>
      </c>
      <c r="N1034" s="4">
        <v>1</v>
      </c>
      <c r="O1034" s="4">
        <v>0</v>
      </c>
      <c r="P1034" s="4" t="str">
        <f t="shared" si="16"/>
        <v>WST_UNM.DIR_UID</v>
      </c>
      <c r="Q1034" s="4" t="e">
        <f>VLOOKUP(Cobra8.5[[#This Row],[Table.Column]],ColumnMapping[Old Table.Column],1,)</f>
        <v>#N/A</v>
      </c>
    </row>
    <row r="1035" spans="1:17" hidden="1" x14ac:dyDescent="0.2">
      <c r="A1035" s="4" t="s">
        <v>2310</v>
      </c>
      <c r="B1035" s="4">
        <v>0</v>
      </c>
      <c r="C1035" s="4" t="s">
        <v>2311</v>
      </c>
      <c r="D1035" s="4" t="s">
        <v>98</v>
      </c>
      <c r="E1035" s="4" t="s">
        <v>86</v>
      </c>
      <c r="F1035" s="4">
        <v>60</v>
      </c>
      <c r="G1035" s="4">
        <v>0</v>
      </c>
      <c r="H1035" s="4">
        <v>0</v>
      </c>
      <c r="K1035" s="4">
        <v>0</v>
      </c>
      <c r="N1035" s="4">
        <v>0</v>
      </c>
      <c r="O1035" s="4">
        <v>0</v>
      </c>
      <c r="P1035" s="4" t="str">
        <f t="shared" si="16"/>
        <v>WST_UNM.FIELD_NAME</v>
      </c>
      <c r="Q1035" s="4" t="e">
        <f>VLOOKUP(Cobra8.5[[#This Row],[Table.Column]],ColumnMapping[Old Table.Column],1,)</f>
        <v>#N/A</v>
      </c>
    </row>
    <row r="1036" spans="1:17" hidden="1" x14ac:dyDescent="0.2">
      <c r="A1036" s="4" t="s">
        <v>2310</v>
      </c>
      <c r="B1036" s="4">
        <v>0</v>
      </c>
      <c r="C1036" s="4" t="s">
        <v>2311</v>
      </c>
      <c r="D1036" s="4" t="s">
        <v>1796</v>
      </c>
      <c r="E1036" s="4" t="s">
        <v>2312</v>
      </c>
      <c r="F1036" s="4">
        <v>15</v>
      </c>
      <c r="G1036" s="4">
        <v>2</v>
      </c>
      <c r="H1036" s="4">
        <v>0</v>
      </c>
      <c r="K1036" s="4">
        <v>0</v>
      </c>
      <c r="N1036" s="4">
        <v>0</v>
      </c>
      <c r="O1036" s="4">
        <v>0</v>
      </c>
      <c r="P1036" s="4" t="str">
        <f t="shared" si="16"/>
        <v>WST_UNM.FIELD_VALUE</v>
      </c>
      <c r="Q1036" s="4" t="e">
        <f>VLOOKUP(Cobra8.5[[#This Row],[Table.Column]],ColumnMapping[Old Table.Column],1,)</f>
        <v>#N/A</v>
      </c>
    </row>
    <row r="1037" spans="1:17" hidden="1" x14ac:dyDescent="0.2">
      <c r="A1037" s="4" t="s">
        <v>2310</v>
      </c>
      <c r="B1037" s="4">
        <v>0</v>
      </c>
      <c r="C1037" s="4" t="s">
        <v>2311</v>
      </c>
      <c r="D1037" s="4" t="s">
        <v>2291</v>
      </c>
      <c r="E1037" s="4" t="s">
        <v>31</v>
      </c>
      <c r="F1037" s="4">
        <v>22</v>
      </c>
      <c r="G1037" s="4">
        <v>0</v>
      </c>
      <c r="H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 t="str">
        <f t="shared" si="16"/>
        <v>WST_UNM.FK_UID</v>
      </c>
      <c r="Q1037" s="4" t="e">
        <f>VLOOKUP(Cobra8.5[[#This Row],[Table.Column]],ColumnMapping[Old Table.Column],1,)</f>
        <v>#N/A</v>
      </c>
    </row>
    <row r="1038" spans="1:17" hidden="1" x14ac:dyDescent="0.2">
      <c r="A1038" s="4" t="s">
        <v>2310</v>
      </c>
      <c r="B1038" s="4">
        <v>0</v>
      </c>
      <c r="C1038" s="4" t="s">
        <v>2311</v>
      </c>
      <c r="D1038" s="4" t="s">
        <v>30</v>
      </c>
      <c r="E1038" s="4" t="s">
        <v>31</v>
      </c>
      <c r="F1038" s="4">
        <v>22</v>
      </c>
      <c r="G1038" s="4">
        <v>0</v>
      </c>
      <c r="H1038" s="4">
        <v>0</v>
      </c>
      <c r="K1038" s="4">
        <v>0</v>
      </c>
      <c r="N1038" s="4">
        <v>0</v>
      </c>
      <c r="O1038" s="4">
        <v>0</v>
      </c>
      <c r="P1038" s="4" t="str">
        <f t="shared" si="16"/>
        <v>WST_UNM.ROW_UID</v>
      </c>
      <c r="Q1038" s="4" t="e">
        <f>VLOOKUP(Cobra8.5[[#This Row],[Table.Column]],ColumnMapping[Old Table.Column],1,)</f>
        <v>#N/A</v>
      </c>
    </row>
    <row r="1039" spans="1:17" hidden="1" x14ac:dyDescent="0.2">
      <c r="A1039" s="4" t="s">
        <v>2310</v>
      </c>
      <c r="B1039" s="4">
        <v>0</v>
      </c>
      <c r="C1039" s="4" t="s">
        <v>2311</v>
      </c>
      <c r="D1039" s="4" t="s">
        <v>2005</v>
      </c>
      <c r="E1039" s="4" t="s">
        <v>86</v>
      </c>
      <c r="F1039" s="4">
        <v>30</v>
      </c>
      <c r="G1039" s="4">
        <v>0</v>
      </c>
      <c r="H1039" s="4">
        <v>0</v>
      </c>
      <c r="K1039" s="4">
        <v>30526</v>
      </c>
      <c r="N1039" s="4">
        <v>0</v>
      </c>
      <c r="O1039" s="4">
        <v>0</v>
      </c>
      <c r="P1039" s="4" t="str">
        <f t="shared" si="16"/>
        <v>WST_UNM.TABLE_TYPE</v>
      </c>
      <c r="Q1039" s="4" t="e">
        <f>VLOOKUP(Cobra8.5[[#This Row],[Table.Column]],ColumnMapping[Old Table.Column],1,)</f>
        <v>#N/A</v>
      </c>
    </row>
    <row r="1040" spans="1:17" hidden="1" x14ac:dyDescent="0.2">
      <c r="A1040" s="4" t="s">
        <v>2313</v>
      </c>
      <c r="B1040" s="4">
        <v>0</v>
      </c>
      <c r="C1040" s="4" t="s">
        <v>2314</v>
      </c>
      <c r="D1040" s="4" t="s">
        <v>2170</v>
      </c>
      <c r="E1040" s="4" t="s">
        <v>2108</v>
      </c>
      <c r="F1040" s="4">
        <v>4</v>
      </c>
      <c r="G1040" s="4">
        <v>0</v>
      </c>
      <c r="H1040" s="4">
        <v>0</v>
      </c>
      <c r="K1040" s="4">
        <v>0</v>
      </c>
      <c r="N1040" s="4">
        <v>0</v>
      </c>
      <c r="O1040" s="4">
        <v>0</v>
      </c>
      <c r="P1040" s="4" t="str">
        <f t="shared" si="16"/>
        <v>WST_UPA.FLAGS</v>
      </c>
      <c r="Q1040" s="4" t="e">
        <f>VLOOKUP(Cobra8.5[[#This Row],[Table.Column]],ColumnMapping[Old Table.Column],1,)</f>
        <v>#N/A</v>
      </c>
    </row>
    <row r="1041" spans="1:17" hidden="1" x14ac:dyDescent="0.2">
      <c r="A1041" s="4" t="s">
        <v>2313</v>
      </c>
      <c r="B1041" s="4">
        <v>0</v>
      </c>
      <c r="C1041" s="4" t="s">
        <v>2314</v>
      </c>
      <c r="D1041" s="4" t="s">
        <v>2315</v>
      </c>
      <c r="E1041" s="4" t="s">
        <v>31</v>
      </c>
      <c r="F1041" s="4">
        <v>22</v>
      </c>
      <c r="G1041" s="4">
        <v>0</v>
      </c>
      <c r="H1041" s="4">
        <v>0</v>
      </c>
      <c r="K1041" s="4">
        <v>0</v>
      </c>
      <c r="N1041" s="4">
        <v>0</v>
      </c>
      <c r="O1041" s="4">
        <v>0</v>
      </c>
      <c r="P1041" s="4" t="str">
        <f t="shared" si="16"/>
        <v>WST_UPA.LICN_UID</v>
      </c>
      <c r="Q1041" s="4" t="e">
        <f>VLOOKUP(Cobra8.5[[#This Row],[Table.Column]],ColumnMapping[Old Table.Column],1,)</f>
        <v>#N/A</v>
      </c>
    </row>
    <row r="1042" spans="1:17" hidden="1" x14ac:dyDescent="0.2">
      <c r="A1042" s="4" t="s">
        <v>2313</v>
      </c>
      <c r="B1042" s="4">
        <v>0</v>
      </c>
      <c r="C1042" s="4" t="s">
        <v>2314</v>
      </c>
      <c r="D1042" s="4" t="s">
        <v>2002</v>
      </c>
      <c r="E1042" s="4" t="s">
        <v>2108</v>
      </c>
      <c r="F1042" s="4">
        <v>4</v>
      </c>
      <c r="G1042" s="4">
        <v>0</v>
      </c>
      <c r="H1042" s="4">
        <v>0</v>
      </c>
      <c r="K1042" s="4">
        <v>15032</v>
      </c>
      <c r="N1042" s="4">
        <v>0</v>
      </c>
      <c r="O1042" s="4">
        <v>0</v>
      </c>
      <c r="P1042" s="4" t="str">
        <f t="shared" si="16"/>
        <v>WST_UPA.PRD_UID</v>
      </c>
      <c r="Q1042" s="4" t="e">
        <f>VLOOKUP(Cobra8.5[[#This Row],[Table.Column]],ColumnMapping[Old Table.Column],1,)</f>
        <v>#N/A</v>
      </c>
    </row>
    <row r="1043" spans="1:17" hidden="1" x14ac:dyDescent="0.2">
      <c r="A1043" s="4" t="s">
        <v>2313</v>
      </c>
      <c r="B1043" s="4">
        <v>0</v>
      </c>
      <c r="C1043" s="4" t="s">
        <v>2314</v>
      </c>
      <c r="D1043" s="4" t="s">
        <v>2112</v>
      </c>
      <c r="E1043" s="4" t="s">
        <v>86</v>
      </c>
      <c r="F1043" s="4">
        <v>20</v>
      </c>
      <c r="G1043" s="4">
        <v>0</v>
      </c>
      <c r="H1043" s="4">
        <v>0</v>
      </c>
      <c r="K1043" s="4">
        <v>10422</v>
      </c>
      <c r="N1043" s="4">
        <v>0</v>
      </c>
      <c r="O1043" s="4">
        <v>0</v>
      </c>
      <c r="P1043" s="4" t="str">
        <f t="shared" si="16"/>
        <v>WST_UPA.USR_ID</v>
      </c>
      <c r="Q1043" s="4" t="e">
        <f>VLOOKUP(Cobra8.5[[#This Row],[Table.Column]],ColumnMapping[Old Table.Column],1,)</f>
        <v>#N/A</v>
      </c>
    </row>
    <row r="1044" spans="1:17" hidden="1" x14ac:dyDescent="0.2">
      <c r="A1044" s="4" t="s">
        <v>2316</v>
      </c>
      <c r="B1044" s="4">
        <v>0</v>
      </c>
      <c r="C1044" s="4" t="s">
        <v>2317</v>
      </c>
      <c r="D1044" s="4" t="s">
        <v>1935</v>
      </c>
      <c r="E1044" s="4" t="s">
        <v>86</v>
      </c>
      <c r="F1044" s="4">
        <v>20</v>
      </c>
      <c r="G1044" s="4">
        <v>0</v>
      </c>
      <c r="H1044" s="4">
        <v>0</v>
      </c>
      <c r="K1044" s="4">
        <v>0</v>
      </c>
      <c r="N1044" s="4">
        <v>0</v>
      </c>
      <c r="O1044" s="4">
        <v>0</v>
      </c>
      <c r="P1044" s="4" t="str">
        <f t="shared" si="16"/>
        <v>WST_USG.GRP_ID</v>
      </c>
      <c r="Q1044" s="4" t="e">
        <f>VLOOKUP(Cobra8.5[[#This Row],[Table.Column]],ColumnMapping[Old Table.Column],1,)</f>
        <v>#N/A</v>
      </c>
    </row>
    <row r="1045" spans="1:17" hidden="1" x14ac:dyDescent="0.2">
      <c r="A1045" s="4" t="s">
        <v>2316</v>
      </c>
      <c r="B1045" s="4">
        <v>0</v>
      </c>
      <c r="C1045" s="4" t="s">
        <v>2317</v>
      </c>
      <c r="D1045" s="4" t="s">
        <v>2318</v>
      </c>
      <c r="E1045" s="4" t="s">
        <v>31</v>
      </c>
      <c r="F1045" s="4">
        <v>22</v>
      </c>
      <c r="G1045" s="4">
        <v>0</v>
      </c>
      <c r="H1045" s="4">
        <v>0</v>
      </c>
      <c r="K1045" s="4">
        <v>0</v>
      </c>
      <c r="N1045" s="4">
        <v>0</v>
      </c>
      <c r="O1045" s="4">
        <v>0</v>
      </c>
      <c r="P1045" s="4" t="str">
        <f t="shared" si="16"/>
        <v>WST_USG.USG_UID</v>
      </c>
      <c r="Q1045" s="4" t="e">
        <f>VLOOKUP(Cobra8.5[[#This Row],[Table.Column]],ColumnMapping[Old Table.Column],1,)</f>
        <v>#N/A</v>
      </c>
    </row>
    <row r="1046" spans="1:17" hidden="1" x14ac:dyDescent="0.2">
      <c r="A1046" s="4" t="s">
        <v>2316</v>
      </c>
      <c r="B1046" s="4">
        <v>0</v>
      </c>
      <c r="C1046" s="4" t="s">
        <v>2317</v>
      </c>
      <c r="D1046" s="4" t="s">
        <v>2112</v>
      </c>
      <c r="E1046" s="4" t="s">
        <v>86</v>
      </c>
      <c r="F1046" s="4">
        <v>20</v>
      </c>
      <c r="G1046" s="4">
        <v>0</v>
      </c>
      <c r="H1046" s="4">
        <v>131072</v>
      </c>
      <c r="K1046" s="4">
        <v>30451</v>
      </c>
      <c r="N1046" s="4">
        <v>0</v>
      </c>
      <c r="O1046" s="4">
        <v>0</v>
      </c>
      <c r="P1046" s="4" t="str">
        <f t="shared" si="16"/>
        <v>WST_USG.USR_ID</v>
      </c>
      <c r="Q1046" s="4" t="e">
        <f>VLOOKUP(Cobra8.5[[#This Row],[Table.Column]],ColumnMapping[Old Table.Column],1,)</f>
        <v>#N/A</v>
      </c>
    </row>
    <row r="1047" spans="1:17" hidden="1" x14ac:dyDescent="0.2">
      <c r="A1047" s="4" t="s">
        <v>2319</v>
      </c>
      <c r="B1047" s="4">
        <v>2</v>
      </c>
      <c r="C1047" s="4" t="s">
        <v>2320</v>
      </c>
      <c r="D1047" s="4" t="s">
        <v>2321</v>
      </c>
      <c r="E1047" s="4" t="s">
        <v>86</v>
      </c>
      <c r="F1047" s="4">
        <v>4</v>
      </c>
      <c r="G1047" s="4">
        <v>0</v>
      </c>
      <c r="H1047" s="4">
        <v>0</v>
      </c>
      <c r="K1047" s="4">
        <v>0</v>
      </c>
      <c r="N1047" s="4">
        <v>0</v>
      </c>
      <c r="O1047" s="4">
        <v>0</v>
      </c>
      <c r="P1047" s="4" t="str">
        <f t="shared" si="16"/>
        <v>WST_USR.ACT_COMPARE</v>
      </c>
      <c r="Q1047" s="4" t="e">
        <f>VLOOKUP(Cobra8.5[[#This Row],[Table.Column]],ColumnMapping[Old Table.Column],1,)</f>
        <v>#N/A</v>
      </c>
    </row>
    <row r="1048" spans="1:17" hidden="1" x14ac:dyDescent="0.2">
      <c r="A1048" s="4" t="s">
        <v>2319</v>
      </c>
      <c r="B1048" s="4">
        <v>2</v>
      </c>
      <c r="C1048" s="4" t="s">
        <v>2320</v>
      </c>
      <c r="D1048" s="4" t="s">
        <v>2322</v>
      </c>
      <c r="E1048" s="4" t="s">
        <v>86</v>
      </c>
      <c r="F1048" s="4">
        <v>30</v>
      </c>
      <c r="G1048" s="4">
        <v>0</v>
      </c>
      <c r="H1048" s="4">
        <v>0</v>
      </c>
      <c r="K1048" s="4">
        <v>0</v>
      </c>
      <c r="N1048" s="4">
        <v>0</v>
      </c>
      <c r="O1048" s="4">
        <v>0</v>
      </c>
      <c r="P1048" s="4" t="str">
        <f t="shared" si="16"/>
        <v>WST_USR.ACT_FIELD</v>
      </c>
      <c r="Q1048" s="4" t="e">
        <f>VLOOKUP(Cobra8.5[[#This Row],[Table.Column]],ColumnMapping[Old Table.Column],1,)</f>
        <v>#N/A</v>
      </c>
    </row>
    <row r="1049" spans="1:17" hidden="1" x14ac:dyDescent="0.2">
      <c r="A1049" s="4" t="s">
        <v>2319</v>
      </c>
      <c r="B1049" s="4">
        <v>2</v>
      </c>
      <c r="C1049" s="4" t="s">
        <v>2320</v>
      </c>
      <c r="D1049" s="4" t="s">
        <v>2323</v>
      </c>
      <c r="E1049" s="4" t="s">
        <v>2108</v>
      </c>
      <c r="F1049" s="4">
        <v>4</v>
      </c>
      <c r="G1049" s="4">
        <v>0</v>
      </c>
      <c r="H1049" s="4">
        <v>0</v>
      </c>
      <c r="K1049" s="4">
        <v>0</v>
      </c>
      <c r="N1049" s="4">
        <v>0</v>
      </c>
      <c r="O1049" s="4">
        <v>0</v>
      </c>
      <c r="P1049" s="4" t="str">
        <f t="shared" si="16"/>
        <v>WST_USR.ACT_RULE</v>
      </c>
      <c r="Q1049" s="4" t="e">
        <f>VLOOKUP(Cobra8.5[[#This Row],[Table.Column]],ColumnMapping[Old Table.Column],1,)</f>
        <v>#N/A</v>
      </c>
    </row>
    <row r="1050" spans="1:17" hidden="1" x14ac:dyDescent="0.2">
      <c r="A1050" s="4" t="s">
        <v>2319</v>
      </c>
      <c r="B1050" s="4">
        <v>2</v>
      </c>
      <c r="C1050" s="4" t="s">
        <v>2320</v>
      </c>
      <c r="D1050" s="4" t="s">
        <v>2324</v>
      </c>
      <c r="E1050" s="4" t="s">
        <v>86</v>
      </c>
      <c r="F1050" s="4">
        <v>30</v>
      </c>
      <c r="G1050" s="4">
        <v>0</v>
      </c>
      <c r="H1050" s="4">
        <v>0</v>
      </c>
      <c r="K1050" s="4">
        <v>0</v>
      </c>
      <c r="N1050" s="4">
        <v>0</v>
      </c>
      <c r="O1050" s="4">
        <v>0</v>
      </c>
      <c r="P1050" s="4" t="str">
        <f t="shared" si="16"/>
        <v>WST_USR.ACT_VALUE</v>
      </c>
      <c r="Q1050" s="4" t="e">
        <f>VLOOKUP(Cobra8.5[[#This Row],[Table.Column]],ColumnMapping[Old Table.Column],1,)</f>
        <v>#N/A</v>
      </c>
    </row>
    <row r="1051" spans="1:17" hidden="1" x14ac:dyDescent="0.2">
      <c r="A1051" s="4" t="s">
        <v>2319</v>
      </c>
      <c r="B1051" s="4">
        <v>2</v>
      </c>
      <c r="C1051" s="4" t="s">
        <v>2320</v>
      </c>
      <c r="D1051" s="4" t="s">
        <v>2325</v>
      </c>
      <c r="E1051" s="4" t="s">
        <v>86</v>
      </c>
      <c r="F1051" s="4">
        <v>60</v>
      </c>
      <c r="G1051" s="4">
        <v>0</v>
      </c>
      <c r="H1051" s="4">
        <v>0</v>
      </c>
      <c r="K1051" s="4">
        <v>0</v>
      </c>
      <c r="N1051" s="4">
        <v>0</v>
      </c>
      <c r="O1051" s="4">
        <v>0</v>
      </c>
      <c r="P1051" s="4" t="str">
        <f t="shared" si="16"/>
        <v>WST_USR.ADDRESS1</v>
      </c>
      <c r="Q1051" s="4" t="e">
        <f>VLOOKUP(Cobra8.5[[#This Row],[Table.Column]],ColumnMapping[Old Table.Column],1,)</f>
        <v>#N/A</v>
      </c>
    </row>
    <row r="1052" spans="1:17" hidden="1" x14ac:dyDescent="0.2">
      <c r="A1052" s="4" t="s">
        <v>2319</v>
      </c>
      <c r="B1052" s="4">
        <v>2</v>
      </c>
      <c r="C1052" s="4" t="s">
        <v>2320</v>
      </c>
      <c r="D1052" s="4" t="s">
        <v>2326</v>
      </c>
      <c r="E1052" s="4" t="s">
        <v>86</v>
      </c>
      <c r="F1052" s="4">
        <v>60</v>
      </c>
      <c r="G1052" s="4">
        <v>0</v>
      </c>
      <c r="H1052" s="4">
        <v>0</v>
      </c>
      <c r="K1052" s="4">
        <v>0</v>
      </c>
      <c r="N1052" s="4">
        <v>0</v>
      </c>
      <c r="O1052" s="4">
        <v>0</v>
      </c>
      <c r="P1052" s="4" t="str">
        <f t="shared" si="16"/>
        <v>WST_USR.ADDRESS2</v>
      </c>
      <c r="Q1052" s="4" t="e">
        <f>VLOOKUP(Cobra8.5[[#This Row],[Table.Column]],ColumnMapping[Old Table.Column],1,)</f>
        <v>#N/A</v>
      </c>
    </row>
    <row r="1053" spans="1:17" hidden="1" x14ac:dyDescent="0.2">
      <c r="A1053" s="4" t="s">
        <v>2319</v>
      </c>
      <c r="B1053" s="4">
        <v>2</v>
      </c>
      <c r="C1053" s="4" t="s">
        <v>2320</v>
      </c>
      <c r="D1053" s="4" t="s">
        <v>2327</v>
      </c>
      <c r="E1053" s="4" t="s">
        <v>86</v>
      </c>
      <c r="F1053" s="4">
        <v>20</v>
      </c>
      <c r="G1053" s="4">
        <v>0</v>
      </c>
      <c r="H1053" s="4">
        <v>0</v>
      </c>
      <c r="K1053" s="4">
        <v>0</v>
      </c>
      <c r="N1053" s="4">
        <v>0</v>
      </c>
      <c r="O1053" s="4">
        <v>0</v>
      </c>
      <c r="P1053" s="4" t="str">
        <f t="shared" si="16"/>
        <v>WST_USR.ALTMANAGER</v>
      </c>
      <c r="Q1053" s="4" t="e">
        <f>VLOOKUP(Cobra8.5[[#This Row],[Table.Column]],ColumnMapping[Old Table.Column],1,)</f>
        <v>#N/A</v>
      </c>
    </row>
    <row r="1054" spans="1:17" hidden="1" x14ac:dyDescent="0.2">
      <c r="A1054" s="4" t="s">
        <v>2319</v>
      </c>
      <c r="B1054" s="4">
        <v>2</v>
      </c>
      <c r="C1054" s="4" t="s">
        <v>2320</v>
      </c>
      <c r="D1054" s="4" t="s">
        <v>645</v>
      </c>
      <c r="E1054" s="4" t="s">
        <v>86</v>
      </c>
      <c r="F1054" s="4">
        <v>20</v>
      </c>
      <c r="G1054" s="4">
        <v>0</v>
      </c>
      <c r="H1054" s="4">
        <v>0</v>
      </c>
      <c r="K1054" s="4">
        <v>0</v>
      </c>
      <c r="N1054" s="4">
        <v>0</v>
      </c>
      <c r="O1054" s="4">
        <v>0</v>
      </c>
      <c r="P1054" s="4" t="str">
        <f t="shared" si="16"/>
        <v>WST_USR.CITY</v>
      </c>
      <c r="Q1054" s="4" t="e">
        <f>VLOOKUP(Cobra8.5[[#This Row],[Table.Column]],ColumnMapping[Old Table.Column],1,)</f>
        <v>#N/A</v>
      </c>
    </row>
    <row r="1055" spans="1:17" hidden="1" x14ac:dyDescent="0.2">
      <c r="A1055" s="4" t="s">
        <v>2319</v>
      </c>
      <c r="B1055" s="4">
        <v>2</v>
      </c>
      <c r="C1055" s="4" t="s">
        <v>2320</v>
      </c>
      <c r="D1055" s="4" t="s">
        <v>21</v>
      </c>
      <c r="E1055" s="4" t="s">
        <v>86</v>
      </c>
      <c r="F1055" s="4">
        <v>255</v>
      </c>
      <c r="G1055" s="4">
        <v>0</v>
      </c>
      <c r="H1055" s="4">
        <v>0</v>
      </c>
      <c r="K1055" s="4">
        <v>0</v>
      </c>
      <c r="N1055" s="4">
        <v>0</v>
      </c>
      <c r="O1055" s="4">
        <v>0</v>
      </c>
      <c r="P1055" s="4" t="str">
        <f t="shared" si="16"/>
        <v>WST_USR.COMMENTS</v>
      </c>
      <c r="Q1055" s="4" t="e">
        <f>VLOOKUP(Cobra8.5[[#This Row],[Table.Column]],ColumnMapping[Old Table.Column],1,)</f>
        <v>#N/A</v>
      </c>
    </row>
    <row r="1056" spans="1:17" hidden="1" x14ac:dyDescent="0.2">
      <c r="A1056" s="4" t="s">
        <v>2319</v>
      </c>
      <c r="B1056" s="4">
        <v>2</v>
      </c>
      <c r="C1056" s="4" t="s">
        <v>2320</v>
      </c>
      <c r="D1056" s="4" t="s">
        <v>688</v>
      </c>
      <c r="E1056" s="4" t="s">
        <v>86</v>
      </c>
      <c r="F1056" s="4">
        <v>20</v>
      </c>
      <c r="G1056" s="4">
        <v>0</v>
      </c>
      <c r="H1056" s="4">
        <v>0</v>
      </c>
      <c r="K1056" s="4">
        <v>0</v>
      </c>
      <c r="N1056" s="4">
        <v>0</v>
      </c>
      <c r="O1056" s="4">
        <v>0</v>
      </c>
      <c r="P1056" s="4" t="str">
        <f t="shared" si="16"/>
        <v>WST_USR.COUNTRY</v>
      </c>
      <c r="Q1056" s="4" t="e">
        <f>VLOOKUP(Cobra8.5[[#This Row],[Table.Column]],ColumnMapping[Old Table.Column],1,)</f>
        <v>#N/A</v>
      </c>
    </row>
    <row r="1057" spans="1:17" hidden="1" x14ac:dyDescent="0.2">
      <c r="A1057" s="4" t="s">
        <v>2319</v>
      </c>
      <c r="B1057" s="4">
        <v>2</v>
      </c>
      <c r="C1057" s="4" t="s">
        <v>2320</v>
      </c>
      <c r="D1057" s="4" t="s">
        <v>2328</v>
      </c>
      <c r="E1057" s="4" t="s">
        <v>86</v>
      </c>
      <c r="F1057" s="4">
        <v>60</v>
      </c>
      <c r="G1057" s="4">
        <v>0</v>
      </c>
      <c r="H1057" s="4">
        <v>0</v>
      </c>
      <c r="K1057" s="4">
        <v>0</v>
      </c>
      <c r="N1057" s="4">
        <v>0</v>
      </c>
      <c r="O1057" s="4">
        <v>0</v>
      </c>
      <c r="P1057" s="4" t="str">
        <f t="shared" si="16"/>
        <v>WST_USR.DEPARTMENT</v>
      </c>
      <c r="Q1057" s="4" t="e">
        <f>VLOOKUP(Cobra8.5[[#This Row],[Table.Column]],ColumnMapping[Old Table.Column],1,)</f>
        <v>#N/A</v>
      </c>
    </row>
    <row r="1058" spans="1:17" hidden="1" x14ac:dyDescent="0.2">
      <c r="A1058" s="4" t="s">
        <v>2319</v>
      </c>
      <c r="B1058" s="4">
        <v>2</v>
      </c>
      <c r="C1058" s="4" t="s">
        <v>2320</v>
      </c>
      <c r="D1058" s="4" t="s">
        <v>15</v>
      </c>
      <c r="E1058" s="4" t="s">
        <v>86</v>
      </c>
      <c r="F1058" s="4">
        <v>60</v>
      </c>
      <c r="G1058" s="4">
        <v>0</v>
      </c>
      <c r="H1058" s="4">
        <v>0</v>
      </c>
      <c r="K1058" s="4">
        <v>30525</v>
      </c>
      <c r="N1058" s="4">
        <v>0</v>
      </c>
      <c r="O1058" s="4">
        <v>0</v>
      </c>
      <c r="P1058" s="4" t="str">
        <f t="shared" si="16"/>
        <v>WST_USR.DESCRIPTION</v>
      </c>
      <c r="Q1058" s="4" t="e">
        <f>VLOOKUP(Cobra8.5[[#This Row],[Table.Column]],ColumnMapping[Old Table.Column],1,)</f>
        <v>#N/A</v>
      </c>
    </row>
    <row r="1059" spans="1:17" hidden="1" x14ac:dyDescent="0.2">
      <c r="A1059" s="4" t="s">
        <v>2319</v>
      </c>
      <c r="B1059" s="4">
        <v>2</v>
      </c>
      <c r="C1059" s="4" t="s">
        <v>2320</v>
      </c>
      <c r="D1059" s="4" t="s">
        <v>0</v>
      </c>
      <c r="E1059" s="4" t="s">
        <v>86</v>
      </c>
      <c r="F1059" s="4">
        <v>80</v>
      </c>
      <c r="G1059" s="4">
        <v>0</v>
      </c>
      <c r="H1059" s="4">
        <v>0</v>
      </c>
      <c r="K1059" s="4">
        <v>0</v>
      </c>
      <c r="N1059" s="4">
        <v>0</v>
      </c>
      <c r="O1059" s="4">
        <v>0</v>
      </c>
      <c r="P1059" s="4" t="str">
        <f t="shared" si="16"/>
        <v>WST_USR.DOMAIN</v>
      </c>
      <c r="Q1059" s="4" t="e">
        <f>VLOOKUP(Cobra8.5[[#This Row],[Table.Column]],ColumnMapping[Old Table.Column],1,)</f>
        <v>#N/A</v>
      </c>
    </row>
    <row r="1060" spans="1:17" hidden="1" x14ac:dyDescent="0.2">
      <c r="A1060" s="4" t="s">
        <v>2319</v>
      </c>
      <c r="B1060" s="4">
        <v>2</v>
      </c>
      <c r="C1060" s="4" t="s">
        <v>2320</v>
      </c>
      <c r="D1060" s="4" t="s">
        <v>2329</v>
      </c>
      <c r="E1060" s="4" t="s">
        <v>86</v>
      </c>
      <c r="F1060" s="4">
        <v>60</v>
      </c>
      <c r="G1060" s="4">
        <v>0</v>
      </c>
      <c r="H1060" s="4">
        <v>0</v>
      </c>
      <c r="K1060" s="4">
        <v>31487</v>
      </c>
      <c r="N1060" s="4">
        <v>0</v>
      </c>
      <c r="O1060" s="4">
        <v>0</v>
      </c>
      <c r="P1060" s="4" t="str">
        <f t="shared" si="16"/>
        <v>WST_USR.EMAIL</v>
      </c>
      <c r="Q1060" s="4" t="e">
        <f>VLOOKUP(Cobra8.5[[#This Row],[Table.Column]],ColumnMapping[Old Table.Column],1,)</f>
        <v>#N/A</v>
      </c>
    </row>
    <row r="1061" spans="1:17" hidden="1" x14ac:dyDescent="0.2">
      <c r="A1061" s="4" t="s">
        <v>2319</v>
      </c>
      <c r="B1061" s="4">
        <v>2</v>
      </c>
      <c r="C1061" s="4" t="s">
        <v>2320</v>
      </c>
      <c r="D1061" s="4" t="s">
        <v>2330</v>
      </c>
      <c r="E1061" s="4" t="s">
        <v>86</v>
      </c>
      <c r="F1061" s="4">
        <v>20</v>
      </c>
      <c r="G1061" s="4">
        <v>0</v>
      </c>
      <c r="H1061" s="4">
        <v>0</v>
      </c>
      <c r="K1061" s="4">
        <v>0</v>
      </c>
      <c r="N1061" s="4">
        <v>0</v>
      </c>
      <c r="O1061" s="4">
        <v>0</v>
      </c>
      <c r="P1061" s="4" t="str">
        <f t="shared" si="16"/>
        <v>WST_USR.FAX</v>
      </c>
      <c r="Q1061" s="4" t="e">
        <f>VLOOKUP(Cobra8.5[[#This Row],[Table.Column]],ColumnMapping[Old Table.Column],1,)</f>
        <v>#N/A</v>
      </c>
    </row>
    <row r="1062" spans="1:17" hidden="1" x14ac:dyDescent="0.2">
      <c r="A1062" s="4" t="s">
        <v>2319</v>
      </c>
      <c r="B1062" s="4">
        <v>2</v>
      </c>
      <c r="C1062" s="4" t="s">
        <v>2320</v>
      </c>
      <c r="D1062" s="4" t="s">
        <v>2224</v>
      </c>
      <c r="E1062" s="4" t="s">
        <v>86</v>
      </c>
      <c r="F1062" s="4">
        <v>10</v>
      </c>
      <c r="G1062" s="4">
        <v>0</v>
      </c>
      <c r="H1062" s="4">
        <v>0</v>
      </c>
      <c r="K1062" s="4">
        <v>0</v>
      </c>
      <c r="N1062" s="4">
        <v>0</v>
      </c>
      <c r="O1062" s="4">
        <v>0</v>
      </c>
      <c r="P1062" s="4" t="str">
        <f t="shared" si="16"/>
        <v>WST_USR.FILTER</v>
      </c>
      <c r="Q1062" s="4" t="e">
        <f>VLOOKUP(Cobra8.5[[#This Row],[Table.Column]],ColumnMapping[Old Table.Column],1,)</f>
        <v>#N/A</v>
      </c>
    </row>
    <row r="1063" spans="1:17" hidden="1" x14ac:dyDescent="0.2">
      <c r="A1063" s="4" t="s">
        <v>2319</v>
      </c>
      <c r="B1063" s="4">
        <v>2</v>
      </c>
      <c r="C1063" s="4" t="s">
        <v>2320</v>
      </c>
      <c r="D1063" s="4" t="s">
        <v>2331</v>
      </c>
      <c r="E1063" s="4" t="s">
        <v>86</v>
      </c>
      <c r="F1063" s="4">
        <v>50</v>
      </c>
      <c r="G1063" s="4">
        <v>0</v>
      </c>
      <c r="H1063" s="4">
        <v>0</v>
      </c>
      <c r="K1063" s="4">
        <v>0</v>
      </c>
      <c r="N1063" s="4">
        <v>0</v>
      </c>
      <c r="O1063" s="4">
        <v>0</v>
      </c>
      <c r="P1063" s="4" t="str">
        <f t="shared" si="16"/>
        <v>WST_USR.FIRST_NAME</v>
      </c>
      <c r="Q1063" s="4" t="e">
        <f>VLOOKUP(Cobra8.5[[#This Row],[Table.Column]],ColumnMapping[Old Table.Column],1,)</f>
        <v>#N/A</v>
      </c>
    </row>
    <row r="1064" spans="1:17" hidden="1" x14ac:dyDescent="0.2">
      <c r="A1064" s="4" t="s">
        <v>2319</v>
      </c>
      <c r="B1064" s="4">
        <v>2</v>
      </c>
      <c r="C1064" s="4" t="s">
        <v>2320</v>
      </c>
      <c r="D1064" s="4" t="s">
        <v>2332</v>
      </c>
      <c r="E1064" s="4" t="s">
        <v>86</v>
      </c>
      <c r="F1064" s="4">
        <v>50</v>
      </c>
      <c r="G1064" s="4">
        <v>0</v>
      </c>
      <c r="H1064" s="4">
        <v>0</v>
      </c>
      <c r="K1064" s="4">
        <v>0</v>
      </c>
      <c r="N1064" s="4">
        <v>0</v>
      </c>
      <c r="O1064" s="4">
        <v>0</v>
      </c>
      <c r="P1064" s="4" t="str">
        <f t="shared" si="16"/>
        <v>WST_USR.LAST_NAME</v>
      </c>
      <c r="Q1064" s="4" t="e">
        <f>VLOOKUP(Cobra8.5[[#This Row],[Table.Column]],ColumnMapping[Old Table.Column],1,)</f>
        <v>#N/A</v>
      </c>
    </row>
    <row r="1065" spans="1:17" hidden="1" x14ac:dyDescent="0.2">
      <c r="A1065" s="4" t="s">
        <v>2319</v>
      </c>
      <c r="B1065" s="4">
        <v>2</v>
      </c>
      <c r="C1065" s="4" t="s">
        <v>2320</v>
      </c>
      <c r="D1065" s="4" t="s">
        <v>2333</v>
      </c>
      <c r="E1065" s="4" t="s">
        <v>86</v>
      </c>
      <c r="F1065" s="4">
        <v>60</v>
      </c>
      <c r="G1065" s="4">
        <v>0</v>
      </c>
      <c r="H1065" s="4">
        <v>0</v>
      </c>
      <c r="K1065" s="4">
        <v>0</v>
      </c>
      <c r="N1065" s="4">
        <v>0</v>
      </c>
      <c r="O1065" s="4">
        <v>0</v>
      </c>
      <c r="P1065" s="4" t="str">
        <f t="shared" si="16"/>
        <v>WST_USR.LOCATION</v>
      </c>
      <c r="Q1065" s="4" t="e">
        <f>VLOOKUP(Cobra8.5[[#This Row],[Table.Column]],ColumnMapping[Old Table.Column],1,)</f>
        <v>#N/A</v>
      </c>
    </row>
    <row r="1066" spans="1:17" hidden="1" x14ac:dyDescent="0.2">
      <c r="A1066" s="4" t="s">
        <v>2319</v>
      </c>
      <c r="B1066" s="4">
        <v>2</v>
      </c>
      <c r="C1066" s="4" t="s">
        <v>2320</v>
      </c>
      <c r="D1066" s="4" t="s">
        <v>2181</v>
      </c>
      <c r="E1066" s="4" t="s">
        <v>86</v>
      </c>
      <c r="F1066" s="4">
        <v>20</v>
      </c>
      <c r="G1066" s="4">
        <v>0</v>
      </c>
      <c r="H1066" s="4">
        <v>0</v>
      </c>
      <c r="K1066" s="4">
        <v>0</v>
      </c>
      <c r="N1066" s="4">
        <v>0</v>
      </c>
      <c r="O1066" s="4">
        <v>0</v>
      </c>
      <c r="P1066" s="4" t="str">
        <f t="shared" si="16"/>
        <v>WST_USR.MANAGER</v>
      </c>
      <c r="Q1066" s="4" t="e">
        <f>VLOOKUP(Cobra8.5[[#This Row],[Table.Column]],ColumnMapping[Old Table.Column],1,)</f>
        <v>#N/A</v>
      </c>
    </row>
    <row r="1067" spans="1:17" hidden="1" x14ac:dyDescent="0.2">
      <c r="A1067" s="4" t="s">
        <v>2319</v>
      </c>
      <c r="B1067" s="4">
        <v>2</v>
      </c>
      <c r="C1067" s="4" t="s">
        <v>2320</v>
      </c>
      <c r="D1067" s="4" t="s">
        <v>2334</v>
      </c>
      <c r="E1067" s="4" t="s">
        <v>86</v>
      </c>
      <c r="F1067" s="4">
        <v>178</v>
      </c>
      <c r="G1067" s="4">
        <v>0</v>
      </c>
      <c r="H1067" s="4">
        <v>0</v>
      </c>
      <c r="K1067" s="4">
        <v>0</v>
      </c>
      <c r="N1067" s="4">
        <v>0</v>
      </c>
      <c r="O1067" s="4">
        <v>0</v>
      </c>
      <c r="P1067" s="4" t="str">
        <f t="shared" si="16"/>
        <v>WST_USR.PASSWD</v>
      </c>
      <c r="Q1067" s="4" t="e">
        <f>VLOOKUP(Cobra8.5[[#This Row],[Table.Column]],ColumnMapping[Old Table.Column],1,)</f>
        <v>#N/A</v>
      </c>
    </row>
    <row r="1068" spans="1:17" hidden="1" x14ac:dyDescent="0.2">
      <c r="A1068" s="4" t="s">
        <v>2319</v>
      </c>
      <c r="B1068" s="4">
        <v>2</v>
      </c>
      <c r="C1068" s="4" t="s">
        <v>2320</v>
      </c>
      <c r="D1068" s="4" t="s">
        <v>2335</v>
      </c>
      <c r="E1068" s="4" t="s">
        <v>86</v>
      </c>
      <c r="F1068" s="4">
        <v>20</v>
      </c>
      <c r="G1068" s="4">
        <v>0</v>
      </c>
      <c r="H1068" s="4">
        <v>0</v>
      </c>
      <c r="K1068" s="4">
        <v>0</v>
      </c>
      <c r="N1068" s="4">
        <v>0</v>
      </c>
      <c r="O1068" s="4">
        <v>0</v>
      </c>
      <c r="P1068" s="4" t="str">
        <f t="shared" si="16"/>
        <v>WST_USR.PHONE</v>
      </c>
      <c r="Q1068" s="4" t="e">
        <f>VLOOKUP(Cobra8.5[[#This Row],[Table.Column]],ColumnMapping[Old Table.Column],1,)</f>
        <v>#N/A</v>
      </c>
    </row>
    <row r="1069" spans="1:17" hidden="1" x14ac:dyDescent="0.2">
      <c r="A1069" s="4" t="s">
        <v>2319</v>
      </c>
      <c r="B1069" s="4">
        <v>2</v>
      </c>
      <c r="C1069" s="4" t="s">
        <v>2320</v>
      </c>
      <c r="D1069" s="4" t="s">
        <v>2265</v>
      </c>
      <c r="E1069" s="4" t="s">
        <v>86</v>
      </c>
      <c r="F1069" s="4">
        <v>20</v>
      </c>
      <c r="G1069" s="4">
        <v>0</v>
      </c>
      <c r="H1069" s="4">
        <v>0</v>
      </c>
      <c r="K1069" s="4">
        <v>0</v>
      </c>
      <c r="N1069" s="4">
        <v>0</v>
      </c>
      <c r="O1069" s="4">
        <v>0</v>
      </c>
      <c r="P1069" s="4" t="str">
        <f t="shared" si="16"/>
        <v>WST_USR.ROL_ID</v>
      </c>
      <c r="Q1069" s="4" t="e">
        <f>VLOOKUP(Cobra8.5[[#This Row],[Table.Column]],ColumnMapping[Old Table.Column],1,)</f>
        <v>#N/A</v>
      </c>
    </row>
    <row r="1070" spans="1:17" hidden="1" x14ac:dyDescent="0.2">
      <c r="A1070" s="4" t="s">
        <v>2319</v>
      </c>
      <c r="B1070" s="4">
        <v>2</v>
      </c>
      <c r="C1070" s="4" t="s">
        <v>2320</v>
      </c>
      <c r="D1070" s="4" t="s">
        <v>751</v>
      </c>
      <c r="E1070" s="4" t="s">
        <v>86</v>
      </c>
      <c r="F1070" s="4">
        <v>20</v>
      </c>
      <c r="G1070" s="4">
        <v>0</v>
      </c>
      <c r="H1070" s="4">
        <v>0</v>
      </c>
      <c r="K1070" s="4">
        <v>0</v>
      </c>
      <c r="N1070" s="4">
        <v>0</v>
      </c>
      <c r="O1070" s="4">
        <v>0</v>
      </c>
      <c r="P1070" s="4" t="str">
        <f t="shared" si="16"/>
        <v>WST_USR.STATE</v>
      </c>
      <c r="Q1070" s="4" t="e">
        <f>VLOOKUP(Cobra8.5[[#This Row],[Table.Column]],ColumnMapping[Old Table.Column],1,)</f>
        <v>#N/A</v>
      </c>
    </row>
    <row r="1071" spans="1:17" hidden="1" x14ac:dyDescent="0.2">
      <c r="A1071" s="4" t="s">
        <v>2319</v>
      </c>
      <c r="B1071" s="4">
        <v>2</v>
      </c>
      <c r="C1071" s="4" t="s">
        <v>2320</v>
      </c>
      <c r="D1071" s="4" t="s">
        <v>2112</v>
      </c>
      <c r="E1071" s="4" t="s">
        <v>86</v>
      </c>
      <c r="F1071" s="4">
        <v>20</v>
      </c>
      <c r="G1071" s="4">
        <v>0</v>
      </c>
      <c r="H1071" s="4">
        <v>131072</v>
      </c>
      <c r="K1071" s="4">
        <v>30451</v>
      </c>
      <c r="N1071" s="4">
        <v>0</v>
      </c>
      <c r="O1071" s="4">
        <v>0</v>
      </c>
      <c r="P1071" s="4" t="str">
        <f t="shared" si="16"/>
        <v>WST_USR.USR_ID</v>
      </c>
      <c r="Q1071" s="4" t="e">
        <f>VLOOKUP(Cobra8.5[[#This Row],[Table.Column]],ColumnMapping[Old Table.Column],1,)</f>
        <v>#N/A</v>
      </c>
    </row>
    <row r="1072" spans="1:17" hidden="1" x14ac:dyDescent="0.2">
      <c r="A1072" s="4" t="s">
        <v>2319</v>
      </c>
      <c r="B1072" s="4">
        <v>2</v>
      </c>
      <c r="C1072" s="4" t="s">
        <v>2320</v>
      </c>
      <c r="D1072" s="4" t="s">
        <v>757</v>
      </c>
      <c r="E1072" s="4" t="s">
        <v>86</v>
      </c>
      <c r="F1072" s="4">
        <v>20</v>
      </c>
      <c r="G1072" s="4">
        <v>0</v>
      </c>
      <c r="H1072" s="4">
        <v>0</v>
      </c>
      <c r="K1072" s="4">
        <v>0</v>
      </c>
      <c r="N1072" s="4">
        <v>0</v>
      </c>
      <c r="O1072" s="4">
        <v>0</v>
      </c>
      <c r="P1072" s="4" t="str">
        <f t="shared" si="16"/>
        <v>WST_USR.ZIP</v>
      </c>
      <c r="Q1072" s="4" t="e">
        <f>VLOOKUP(Cobra8.5[[#This Row],[Table.Column]],ColumnMapping[Old Table.Column],1,)</f>
        <v>#N/A</v>
      </c>
    </row>
    <row r="1073" spans="1:17" hidden="1" x14ac:dyDescent="0.2">
      <c r="A1073" s="4" t="s">
        <v>2336</v>
      </c>
      <c r="B1073" s="4">
        <v>0</v>
      </c>
      <c r="C1073" s="4" t="s">
        <v>2337</v>
      </c>
      <c r="D1073" s="4" t="s">
        <v>1997</v>
      </c>
      <c r="E1073" s="4" t="s">
        <v>31</v>
      </c>
      <c r="F1073" s="4">
        <v>22</v>
      </c>
      <c r="G1073" s="4">
        <v>0</v>
      </c>
      <c r="H1073" s="4">
        <v>0</v>
      </c>
      <c r="K1073" s="4">
        <v>0</v>
      </c>
      <c r="L1073" s="4">
        <v>0</v>
      </c>
      <c r="M1073" s="4" t="s">
        <v>1997</v>
      </c>
      <c r="N1073" s="4">
        <v>1</v>
      </c>
      <c r="O1073" s="4">
        <v>0</v>
      </c>
      <c r="P1073" s="4" t="str">
        <f t="shared" si="16"/>
        <v>WST_UTX.DIR_UID</v>
      </c>
      <c r="Q1073" s="4" t="e">
        <f>VLOOKUP(Cobra8.5[[#This Row],[Table.Column]],ColumnMapping[Old Table.Column],1,)</f>
        <v>#N/A</v>
      </c>
    </row>
    <row r="1074" spans="1:17" hidden="1" x14ac:dyDescent="0.2">
      <c r="A1074" s="4" t="s">
        <v>2336</v>
      </c>
      <c r="B1074" s="4">
        <v>0</v>
      </c>
      <c r="C1074" s="4" t="s">
        <v>2337</v>
      </c>
      <c r="D1074" s="4" t="s">
        <v>98</v>
      </c>
      <c r="E1074" s="4" t="s">
        <v>86</v>
      </c>
      <c r="F1074" s="4">
        <v>60</v>
      </c>
      <c r="G1074" s="4">
        <v>0</v>
      </c>
      <c r="H1074" s="4">
        <v>0</v>
      </c>
      <c r="K1074" s="4">
        <v>0</v>
      </c>
      <c r="N1074" s="4">
        <v>0</v>
      </c>
      <c r="O1074" s="4">
        <v>0</v>
      </c>
      <c r="P1074" s="4" t="str">
        <f t="shared" si="16"/>
        <v>WST_UTX.FIELD_NAME</v>
      </c>
      <c r="Q1074" s="4" t="e">
        <f>VLOOKUP(Cobra8.5[[#This Row],[Table.Column]],ColumnMapping[Old Table.Column],1,)</f>
        <v>#N/A</v>
      </c>
    </row>
    <row r="1075" spans="1:17" hidden="1" x14ac:dyDescent="0.2">
      <c r="A1075" s="4" t="s">
        <v>2336</v>
      </c>
      <c r="B1075" s="4">
        <v>0</v>
      </c>
      <c r="C1075" s="4" t="s">
        <v>2337</v>
      </c>
      <c r="D1075" s="4" t="s">
        <v>1796</v>
      </c>
      <c r="E1075" s="4" t="s">
        <v>86</v>
      </c>
      <c r="F1075" s="4">
        <v>255</v>
      </c>
      <c r="G1075" s="4">
        <v>0</v>
      </c>
      <c r="H1075" s="4">
        <v>0</v>
      </c>
      <c r="K1075" s="4">
        <v>0</v>
      </c>
      <c r="N1075" s="4">
        <v>0</v>
      </c>
      <c r="O1075" s="4">
        <v>0</v>
      </c>
      <c r="P1075" s="4" t="str">
        <f t="shared" si="16"/>
        <v>WST_UTX.FIELD_VALUE</v>
      </c>
      <c r="Q1075" s="4" t="e">
        <f>VLOOKUP(Cobra8.5[[#This Row],[Table.Column]],ColumnMapping[Old Table.Column],1,)</f>
        <v>#N/A</v>
      </c>
    </row>
    <row r="1076" spans="1:17" hidden="1" x14ac:dyDescent="0.2">
      <c r="A1076" s="4" t="s">
        <v>2336</v>
      </c>
      <c r="B1076" s="4">
        <v>0</v>
      </c>
      <c r="C1076" s="4" t="s">
        <v>2337</v>
      </c>
      <c r="D1076" s="4" t="s">
        <v>2291</v>
      </c>
      <c r="E1076" s="4" t="s">
        <v>31</v>
      </c>
      <c r="F1076" s="4">
        <v>22</v>
      </c>
      <c r="G1076" s="4">
        <v>0</v>
      </c>
      <c r="H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 t="str">
        <f t="shared" si="16"/>
        <v>WST_UTX.FK_UID</v>
      </c>
      <c r="Q1076" s="4" t="e">
        <f>VLOOKUP(Cobra8.5[[#This Row],[Table.Column]],ColumnMapping[Old Table.Column],1,)</f>
        <v>#N/A</v>
      </c>
    </row>
    <row r="1077" spans="1:17" hidden="1" x14ac:dyDescent="0.2">
      <c r="A1077" s="4" t="s">
        <v>2336</v>
      </c>
      <c r="B1077" s="4">
        <v>0</v>
      </c>
      <c r="C1077" s="4" t="s">
        <v>2337</v>
      </c>
      <c r="D1077" s="4" t="s">
        <v>30</v>
      </c>
      <c r="E1077" s="4" t="s">
        <v>31</v>
      </c>
      <c r="F1077" s="4">
        <v>22</v>
      </c>
      <c r="G1077" s="4">
        <v>0</v>
      </c>
      <c r="H1077" s="4">
        <v>0</v>
      </c>
      <c r="K1077" s="4">
        <v>0</v>
      </c>
      <c r="N1077" s="4">
        <v>0</v>
      </c>
      <c r="O1077" s="4">
        <v>0</v>
      </c>
      <c r="P1077" s="4" t="str">
        <f t="shared" si="16"/>
        <v>WST_UTX.ROW_UID</v>
      </c>
      <c r="Q1077" s="4" t="e">
        <f>VLOOKUP(Cobra8.5[[#This Row],[Table.Column]],ColumnMapping[Old Table.Column],1,)</f>
        <v>#N/A</v>
      </c>
    </row>
    <row r="1078" spans="1:17" hidden="1" x14ac:dyDescent="0.2">
      <c r="A1078" s="4" t="s">
        <v>2336</v>
      </c>
      <c r="B1078" s="4">
        <v>0</v>
      </c>
      <c r="C1078" s="4" t="s">
        <v>2337</v>
      </c>
      <c r="D1078" s="4" t="s">
        <v>2005</v>
      </c>
      <c r="E1078" s="4" t="s">
        <v>86</v>
      </c>
      <c r="F1078" s="4">
        <v>30</v>
      </c>
      <c r="G1078" s="4">
        <v>0</v>
      </c>
      <c r="H1078" s="4">
        <v>0</v>
      </c>
      <c r="K1078" s="4">
        <v>30526</v>
      </c>
      <c r="N1078" s="4">
        <v>0</v>
      </c>
      <c r="O1078" s="4">
        <v>0</v>
      </c>
      <c r="P1078" s="4" t="str">
        <f t="shared" si="16"/>
        <v>WST_UTX.TABLE_TYPE</v>
      </c>
      <c r="Q1078" s="4" t="e">
        <f>VLOOKUP(Cobra8.5[[#This Row],[Table.Column]],ColumnMapping[Old Table.Column],1,)</f>
        <v>#N/A</v>
      </c>
    </row>
  </sheetData>
  <sheetProtection sheet="1" objects="1" scenarios="1" sort="0" autoFilter="0"/>
  <autoFilter ref="Q1:Q1078" xr:uid="{CA5D1A41-841B-466B-A1BD-86630A0FDC56}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B75F-3978-49E6-9421-F683A533D08F}">
  <dimension ref="A1:Q1102"/>
  <sheetViews>
    <sheetView workbookViewId="0">
      <selection activeCell="G1100" sqref="G1100"/>
    </sheetView>
  </sheetViews>
  <sheetFormatPr baseColWidth="10" defaultColWidth="9.1640625" defaultRowHeight="15" x14ac:dyDescent="0.2"/>
  <cols>
    <col min="1" max="1" width="18.1640625" style="4" customWidth="1"/>
    <col min="2" max="3" width="15.1640625" style="4" customWidth="1"/>
    <col min="4" max="4" width="15.5" style="4" customWidth="1"/>
    <col min="5" max="5" width="16.5" style="4" customWidth="1"/>
    <col min="6" max="6" width="12.6640625" style="4" customWidth="1"/>
    <col min="7" max="7" width="10.33203125" style="4" customWidth="1"/>
    <col min="8" max="8" width="13.5" style="4" customWidth="1"/>
    <col min="9" max="9" width="16.5" style="4" customWidth="1"/>
    <col min="10" max="10" width="11" style="4" hidden="1" customWidth="1"/>
    <col min="11" max="11" width="10.33203125" style="4" hidden="1" customWidth="1"/>
    <col min="12" max="12" width="15.6640625" style="4" customWidth="1"/>
    <col min="13" max="14" width="18" style="4" customWidth="1"/>
    <col min="15" max="15" width="15.6640625" style="4" customWidth="1"/>
    <col min="16" max="16" width="34.5" style="4" bestFit="1" customWidth="1"/>
    <col min="17" max="17" width="29.6640625" style="4" bestFit="1" customWidth="1"/>
    <col min="18" max="16384" width="9.1640625" style="4"/>
  </cols>
  <sheetData>
    <row r="1" spans="1:17" x14ac:dyDescent="0.2">
      <c r="A1" s="3" t="s">
        <v>1</v>
      </c>
      <c r="B1" s="3" t="s">
        <v>20</v>
      </c>
      <c r="C1" s="3" t="s">
        <v>2005</v>
      </c>
      <c r="D1" s="3" t="s">
        <v>2006</v>
      </c>
      <c r="E1" s="3" t="s">
        <v>258</v>
      </c>
      <c r="F1" s="3" t="s">
        <v>2007</v>
      </c>
      <c r="G1" s="3" t="s">
        <v>7</v>
      </c>
      <c r="H1" s="3" t="s">
        <v>2008</v>
      </c>
      <c r="I1" s="3" t="s">
        <v>2009</v>
      </c>
      <c r="J1" s="3" t="s">
        <v>2010</v>
      </c>
      <c r="K1" s="3" t="s">
        <v>2011</v>
      </c>
      <c r="L1" s="3" t="s">
        <v>12</v>
      </c>
      <c r="M1" s="3" t="s">
        <v>2012</v>
      </c>
      <c r="N1" s="3" t="s">
        <v>2013</v>
      </c>
      <c r="O1" s="3" t="s">
        <v>2014</v>
      </c>
      <c r="P1" s="3" t="s">
        <v>22</v>
      </c>
      <c r="Q1" s="4" t="s">
        <v>2105</v>
      </c>
    </row>
    <row r="2" spans="1:17" hidden="1" x14ac:dyDescent="0.2">
      <c r="A2" s="4" t="s">
        <v>1913</v>
      </c>
      <c r="B2" s="4">
        <v>0</v>
      </c>
      <c r="C2" s="4" t="s">
        <v>1913</v>
      </c>
      <c r="D2" s="4" t="s">
        <v>2106</v>
      </c>
      <c r="E2" s="4" t="s">
        <v>86</v>
      </c>
      <c r="F2" s="4">
        <v>3</v>
      </c>
      <c r="G2" s="4">
        <v>0</v>
      </c>
      <c r="H2" s="4">
        <v>0</v>
      </c>
      <c r="K2" s="4">
        <v>0</v>
      </c>
      <c r="N2" s="4">
        <v>0</v>
      </c>
      <c r="O2" s="4">
        <v>0</v>
      </c>
      <c r="P2" s="4" t="str">
        <f t="shared" ref="P2:P65" si="0">_xlfn.CONCAT(A2,".",D2)</f>
        <v>ACCOUNTS.ACCT</v>
      </c>
      <c r="Q2" s="4" t="str">
        <f>VLOOKUP(Cobra8.6[[#This Row],[Table.Column]],ColumnMapping[Old Table.Column],1,)</f>
        <v>ACCOUNTS.ACCT</v>
      </c>
    </row>
    <row r="3" spans="1:17" hidden="1" x14ac:dyDescent="0.2">
      <c r="A3" s="4" t="s">
        <v>1913</v>
      </c>
      <c r="B3" s="4">
        <v>0</v>
      </c>
      <c r="C3" s="4" t="s">
        <v>1913</v>
      </c>
      <c r="D3" s="4" t="s">
        <v>2107</v>
      </c>
      <c r="E3" s="4" t="s">
        <v>86</v>
      </c>
      <c r="F3" s="4">
        <v>254</v>
      </c>
      <c r="G3" s="4">
        <v>0</v>
      </c>
      <c r="H3" s="4">
        <v>0</v>
      </c>
      <c r="K3" s="4">
        <v>0</v>
      </c>
      <c r="N3" s="4">
        <v>0</v>
      </c>
      <c r="O3" s="4">
        <v>0</v>
      </c>
      <c r="P3" s="4" t="str">
        <f t="shared" si="0"/>
        <v>ACCOUNTS.ACCTDESC</v>
      </c>
      <c r="Q3" s="4" t="str">
        <f>VLOOKUP(Cobra8.6[[#This Row],[Table.Column]],ColumnMapping[Old Table.Column],1,)</f>
        <v>ACCOUNTS.ACCTDESC</v>
      </c>
    </row>
    <row r="4" spans="1:17" hidden="1" x14ac:dyDescent="0.2">
      <c r="A4" s="4" t="s">
        <v>1913</v>
      </c>
      <c r="B4" s="4">
        <v>0</v>
      </c>
      <c r="C4" s="4" t="s">
        <v>1913</v>
      </c>
      <c r="D4" s="4" t="s">
        <v>744</v>
      </c>
      <c r="E4" s="4" t="s">
        <v>86</v>
      </c>
      <c r="F4" s="4">
        <v>22</v>
      </c>
      <c r="G4" s="4">
        <v>0</v>
      </c>
      <c r="H4" s="4">
        <v>0</v>
      </c>
      <c r="K4" s="4">
        <v>0</v>
      </c>
      <c r="N4" s="4">
        <v>0</v>
      </c>
      <c r="O4" s="4">
        <v>0</v>
      </c>
      <c r="P4" s="4" t="str">
        <f t="shared" si="0"/>
        <v>ACCOUNTS.PROGRAM</v>
      </c>
      <c r="Q4" s="4" t="str">
        <f>VLOOKUP(Cobra8.6[[#This Row],[Table.Column]],ColumnMapping[Old Table.Column],1,)</f>
        <v>ACCOUNTS.PROGRAM</v>
      </c>
    </row>
    <row r="5" spans="1:17" hidden="1" x14ac:dyDescent="0.2">
      <c r="A5" s="4" t="s">
        <v>1913</v>
      </c>
      <c r="B5" s="4">
        <v>0</v>
      </c>
      <c r="C5" s="4" t="s">
        <v>1913</v>
      </c>
      <c r="D5" s="4" t="s">
        <v>1256</v>
      </c>
      <c r="E5" s="4" t="s">
        <v>2108</v>
      </c>
      <c r="F5" s="4">
        <v>-1</v>
      </c>
      <c r="G5" s="4">
        <v>0</v>
      </c>
      <c r="H5" s="4">
        <v>0</v>
      </c>
      <c r="K5" s="4">
        <v>0</v>
      </c>
      <c r="N5" s="4">
        <v>0</v>
      </c>
      <c r="O5" s="4">
        <v>0</v>
      </c>
      <c r="P5" s="4" t="str">
        <f t="shared" si="0"/>
        <v>ACCOUNTS.REQUIRED</v>
      </c>
      <c r="Q5" s="4" t="str">
        <f>VLOOKUP(Cobra8.6[[#This Row],[Table.Column]],ColumnMapping[Old Table.Column],1,)</f>
        <v>ACCOUNTS.REQUIRED</v>
      </c>
    </row>
    <row r="6" spans="1:17" hidden="1" x14ac:dyDescent="0.2">
      <c r="A6" s="4" t="s">
        <v>2109</v>
      </c>
      <c r="B6" s="4">
        <v>0</v>
      </c>
      <c r="C6" s="4" t="s">
        <v>2109</v>
      </c>
      <c r="D6" s="4" t="s">
        <v>1501</v>
      </c>
      <c r="E6" s="4" t="s">
        <v>86</v>
      </c>
      <c r="F6" s="4">
        <v>22</v>
      </c>
      <c r="G6" s="4">
        <v>0</v>
      </c>
      <c r="H6" s="4">
        <v>0</v>
      </c>
      <c r="K6" s="4">
        <v>0</v>
      </c>
      <c r="N6" s="4">
        <v>0</v>
      </c>
      <c r="O6" s="4">
        <v>0</v>
      </c>
      <c r="P6" s="4" t="str">
        <f t="shared" si="0"/>
        <v>APPBE.CALCFILE</v>
      </c>
      <c r="Q6" s="4" t="str">
        <f>VLOOKUP(Cobra8.6[[#This Row],[Table.Column]],ColumnMapping[Old Table.Column],1,)</f>
        <v>APPBE.CALCFILE</v>
      </c>
    </row>
    <row r="7" spans="1:17" hidden="1" x14ac:dyDescent="0.2">
      <c r="A7" s="4" t="s">
        <v>2109</v>
      </c>
      <c r="B7" s="4">
        <v>0</v>
      </c>
      <c r="C7" s="4" t="s">
        <v>2109</v>
      </c>
      <c r="D7" s="4" t="s">
        <v>2110</v>
      </c>
      <c r="E7" s="4" t="s">
        <v>2108</v>
      </c>
      <c r="F7" s="4">
        <v>-1</v>
      </c>
      <c r="G7" s="4">
        <v>0</v>
      </c>
      <c r="H7" s="4">
        <v>0</v>
      </c>
      <c r="K7" s="4">
        <v>0</v>
      </c>
      <c r="N7" s="4">
        <v>0</v>
      </c>
      <c r="O7" s="4">
        <v>0</v>
      </c>
      <c r="P7" s="4" t="str">
        <f t="shared" si="0"/>
        <v>APPBE.CALCORDER</v>
      </c>
      <c r="Q7" s="4" t="str">
        <f>VLOOKUP(Cobra8.6[[#This Row],[Table.Column]],ColumnMapping[Old Table.Column],1,)</f>
        <v>APPBE.CALCORDER</v>
      </c>
    </row>
    <row r="8" spans="1:17" hidden="1" x14ac:dyDescent="0.2">
      <c r="A8" s="4" t="s">
        <v>2109</v>
      </c>
      <c r="B8" s="4">
        <v>0</v>
      </c>
      <c r="C8" s="4" t="s">
        <v>2109</v>
      </c>
      <c r="D8" s="4" t="s">
        <v>1098</v>
      </c>
      <c r="E8" s="4" t="s">
        <v>86</v>
      </c>
      <c r="F8" s="4">
        <v>59</v>
      </c>
      <c r="G8" s="4">
        <v>0</v>
      </c>
      <c r="H8" s="4">
        <v>0</v>
      </c>
      <c r="K8" s="4">
        <v>0</v>
      </c>
      <c r="N8" s="4">
        <v>0</v>
      </c>
      <c r="O8" s="4">
        <v>0</v>
      </c>
      <c r="P8" s="4" t="str">
        <f t="shared" si="0"/>
        <v>APPBE.CECODE</v>
      </c>
      <c r="Q8" s="4" t="str">
        <f>VLOOKUP(Cobra8.6[[#This Row],[Table.Column]],ColumnMapping[Old Table.Column],1,)</f>
        <v>APPBE.CECODE</v>
      </c>
    </row>
    <row r="9" spans="1:17" hidden="1" x14ac:dyDescent="0.2">
      <c r="A9" s="4" t="s">
        <v>2109</v>
      </c>
      <c r="B9" s="4">
        <v>0</v>
      </c>
      <c r="C9" s="4" t="s">
        <v>2109</v>
      </c>
      <c r="D9" s="4" t="s">
        <v>2111</v>
      </c>
      <c r="E9" s="4" t="s">
        <v>356</v>
      </c>
      <c r="F9" s="4">
        <v>-1</v>
      </c>
      <c r="G9" s="4">
        <v>0</v>
      </c>
      <c r="H9" s="4">
        <v>0</v>
      </c>
      <c r="K9" s="4">
        <v>0</v>
      </c>
      <c r="N9" s="4">
        <v>0</v>
      </c>
      <c r="O9" s="4">
        <v>0</v>
      </c>
      <c r="P9" s="4" t="str">
        <f t="shared" si="0"/>
        <v>APPBE.LASTUPDATE</v>
      </c>
      <c r="Q9" s="4" t="str">
        <f>VLOOKUP(Cobra8.6[[#This Row],[Table.Column]],ColumnMapping[Old Table.Column],1,)</f>
        <v>APPBE.LASTUPDATE</v>
      </c>
    </row>
    <row r="10" spans="1:17" hidden="1" x14ac:dyDescent="0.2">
      <c r="A10" s="4" t="s">
        <v>2109</v>
      </c>
      <c r="B10" s="4">
        <v>0</v>
      </c>
      <c r="C10" s="4" t="s">
        <v>2109</v>
      </c>
      <c r="D10" s="4" t="s">
        <v>865</v>
      </c>
      <c r="E10" s="4" t="s">
        <v>86</v>
      </c>
      <c r="F10" s="4">
        <v>10</v>
      </c>
      <c r="G10" s="4">
        <v>0</v>
      </c>
      <c r="H10" s="4">
        <v>0</v>
      </c>
      <c r="K10" s="4">
        <v>0</v>
      </c>
      <c r="N10" s="4">
        <v>0</v>
      </c>
      <c r="O10" s="4">
        <v>0</v>
      </c>
      <c r="P10" s="4" t="str">
        <f t="shared" si="0"/>
        <v>APPBE.RESULT</v>
      </c>
      <c r="Q10" s="4" t="str">
        <f>VLOOKUP(Cobra8.6[[#This Row],[Table.Column]],ColumnMapping[Old Table.Column],1,)</f>
        <v>APPBE.RESULT</v>
      </c>
    </row>
    <row r="11" spans="1:17" hidden="1" x14ac:dyDescent="0.2">
      <c r="A11" s="4" t="s">
        <v>2109</v>
      </c>
      <c r="B11" s="4">
        <v>0</v>
      </c>
      <c r="C11" s="4" t="s">
        <v>2109</v>
      </c>
      <c r="D11" s="4" t="s">
        <v>35</v>
      </c>
      <c r="E11" s="4" t="s">
        <v>2108</v>
      </c>
      <c r="F11" s="4">
        <v>-1</v>
      </c>
      <c r="G11" s="4">
        <v>0</v>
      </c>
      <c r="H11" s="4">
        <v>0</v>
      </c>
      <c r="K11" s="4">
        <v>0</v>
      </c>
      <c r="N11" s="4">
        <v>0</v>
      </c>
      <c r="O11" s="4">
        <v>0</v>
      </c>
      <c r="P11" s="4" t="str">
        <f t="shared" si="0"/>
        <v>APPBE.SEQUENCE</v>
      </c>
      <c r="Q11" s="4" t="str">
        <f>VLOOKUP(Cobra8.6[[#This Row],[Table.Column]],ColumnMapping[Old Table.Column],1,)</f>
        <v>APPBE.SEQUENCE</v>
      </c>
    </row>
    <row r="12" spans="1:17" hidden="1" x14ac:dyDescent="0.2">
      <c r="A12" s="4" t="s">
        <v>2109</v>
      </c>
      <c r="B12" s="4">
        <v>0</v>
      </c>
      <c r="C12" s="4" t="s">
        <v>2109</v>
      </c>
      <c r="D12" s="4" t="s">
        <v>2112</v>
      </c>
      <c r="E12" s="4" t="s">
        <v>86</v>
      </c>
      <c r="F12" s="4">
        <v>20</v>
      </c>
      <c r="G12" s="4">
        <v>0</v>
      </c>
      <c r="H12" s="4">
        <v>0</v>
      </c>
      <c r="K12" s="4">
        <v>0</v>
      </c>
      <c r="N12" s="4">
        <v>0</v>
      </c>
      <c r="O12" s="4">
        <v>0</v>
      </c>
      <c r="P12" s="4" t="str">
        <f t="shared" si="0"/>
        <v>APPBE.USR_ID</v>
      </c>
      <c r="Q12" s="4" t="str">
        <f>VLOOKUP(Cobra8.6[[#This Row],[Table.Column]],ColumnMapping[Old Table.Column],1,)</f>
        <v>APPBE.USR_ID</v>
      </c>
    </row>
    <row r="13" spans="1:17" hidden="1" x14ac:dyDescent="0.2">
      <c r="A13" s="4" t="s">
        <v>2113</v>
      </c>
      <c r="B13" s="4">
        <v>0</v>
      </c>
      <c r="C13" s="4" t="s">
        <v>2113</v>
      </c>
      <c r="D13" s="4" t="s">
        <v>1501</v>
      </c>
      <c r="E13" s="4" t="s">
        <v>86</v>
      </c>
      <c r="F13" s="4">
        <v>22</v>
      </c>
      <c r="G13" s="4">
        <v>0</v>
      </c>
      <c r="H13" s="4">
        <v>0</v>
      </c>
      <c r="K13" s="4">
        <v>0</v>
      </c>
      <c r="N13" s="4">
        <v>0</v>
      </c>
      <c r="O13" s="4">
        <v>0</v>
      </c>
      <c r="P13" s="4" t="str">
        <f t="shared" si="0"/>
        <v>APPBEDTL.CALCFILE</v>
      </c>
      <c r="Q13" s="4" t="str">
        <f>VLOOKUP(Cobra8.6[[#This Row],[Table.Column]],ColumnMapping[Old Table.Column],1,)</f>
        <v>APPBEDTL.CALCFILE</v>
      </c>
    </row>
    <row r="14" spans="1:17" hidden="1" x14ac:dyDescent="0.2">
      <c r="A14" s="4" t="s">
        <v>2113</v>
      </c>
      <c r="B14" s="4">
        <v>0</v>
      </c>
      <c r="C14" s="4" t="s">
        <v>2113</v>
      </c>
      <c r="D14" s="4" t="s">
        <v>1098</v>
      </c>
      <c r="E14" s="4" t="s">
        <v>86</v>
      </c>
      <c r="F14" s="4">
        <v>59</v>
      </c>
      <c r="G14" s="4">
        <v>0</v>
      </c>
      <c r="H14" s="4">
        <v>0</v>
      </c>
      <c r="K14" s="4">
        <v>0</v>
      </c>
      <c r="N14" s="4">
        <v>0</v>
      </c>
      <c r="O14" s="4">
        <v>0</v>
      </c>
      <c r="P14" s="4" t="str">
        <f t="shared" si="0"/>
        <v>APPBEDTL.CECODE</v>
      </c>
      <c r="Q14" s="4" t="e">
        <f>VLOOKUP(Cobra8.6[[#This Row],[Table.Column]],ColumnMapping[Old Table.Column],1,)</f>
        <v>#N/A</v>
      </c>
    </row>
    <row r="15" spans="1:17" hidden="1" x14ac:dyDescent="0.2">
      <c r="A15" s="4" t="s">
        <v>2113</v>
      </c>
      <c r="B15" s="4">
        <v>0</v>
      </c>
      <c r="C15" s="4" t="s">
        <v>2113</v>
      </c>
      <c r="D15" s="4" t="s">
        <v>2111</v>
      </c>
      <c r="E15" s="4" t="s">
        <v>356</v>
      </c>
      <c r="F15" s="4">
        <v>-1</v>
      </c>
      <c r="G15" s="4">
        <v>0</v>
      </c>
      <c r="H15" s="4">
        <v>0</v>
      </c>
      <c r="K15" s="4">
        <v>0</v>
      </c>
      <c r="N15" s="4">
        <v>0</v>
      </c>
      <c r="O15" s="4">
        <v>0</v>
      </c>
      <c r="P15" s="4" t="str">
        <f t="shared" si="0"/>
        <v>APPBEDTL.LASTUPDATE</v>
      </c>
      <c r="Q15" s="4" t="str">
        <f>VLOOKUP(Cobra8.6[[#This Row],[Table.Column]],ColumnMapping[Old Table.Column],1,)</f>
        <v>APPBEDTL.LASTUPDATE</v>
      </c>
    </row>
    <row r="16" spans="1:17" hidden="1" x14ac:dyDescent="0.2">
      <c r="A16" s="4" t="s">
        <v>2113</v>
      </c>
      <c r="B16" s="4">
        <v>0</v>
      </c>
      <c r="C16" s="4" t="s">
        <v>2113</v>
      </c>
      <c r="D16" s="4" t="s">
        <v>35</v>
      </c>
      <c r="E16" s="4" t="s">
        <v>2108</v>
      </c>
      <c r="F16" s="4">
        <v>-1</v>
      </c>
      <c r="G16" s="4">
        <v>0</v>
      </c>
      <c r="H16" s="4">
        <v>0</v>
      </c>
      <c r="K16" s="4">
        <v>0</v>
      </c>
      <c r="N16" s="4">
        <v>0</v>
      </c>
      <c r="O16" s="4">
        <v>0</v>
      </c>
      <c r="P16" s="4" t="str">
        <f t="shared" si="0"/>
        <v>APPBEDTL.SEQUENCE</v>
      </c>
      <c r="Q16" s="4" t="str">
        <f>VLOOKUP(Cobra8.6[[#This Row],[Table.Column]],ColumnMapping[Old Table.Column],1,)</f>
        <v>APPBEDTL.SEQUENCE</v>
      </c>
    </row>
    <row r="17" spans="1:17" hidden="1" x14ac:dyDescent="0.2">
      <c r="A17" s="4" t="s">
        <v>2113</v>
      </c>
      <c r="B17" s="4">
        <v>0</v>
      </c>
      <c r="C17" s="4" t="s">
        <v>2113</v>
      </c>
      <c r="D17" s="4" t="s">
        <v>2114</v>
      </c>
      <c r="E17" s="4" t="s">
        <v>86</v>
      </c>
      <c r="F17" s="4">
        <v>59</v>
      </c>
      <c r="G17" s="4">
        <v>0</v>
      </c>
      <c r="H17" s="4">
        <v>0</v>
      </c>
      <c r="K17" s="4">
        <v>0</v>
      </c>
      <c r="N17" s="4">
        <v>0</v>
      </c>
      <c r="O17" s="4">
        <v>0</v>
      </c>
      <c r="P17" s="4" t="str">
        <f t="shared" si="0"/>
        <v>APPBEDTL.SRC_CECODE</v>
      </c>
      <c r="Q17" s="4" t="str">
        <f>VLOOKUP(Cobra8.6[[#This Row],[Table.Column]],ColumnMapping[Old Table.Column],1,)</f>
        <v>APPBEDTL.SRC_CECODE</v>
      </c>
    </row>
    <row r="18" spans="1:17" hidden="1" x14ac:dyDescent="0.2">
      <c r="A18" s="4" t="s">
        <v>2113</v>
      </c>
      <c r="B18" s="4">
        <v>0</v>
      </c>
      <c r="C18" s="4" t="s">
        <v>2113</v>
      </c>
      <c r="D18" s="4" t="s">
        <v>2112</v>
      </c>
      <c r="E18" s="4" t="s">
        <v>86</v>
      </c>
      <c r="F18" s="4">
        <v>20</v>
      </c>
      <c r="G18" s="4">
        <v>0</v>
      </c>
      <c r="H18" s="4">
        <v>0</v>
      </c>
      <c r="K18" s="4">
        <v>0</v>
      </c>
      <c r="N18" s="4">
        <v>0</v>
      </c>
      <c r="O18" s="4">
        <v>0</v>
      </c>
      <c r="P18" s="4" t="str">
        <f t="shared" si="0"/>
        <v>APPBEDTL.USR_ID</v>
      </c>
      <c r="Q18" s="4" t="str">
        <f>VLOOKUP(Cobra8.6[[#This Row],[Table.Column]],ColumnMapping[Old Table.Column],1,)</f>
        <v>APPBEDTL.USR_ID</v>
      </c>
    </row>
    <row r="19" spans="1:17" hidden="1" x14ac:dyDescent="0.2">
      <c r="A19" s="4" t="s">
        <v>2115</v>
      </c>
      <c r="B19" s="4">
        <v>0</v>
      </c>
      <c r="C19" s="4" t="s">
        <v>2115</v>
      </c>
      <c r="D19" s="4" t="s">
        <v>1098</v>
      </c>
      <c r="E19" s="4" t="s">
        <v>86</v>
      </c>
      <c r="F19" s="4">
        <v>59</v>
      </c>
      <c r="G19" s="4">
        <v>0</v>
      </c>
      <c r="H19" s="4">
        <v>0</v>
      </c>
      <c r="K19" s="4">
        <v>0</v>
      </c>
      <c r="N19" s="4">
        <v>0</v>
      </c>
      <c r="O19" s="4">
        <v>0</v>
      </c>
      <c r="P19" s="4" t="str">
        <f t="shared" si="0"/>
        <v>APPMAPSC.CECODE</v>
      </c>
      <c r="Q19" s="4" t="str">
        <f>VLOOKUP(Cobra8.6[[#This Row],[Table.Column]],ColumnMapping[Old Table.Column],1,)</f>
        <v>APPMAPSC.CECODE</v>
      </c>
    </row>
    <row r="20" spans="1:17" hidden="1" x14ac:dyDescent="0.2">
      <c r="A20" s="4" t="s">
        <v>2115</v>
      </c>
      <c r="B20" s="4">
        <v>0</v>
      </c>
      <c r="C20" s="4" t="s">
        <v>2115</v>
      </c>
      <c r="D20" s="4" t="s">
        <v>2111</v>
      </c>
      <c r="E20" s="4" t="s">
        <v>356</v>
      </c>
      <c r="F20" s="4">
        <v>-1</v>
      </c>
      <c r="G20" s="4">
        <v>0</v>
      </c>
      <c r="H20" s="4">
        <v>0</v>
      </c>
      <c r="K20" s="4">
        <v>0</v>
      </c>
      <c r="N20" s="4">
        <v>0</v>
      </c>
      <c r="O20" s="4">
        <v>0</v>
      </c>
      <c r="P20" s="4" t="str">
        <f t="shared" si="0"/>
        <v>APPMAPSC.LASTUPDATE</v>
      </c>
      <c r="Q20" s="4" t="str">
        <f>VLOOKUP(Cobra8.6[[#This Row],[Table.Column]],ColumnMapping[Old Table.Column],1,)</f>
        <v>APPMAPSC.LASTUPDATE</v>
      </c>
    </row>
    <row r="21" spans="1:17" hidden="1" x14ac:dyDescent="0.2">
      <c r="A21" s="4" t="s">
        <v>2115</v>
      </c>
      <c r="B21" s="4">
        <v>0</v>
      </c>
      <c r="C21" s="4" t="s">
        <v>2115</v>
      </c>
      <c r="D21" s="4" t="s">
        <v>744</v>
      </c>
      <c r="E21" s="4" t="s">
        <v>86</v>
      </c>
      <c r="F21" s="4">
        <v>22</v>
      </c>
      <c r="G21" s="4">
        <v>0</v>
      </c>
      <c r="H21" s="4">
        <v>0</v>
      </c>
      <c r="K21" s="4">
        <v>0</v>
      </c>
      <c r="N21" s="4">
        <v>0</v>
      </c>
      <c r="O21" s="4">
        <v>0</v>
      </c>
      <c r="P21" s="4" t="str">
        <f t="shared" si="0"/>
        <v>APPMAPSC.PROGRAM</v>
      </c>
      <c r="Q21" s="4" t="str">
        <f>VLOOKUP(Cobra8.6[[#This Row],[Table.Column]],ColumnMapping[Old Table.Column],1,)</f>
        <v>APPMAPSC.PROGRAM</v>
      </c>
    </row>
    <row r="22" spans="1:17" hidden="1" x14ac:dyDescent="0.2">
      <c r="A22" s="4" t="s">
        <v>2115</v>
      </c>
      <c r="B22" s="4">
        <v>0</v>
      </c>
      <c r="C22" s="4" t="s">
        <v>2115</v>
      </c>
      <c r="D22" s="4" t="s">
        <v>35</v>
      </c>
      <c r="E22" s="4" t="s">
        <v>2108</v>
      </c>
      <c r="F22" s="4">
        <v>-1</v>
      </c>
      <c r="G22" s="4">
        <v>0</v>
      </c>
      <c r="H22" s="4">
        <v>0</v>
      </c>
      <c r="K22" s="4">
        <v>0</v>
      </c>
      <c r="N22" s="4">
        <v>0</v>
      </c>
      <c r="O22" s="4">
        <v>0</v>
      </c>
      <c r="P22" s="4" t="str">
        <f t="shared" si="0"/>
        <v>APPMAPSC.SEQUENCE</v>
      </c>
      <c r="Q22" s="4" t="str">
        <f>VLOOKUP(Cobra8.6[[#This Row],[Table.Column]],ColumnMapping[Old Table.Column],1,)</f>
        <v>APPMAPSC.SEQUENCE</v>
      </c>
    </row>
    <row r="23" spans="1:17" hidden="1" x14ac:dyDescent="0.2">
      <c r="A23" s="4" t="s">
        <v>2115</v>
      </c>
      <c r="B23" s="4">
        <v>0</v>
      </c>
      <c r="C23" s="4" t="s">
        <v>2115</v>
      </c>
      <c r="D23" s="4" t="s">
        <v>2116</v>
      </c>
      <c r="E23" s="4" t="s">
        <v>86</v>
      </c>
      <c r="F23" s="4">
        <v>183</v>
      </c>
      <c r="G23" s="4">
        <v>0</v>
      </c>
      <c r="H23" s="4">
        <v>0</v>
      </c>
      <c r="K23" s="4">
        <v>0</v>
      </c>
      <c r="N23" s="4">
        <v>0</v>
      </c>
      <c r="O23" s="4">
        <v>0</v>
      </c>
      <c r="P23" s="4" t="str">
        <f t="shared" si="0"/>
        <v>APPMAPSC.SRC_CAWP</v>
      </c>
      <c r="Q23" s="4" t="str">
        <f>VLOOKUP(Cobra8.6[[#This Row],[Table.Column]],ColumnMapping[Old Table.Column],1,)</f>
        <v>APPMAPSC.SRC_CAWP</v>
      </c>
    </row>
    <row r="24" spans="1:17" hidden="1" x14ac:dyDescent="0.2">
      <c r="A24" s="4" t="s">
        <v>2115</v>
      </c>
      <c r="B24" s="4">
        <v>0</v>
      </c>
      <c r="C24" s="4" t="s">
        <v>2115</v>
      </c>
      <c r="D24" s="4" t="s">
        <v>2117</v>
      </c>
      <c r="E24" s="4" t="s">
        <v>2108</v>
      </c>
      <c r="F24" s="4">
        <v>-1</v>
      </c>
      <c r="G24" s="4">
        <v>0</v>
      </c>
      <c r="H24" s="4">
        <v>0</v>
      </c>
      <c r="K24" s="4">
        <v>0</v>
      </c>
      <c r="N24" s="4">
        <v>0</v>
      </c>
      <c r="O24" s="4">
        <v>0</v>
      </c>
      <c r="P24" s="4" t="str">
        <f t="shared" si="0"/>
        <v>APPMAPSC.SRC_CAWPID</v>
      </c>
      <c r="Q24" s="4" t="str">
        <f>VLOOKUP(Cobra8.6[[#This Row],[Table.Column]],ColumnMapping[Old Table.Column],1,)</f>
        <v>APPMAPSC.SRC_CAWPID</v>
      </c>
    </row>
    <row r="25" spans="1:17" hidden="1" x14ac:dyDescent="0.2">
      <c r="A25" s="4" t="s">
        <v>2115</v>
      </c>
      <c r="B25" s="4">
        <v>0</v>
      </c>
      <c r="C25" s="4" t="s">
        <v>2115</v>
      </c>
      <c r="D25" s="4" t="s">
        <v>2118</v>
      </c>
      <c r="E25" s="4" t="s">
        <v>86</v>
      </c>
      <c r="F25" s="4">
        <v>22</v>
      </c>
      <c r="G25" s="4">
        <v>0</v>
      </c>
      <c r="H25" s="4">
        <v>0</v>
      </c>
      <c r="K25" s="4">
        <v>0</v>
      </c>
      <c r="N25" s="4">
        <v>0</v>
      </c>
      <c r="O25" s="4">
        <v>0</v>
      </c>
      <c r="P25" s="4" t="str">
        <f t="shared" si="0"/>
        <v>APPMAPSC.SRC_PROG</v>
      </c>
      <c r="Q25" s="4" t="str">
        <f>VLOOKUP(Cobra8.6[[#This Row],[Table.Column]],ColumnMapping[Old Table.Column],1,)</f>
        <v>APPMAPSC.SRC_PROG</v>
      </c>
    </row>
    <row r="26" spans="1:17" hidden="1" x14ac:dyDescent="0.2">
      <c r="A26" s="4" t="s">
        <v>2115</v>
      </c>
      <c r="B26" s="4">
        <v>0</v>
      </c>
      <c r="C26" s="4" t="s">
        <v>2115</v>
      </c>
      <c r="D26" s="4" t="s">
        <v>2119</v>
      </c>
      <c r="E26" s="4" t="s">
        <v>2108</v>
      </c>
      <c r="F26" s="4">
        <v>-1</v>
      </c>
      <c r="G26" s="4">
        <v>0</v>
      </c>
      <c r="H26" s="4">
        <v>0</v>
      </c>
      <c r="K26" s="4">
        <v>0</v>
      </c>
      <c r="N26" s="4">
        <v>0</v>
      </c>
      <c r="O26" s="4">
        <v>0</v>
      </c>
      <c r="P26" s="4" t="str">
        <f t="shared" si="0"/>
        <v>APPMAPSC.TRG_CAWPID</v>
      </c>
      <c r="Q26" s="4" t="str">
        <f>VLOOKUP(Cobra8.6[[#This Row],[Table.Column]],ColumnMapping[Old Table.Column],1,)</f>
        <v>APPMAPSC.TRG_CAWPID</v>
      </c>
    </row>
    <row r="27" spans="1:17" hidden="1" x14ac:dyDescent="0.2">
      <c r="A27" s="4" t="s">
        <v>2115</v>
      </c>
      <c r="B27" s="4">
        <v>0</v>
      </c>
      <c r="C27" s="4" t="s">
        <v>2115</v>
      </c>
      <c r="D27" s="4" t="s">
        <v>2120</v>
      </c>
      <c r="E27" s="4" t="s">
        <v>86</v>
      </c>
      <c r="F27" s="4">
        <v>22</v>
      </c>
      <c r="G27" s="4">
        <v>0</v>
      </c>
      <c r="H27" s="4">
        <v>0</v>
      </c>
      <c r="K27" s="4">
        <v>0</v>
      </c>
      <c r="N27" s="4">
        <v>0</v>
      </c>
      <c r="O27" s="4">
        <v>0</v>
      </c>
      <c r="P27" s="4" t="str">
        <f t="shared" si="0"/>
        <v>APPMAPSC.TRG_PROG</v>
      </c>
      <c r="Q27" s="4" t="str">
        <f>VLOOKUP(Cobra8.6[[#This Row],[Table.Column]],ColumnMapping[Old Table.Column],1,)</f>
        <v>APPMAPSC.TRG_PROG</v>
      </c>
    </row>
    <row r="28" spans="1:17" hidden="1" x14ac:dyDescent="0.2">
      <c r="A28" s="4" t="s">
        <v>2115</v>
      </c>
      <c r="B28" s="4">
        <v>0</v>
      </c>
      <c r="C28" s="4" t="s">
        <v>2115</v>
      </c>
      <c r="D28" s="4" t="s">
        <v>2112</v>
      </c>
      <c r="E28" s="4" t="s">
        <v>86</v>
      </c>
      <c r="F28" s="4">
        <v>20</v>
      </c>
      <c r="G28" s="4">
        <v>0</v>
      </c>
      <c r="H28" s="4">
        <v>0</v>
      </c>
      <c r="K28" s="4">
        <v>0</v>
      </c>
      <c r="N28" s="4">
        <v>0</v>
      </c>
      <c r="O28" s="4">
        <v>0</v>
      </c>
      <c r="P28" s="4" t="str">
        <f t="shared" si="0"/>
        <v>APPMAPSC.USR_ID</v>
      </c>
      <c r="Q28" s="4" t="str">
        <f>VLOOKUP(Cobra8.6[[#This Row],[Table.Column]],ColumnMapping[Old Table.Column],1,)</f>
        <v>APPMAPSC.USR_ID</v>
      </c>
    </row>
    <row r="29" spans="1:17" hidden="1" x14ac:dyDescent="0.2">
      <c r="A29" s="4" t="s">
        <v>2121</v>
      </c>
      <c r="B29" s="4">
        <v>0</v>
      </c>
      <c r="C29" s="4" t="s">
        <v>2121</v>
      </c>
      <c r="D29" s="4" t="s">
        <v>1098</v>
      </c>
      <c r="E29" s="4" t="s">
        <v>86</v>
      </c>
      <c r="F29" s="4">
        <v>59</v>
      </c>
      <c r="G29" s="4">
        <v>0</v>
      </c>
      <c r="H29" s="4">
        <v>0</v>
      </c>
      <c r="K29" s="4">
        <v>0</v>
      </c>
      <c r="N29" s="4">
        <v>0</v>
      </c>
      <c r="O29" s="4">
        <v>0</v>
      </c>
      <c r="P29" s="4" t="str">
        <f t="shared" si="0"/>
        <v>APPMAPTG.CECODE</v>
      </c>
      <c r="Q29" s="4" t="str">
        <f>VLOOKUP(Cobra8.6[[#This Row],[Table.Column]],ColumnMapping[Old Table.Column],1,)</f>
        <v>APPMAPTG.CECODE</v>
      </c>
    </row>
    <row r="30" spans="1:17" hidden="1" x14ac:dyDescent="0.2">
      <c r="A30" s="4" t="s">
        <v>2121</v>
      </c>
      <c r="B30" s="4">
        <v>0</v>
      </c>
      <c r="C30" s="4" t="s">
        <v>2121</v>
      </c>
      <c r="D30" s="4" t="s">
        <v>2111</v>
      </c>
      <c r="E30" s="4" t="s">
        <v>356</v>
      </c>
      <c r="F30" s="4">
        <v>-1</v>
      </c>
      <c r="G30" s="4">
        <v>0</v>
      </c>
      <c r="H30" s="4">
        <v>0</v>
      </c>
      <c r="K30" s="4">
        <v>0</v>
      </c>
      <c r="N30" s="4">
        <v>0</v>
      </c>
      <c r="O30" s="4">
        <v>0</v>
      </c>
      <c r="P30" s="4" t="str">
        <f t="shared" si="0"/>
        <v>APPMAPTG.LASTUPDATE</v>
      </c>
      <c r="Q30" s="4" t="str">
        <f>VLOOKUP(Cobra8.6[[#This Row],[Table.Column]],ColumnMapping[Old Table.Column],1,)</f>
        <v>APPMAPTG.LASTUPDATE</v>
      </c>
    </row>
    <row r="31" spans="1:17" hidden="1" x14ac:dyDescent="0.2">
      <c r="A31" s="4" t="s">
        <v>2121</v>
      </c>
      <c r="B31" s="4">
        <v>0</v>
      </c>
      <c r="C31" s="4" t="s">
        <v>2121</v>
      </c>
      <c r="D31" s="4" t="s">
        <v>744</v>
      </c>
      <c r="E31" s="4" t="s">
        <v>86</v>
      </c>
      <c r="F31" s="4">
        <v>22</v>
      </c>
      <c r="G31" s="4">
        <v>0</v>
      </c>
      <c r="H31" s="4">
        <v>0</v>
      </c>
      <c r="K31" s="4">
        <v>0</v>
      </c>
      <c r="N31" s="4">
        <v>0</v>
      </c>
      <c r="O31" s="4">
        <v>0</v>
      </c>
      <c r="P31" s="4" t="str">
        <f t="shared" si="0"/>
        <v>APPMAPTG.PROGRAM</v>
      </c>
      <c r="Q31" s="4" t="str">
        <f>VLOOKUP(Cobra8.6[[#This Row],[Table.Column]],ColumnMapping[Old Table.Column],1,)</f>
        <v>APPMAPTG.PROGRAM</v>
      </c>
    </row>
    <row r="32" spans="1:17" hidden="1" x14ac:dyDescent="0.2">
      <c r="A32" s="4" t="s">
        <v>2121</v>
      </c>
      <c r="B32" s="4">
        <v>0</v>
      </c>
      <c r="C32" s="4" t="s">
        <v>2121</v>
      </c>
      <c r="D32" s="4" t="s">
        <v>1434</v>
      </c>
      <c r="E32" s="4" t="s">
        <v>86</v>
      </c>
      <c r="F32" s="4">
        <v>59</v>
      </c>
      <c r="G32" s="4">
        <v>0</v>
      </c>
      <c r="H32" s="4">
        <v>0</v>
      </c>
      <c r="K32" s="4">
        <v>0</v>
      </c>
      <c r="N32" s="4">
        <v>0</v>
      </c>
      <c r="O32" s="4">
        <v>0</v>
      </c>
      <c r="P32" s="4" t="str">
        <f t="shared" si="0"/>
        <v>APPMAPTG.RATE_TABLE</v>
      </c>
      <c r="Q32" s="4" t="str">
        <f>VLOOKUP(Cobra8.6[[#This Row],[Table.Column]],ColumnMapping[Old Table.Column],1,)</f>
        <v>APPMAPTG.RATE_TABLE</v>
      </c>
    </row>
    <row r="33" spans="1:17" hidden="1" x14ac:dyDescent="0.2">
      <c r="A33" s="4" t="s">
        <v>2121</v>
      </c>
      <c r="B33" s="4">
        <v>0</v>
      </c>
      <c r="C33" s="4" t="s">
        <v>2121</v>
      </c>
      <c r="D33" s="4" t="s">
        <v>35</v>
      </c>
      <c r="E33" s="4" t="s">
        <v>2108</v>
      </c>
      <c r="F33" s="4">
        <v>-1</v>
      </c>
      <c r="G33" s="4">
        <v>0</v>
      </c>
      <c r="H33" s="4">
        <v>0</v>
      </c>
      <c r="K33" s="4">
        <v>0</v>
      </c>
      <c r="N33" s="4">
        <v>0</v>
      </c>
      <c r="O33" s="4">
        <v>0</v>
      </c>
      <c r="P33" s="4" t="str">
        <f t="shared" si="0"/>
        <v>APPMAPTG.SEQUENCE</v>
      </c>
      <c r="Q33" s="4" t="str">
        <f>VLOOKUP(Cobra8.6[[#This Row],[Table.Column]],ColumnMapping[Old Table.Column],1,)</f>
        <v>APPMAPTG.SEQUENCE</v>
      </c>
    </row>
    <row r="34" spans="1:17" hidden="1" x14ac:dyDescent="0.2">
      <c r="A34" s="4" t="s">
        <v>2121</v>
      </c>
      <c r="B34" s="4">
        <v>0</v>
      </c>
      <c r="C34" s="4" t="s">
        <v>2121</v>
      </c>
      <c r="D34" s="4" t="s">
        <v>2122</v>
      </c>
      <c r="E34" s="4" t="s">
        <v>86</v>
      </c>
      <c r="F34" s="4">
        <v>245</v>
      </c>
      <c r="G34" s="4">
        <v>0</v>
      </c>
      <c r="H34" s="4">
        <v>0</v>
      </c>
      <c r="K34" s="4">
        <v>0</v>
      </c>
      <c r="N34" s="4">
        <v>0</v>
      </c>
      <c r="O34" s="4">
        <v>0</v>
      </c>
      <c r="P34" s="4" t="str">
        <f t="shared" si="0"/>
        <v>APPMAPTG.TRG_CAWP</v>
      </c>
      <c r="Q34" s="4" t="str">
        <f>VLOOKUP(Cobra8.6[[#This Row],[Table.Column]],ColumnMapping[Old Table.Column],1,)</f>
        <v>APPMAPTG.TRG_CAWP</v>
      </c>
    </row>
    <row r="35" spans="1:17" hidden="1" x14ac:dyDescent="0.2">
      <c r="A35" s="4" t="s">
        <v>2121</v>
      </c>
      <c r="B35" s="4">
        <v>0</v>
      </c>
      <c r="C35" s="4" t="s">
        <v>2121</v>
      </c>
      <c r="D35" s="4" t="s">
        <v>2119</v>
      </c>
      <c r="E35" s="4" t="s">
        <v>2108</v>
      </c>
      <c r="F35" s="4">
        <v>-1</v>
      </c>
      <c r="G35" s="4">
        <v>0</v>
      </c>
      <c r="H35" s="4">
        <v>0</v>
      </c>
      <c r="K35" s="4">
        <v>0</v>
      </c>
      <c r="N35" s="4">
        <v>0</v>
      </c>
      <c r="O35" s="4">
        <v>0</v>
      </c>
      <c r="P35" s="4" t="str">
        <f t="shared" si="0"/>
        <v>APPMAPTG.TRG_CAWPID</v>
      </c>
      <c r="Q35" s="4" t="str">
        <f>VLOOKUP(Cobra8.6[[#This Row],[Table.Column]],ColumnMapping[Old Table.Column],1,)</f>
        <v>APPMAPTG.TRG_CAWPID</v>
      </c>
    </row>
    <row r="36" spans="1:17" hidden="1" x14ac:dyDescent="0.2">
      <c r="A36" s="4" t="s">
        <v>2121</v>
      </c>
      <c r="B36" s="4">
        <v>0</v>
      </c>
      <c r="C36" s="4" t="s">
        <v>2121</v>
      </c>
      <c r="D36" s="4" t="s">
        <v>2120</v>
      </c>
      <c r="E36" s="4" t="s">
        <v>86</v>
      </c>
      <c r="F36" s="4">
        <v>22</v>
      </c>
      <c r="G36" s="4">
        <v>0</v>
      </c>
      <c r="H36" s="4">
        <v>0</v>
      </c>
      <c r="K36" s="4">
        <v>0</v>
      </c>
      <c r="N36" s="4">
        <v>0</v>
      </c>
      <c r="O36" s="4">
        <v>0</v>
      </c>
      <c r="P36" s="4" t="str">
        <f t="shared" si="0"/>
        <v>APPMAPTG.TRG_PROG</v>
      </c>
      <c r="Q36" s="4" t="str">
        <f>VLOOKUP(Cobra8.6[[#This Row],[Table.Column]],ColumnMapping[Old Table.Column],1,)</f>
        <v>APPMAPTG.TRG_PROG</v>
      </c>
    </row>
    <row r="37" spans="1:17" hidden="1" x14ac:dyDescent="0.2">
      <c r="A37" s="4" t="s">
        <v>2121</v>
      </c>
      <c r="B37" s="4">
        <v>0</v>
      </c>
      <c r="C37" s="4" t="s">
        <v>2121</v>
      </c>
      <c r="D37" s="4" t="s">
        <v>2112</v>
      </c>
      <c r="E37" s="4" t="s">
        <v>86</v>
      </c>
      <c r="F37" s="4">
        <v>20</v>
      </c>
      <c r="G37" s="4">
        <v>0</v>
      </c>
      <c r="H37" s="4">
        <v>0</v>
      </c>
      <c r="K37" s="4">
        <v>0</v>
      </c>
      <c r="N37" s="4">
        <v>0</v>
      </c>
      <c r="O37" s="4">
        <v>0</v>
      </c>
      <c r="P37" s="4" t="str">
        <f t="shared" si="0"/>
        <v>APPMAPTG.USR_ID</v>
      </c>
      <c r="Q37" s="4" t="str">
        <f>VLOOKUP(Cobra8.6[[#This Row],[Table.Column]],ColumnMapping[Old Table.Column],1,)</f>
        <v>APPMAPTG.USR_ID</v>
      </c>
    </row>
    <row r="38" spans="1:17" hidden="1" x14ac:dyDescent="0.2">
      <c r="A38" s="4" t="s">
        <v>2123</v>
      </c>
      <c r="B38" s="4">
        <v>0</v>
      </c>
      <c r="C38" s="4" t="s">
        <v>2123</v>
      </c>
      <c r="D38" s="4" t="s">
        <v>794</v>
      </c>
      <c r="E38" s="4" t="s">
        <v>2124</v>
      </c>
      <c r="F38" s="4">
        <v>21</v>
      </c>
      <c r="G38" s="4">
        <v>6</v>
      </c>
      <c r="H38" s="4">
        <v>0</v>
      </c>
      <c r="K38" s="4">
        <v>0</v>
      </c>
      <c r="N38" s="4">
        <v>0</v>
      </c>
      <c r="O38" s="4">
        <v>0</v>
      </c>
      <c r="P38" s="4" t="str">
        <f t="shared" si="0"/>
        <v>BASEDETL.AMOUNT</v>
      </c>
      <c r="Q38" s="4" t="str">
        <f>VLOOKUP(Cobra8.6[[#This Row],[Table.Column]],ColumnMapping[Old Table.Column],1,)</f>
        <v>BASEDETL.AMOUNT</v>
      </c>
    </row>
    <row r="39" spans="1:17" hidden="1" x14ac:dyDescent="0.2">
      <c r="A39" s="4" t="s">
        <v>2123</v>
      </c>
      <c r="B39" s="4">
        <v>0</v>
      </c>
      <c r="C39" s="4" t="s">
        <v>2123</v>
      </c>
      <c r="D39" s="4" t="s">
        <v>2125</v>
      </c>
      <c r="E39" s="4" t="s">
        <v>356</v>
      </c>
      <c r="F39" s="4">
        <v>-1</v>
      </c>
      <c r="G39" s="4">
        <v>0</v>
      </c>
      <c r="H39" s="4">
        <v>0</v>
      </c>
      <c r="K39" s="4">
        <v>0</v>
      </c>
      <c r="N39" s="4">
        <v>0</v>
      </c>
      <c r="O39" s="4">
        <v>0</v>
      </c>
      <c r="P39" s="4" t="str">
        <f t="shared" si="0"/>
        <v>BASEDETL.FSC_DATE</v>
      </c>
      <c r="Q39" s="4" t="str">
        <f>VLOOKUP(Cobra8.6[[#This Row],[Table.Column]],ColumnMapping[Old Table.Column],1,)</f>
        <v>BASEDETL.FSC_DATE</v>
      </c>
    </row>
    <row r="40" spans="1:17" hidden="1" x14ac:dyDescent="0.2">
      <c r="A40" s="4" t="s">
        <v>2123</v>
      </c>
      <c r="B40" s="4">
        <v>0</v>
      </c>
      <c r="C40" s="4" t="s">
        <v>2123</v>
      </c>
      <c r="D40" s="4" t="s">
        <v>299</v>
      </c>
      <c r="E40" s="4" t="s">
        <v>2124</v>
      </c>
      <c r="F40" s="4">
        <v>21</v>
      </c>
      <c r="G40" s="4">
        <v>6</v>
      </c>
      <c r="H40" s="4">
        <v>0</v>
      </c>
      <c r="K40" s="4">
        <v>0</v>
      </c>
      <c r="N40" s="4">
        <v>0</v>
      </c>
      <c r="O40" s="4">
        <v>0</v>
      </c>
      <c r="P40" s="4" t="str">
        <f t="shared" si="0"/>
        <v>BASEDETL.HOURS</v>
      </c>
      <c r="Q40" s="4" t="str">
        <f>VLOOKUP(Cobra8.6[[#This Row],[Table.Column]],ColumnMapping[Old Table.Column],1,)</f>
        <v>BASEDETL.HOURS</v>
      </c>
    </row>
    <row r="41" spans="1:17" hidden="1" x14ac:dyDescent="0.2">
      <c r="A41" s="4" t="s">
        <v>2123</v>
      </c>
      <c r="B41" s="4">
        <v>0</v>
      </c>
      <c r="C41" s="4" t="s">
        <v>2123</v>
      </c>
      <c r="D41" s="4" t="s">
        <v>744</v>
      </c>
      <c r="E41" s="4" t="s">
        <v>86</v>
      </c>
      <c r="F41" s="4">
        <v>22</v>
      </c>
      <c r="G41" s="4">
        <v>0</v>
      </c>
      <c r="H41" s="4">
        <v>0</v>
      </c>
      <c r="K41" s="4">
        <v>0</v>
      </c>
      <c r="N41" s="4">
        <v>0</v>
      </c>
      <c r="O41" s="4">
        <v>0</v>
      </c>
      <c r="P41" s="4" t="str">
        <f t="shared" si="0"/>
        <v>BASEDETL.PROGRAM</v>
      </c>
      <c r="Q41" s="4" t="str">
        <f>VLOOKUP(Cobra8.6[[#This Row],[Table.Column]],ColumnMapping[Old Table.Column],1,)</f>
        <v>BASEDETL.PROGRAM</v>
      </c>
    </row>
    <row r="42" spans="1:17" hidden="1" x14ac:dyDescent="0.2">
      <c r="A42" s="4" t="s">
        <v>2123</v>
      </c>
      <c r="B42" s="4">
        <v>0</v>
      </c>
      <c r="C42" s="4" t="s">
        <v>2123</v>
      </c>
      <c r="D42" s="4" t="s">
        <v>2126</v>
      </c>
      <c r="E42" s="4" t="s">
        <v>31</v>
      </c>
      <c r="F42" s="4">
        <v>22</v>
      </c>
      <c r="G42" s="4">
        <v>0</v>
      </c>
      <c r="H42" s="4">
        <v>0</v>
      </c>
      <c r="K42" s="4">
        <v>0</v>
      </c>
      <c r="N42" s="4">
        <v>0</v>
      </c>
      <c r="O42" s="4">
        <v>0</v>
      </c>
      <c r="P42" s="4" t="str">
        <f t="shared" si="0"/>
        <v>BASEDETL.TRANS_UID</v>
      </c>
      <c r="Q42" s="4" t="str">
        <f>VLOOKUP(Cobra8.6[[#This Row],[Table.Column]],ColumnMapping[Old Table.Column],1,)</f>
        <v>BASEDETL.TRANS_UID</v>
      </c>
    </row>
    <row r="43" spans="1:17" hidden="1" x14ac:dyDescent="0.2">
      <c r="A43" s="4" t="s">
        <v>2127</v>
      </c>
      <c r="B43" s="4">
        <v>0</v>
      </c>
      <c r="C43" s="4" t="s">
        <v>2127</v>
      </c>
      <c r="D43" s="4" t="s">
        <v>600</v>
      </c>
      <c r="E43" s="4" t="s">
        <v>2124</v>
      </c>
      <c r="F43" s="4">
        <v>21</v>
      </c>
      <c r="G43" s="4">
        <v>6</v>
      </c>
      <c r="H43" s="4">
        <v>0</v>
      </c>
      <c r="K43" s="4">
        <v>0</v>
      </c>
      <c r="N43" s="4">
        <v>0</v>
      </c>
      <c r="O43" s="4">
        <v>0</v>
      </c>
      <c r="P43" s="4" t="str">
        <f t="shared" si="0"/>
        <v>BASEHIST.ACWP</v>
      </c>
      <c r="Q43" s="4" t="str">
        <f>VLOOKUP(Cobra8.6[[#This Row],[Table.Column]],ColumnMapping[Old Table.Column],1,)</f>
        <v>BASEHIST.ACWP</v>
      </c>
    </row>
    <row r="44" spans="1:17" hidden="1" x14ac:dyDescent="0.2">
      <c r="A44" s="4" t="s">
        <v>2127</v>
      </c>
      <c r="B44" s="4">
        <v>0</v>
      </c>
      <c r="C44" s="4" t="s">
        <v>2127</v>
      </c>
      <c r="D44" s="4" t="s">
        <v>602</v>
      </c>
      <c r="E44" s="4" t="s">
        <v>2124</v>
      </c>
      <c r="F44" s="4">
        <v>21</v>
      </c>
      <c r="G44" s="4">
        <v>6</v>
      </c>
      <c r="H44" s="4">
        <v>0</v>
      </c>
      <c r="K44" s="4">
        <v>0</v>
      </c>
      <c r="N44" s="4">
        <v>0</v>
      </c>
      <c r="O44" s="4">
        <v>0</v>
      </c>
      <c r="P44" s="4" t="str">
        <f t="shared" si="0"/>
        <v>BASEHIST.ACWP_HRS</v>
      </c>
      <c r="Q44" s="4" t="str">
        <f>VLOOKUP(Cobra8.6[[#This Row],[Table.Column]],ColumnMapping[Old Table.Column],1,)</f>
        <v>BASEHIST.ACWP_HRS</v>
      </c>
    </row>
    <row r="45" spans="1:17" hidden="1" x14ac:dyDescent="0.2">
      <c r="A45" s="4" t="s">
        <v>2127</v>
      </c>
      <c r="B45" s="4">
        <v>0</v>
      </c>
      <c r="C45" s="4" t="s">
        <v>2127</v>
      </c>
      <c r="D45" s="4" t="s">
        <v>607</v>
      </c>
      <c r="E45" s="4" t="s">
        <v>2124</v>
      </c>
      <c r="F45" s="4">
        <v>21</v>
      </c>
      <c r="G45" s="4">
        <v>6</v>
      </c>
      <c r="H45" s="4">
        <v>0</v>
      </c>
      <c r="K45" s="4">
        <v>0</v>
      </c>
      <c r="N45" s="4">
        <v>0</v>
      </c>
      <c r="O45" s="4">
        <v>0</v>
      </c>
      <c r="P45" s="4" t="str">
        <f t="shared" si="0"/>
        <v>BASEHIST.BAC</v>
      </c>
      <c r="Q45" s="4" t="str">
        <f>VLOOKUP(Cobra8.6[[#This Row],[Table.Column]],ColumnMapping[Old Table.Column],1,)</f>
        <v>BASEHIST.BAC</v>
      </c>
    </row>
    <row r="46" spans="1:17" hidden="1" x14ac:dyDescent="0.2">
      <c r="A46" s="4" t="s">
        <v>2127</v>
      </c>
      <c r="B46" s="4">
        <v>0</v>
      </c>
      <c r="C46" s="4" t="s">
        <v>2127</v>
      </c>
      <c r="D46" s="4" t="s">
        <v>609</v>
      </c>
      <c r="E46" s="4" t="s">
        <v>2124</v>
      </c>
      <c r="F46" s="4">
        <v>21</v>
      </c>
      <c r="G46" s="4">
        <v>6</v>
      </c>
      <c r="H46" s="4">
        <v>0</v>
      </c>
      <c r="K46" s="4">
        <v>0</v>
      </c>
      <c r="N46" s="4">
        <v>0</v>
      </c>
      <c r="O46" s="4">
        <v>0</v>
      </c>
      <c r="P46" s="4" t="str">
        <f t="shared" si="0"/>
        <v>BASEHIST.BAC_HRS</v>
      </c>
      <c r="Q46" s="4" t="str">
        <f>VLOOKUP(Cobra8.6[[#This Row],[Table.Column]],ColumnMapping[Old Table.Column],1,)</f>
        <v>BASEHIST.BAC_HRS</v>
      </c>
    </row>
    <row r="47" spans="1:17" hidden="1" x14ac:dyDescent="0.2">
      <c r="A47" s="4" t="s">
        <v>2127</v>
      </c>
      <c r="B47" s="4">
        <v>0</v>
      </c>
      <c r="C47" s="4" t="s">
        <v>2127</v>
      </c>
      <c r="D47" s="4" t="s">
        <v>613</v>
      </c>
      <c r="E47" s="4" t="s">
        <v>2124</v>
      </c>
      <c r="F47" s="4">
        <v>21</v>
      </c>
      <c r="G47" s="4">
        <v>6</v>
      </c>
      <c r="H47" s="4">
        <v>0</v>
      </c>
      <c r="K47" s="4">
        <v>0</v>
      </c>
      <c r="N47" s="4">
        <v>0</v>
      </c>
      <c r="O47" s="4">
        <v>0</v>
      </c>
      <c r="P47" s="4" t="str">
        <f t="shared" si="0"/>
        <v>BASEHIST.BCWP</v>
      </c>
      <c r="Q47" s="4" t="str">
        <f>VLOOKUP(Cobra8.6[[#This Row],[Table.Column]],ColumnMapping[Old Table.Column],1,)</f>
        <v>BASEHIST.BCWP</v>
      </c>
    </row>
    <row r="48" spans="1:17" hidden="1" x14ac:dyDescent="0.2">
      <c r="A48" s="4" t="s">
        <v>2127</v>
      </c>
      <c r="B48" s="4">
        <v>0</v>
      </c>
      <c r="C48" s="4" t="s">
        <v>2127</v>
      </c>
      <c r="D48" s="4" t="s">
        <v>615</v>
      </c>
      <c r="E48" s="4" t="s">
        <v>2124</v>
      </c>
      <c r="F48" s="4">
        <v>21</v>
      </c>
      <c r="G48" s="4">
        <v>6</v>
      </c>
      <c r="H48" s="4">
        <v>0</v>
      </c>
      <c r="K48" s="4">
        <v>0</v>
      </c>
      <c r="N48" s="4">
        <v>0</v>
      </c>
      <c r="O48" s="4">
        <v>0</v>
      </c>
      <c r="P48" s="4" t="str">
        <f t="shared" si="0"/>
        <v>BASEHIST.BCWP_HRS</v>
      </c>
      <c r="Q48" s="4" t="str">
        <f>VLOOKUP(Cobra8.6[[#This Row],[Table.Column]],ColumnMapping[Old Table.Column],1,)</f>
        <v>BASEHIST.BCWP_HRS</v>
      </c>
    </row>
    <row r="49" spans="1:17" hidden="1" x14ac:dyDescent="0.2">
      <c r="A49" s="4" t="s">
        <v>2127</v>
      </c>
      <c r="B49" s="4">
        <v>0</v>
      </c>
      <c r="C49" s="4" t="s">
        <v>2127</v>
      </c>
      <c r="D49" s="4" t="s">
        <v>617</v>
      </c>
      <c r="E49" s="4" t="s">
        <v>2124</v>
      </c>
      <c r="F49" s="4">
        <v>21</v>
      </c>
      <c r="G49" s="4">
        <v>6</v>
      </c>
      <c r="H49" s="4">
        <v>0</v>
      </c>
      <c r="K49" s="4">
        <v>0</v>
      </c>
      <c r="N49" s="4">
        <v>0</v>
      </c>
      <c r="O49" s="4">
        <v>0</v>
      </c>
      <c r="P49" s="4" t="str">
        <f t="shared" si="0"/>
        <v>BASEHIST.BCWS</v>
      </c>
      <c r="Q49" s="4" t="str">
        <f>VLOOKUP(Cobra8.6[[#This Row],[Table.Column]],ColumnMapping[Old Table.Column],1,)</f>
        <v>BASEHIST.BCWS</v>
      </c>
    </row>
    <row r="50" spans="1:17" hidden="1" x14ac:dyDescent="0.2">
      <c r="A50" s="4" t="s">
        <v>2127</v>
      </c>
      <c r="B50" s="4">
        <v>0</v>
      </c>
      <c r="C50" s="4" t="s">
        <v>2127</v>
      </c>
      <c r="D50" s="4" t="s">
        <v>619</v>
      </c>
      <c r="E50" s="4" t="s">
        <v>2124</v>
      </c>
      <c r="F50" s="4">
        <v>21</v>
      </c>
      <c r="G50" s="4">
        <v>6</v>
      </c>
      <c r="H50" s="4">
        <v>0</v>
      </c>
      <c r="K50" s="4">
        <v>0</v>
      </c>
      <c r="N50" s="4">
        <v>0</v>
      </c>
      <c r="O50" s="4">
        <v>0</v>
      </c>
      <c r="P50" s="4" t="str">
        <f t="shared" si="0"/>
        <v>BASEHIST.BCWS_HRS</v>
      </c>
      <c r="Q50" s="4" t="str">
        <f>VLOOKUP(Cobra8.6[[#This Row],[Table.Column]],ColumnMapping[Old Table.Column],1,)</f>
        <v>BASEHIST.BCWS_HRS</v>
      </c>
    </row>
    <row r="51" spans="1:17" hidden="1" x14ac:dyDescent="0.2">
      <c r="A51" s="4" t="s">
        <v>2127</v>
      </c>
      <c r="B51" s="4">
        <v>0</v>
      </c>
      <c r="C51" s="4" t="s">
        <v>2127</v>
      </c>
      <c r="D51" s="4" t="s">
        <v>1009</v>
      </c>
      <c r="E51" s="4" t="s">
        <v>2108</v>
      </c>
      <c r="F51" s="4">
        <v>-1</v>
      </c>
      <c r="G51" s="4">
        <v>0</v>
      </c>
      <c r="H51" s="4">
        <v>0</v>
      </c>
      <c r="K51" s="4">
        <v>0</v>
      </c>
      <c r="N51" s="4">
        <v>0</v>
      </c>
      <c r="O51" s="4">
        <v>0</v>
      </c>
      <c r="P51" s="4" t="str">
        <f t="shared" si="0"/>
        <v>BASEHIST.CAWPID</v>
      </c>
      <c r="Q51" s="4" t="str">
        <f>VLOOKUP(Cobra8.6[[#This Row],[Table.Column]],ColumnMapping[Old Table.Column],1,)</f>
        <v>BASEHIST.CAWPID</v>
      </c>
    </row>
    <row r="52" spans="1:17" hidden="1" x14ac:dyDescent="0.2">
      <c r="A52" s="4" t="s">
        <v>2127</v>
      </c>
      <c r="B52" s="4">
        <v>0</v>
      </c>
      <c r="C52" s="4" t="s">
        <v>2127</v>
      </c>
      <c r="D52" s="4" t="s">
        <v>690</v>
      </c>
      <c r="E52" s="4" t="s">
        <v>2124</v>
      </c>
      <c r="F52" s="4">
        <v>21</v>
      </c>
      <c r="G52" s="4">
        <v>6</v>
      </c>
      <c r="H52" s="4">
        <v>0</v>
      </c>
      <c r="K52" s="4">
        <v>0</v>
      </c>
      <c r="N52" s="4">
        <v>0</v>
      </c>
      <c r="O52" s="4">
        <v>0</v>
      </c>
      <c r="P52" s="4" t="str">
        <f t="shared" si="0"/>
        <v>BASEHIST.EAC</v>
      </c>
      <c r="Q52" s="4" t="str">
        <f>VLOOKUP(Cobra8.6[[#This Row],[Table.Column]],ColumnMapping[Old Table.Column],1,)</f>
        <v>BASEHIST.EAC</v>
      </c>
    </row>
    <row r="53" spans="1:17" hidden="1" x14ac:dyDescent="0.2">
      <c r="A53" s="4" t="s">
        <v>2127</v>
      </c>
      <c r="B53" s="4">
        <v>0</v>
      </c>
      <c r="C53" s="4" t="s">
        <v>2127</v>
      </c>
      <c r="D53" s="4" t="s">
        <v>692</v>
      </c>
      <c r="E53" s="4" t="s">
        <v>2124</v>
      </c>
      <c r="F53" s="4">
        <v>21</v>
      </c>
      <c r="G53" s="4">
        <v>6</v>
      </c>
      <c r="H53" s="4">
        <v>0</v>
      </c>
      <c r="K53" s="4">
        <v>0</v>
      </c>
      <c r="N53" s="4">
        <v>0</v>
      </c>
      <c r="O53" s="4">
        <v>0</v>
      </c>
      <c r="P53" s="4" t="str">
        <f t="shared" si="0"/>
        <v>BASEHIST.EAC_HRS</v>
      </c>
      <c r="Q53" s="4" t="str">
        <f>VLOOKUP(Cobra8.6[[#This Row],[Table.Column]],ColumnMapping[Old Table.Column],1,)</f>
        <v>BASEHIST.EAC_HRS</v>
      </c>
    </row>
    <row r="54" spans="1:17" hidden="1" x14ac:dyDescent="0.2">
      <c r="A54" s="4" t="s">
        <v>2127</v>
      </c>
      <c r="B54" s="4">
        <v>0</v>
      </c>
      <c r="C54" s="4" t="s">
        <v>2127</v>
      </c>
      <c r="D54" s="4" t="s">
        <v>2128</v>
      </c>
      <c r="E54" s="4" t="s">
        <v>356</v>
      </c>
      <c r="F54" s="4">
        <v>-1</v>
      </c>
      <c r="G54" s="4">
        <v>0</v>
      </c>
      <c r="H54" s="4">
        <v>0</v>
      </c>
      <c r="K54" s="4">
        <v>0</v>
      </c>
      <c r="N54" s="4">
        <v>0</v>
      </c>
      <c r="O54" s="4">
        <v>0</v>
      </c>
      <c r="P54" s="4" t="str">
        <f t="shared" si="0"/>
        <v>BASEHIST.HIST_DATE</v>
      </c>
      <c r="Q54" s="4" t="str">
        <f>VLOOKUP(Cobra8.6[[#This Row],[Table.Column]],ColumnMapping[Old Table.Column],1,)</f>
        <v>BASEHIST.HIST_DATE</v>
      </c>
    </row>
    <row r="55" spans="1:17" hidden="1" x14ac:dyDescent="0.2">
      <c r="A55" s="4" t="s">
        <v>2127</v>
      </c>
      <c r="B55" s="4">
        <v>0</v>
      </c>
      <c r="C55" s="4" t="s">
        <v>2127</v>
      </c>
      <c r="D55" s="4" t="s">
        <v>744</v>
      </c>
      <c r="E55" s="4" t="s">
        <v>86</v>
      </c>
      <c r="F55" s="4">
        <v>22</v>
      </c>
      <c r="G55" s="4">
        <v>0</v>
      </c>
      <c r="H55" s="4">
        <v>0</v>
      </c>
      <c r="K55" s="4">
        <v>0</v>
      </c>
      <c r="N55" s="4">
        <v>0</v>
      </c>
      <c r="O55" s="4">
        <v>0</v>
      </c>
      <c r="P55" s="4" t="str">
        <f t="shared" si="0"/>
        <v>BASEHIST.PROGRAM</v>
      </c>
      <c r="Q55" s="4" t="str">
        <f>VLOOKUP(Cobra8.6[[#This Row],[Table.Column]],ColumnMapping[Old Table.Column],1,)</f>
        <v>BASEHIST.PROGRAM</v>
      </c>
    </row>
    <row r="56" spans="1:17" hidden="1" x14ac:dyDescent="0.2">
      <c r="A56" s="4" t="s">
        <v>2129</v>
      </c>
      <c r="B56" s="4">
        <v>0</v>
      </c>
      <c r="C56" s="4" t="s">
        <v>2129</v>
      </c>
      <c r="D56" s="4" t="s">
        <v>516</v>
      </c>
      <c r="E56" s="4" t="s">
        <v>2124</v>
      </c>
      <c r="F56" s="4">
        <v>21</v>
      </c>
      <c r="G56" s="4">
        <v>6</v>
      </c>
      <c r="H56" s="4">
        <v>0</v>
      </c>
      <c r="K56" s="4">
        <v>0</v>
      </c>
      <c r="N56" s="4">
        <v>0</v>
      </c>
      <c r="O56" s="4">
        <v>0</v>
      </c>
      <c r="P56" s="4" t="str">
        <f t="shared" si="0"/>
        <v>BASELINE.AUW</v>
      </c>
      <c r="Q56" s="4" t="str">
        <f>VLOOKUP(Cobra8.6[[#This Row],[Table.Column]],ColumnMapping[Old Table.Column],1,)</f>
        <v>BASELINE.AUW</v>
      </c>
    </row>
    <row r="57" spans="1:17" hidden="1" x14ac:dyDescent="0.2">
      <c r="A57" s="4" t="s">
        <v>2129</v>
      </c>
      <c r="B57" s="4">
        <v>0</v>
      </c>
      <c r="C57" s="4" t="s">
        <v>2129</v>
      </c>
      <c r="D57" s="4" t="s">
        <v>2130</v>
      </c>
      <c r="E57" s="4" t="s">
        <v>356</v>
      </c>
      <c r="F57" s="4">
        <v>-1</v>
      </c>
      <c r="G57" s="4">
        <v>0</v>
      </c>
      <c r="H57" s="4">
        <v>0</v>
      </c>
      <c r="K57" s="4">
        <v>0</v>
      </c>
      <c r="N57" s="4">
        <v>0</v>
      </c>
      <c r="O57" s="4">
        <v>0</v>
      </c>
      <c r="P57" s="4" t="str">
        <f t="shared" si="0"/>
        <v>BASELINE.BASE_DATE</v>
      </c>
      <c r="Q57" s="4" t="str">
        <f>VLOOKUP(Cobra8.6[[#This Row],[Table.Column]],ColumnMapping[Old Table.Column],1,)</f>
        <v>BASELINE.BASE_DATE</v>
      </c>
    </row>
    <row r="58" spans="1:17" hidden="1" x14ac:dyDescent="0.2">
      <c r="A58" s="4" t="s">
        <v>2129</v>
      </c>
      <c r="B58" s="4">
        <v>0</v>
      </c>
      <c r="C58" s="4" t="s">
        <v>2129</v>
      </c>
      <c r="D58" s="4" t="s">
        <v>2131</v>
      </c>
      <c r="E58" s="4" t="s">
        <v>86</v>
      </c>
      <c r="F58" s="4">
        <v>200</v>
      </c>
      <c r="G58" s="4">
        <v>0</v>
      </c>
      <c r="H58" s="4">
        <v>0</v>
      </c>
      <c r="K58" s="4">
        <v>0</v>
      </c>
      <c r="N58" s="4">
        <v>0</v>
      </c>
      <c r="O58" s="4">
        <v>0</v>
      </c>
      <c r="P58" s="4" t="str">
        <f t="shared" si="0"/>
        <v>BASELINE.BBLCOMMENT</v>
      </c>
      <c r="Q58" s="4" t="str">
        <f>VLOOKUP(Cobra8.6[[#This Row],[Table.Column]],ColumnMapping[Old Table.Column],1,)</f>
        <v>BASELINE.BBLCOMMENT</v>
      </c>
    </row>
    <row r="59" spans="1:17" hidden="1" x14ac:dyDescent="0.2">
      <c r="A59" s="4" t="s">
        <v>2129</v>
      </c>
      <c r="B59" s="4">
        <v>0</v>
      </c>
      <c r="C59" s="4" t="s">
        <v>2129</v>
      </c>
      <c r="D59" s="4" t="s">
        <v>513</v>
      </c>
      <c r="E59" s="4" t="s">
        <v>2124</v>
      </c>
      <c r="F59" s="4">
        <v>21</v>
      </c>
      <c r="G59" s="4">
        <v>6</v>
      </c>
      <c r="H59" s="4">
        <v>0</v>
      </c>
      <c r="K59" s="4">
        <v>0</v>
      </c>
      <c r="N59" s="4">
        <v>0</v>
      </c>
      <c r="O59" s="4">
        <v>0</v>
      </c>
      <c r="P59" s="4" t="str">
        <f t="shared" si="0"/>
        <v>BASELINE.CTC</v>
      </c>
      <c r="Q59" s="4" t="str">
        <f>VLOOKUP(Cobra8.6[[#This Row],[Table.Column]],ColumnMapping[Old Table.Column],1,)</f>
        <v>BASELINE.CTC</v>
      </c>
    </row>
    <row r="60" spans="1:17" hidden="1" x14ac:dyDescent="0.2">
      <c r="A60" s="4" t="s">
        <v>2129</v>
      </c>
      <c r="B60" s="4">
        <v>0</v>
      </c>
      <c r="C60" s="4" t="s">
        <v>2129</v>
      </c>
      <c r="D60" s="4" t="s">
        <v>823</v>
      </c>
      <c r="E60" s="4" t="s">
        <v>2124</v>
      </c>
      <c r="F60" s="4">
        <v>21</v>
      </c>
      <c r="G60" s="4">
        <v>6</v>
      </c>
      <c r="H60" s="4">
        <v>0</v>
      </c>
      <c r="K60" s="4">
        <v>0</v>
      </c>
      <c r="N60" s="4">
        <v>0</v>
      </c>
      <c r="O60" s="4">
        <v>0</v>
      </c>
      <c r="P60" s="4" t="str">
        <f t="shared" si="0"/>
        <v>BASELINE.DB</v>
      </c>
      <c r="Q60" s="4" t="str">
        <f>VLOOKUP(Cobra8.6[[#This Row],[Table.Column]],ColumnMapping[Old Table.Column],1,)</f>
        <v>BASELINE.DB</v>
      </c>
    </row>
    <row r="61" spans="1:17" hidden="1" x14ac:dyDescent="0.2">
      <c r="A61" s="4" t="s">
        <v>2129</v>
      </c>
      <c r="B61" s="4">
        <v>0</v>
      </c>
      <c r="C61" s="4" t="s">
        <v>2129</v>
      </c>
      <c r="D61" s="4" t="s">
        <v>690</v>
      </c>
      <c r="E61" s="4" t="s">
        <v>2124</v>
      </c>
      <c r="F61" s="4">
        <v>21</v>
      </c>
      <c r="G61" s="4">
        <v>6</v>
      </c>
      <c r="H61" s="4">
        <v>0</v>
      </c>
      <c r="K61" s="4">
        <v>0</v>
      </c>
      <c r="N61" s="4">
        <v>0</v>
      </c>
      <c r="O61" s="4">
        <v>0</v>
      </c>
      <c r="P61" s="4" t="str">
        <f t="shared" si="0"/>
        <v>BASELINE.EAC</v>
      </c>
      <c r="Q61" s="4" t="str">
        <f>VLOOKUP(Cobra8.6[[#This Row],[Table.Column]],ColumnMapping[Old Table.Column],1,)</f>
        <v>BASELINE.EAC</v>
      </c>
    </row>
    <row r="62" spans="1:17" hidden="1" x14ac:dyDescent="0.2">
      <c r="A62" s="4" t="s">
        <v>2129</v>
      </c>
      <c r="B62" s="4">
        <v>0</v>
      </c>
      <c r="C62" s="4" t="s">
        <v>2129</v>
      </c>
      <c r="D62" s="4" t="s">
        <v>525</v>
      </c>
      <c r="E62" s="4" t="s">
        <v>2124</v>
      </c>
      <c r="F62" s="4">
        <v>21</v>
      </c>
      <c r="G62" s="4">
        <v>6</v>
      </c>
      <c r="H62" s="4">
        <v>0</v>
      </c>
      <c r="K62" s="4">
        <v>0</v>
      </c>
      <c r="N62" s="4">
        <v>0</v>
      </c>
      <c r="O62" s="4">
        <v>0</v>
      </c>
      <c r="P62" s="4" t="str">
        <f t="shared" si="0"/>
        <v>BASELINE.FEE</v>
      </c>
      <c r="Q62" s="4" t="str">
        <f>VLOOKUP(Cobra8.6[[#This Row],[Table.Column]],ColumnMapping[Old Table.Column],1,)</f>
        <v>BASELINE.FEE</v>
      </c>
    </row>
    <row r="63" spans="1:17" hidden="1" x14ac:dyDescent="0.2">
      <c r="A63" s="4" t="s">
        <v>2129</v>
      </c>
      <c r="B63" s="4">
        <v>0</v>
      </c>
      <c r="C63" s="4" t="s">
        <v>2129</v>
      </c>
      <c r="D63" s="4" t="s">
        <v>440</v>
      </c>
      <c r="E63" s="4" t="s">
        <v>86</v>
      </c>
      <c r="F63" s="4">
        <v>10</v>
      </c>
      <c r="G63" s="4">
        <v>0</v>
      </c>
      <c r="H63" s="4">
        <v>0</v>
      </c>
      <c r="K63" s="4">
        <v>0</v>
      </c>
      <c r="N63" s="4">
        <v>0</v>
      </c>
      <c r="O63" s="4">
        <v>0</v>
      </c>
      <c r="P63" s="4" t="str">
        <f t="shared" si="0"/>
        <v>BASELINE.LABEL</v>
      </c>
      <c r="Q63" s="4" t="str">
        <f>VLOOKUP(Cobra8.6[[#This Row],[Table.Column]],ColumnMapping[Old Table.Column],1,)</f>
        <v>BASELINE.LABEL</v>
      </c>
    </row>
    <row r="64" spans="1:17" hidden="1" x14ac:dyDescent="0.2">
      <c r="A64" s="4" t="s">
        <v>2129</v>
      </c>
      <c r="B64" s="4">
        <v>0</v>
      </c>
      <c r="C64" s="4" t="s">
        <v>2129</v>
      </c>
      <c r="D64" s="4" t="s">
        <v>528</v>
      </c>
      <c r="E64" s="4" t="s">
        <v>2124</v>
      </c>
      <c r="F64" s="4">
        <v>21</v>
      </c>
      <c r="G64" s="4">
        <v>6</v>
      </c>
      <c r="H64" s="4">
        <v>0</v>
      </c>
      <c r="K64" s="4">
        <v>0</v>
      </c>
      <c r="N64" s="4">
        <v>0</v>
      </c>
      <c r="O64" s="4">
        <v>0</v>
      </c>
      <c r="P64" s="4" t="str">
        <f t="shared" si="0"/>
        <v>BASELINE.MR</v>
      </c>
      <c r="Q64" s="4" t="str">
        <f>VLOOKUP(Cobra8.6[[#This Row],[Table.Column]],ColumnMapping[Old Table.Column],1,)</f>
        <v>BASELINE.MR</v>
      </c>
    </row>
    <row r="65" spans="1:17" hidden="1" x14ac:dyDescent="0.2">
      <c r="A65" s="4" t="s">
        <v>2129</v>
      </c>
      <c r="B65" s="4">
        <v>0</v>
      </c>
      <c r="C65" s="4" t="s">
        <v>2129</v>
      </c>
      <c r="D65" s="4" t="s">
        <v>744</v>
      </c>
      <c r="E65" s="4" t="s">
        <v>86</v>
      </c>
      <c r="F65" s="4">
        <v>22</v>
      </c>
      <c r="G65" s="4">
        <v>0</v>
      </c>
      <c r="H65" s="4">
        <v>0</v>
      </c>
      <c r="K65" s="4">
        <v>0</v>
      </c>
      <c r="N65" s="4">
        <v>0</v>
      </c>
      <c r="O65" s="4">
        <v>0</v>
      </c>
      <c r="P65" s="4" t="str">
        <f t="shared" si="0"/>
        <v>BASELINE.PROGRAM</v>
      </c>
      <c r="Q65" s="4" t="str">
        <f>VLOOKUP(Cobra8.6[[#This Row],[Table.Column]],ColumnMapping[Old Table.Column],1,)</f>
        <v>BASELINE.PROGRAM</v>
      </c>
    </row>
    <row r="66" spans="1:17" hidden="1" x14ac:dyDescent="0.2">
      <c r="A66" s="4" t="s">
        <v>2129</v>
      </c>
      <c r="B66" s="4">
        <v>0</v>
      </c>
      <c r="C66" s="4" t="s">
        <v>2129</v>
      </c>
      <c r="D66" s="4" t="s">
        <v>2132</v>
      </c>
      <c r="E66" s="4" t="s">
        <v>2108</v>
      </c>
      <c r="F66" s="4">
        <v>-1</v>
      </c>
      <c r="G66" s="4">
        <v>0</v>
      </c>
      <c r="H66" s="4">
        <v>0</v>
      </c>
      <c r="K66" s="4">
        <v>0</v>
      </c>
      <c r="N66" s="4">
        <v>0</v>
      </c>
      <c r="O66" s="4">
        <v>0</v>
      </c>
      <c r="P66" s="4" t="str">
        <f t="shared" ref="P66:P129" si="1">_xlfn.CONCAT(A66,".",D66)</f>
        <v>BASELINE.REFNO</v>
      </c>
      <c r="Q66" s="4" t="str">
        <f>VLOOKUP(Cobra8.6[[#This Row],[Table.Column]],ColumnMapping[Old Table.Column],1,)</f>
        <v>BASELINE.REFNO</v>
      </c>
    </row>
    <row r="67" spans="1:17" hidden="1" x14ac:dyDescent="0.2">
      <c r="A67" s="4" t="s">
        <v>2129</v>
      </c>
      <c r="B67" s="4">
        <v>0</v>
      </c>
      <c r="C67" s="4" t="s">
        <v>2129</v>
      </c>
      <c r="D67" s="4" t="s">
        <v>2126</v>
      </c>
      <c r="E67" s="4" t="s">
        <v>31</v>
      </c>
      <c r="F67" s="4">
        <v>22</v>
      </c>
      <c r="G67" s="4">
        <v>0</v>
      </c>
      <c r="H67" s="4">
        <v>0</v>
      </c>
      <c r="K67" s="4">
        <v>0</v>
      </c>
      <c r="N67" s="4">
        <v>0</v>
      </c>
      <c r="O67" s="4">
        <v>0</v>
      </c>
      <c r="P67" s="4" t="str">
        <f t="shared" si="1"/>
        <v>BASELINE.TRANS_UID</v>
      </c>
      <c r="Q67" s="4" t="str">
        <f>VLOOKUP(Cobra8.6[[#This Row],[Table.Column]],ColumnMapping[Old Table.Column],1,)</f>
        <v>BASELINE.TRANS_UID</v>
      </c>
    </row>
    <row r="68" spans="1:17" hidden="1" x14ac:dyDescent="0.2">
      <c r="A68" s="4" t="s">
        <v>2129</v>
      </c>
      <c r="B68" s="4">
        <v>0</v>
      </c>
      <c r="C68" s="4" t="s">
        <v>2129</v>
      </c>
      <c r="D68" s="4" t="s">
        <v>531</v>
      </c>
      <c r="E68" s="4" t="s">
        <v>2124</v>
      </c>
      <c r="F68" s="4">
        <v>21</v>
      </c>
      <c r="G68" s="4">
        <v>6</v>
      </c>
      <c r="H68" s="4">
        <v>0</v>
      </c>
      <c r="K68" s="4">
        <v>0</v>
      </c>
      <c r="N68" s="4">
        <v>0</v>
      </c>
      <c r="O68" s="4">
        <v>0</v>
      </c>
      <c r="P68" s="4" t="str">
        <f t="shared" si="1"/>
        <v>BASELINE.UB</v>
      </c>
      <c r="Q68" s="4" t="str">
        <f>VLOOKUP(Cobra8.6[[#This Row],[Table.Column]],ColumnMapping[Old Table.Column],1,)</f>
        <v>BASELINE.UB</v>
      </c>
    </row>
    <row r="69" spans="1:17" hidden="1" x14ac:dyDescent="0.2">
      <c r="A69" s="4" t="s">
        <v>2133</v>
      </c>
      <c r="B69" s="4">
        <v>0</v>
      </c>
      <c r="C69" s="4" t="s">
        <v>2133</v>
      </c>
      <c r="D69" s="4" t="s">
        <v>794</v>
      </c>
      <c r="E69" s="4" t="s">
        <v>2124</v>
      </c>
      <c r="F69" s="4">
        <v>21</v>
      </c>
      <c r="G69" s="4">
        <v>6</v>
      </c>
      <c r="H69" s="4">
        <v>0</v>
      </c>
      <c r="K69" s="4">
        <v>0</v>
      </c>
      <c r="N69" s="4">
        <v>0</v>
      </c>
      <c r="O69" s="4">
        <v>0</v>
      </c>
      <c r="P69" s="4" t="str">
        <f t="shared" si="1"/>
        <v>BASELOG.AMOUNT</v>
      </c>
      <c r="Q69" s="4" t="str">
        <f>VLOOKUP(Cobra8.6[[#This Row],[Table.Column]],ColumnMapping[Old Table.Column],1,)</f>
        <v>BASELOG.AMOUNT</v>
      </c>
    </row>
    <row r="70" spans="1:17" hidden="1" x14ac:dyDescent="0.2">
      <c r="A70" s="4" t="s">
        <v>2133</v>
      </c>
      <c r="B70" s="4">
        <v>0</v>
      </c>
      <c r="C70" s="4" t="s">
        <v>2133</v>
      </c>
      <c r="D70" s="4" t="s">
        <v>2134</v>
      </c>
      <c r="E70" s="4" t="s">
        <v>356</v>
      </c>
      <c r="F70" s="4">
        <v>-1</v>
      </c>
      <c r="G70" s="4">
        <v>0</v>
      </c>
      <c r="H70" s="4">
        <v>0</v>
      </c>
      <c r="K70" s="4">
        <v>0</v>
      </c>
      <c r="N70" s="4">
        <v>0</v>
      </c>
      <c r="O70" s="4">
        <v>0</v>
      </c>
      <c r="P70" s="4" t="str">
        <f t="shared" si="1"/>
        <v>BASELOG.BBL_DATE</v>
      </c>
      <c r="Q70" s="4" t="str">
        <f>VLOOKUP(Cobra8.6[[#This Row],[Table.Column]],ColumnMapping[Old Table.Column],1,)</f>
        <v>BASELOG.BBL_DATE</v>
      </c>
    </row>
    <row r="71" spans="1:17" hidden="1" x14ac:dyDescent="0.2">
      <c r="A71" s="4" t="s">
        <v>2133</v>
      </c>
      <c r="B71" s="4">
        <v>0</v>
      </c>
      <c r="C71" s="4" t="s">
        <v>2133</v>
      </c>
      <c r="D71" s="4" t="s">
        <v>1003</v>
      </c>
      <c r="E71" s="4" t="s">
        <v>86</v>
      </c>
      <c r="F71" s="4">
        <v>59</v>
      </c>
      <c r="G71" s="4">
        <v>0</v>
      </c>
      <c r="H71" s="4">
        <v>0</v>
      </c>
      <c r="K71" s="4">
        <v>0</v>
      </c>
      <c r="N71" s="4">
        <v>0</v>
      </c>
      <c r="O71" s="4">
        <v>0</v>
      </c>
      <c r="P71" s="4" t="str">
        <f t="shared" si="1"/>
        <v>BASELOG.CA1</v>
      </c>
      <c r="Q71" s="4" t="str">
        <f>VLOOKUP(Cobra8.6[[#This Row],[Table.Column]],ColumnMapping[Old Table.Column],1,)</f>
        <v>BASELOG.CA1</v>
      </c>
    </row>
    <row r="72" spans="1:17" hidden="1" x14ac:dyDescent="0.2">
      <c r="A72" s="4" t="s">
        <v>2133</v>
      </c>
      <c r="B72" s="4">
        <v>0</v>
      </c>
      <c r="C72" s="4" t="s">
        <v>2133</v>
      </c>
      <c r="D72" s="4" t="s">
        <v>1005</v>
      </c>
      <c r="E72" s="4" t="s">
        <v>86</v>
      </c>
      <c r="F72" s="4">
        <v>59</v>
      </c>
      <c r="G72" s="4">
        <v>0</v>
      </c>
      <c r="H72" s="4">
        <v>0</v>
      </c>
      <c r="K72" s="4">
        <v>0</v>
      </c>
      <c r="N72" s="4">
        <v>0</v>
      </c>
      <c r="O72" s="4">
        <v>0</v>
      </c>
      <c r="P72" s="4" t="str">
        <f t="shared" si="1"/>
        <v>BASELOG.CA2</v>
      </c>
      <c r="Q72" s="4" t="str">
        <f>VLOOKUP(Cobra8.6[[#This Row],[Table.Column]],ColumnMapping[Old Table.Column],1,)</f>
        <v>BASELOG.CA2</v>
      </c>
    </row>
    <row r="73" spans="1:17" hidden="1" x14ac:dyDescent="0.2">
      <c r="A73" s="4" t="s">
        <v>2133</v>
      </c>
      <c r="B73" s="4">
        <v>0</v>
      </c>
      <c r="C73" s="4" t="s">
        <v>2133</v>
      </c>
      <c r="D73" s="4" t="s">
        <v>1007</v>
      </c>
      <c r="E73" s="4" t="s">
        <v>86</v>
      </c>
      <c r="F73" s="4">
        <v>59</v>
      </c>
      <c r="G73" s="4">
        <v>0</v>
      </c>
      <c r="H73" s="4">
        <v>0</v>
      </c>
      <c r="K73" s="4">
        <v>0</v>
      </c>
      <c r="N73" s="4">
        <v>0</v>
      </c>
      <c r="O73" s="4">
        <v>0</v>
      </c>
      <c r="P73" s="4" t="str">
        <f t="shared" si="1"/>
        <v>BASELOG.CA3</v>
      </c>
      <c r="Q73" s="4" t="str">
        <f>VLOOKUP(Cobra8.6[[#This Row],[Table.Column]],ColumnMapping[Old Table.Column],1,)</f>
        <v>BASELOG.CA3</v>
      </c>
    </row>
    <row r="74" spans="1:17" hidden="1" x14ac:dyDescent="0.2">
      <c r="A74" s="4" t="s">
        <v>2133</v>
      </c>
      <c r="B74" s="4">
        <v>0</v>
      </c>
      <c r="C74" s="4" t="s">
        <v>2133</v>
      </c>
      <c r="D74" s="4" t="s">
        <v>2135</v>
      </c>
      <c r="E74" s="4" t="s">
        <v>86</v>
      </c>
      <c r="F74" s="4">
        <v>59</v>
      </c>
      <c r="G74" s="4">
        <v>0</v>
      </c>
      <c r="H74" s="4">
        <v>0</v>
      </c>
      <c r="K74" s="4">
        <v>0</v>
      </c>
      <c r="N74" s="4">
        <v>0</v>
      </c>
      <c r="O74" s="4">
        <v>0</v>
      </c>
      <c r="P74" s="4" t="str">
        <f t="shared" si="1"/>
        <v>BASELOG.CCN</v>
      </c>
      <c r="Q74" s="4" t="str">
        <f>VLOOKUP(Cobra8.6[[#This Row],[Table.Column]],ColumnMapping[Old Table.Column],1,)</f>
        <v>BASELOG.CCN</v>
      </c>
    </row>
    <row r="75" spans="1:17" hidden="1" x14ac:dyDescent="0.2">
      <c r="A75" s="4" t="s">
        <v>2133</v>
      </c>
      <c r="B75" s="4">
        <v>0</v>
      </c>
      <c r="C75" s="4" t="s">
        <v>2133</v>
      </c>
      <c r="D75" s="4" t="s">
        <v>1098</v>
      </c>
      <c r="E75" s="4" t="s">
        <v>86</v>
      </c>
      <c r="F75" s="4">
        <v>59</v>
      </c>
      <c r="G75" s="4">
        <v>0</v>
      </c>
      <c r="H75" s="4">
        <v>0</v>
      </c>
      <c r="K75" s="4">
        <v>0</v>
      </c>
      <c r="N75" s="4">
        <v>0</v>
      </c>
      <c r="O75" s="4">
        <v>0</v>
      </c>
      <c r="P75" s="4" t="str">
        <f t="shared" si="1"/>
        <v>BASELOG.CECODE</v>
      </c>
      <c r="Q75" s="4" t="str">
        <f>VLOOKUP(Cobra8.6[[#This Row],[Table.Column]],ColumnMapping[Old Table.Column],1,)</f>
        <v>BASELOG.CECODE</v>
      </c>
    </row>
    <row r="76" spans="1:17" hidden="1" x14ac:dyDescent="0.2">
      <c r="A76" s="4" t="s">
        <v>2133</v>
      </c>
      <c r="B76" s="4">
        <v>0</v>
      </c>
      <c r="C76" s="4" t="s">
        <v>2133</v>
      </c>
      <c r="D76" s="4" t="s">
        <v>2136</v>
      </c>
      <c r="E76" s="4" t="s">
        <v>86</v>
      </c>
      <c r="F76" s="4">
        <v>59</v>
      </c>
      <c r="G76" s="4">
        <v>0</v>
      </c>
      <c r="H76" s="4">
        <v>0</v>
      </c>
      <c r="K76" s="4">
        <v>0</v>
      </c>
      <c r="N76" s="4">
        <v>0</v>
      </c>
      <c r="O76" s="4">
        <v>0</v>
      </c>
      <c r="P76" s="4" t="str">
        <f t="shared" si="1"/>
        <v>BASELOG.CLIN</v>
      </c>
      <c r="Q76" s="4" t="str">
        <f>VLOOKUP(Cobra8.6[[#This Row],[Table.Column]],ColumnMapping[Old Table.Column],1,)</f>
        <v>BASELOG.CLIN</v>
      </c>
    </row>
    <row r="77" spans="1:17" hidden="1" x14ac:dyDescent="0.2">
      <c r="A77" s="4" t="s">
        <v>2133</v>
      </c>
      <c r="B77" s="4">
        <v>0</v>
      </c>
      <c r="C77" s="4" t="s">
        <v>2133</v>
      </c>
      <c r="D77" s="4" t="s">
        <v>800</v>
      </c>
      <c r="E77" s="4" t="s">
        <v>2108</v>
      </c>
      <c r="F77" s="4">
        <v>-1</v>
      </c>
      <c r="G77" s="4">
        <v>0</v>
      </c>
      <c r="H77" s="4">
        <v>0</v>
      </c>
      <c r="K77" s="4">
        <v>0</v>
      </c>
      <c r="N77" s="4">
        <v>0</v>
      </c>
      <c r="O77" s="4">
        <v>0</v>
      </c>
      <c r="P77" s="4" t="str">
        <f t="shared" si="1"/>
        <v>BASELOG.CPR3</v>
      </c>
      <c r="Q77" s="4" t="str">
        <f>VLOOKUP(Cobra8.6[[#This Row],[Table.Column]],ColumnMapping[Old Table.Column],1,)</f>
        <v>BASELOG.CPR3</v>
      </c>
    </row>
    <row r="78" spans="1:17" hidden="1" x14ac:dyDescent="0.2">
      <c r="A78" s="4" t="s">
        <v>2133</v>
      </c>
      <c r="B78" s="4">
        <v>0</v>
      </c>
      <c r="C78" s="4" t="s">
        <v>2133</v>
      </c>
      <c r="D78" s="4" t="s">
        <v>792</v>
      </c>
      <c r="E78" s="4" t="s">
        <v>86</v>
      </c>
      <c r="F78" s="4">
        <v>3</v>
      </c>
      <c r="G78" s="4">
        <v>0</v>
      </c>
      <c r="H78" s="4">
        <v>0</v>
      </c>
      <c r="K78" s="4">
        <v>0</v>
      </c>
      <c r="N78" s="4">
        <v>0</v>
      </c>
      <c r="O78" s="4">
        <v>0</v>
      </c>
      <c r="P78" s="4" t="str">
        <f t="shared" si="1"/>
        <v>BASELOG.CREDIT</v>
      </c>
      <c r="Q78" s="4" t="str">
        <f>VLOOKUP(Cobra8.6[[#This Row],[Table.Column]],ColumnMapping[Old Table.Column],1,)</f>
        <v>BASELOG.CREDIT</v>
      </c>
    </row>
    <row r="79" spans="1:17" hidden="1" x14ac:dyDescent="0.2">
      <c r="A79" s="4" t="s">
        <v>2133</v>
      </c>
      <c r="B79" s="4">
        <v>0</v>
      </c>
      <c r="C79" s="4" t="s">
        <v>2133</v>
      </c>
      <c r="D79" s="4" t="s">
        <v>788</v>
      </c>
      <c r="E79" s="4" t="s">
        <v>86</v>
      </c>
      <c r="F79" s="4">
        <v>3</v>
      </c>
      <c r="G79" s="4">
        <v>0</v>
      </c>
      <c r="H79" s="4">
        <v>0</v>
      </c>
      <c r="K79" s="4">
        <v>0</v>
      </c>
      <c r="N79" s="4">
        <v>0</v>
      </c>
      <c r="O79" s="4">
        <v>0</v>
      </c>
      <c r="P79" s="4" t="str">
        <f t="shared" si="1"/>
        <v>BASELOG.DEBIT</v>
      </c>
      <c r="Q79" s="4" t="str">
        <f>VLOOKUP(Cobra8.6[[#This Row],[Table.Column]],ColumnMapping[Old Table.Column],1,)</f>
        <v>BASELOG.DEBIT</v>
      </c>
    </row>
    <row r="80" spans="1:17" hidden="1" x14ac:dyDescent="0.2">
      <c r="A80" s="4" t="s">
        <v>2133</v>
      </c>
      <c r="B80" s="4">
        <v>0</v>
      </c>
      <c r="C80" s="4" t="s">
        <v>2133</v>
      </c>
      <c r="D80" s="4" t="s">
        <v>299</v>
      </c>
      <c r="E80" s="4" t="s">
        <v>2124</v>
      </c>
      <c r="F80" s="4">
        <v>21</v>
      </c>
      <c r="G80" s="4">
        <v>6</v>
      </c>
      <c r="H80" s="4">
        <v>0</v>
      </c>
      <c r="K80" s="4">
        <v>0</v>
      </c>
      <c r="N80" s="4">
        <v>0</v>
      </c>
      <c r="O80" s="4">
        <v>0</v>
      </c>
      <c r="P80" s="4" t="str">
        <f t="shared" si="1"/>
        <v>BASELOG.HOURS</v>
      </c>
      <c r="Q80" s="4" t="str">
        <f>VLOOKUP(Cobra8.6[[#This Row],[Table.Column]],ColumnMapping[Old Table.Column],1,)</f>
        <v>BASELOG.HOURS</v>
      </c>
    </row>
    <row r="81" spans="1:17" hidden="1" x14ac:dyDescent="0.2">
      <c r="A81" s="4" t="s">
        <v>2133</v>
      </c>
      <c r="B81" s="4">
        <v>0</v>
      </c>
      <c r="C81" s="4" t="s">
        <v>2133</v>
      </c>
      <c r="D81" s="4" t="s">
        <v>2137</v>
      </c>
      <c r="E81" s="4" t="s">
        <v>86</v>
      </c>
      <c r="F81" s="4">
        <v>200</v>
      </c>
      <c r="G81" s="4">
        <v>0</v>
      </c>
      <c r="H81" s="4">
        <v>0</v>
      </c>
      <c r="K81" s="4">
        <v>0</v>
      </c>
      <c r="N81" s="4">
        <v>0</v>
      </c>
      <c r="O81" s="4">
        <v>0</v>
      </c>
      <c r="P81" s="4" t="str">
        <f t="shared" si="1"/>
        <v>BASELOG.LOGCOMMENT</v>
      </c>
      <c r="Q81" s="4" t="str">
        <f>VLOOKUP(Cobra8.6[[#This Row],[Table.Column]],ColumnMapping[Old Table.Column],1,)</f>
        <v>BASELOG.LOGCOMMENT</v>
      </c>
    </row>
    <row r="82" spans="1:17" hidden="1" x14ac:dyDescent="0.2">
      <c r="A82" s="4" t="s">
        <v>2133</v>
      </c>
      <c r="B82" s="4">
        <v>0</v>
      </c>
      <c r="C82" s="4" t="s">
        <v>2133</v>
      </c>
      <c r="D82" s="4" t="s">
        <v>744</v>
      </c>
      <c r="E82" s="4" t="s">
        <v>86</v>
      </c>
      <c r="F82" s="4">
        <v>22</v>
      </c>
      <c r="G82" s="4">
        <v>0</v>
      </c>
      <c r="H82" s="4">
        <v>0</v>
      </c>
      <c r="K82" s="4">
        <v>0</v>
      </c>
      <c r="N82" s="4">
        <v>0</v>
      </c>
      <c r="O82" s="4">
        <v>0</v>
      </c>
      <c r="P82" s="4" t="str">
        <f t="shared" si="1"/>
        <v>BASELOG.PROGRAM</v>
      </c>
      <c r="Q82" s="4" t="str">
        <f>VLOOKUP(Cobra8.6[[#This Row],[Table.Column]],ColumnMapping[Old Table.Column],1,)</f>
        <v>BASELOG.PROGRAM</v>
      </c>
    </row>
    <row r="83" spans="1:17" hidden="1" x14ac:dyDescent="0.2">
      <c r="A83" s="4" t="s">
        <v>2133</v>
      </c>
      <c r="B83" s="4">
        <v>0</v>
      </c>
      <c r="C83" s="4" t="s">
        <v>2133</v>
      </c>
      <c r="D83" s="4" t="s">
        <v>2132</v>
      </c>
      <c r="E83" s="4" t="s">
        <v>2108</v>
      </c>
      <c r="F83" s="4">
        <v>-1</v>
      </c>
      <c r="G83" s="4">
        <v>0</v>
      </c>
      <c r="H83" s="4">
        <v>0</v>
      </c>
      <c r="K83" s="4">
        <v>0</v>
      </c>
      <c r="N83" s="4">
        <v>0</v>
      </c>
      <c r="O83" s="4">
        <v>0</v>
      </c>
      <c r="P83" s="4" t="str">
        <f t="shared" si="1"/>
        <v>BASELOG.REFNO</v>
      </c>
      <c r="Q83" s="4" t="str">
        <f>VLOOKUP(Cobra8.6[[#This Row],[Table.Column]],ColumnMapping[Old Table.Column],1,)</f>
        <v>BASELOG.REFNO</v>
      </c>
    </row>
    <row r="84" spans="1:17" hidden="1" x14ac:dyDescent="0.2">
      <c r="A84" s="4" t="s">
        <v>2133</v>
      </c>
      <c r="B84" s="4">
        <v>0</v>
      </c>
      <c r="C84" s="4" t="s">
        <v>2133</v>
      </c>
      <c r="D84" s="4" t="s">
        <v>30</v>
      </c>
      <c r="E84" s="4" t="s">
        <v>86</v>
      </c>
      <c r="F84" s="4">
        <v>22</v>
      </c>
      <c r="G84" s="4">
        <v>0</v>
      </c>
      <c r="H84" s="4">
        <v>0</v>
      </c>
      <c r="K84" s="4">
        <v>0</v>
      </c>
      <c r="N84" s="4">
        <v>0</v>
      </c>
      <c r="O84" s="4">
        <v>0</v>
      </c>
      <c r="P84" s="4" t="str">
        <f t="shared" si="1"/>
        <v>BASELOG.ROW_UID</v>
      </c>
      <c r="Q84" s="4" t="str">
        <f>VLOOKUP(Cobra8.6[[#This Row],[Table.Column]],ColumnMapping[Old Table.Column],1,)</f>
        <v>BASELOG.ROW_UID</v>
      </c>
    </row>
    <row r="85" spans="1:17" hidden="1" x14ac:dyDescent="0.2">
      <c r="A85" s="4" t="s">
        <v>2133</v>
      </c>
      <c r="B85" s="4">
        <v>0</v>
      </c>
      <c r="C85" s="4" t="s">
        <v>2133</v>
      </c>
      <c r="D85" s="4" t="s">
        <v>2138</v>
      </c>
      <c r="E85" s="4" t="s">
        <v>2108</v>
      </c>
      <c r="F85" s="4">
        <v>-1</v>
      </c>
      <c r="G85" s="4">
        <v>0</v>
      </c>
      <c r="H85" s="4">
        <v>0</v>
      </c>
      <c r="K85" s="4">
        <v>0</v>
      </c>
      <c r="N85" s="4">
        <v>0</v>
      </c>
      <c r="O85" s="4">
        <v>0</v>
      </c>
      <c r="P85" s="4" t="str">
        <f t="shared" si="1"/>
        <v>BASELOG.SIG</v>
      </c>
      <c r="Q85" s="4" t="str">
        <f>VLOOKUP(Cobra8.6[[#This Row],[Table.Column]],ColumnMapping[Old Table.Column],1,)</f>
        <v>BASELOG.SIG</v>
      </c>
    </row>
    <row r="86" spans="1:17" hidden="1" x14ac:dyDescent="0.2">
      <c r="A86" s="4" t="s">
        <v>2133</v>
      </c>
      <c r="B86" s="4">
        <v>0</v>
      </c>
      <c r="C86" s="4" t="s">
        <v>2133</v>
      </c>
      <c r="D86" s="4" t="s">
        <v>2139</v>
      </c>
      <c r="E86" s="4" t="s">
        <v>356</v>
      </c>
      <c r="F86" s="4">
        <v>-1</v>
      </c>
      <c r="G86" s="4">
        <v>0</v>
      </c>
      <c r="H86" s="4">
        <v>0</v>
      </c>
      <c r="K86" s="4">
        <v>0</v>
      </c>
      <c r="N86" s="4">
        <v>0</v>
      </c>
      <c r="O86" s="4">
        <v>0</v>
      </c>
      <c r="P86" s="4" t="str">
        <f t="shared" si="1"/>
        <v>BASELOG.STATUSDATE</v>
      </c>
      <c r="Q86" s="4" t="str">
        <f>VLOOKUP(Cobra8.6[[#This Row],[Table.Column]],ColumnMapping[Old Table.Column],1,)</f>
        <v>BASELOG.STATUSDATE</v>
      </c>
    </row>
    <row r="87" spans="1:17" hidden="1" x14ac:dyDescent="0.2">
      <c r="A87" s="4" t="s">
        <v>2133</v>
      </c>
      <c r="B87" s="4">
        <v>0</v>
      </c>
      <c r="C87" s="4" t="s">
        <v>2133</v>
      </c>
      <c r="D87" s="4" t="s">
        <v>2126</v>
      </c>
      <c r="E87" s="4" t="s">
        <v>31</v>
      </c>
      <c r="F87" s="4">
        <v>22</v>
      </c>
      <c r="G87" s="4">
        <v>0</v>
      </c>
      <c r="H87" s="4">
        <v>0</v>
      </c>
      <c r="K87" s="4">
        <v>0</v>
      </c>
      <c r="N87" s="4">
        <v>0</v>
      </c>
      <c r="O87" s="4">
        <v>0</v>
      </c>
      <c r="P87" s="4" t="str">
        <f t="shared" si="1"/>
        <v>BASELOG.TRANS_UID</v>
      </c>
      <c r="Q87" s="4" t="str">
        <f>VLOOKUP(Cobra8.6[[#This Row],[Table.Column]],ColumnMapping[Old Table.Column],1,)</f>
        <v>BASELOG.TRANS_UID</v>
      </c>
    </row>
    <row r="88" spans="1:17" hidden="1" x14ac:dyDescent="0.2">
      <c r="A88" s="4" t="s">
        <v>2133</v>
      </c>
      <c r="B88" s="4">
        <v>0</v>
      </c>
      <c r="C88" s="4" t="s">
        <v>2133</v>
      </c>
      <c r="D88" s="4" t="s">
        <v>2140</v>
      </c>
      <c r="E88" s="4" t="s">
        <v>356</v>
      </c>
      <c r="F88" s="4">
        <v>-1</v>
      </c>
      <c r="G88" s="4">
        <v>0</v>
      </c>
      <c r="H88" s="4">
        <v>0</v>
      </c>
      <c r="K88" s="4">
        <v>0</v>
      </c>
      <c r="N88" s="4">
        <v>0</v>
      </c>
      <c r="O88" s="4">
        <v>0</v>
      </c>
      <c r="P88" s="4" t="str">
        <f t="shared" si="1"/>
        <v>BASELOG.TSTAMP</v>
      </c>
      <c r="Q88" s="4" t="str">
        <f>VLOOKUP(Cobra8.6[[#This Row],[Table.Column]],ColumnMapping[Old Table.Column],1,)</f>
        <v>BASELOG.TSTAMP</v>
      </c>
    </row>
    <row r="89" spans="1:17" hidden="1" x14ac:dyDescent="0.2">
      <c r="A89" s="4" t="s">
        <v>2133</v>
      </c>
      <c r="B89" s="4">
        <v>0</v>
      </c>
      <c r="C89" s="4" t="s">
        <v>2133</v>
      </c>
      <c r="D89" s="4" t="s">
        <v>2112</v>
      </c>
      <c r="E89" s="4" t="s">
        <v>86</v>
      </c>
      <c r="F89" s="4">
        <v>20</v>
      </c>
      <c r="G89" s="4">
        <v>0</v>
      </c>
      <c r="H89" s="4">
        <v>0</v>
      </c>
      <c r="K89" s="4">
        <v>0</v>
      </c>
      <c r="N89" s="4">
        <v>0</v>
      </c>
      <c r="O89" s="4">
        <v>0</v>
      </c>
      <c r="P89" s="4" t="str">
        <f t="shared" si="1"/>
        <v>BASELOG.USR_ID</v>
      </c>
      <c r="Q89" s="4" t="str">
        <f>VLOOKUP(Cobra8.6[[#This Row],[Table.Column]],ColumnMapping[Old Table.Column],1,)</f>
        <v>BASELOG.USR_ID</v>
      </c>
    </row>
    <row r="90" spans="1:17" hidden="1" x14ac:dyDescent="0.2">
      <c r="A90" s="4" t="s">
        <v>2133</v>
      </c>
      <c r="B90" s="4">
        <v>0</v>
      </c>
      <c r="C90" s="4" t="s">
        <v>2133</v>
      </c>
      <c r="D90" s="4" t="s">
        <v>1398</v>
      </c>
      <c r="E90" s="4" t="s">
        <v>86</v>
      </c>
      <c r="F90" s="4">
        <v>59</v>
      </c>
      <c r="G90" s="4">
        <v>0</v>
      </c>
      <c r="H90" s="4">
        <v>0</v>
      </c>
      <c r="K90" s="4">
        <v>0</v>
      </c>
      <c r="N90" s="4">
        <v>0</v>
      </c>
      <c r="O90" s="4">
        <v>0</v>
      </c>
      <c r="P90" s="4" t="str">
        <f t="shared" si="1"/>
        <v>BASELOG.WP</v>
      </c>
      <c r="Q90" s="4" t="str">
        <f>VLOOKUP(Cobra8.6[[#This Row],[Table.Column]],ColumnMapping[Old Table.Column],1,)</f>
        <v>BASELOG.WP</v>
      </c>
    </row>
    <row r="91" spans="1:17" hidden="1" x14ac:dyDescent="0.2">
      <c r="A91" s="4" t="s">
        <v>2016</v>
      </c>
      <c r="B91" s="4">
        <v>0</v>
      </c>
      <c r="C91" s="4" t="s">
        <v>2016</v>
      </c>
      <c r="D91" s="4" t="s">
        <v>2017</v>
      </c>
      <c r="E91" s="4" t="s">
        <v>86</v>
      </c>
      <c r="F91" s="4">
        <v>22</v>
      </c>
      <c r="G91" s="4">
        <v>0</v>
      </c>
      <c r="H91" s="4">
        <v>0</v>
      </c>
      <c r="K91" s="4">
        <v>0</v>
      </c>
      <c r="N91" s="4">
        <v>0</v>
      </c>
      <c r="O91" s="4">
        <v>0</v>
      </c>
      <c r="P91" s="4" t="str">
        <f t="shared" si="1"/>
        <v>BATCH.BATCHREP_ID</v>
      </c>
      <c r="Q91" s="4" t="str">
        <f>VLOOKUP(Cobra8.6[[#This Row],[Table.Column]],ColumnMapping[Old Table.Column],1,)</f>
        <v>BATCH.BATCHREP_ID</v>
      </c>
    </row>
    <row r="92" spans="1:17" hidden="1" x14ac:dyDescent="0.2">
      <c r="A92" s="4" t="s">
        <v>2016</v>
      </c>
      <c r="B92" s="4">
        <v>0</v>
      </c>
      <c r="C92" s="4" t="s">
        <v>2016</v>
      </c>
      <c r="D92" s="4" t="s">
        <v>1962</v>
      </c>
      <c r="E92" s="4" t="s">
        <v>86</v>
      </c>
      <c r="F92" s="4">
        <v>22</v>
      </c>
      <c r="G92" s="4">
        <v>0</v>
      </c>
      <c r="H92" s="4">
        <v>0</v>
      </c>
      <c r="K92" s="4">
        <v>0</v>
      </c>
      <c r="N92" s="4">
        <v>0</v>
      </c>
      <c r="O92" s="4">
        <v>0</v>
      </c>
      <c r="P92" s="4" t="str">
        <f t="shared" si="1"/>
        <v>BATCH.DIR_ID</v>
      </c>
      <c r="Q92" s="4" t="str">
        <f>VLOOKUP(Cobra8.6[[#This Row],[Table.Column]],ColumnMapping[Old Table.Column],1,)</f>
        <v>BATCH.DIR_ID</v>
      </c>
    </row>
    <row r="93" spans="1:17" hidden="1" x14ac:dyDescent="0.2">
      <c r="A93" s="4" t="s">
        <v>2016</v>
      </c>
      <c r="B93" s="4">
        <v>0</v>
      </c>
      <c r="C93" s="4" t="s">
        <v>2016</v>
      </c>
      <c r="D93" s="4" t="s">
        <v>2018</v>
      </c>
      <c r="E93" s="4" t="s">
        <v>86</v>
      </c>
      <c r="F93" s="4">
        <v>59</v>
      </c>
      <c r="G93" s="4">
        <v>0</v>
      </c>
      <c r="H93" s="4">
        <v>0</v>
      </c>
      <c r="K93" s="4">
        <v>0</v>
      </c>
      <c r="N93" s="4">
        <v>0</v>
      </c>
      <c r="O93" s="4">
        <v>0</v>
      </c>
      <c r="P93" s="4" t="str">
        <f t="shared" si="1"/>
        <v>BATCH.FILTER_ID</v>
      </c>
      <c r="Q93" s="4" t="str">
        <f>VLOOKUP(Cobra8.6[[#This Row],[Table.Column]],ColumnMapping[Old Table.Column],1,)</f>
        <v>BATCH.FILTER_ID</v>
      </c>
    </row>
    <row r="94" spans="1:17" hidden="1" x14ac:dyDescent="0.2">
      <c r="A94" s="4" t="s">
        <v>2016</v>
      </c>
      <c r="B94" s="4">
        <v>0</v>
      </c>
      <c r="C94" s="4" t="s">
        <v>2016</v>
      </c>
      <c r="D94" s="4" t="s">
        <v>2019</v>
      </c>
      <c r="E94" s="4" t="s">
        <v>2108</v>
      </c>
      <c r="F94" s="4">
        <v>-1</v>
      </c>
      <c r="G94" s="4">
        <v>0</v>
      </c>
      <c r="H94" s="4">
        <v>0</v>
      </c>
      <c r="K94" s="4">
        <v>0</v>
      </c>
      <c r="N94" s="4">
        <v>0</v>
      </c>
      <c r="O94" s="4">
        <v>0</v>
      </c>
      <c r="P94" s="4" t="str">
        <f t="shared" si="1"/>
        <v>BATCH.FILTER_SHARED</v>
      </c>
      <c r="Q94" s="4" t="str">
        <f>VLOOKUP(Cobra8.6[[#This Row],[Table.Column]],ColumnMapping[Old Table.Column],1,)</f>
        <v>BATCH.FILTER_SHARED</v>
      </c>
    </row>
    <row r="95" spans="1:17" hidden="1" x14ac:dyDescent="0.2">
      <c r="A95" s="4" t="s">
        <v>2016</v>
      </c>
      <c r="B95" s="4">
        <v>0</v>
      </c>
      <c r="C95" s="4" t="s">
        <v>2016</v>
      </c>
      <c r="D95" s="4" t="s">
        <v>2111</v>
      </c>
      <c r="E95" s="4" t="s">
        <v>356</v>
      </c>
      <c r="F95" s="4">
        <v>-1</v>
      </c>
      <c r="G95" s="4">
        <v>0</v>
      </c>
      <c r="H95" s="4">
        <v>0</v>
      </c>
      <c r="K95" s="4">
        <v>0</v>
      </c>
      <c r="N95" s="4">
        <v>0</v>
      </c>
      <c r="O95" s="4">
        <v>0</v>
      </c>
      <c r="P95" s="4" t="str">
        <f t="shared" si="1"/>
        <v>BATCH.LASTUPDATE</v>
      </c>
      <c r="Q95" s="4" t="str">
        <f>VLOOKUP(Cobra8.6[[#This Row],[Table.Column]],ColumnMapping[Old Table.Column],1,)</f>
        <v>BATCH.LASTUPDATE</v>
      </c>
    </row>
    <row r="96" spans="1:17" hidden="1" x14ac:dyDescent="0.2">
      <c r="A96" s="4" t="s">
        <v>2016</v>
      </c>
      <c r="B96" s="4">
        <v>0</v>
      </c>
      <c r="C96" s="4" t="s">
        <v>2016</v>
      </c>
      <c r="D96" s="4" t="s">
        <v>1454</v>
      </c>
      <c r="E96" s="4" t="s">
        <v>2108</v>
      </c>
      <c r="F96" s="4">
        <v>-1</v>
      </c>
      <c r="G96" s="4">
        <v>0</v>
      </c>
      <c r="H96" s="4">
        <v>0</v>
      </c>
      <c r="K96" s="4">
        <v>0</v>
      </c>
      <c r="N96" s="4">
        <v>0</v>
      </c>
      <c r="O96" s="4">
        <v>0</v>
      </c>
      <c r="P96" s="4" t="str">
        <f t="shared" si="1"/>
        <v>BATCH.LINE</v>
      </c>
      <c r="Q96" s="4" t="str">
        <f>VLOOKUP(Cobra8.6[[#This Row],[Table.Column]],ColumnMapping[Old Table.Column],1,)</f>
        <v>BATCH.LINE</v>
      </c>
    </row>
    <row r="97" spans="1:17" hidden="1" x14ac:dyDescent="0.2">
      <c r="A97" s="4" t="s">
        <v>2016</v>
      </c>
      <c r="B97" s="4">
        <v>0</v>
      </c>
      <c r="C97" s="4" t="s">
        <v>2016</v>
      </c>
      <c r="D97" s="4" t="s">
        <v>1936</v>
      </c>
      <c r="E97" s="4" t="s">
        <v>86</v>
      </c>
      <c r="F97" s="4">
        <v>20</v>
      </c>
      <c r="G97" s="4">
        <v>0</v>
      </c>
      <c r="H97" s="4">
        <v>0</v>
      </c>
      <c r="K97" s="4">
        <v>0</v>
      </c>
      <c r="N97" s="4">
        <v>0</v>
      </c>
      <c r="O97" s="4">
        <v>0</v>
      </c>
      <c r="P97" s="4" t="str">
        <f t="shared" si="1"/>
        <v>BATCH.OWNER_ID</v>
      </c>
      <c r="Q97" s="4" t="str">
        <f>VLOOKUP(Cobra8.6[[#This Row],[Table.Column]],ColumnMapping[Old Table.Column],1,)</f>
        <v>BATCH.OWNER_ID</v>
      </c>
    </row>
    <row r="98" spans="1:17" hidden="1" x14ac:dyDescent="0.2">
      <c r="A98" s="4" t="s">
        <v>2016</v>
      </c>
      <c r="B98" s="4">
        <v>0</v>
      </c>
      <c r="C98" s="4" t="s">
        <v>2016</v>
      </c>
      <c r="D98" s="4" t="s">
        <v>2022</v>
      </c>
      <c r="E98" s="4" t="s">
        <v>86</v>
      </c>
      <c r="F98" s="4">
        <v>22</v>
      </c>
      <c r="G98" s="4">
        <v>0</v>
      </c>
      <c r="H98" s="4">
        <v>0</v>
      </c>
      <c r="K98" s="4">
        <v>0</v>
      </c>
      <c r="N98" s="4">
        <v>0</v>
      </c>
      <c r="O98" s="4">
        <v>0</v>
      </c>
      <c r="P98" s="4" t="str">
        <f t="shared" si="1"/>
        <v>BATCH.REPORT_ID</v>
      </c>
      <c r="Q98" s="4" t="str">
        <f>VLOOKUP(Cobra8.6[[#This Row],[Table.Column]],ColumnMapping[Old Table.Column],1,)</f>
        <v>BATCH.REPORT_ID</v>
      </c>
    </row>
    <row r="99" spans="1:17" hidden="1" x14ac:dyDescent="0.2">
      <c r="A99" s="4" t="s">
        <v>2016</v>
      </c>
      <c r="B99" s="4">
        <v>0</v>
      </c>
      <c r="C99" s="4" t="s">
        <v>2016</v>
      </c>
      <c r="D99" s="4" t="s">
        <v>35</v>
      </c>
      <c r="E99" s="4" t="s">
        <v>2108</v>
      </c>
      <c r="F99" s="4">
        <v>-1</v>
      </c>
      <c r="G99" s="4">
        <v>0</v>
      </c>
      <c r="H99" s="4">
        <v>0</v>
      </c>
      <c r="K99" s="4">
        <v>0</v>
      </c>
      <c r="N99" s="4">
        <v>0</v>
      </c>
      <c r="O99" s="4">
        <v>0</v>
      </c>
      <c r="P99" s="4" t="str">
        <f t="shared" si="1"/>
        <v>BATCH.SEQUENCE</v>
      </c>
      <c r="Q99" s="4" t="str">
        <f>VLOOKUP(Cobra8.6[[#This Row],[Table.Column]],ColumnMapping[Old Table.Column],1,)</f>
        <v>BATCH.SEQUENCE</v>
      </c>
    </row>
    <row r="100" spans="1:17" hidden="1" x14ac:dyDescent="0.2">
      <c r="A100" s="4" t="s">
        <v>2016</v>
      </c>
      <c r="B100" s="4">
        <v>0</v>
      </c>
      <c r="C100" s="4" t="s">
        <v>2016</v>
      </c>
      <c r="D100" s="4" t="s">
        <v>2024</v>
      </c>
      <c r="E100" s="4" t="s">
        <v>86</v>
      </c>
      <c r="F100" s="4">
        <v>59</v>
      </c>
      <c r="G100" s="4">
        <v>0</v>
      </c>
      <c r="H100" s="4">
        <v>0</v>
      </c>
      <c r="K100" s="4">
        <v>0</v>
      </c>
      <c r="N100" s="4">
        <v>0</v>
      </c>
      <c r="O100" s="4">
        <v>0</v>
      </c>
      <c r="P100" s="4" t="str">
        <f t="shared" si="1"/>
        <v>BATCH.SORT_ID</v>
      </c>
      <c r="Q100" s="4" t="str">
        <f>VLOOKUP(Cobra8.6[[#This Row],[Table.Column]],ColumnMapping[Old Table.Column],1,)</f>
        <v>BATCH.SORT_ID</v>
      </c>
    </row>
    <row r="101" spans="1:17" hidden="1" x14ac:dyDescent="0.2">
      <c r="A101" s="4" t="s">
        <v>2016</v>
      </c>
      <c r="B101" s="4">
        <v>0</v>
      </c>
      <c r="C101" s="4" t="s">
        <v>2016</v>
      </c>
      <c r="D101" s="4" t="s">
        <v>2026</v>
      </c>
      <c r="E101" s="4" t="s">
        <v>2108</v>
      </c>
      <c r="F101" s="4">
        <v>-1</v>
      </c>
      <c r="G101" s="4">
        <v>0</v>
      </c>
      <c r="H101" s="4">
        <v>0</v>
      </c>
      <c r="K101" s="4">
        <v>0</v>
      </c>
      <c r="N101" s="4">
        <v>0</v>
      </c>
      <c r="O101" s="4">
        <v>0</v>
      </c>
      <c r="P101" s="4" t="str">
        <f t="shared" si="1"/>
        <v>BATCH.SORT_SHARED</v>
      </c>
      <c r="Q101" s="4" t="str">
        <f>VLOOKUP(Cobra8.6[[#This Row],[Table.Column]],ColumnMapping[Old Table.Column],1,)</f>
        <v>BATCH.SORT_SHARED</v>
      </c>
    </row>
    <row r="102" spans="1:17" hidden="1" x14ac:dyDescent="0.2">
      <c r="A102" s="4" t="s">
        <v>2016</v>
      </c>
      <c r="B102" s="4">
        <v>0</v>
      </c>
      <c r="C102" s="4" t="s">
        <v>2016</v>
      </c>
      <c r="D102" s="4" t="s">
        <v>2112</v>
      </c>
      <c r="E102" s="4" t="s">
        <v>86</v>
      </c>
      <c r="F102" s="4">
        <v>20</v>
      </c>
      <c r="G102" s="4">
        <v>0</v>
      </c>
      <c r="H102" s="4">
        <v>0</v>
      </c>
      <c r="K102" s="4">
        <v>0</v>
      </c>
      <c r="N102" s="4">
        <v>0</v>
      </c>
      <c r="O102" s="4">
        <v>0</v>
      </c>
      <c r="P102" s="4" t="str">
        <f t="shared" si="1"/>
        <v>BATCH.USR_ID</v>
      </c>
      <c r="Q102" s="4" t="str">
        <f>VLOOKUP(Cobra8.6[[#This Row],[Table.Column]],ColumnMapping[Old Table.Column],1,)</f>
        <v>BATCH.USR_ID</v>
      </c>
    </row>
    <row r="103" spans="1:17" hidden="1" x14ac:dyDescent="0.2">
      <c r="A103" s="4" t="s">
        <v>2028</v>
      </c>
      <c r="B103" s="4">
        <v>0</v>
      </c>
      <c r="C103" s="4" t="s">
        <v>2028</v>
      </c>
      <c r="D103" s="4" t="s">
        <v>2017</v>
      </c>
      <c r="E103" s="4" t="s">
        <v>86</v>
      </c>
      <c r="F103" s="4">
        <v>22</v>
      </c>
      <c r="G103" s="4">
        <v>0</v>
      </c>
      <c r="H103" s="4">
        <v>0</v>
      </c>
      <c r="K103" s="4">
        <v>0</v>
      </c>
      <c r="N103" s="4">
        <v>0</v>
      </c>
      <c r="O103" s="4">
        <v>0</v>
      </c>
      <c r="P103" s="4" t="str">
        <f t="shared" si="1"/>
        <v>BATCHREP.BATCHREP_ID</v>
      </c>
      <c r="Q103" s="4" t="str">
        <f>VLOOKUP(Cobra8.6[[#This Row],[Table.Column]],ColumnMapping[Old Table.Column],1,)</f>
        <v>BATCHREP.BATCHREP_ID</v>
      </c>
    </row>
    <row r="104" spans="1:17" hidden="1" x14ac:dyDescent="0.2">
      <c r="A104" s="4" t="s">
        <v>2028</v>
      </c>
      <c r="B104" s="4">
        <v>0</v>
      </c>
      <c r="C104" s="4" t="s">
        <v>2028</v>
      </c>
      <c r="D104" s="4" t="s">
        <v>2030</v>
      </c>
      <c r="E104" s="4" t="s">
        <v>31</v>
      </c>
      <c r="F104" s="4">
        <v>22</v>
      </c>
      <c r="G104" s="4">
        <v>0</v>
      </c>
      <c r="H104" s="4">
        <v>0</v>
      </c>
      <c r="K104" s="4">
        <v>0</v>
      </c>
      <c r="N104" s="4">
        <v>0</v>
      </c>
      <c r="O104" s="4">
        <v>0</v>
      </c>
      <c r="P104" s="4" t="str">
        <f t="shared" si="1"/>
        <v>BATCHREP.BATCHREP_UID</v>
      </c>
      <c r="Q104" s="4" t="str">
        <f>VLOOKUP(Cobra8.6[[#This Row],[Table.Column]],ColumnMapping[Old Table.Column],1,)</f>
        <v>BATCHREP.BATCHREP_UID</v>
      </c>
    </row>
    <row r="105" spans="1:17" hidden="1" x14ac:dyDescent="0.2">
      <c r="A105" s="4" t="s">
        <v>2028</v>
      </c>
      <c r="B105" s="4">
        <v>0</v>
      </c>
      <c r="C105" s="4" t="s">
        <v>2028</v>
      </c>
      <c r="D105" s="4" t="s">
        <v>2141</v>
      </c>
      <c r="E105" s="4" t="s">
        <v>86</v>
      </c>
      <c r="F105" s="4">
        <v>254</v>
      </c>
      <c r="G105" s="4">
        <v>0</v>
      </c>
      <c r="H105" s="4">
        <v>0</v>
      </c>
      <c r="K105" s="4">
        <v>0</v>
      </c>
      <c r="N105" s="4">
        <v>0</v>
      </c>
      <c r="O105" s="4">
        <v>0</v>
      </c>
      <c r="P105" s="4" t="str">
        <f t="shared" si="1"/>
        <v>BATCHREP.DESCRIP</v>
      </c>
      <c r="Q105" s="4" t="str">
        <f>VLOOKUP(Cobra8.6[[#This Row],[Table.Column]],ColumnMapping[Old Table.Column],1,)</f>
        <v>BATCHREP.DESCRIP</v>
      </c>
    </row>
    <row r="106" spans="1:17" hidden="1" x14ac:dyDescent="0.2">
      <c r="A106" s="4" t="s">
        <v>2028</v>
      </c>
      <c r="B106" s="4">
        <v>0</v>
      </c>
      <c r="C106" s="4" t="s">
        <v>2028</v>
      </c>
      <c r="D106" s="4" t="s">
        <v>2111</v>
      </c>
      <c r="E106" s="4" t="s">
        <v>356</v>
      </c>
      <c r="F106" s="4">
        <v>-1</v>
      </c>
      <c r="G106" s="4">
        <v>0</v>
      </c>
      <c r="H106" s="4">
        <v>0</v>
      </c>
      <c r="K106" s="4">
        <v>0</v>
      </c>
      <c r="N106" s="4">
        <v>0</v>
      </c>
      <c r="O106" s="4">
        <v>0</v>
      </c>
      <c r="P106" s="4" t="str">
        <f t="shared" si="1"/>
        <v>BATCHREP.LASTUPDATE</v>
      </c>
      <c r="Q106" s="4" t="str">
        <f>VLOOKUP(Cobra8.6[[#This Row],[Table.Column]],ColumnMapping[Old Table.Column],1,)</f>
        <v>BATCHREP.LASTUPDATE</v>
      </c>
    </row>
    <row r="107" spans="1:17" hidden="1" x14ac:dyDescent="0.2">
      <c r="A107" s="4" t="s">
        <v>2028</v>
      </c>
      <c r="B107" s="4">
        <v>0</v>
      </c>
      <c r="C107" s="4" t="s">
        <v>2028</v>
      </c>
      <c r="D107" s="4" t="s">
        <v>2032</v>
      </c>
      <c r="E107" s="4" t="s">
        <v>86</v>
      </c>
      <c r="F107" s="4">
        <v>254</v>
      </c>
      <c r="G107" s="4">
        <v>0</v>
      </c>
      <c r="H107" s="4">
        <v>0</v>
      </c>
      <c r="K107" s="4">
        <v>0</v>
      </c>
      <c r="N107" s="4">
        <v>0</v>
      </c>
      <c r="O107" s="4">
        <v>0</v>
      </c>
      <c r="P107" s="4" t="str">
        <f t="shared" si="1"/>
        <v>BATCHREP.OUTPUT_LOC</v>
      </c>
      <c r="Q107" s="4" t="str">
        <f>VLOOKUP(Cobra8.6[[#This Row],[Table.Column]],ColumnMapping[Old Table.Column],1,)</f>
        <v>BATCHREP.OUTPUT_LOC</v>
      </c>
    </row>
    <row r="108" spans="1:17" hidden="1" x14ac:dyDescent="0.2">
      <c r="A108" s="4" t="s">
        <v>2028</v>
      </c>
      <c r="B108" s="4">
        <v>0</v>
      </c>
      <c r="C108" s="4" t="s">
        <v>2028</v>
      </c>
      <c r="D108" s="4" t="s">
        <v>2034</v>
      </c>
      <c r="E108" s="4" t="s">
        <v>86</v>
      </c>
      <c r="F108" s="4">
        <v>12</v>
      </c>
      <c r="G108" s="4">
        <v>0</v>
      </c>
      <c r="H108" s="4">
        <v>0</v>
      </c>
      <c r="K108" s="4">
        <v>0</v>
      </c>
      <c r="N108" s="4">
        <v>0</v>
      </c>
      <c r="O108" s="4">
        <v>0</v>
      </c>
      <c r="P108" s="4" t="str">
        <f t="shared" si="1"/>
        <v>BATCHREP.OUTPUT_TYPE</v>
      </c>
      <c r="Q108" s="4" t="str">
        <f>VLOOKUP(Cobra8.6[[#This Row],[Table.Column]],ColumnMapping[Old Table.Column],1,)</f>
        <v>BATCHREP.OUTPUT_TYPE</v>
      </c>
    </row>
    <row r="109" spans="1:17" hidden="1" x14ac:dyDescent="0.2">
      <c r="A109" s="4" t="s">
        <v>2028</v>
      </c>
      <c r="B109" s="4">
        <v>0</v>
      </c>
      <c r="C109" s="4" t="s">
        <v>2028</v>
      </c>
      <c r="D109" s="4" t="s">
        <v>1936</v>
      </c>
      <c r="E109" s="4" t="s">
        <v>86</v>
      </c>
      <c r="F109" s="4">
        <v>20</v>
      </c>
      <c r="G109" s="4">
        <v>0</v>
      </c>
      <c r="H109" s="4">
        <v>0</v>
      </c>
      <c r="K109" s="4">
        <v>0</v>
      </c>
      <c r="N109" s="4">
        <v>0</v>
      </c>
      <c r="O109" s="4">
        <v>0</v>
      </c>
      <c r="P109" s="4" t="str">
        <f t="shared" si="1"/>
        <v>BATCHREP.OWNER_ID</v>
      </c>
      <c r="Q109" s="4" t="str">
        <f>VLOOKUP(Cobra8.6[[#This Row],[Table.Column]],ColumnMapping[Old Table.Column],1,)</f>
        <v>BATCHREP.OWNER_ID</v>
      </c>
    </row>
    <row r="110" spans="1:17" hidden="1" x14ac:dyDescent="0.2">
      <c r="A110" s="4" t="s">
        <v>2028</v>
      </c>
      <c r="B110" s="4">
        <v>0</v>
      </c>
      <c r="C110" s="4" t="s">
        <v>2028</v>
      </c>
      <c r="D110" s="4" t="s">
        <v>744</v>
      </c>
      <c r="E110" s="4" t="s">
        <v>86</v>
      </c>
      <c r="F110" s="4">
        <v>22</v>
      </c>
      <c r="G110" s="4">
        <v>0</v>
      </c>
      <c r="H110" s="4">
        <v>0</v>
      </c>
      <c r="K110" s="4">
        <v>0</v>
      </c>
      <c r="N110" s="4">
        <v>0</v>
      </c>
      <c r="O110" s="4">
        <v>0</v>
      </c>
      <c r="P110" s="4" t="str">
        <f t="shared" si="1"/>
        <v>BATCHREP.PROGRAM</v>
      </c>
      <c r="Q110" s="4" t="str">
        <f>VLOOKUP(Cobra8.6[[#This Row],[Table.Column]],ColumnMapping[Old Table.Column],1,)</f>
        <v>BATCHREP.PROGRAM</v>
      </c>
    </row>
    <row r="111" spans="1:17" hidden="1" x14ac:dyDescent="0.2">
      <c r="A111" s="4" t="s">
        <v>2028</v>
      </c>
      <c r="B111" s="4">
        <v>0</v>
      </c>
      <c r="C111" s="4" t="s">
        <v>2028</v>
      </c>
      <c r="D111" s="4" t="s">
        <v>35</v>
      </c>
      <c r="E111" s="4" t="s">
        <v>2108</v>
      </c>
      <c r="F111" s="4">
        <v>-1</v>
      </c>
      <c r="G111" s="4">
        <v>0</v>
      </c>
      <c r="H111" s="4">
        <v>0</v>
      </c>
      <c r="K111" s="4">
        <v>0</v>
      </c>
      <c r="N111" s="4">
        <v>0</v>
      </c>
      <c r="O111" s="4">
        <v>0</v>
      </c>
      <c r="P111" s="4" t="str">
        <f t="shared" si="1"/>
        <v>BATCHREP.SEQUENCE</v>
      </c>
      <c r="Q111" s="4" t="str">
        <f>VLOOKUP(Cobra8.6[[#This Row],[Table.Column]],ColumnMapping[Old Table.Column],1,)</f>
        <v>BATCHREP.SEQUENCE</v>
      </c>
    </row>
    <row r="112" spans="1:17" hidden="1" x14ac:dyDescent="0.2">
      <c r="A112" s="4" t="s">
        <v>2028</v>
      </c>
      <c r="B112" s="4">
        <v>0</v>
      </c>
      <c r="C112" s="4" t="s">
        <v>2028</v>
      </c>
      <c r="D112" s="4" t="s">
        <v>2037</v>
      </c>
      <c r="E112" s="4" t="s">
        <v>2108</v>
      </c>
      <c r="F112" s="4">
        <v>-1</v>
      </c>
      <c r="G112" s="4">
        <v>0</v>
      </c>
      <c r="H112" s="4">
        <v>0</v>
      </c>
      <c r="K112" s="4">
        <v>0</v>
      </c>
      <c r="N112" s="4">
        <v>0</v>
      </c>
      <c r="O112" s="4">
        <v>0</v>
      </c>
      <c r="P112" s="4" t="str">
        <f t="shared" si="1"/>
        <v>BATCHREP.SUB_FOLDER</v>
      </c>
      <c r="Q112" s="4" t="str">
        <f>VLOOKUP(Cobra8.6[[#This Row],[Table.Column]],ColumnMapping[Old Table.Column],1,)</f>
        <v>BATCHREP.SUB_FOLDER</v>
      </c>
    </row>
    <row r="113" spans="1:17" hidden="1" x14ac:dyDescent="0.2">
      <c r="A113" s="4" t="s">
        <v>2028</v>
      </c>
      <c r="B113" s="4">
        <v>0</v>
      </c>
      <c r="C113" s="4" t="s">
        <v>2028</v>
      </c>
      <c r="D113" s="4" t="s">
        <v>2112</v>
      </c>
      <c r="E113" s="4" t="s">
        <v>86</v>
      </c>
      <c r="F113" s="4">
        <v>20</v>
      </c>
      <c r="G113" s="4">
        <v>0</v>
      </c>
      <c r="H113" s="4">
        <v>0</v>
      </c>
      <c r="K113" s="4">
        <v>0</v>
      </c>
      <c r="N113" s="4">
        <v>0</v>
      </c>
      <c r="O113" s="4">
        <v>0</v>
      </c>
      <c r="P113" s="4" t="str">
        <f t="shared" si="1"/>
        <v>BATCHREP.USR_ID</v>
      </c>
      <c r="Q113" s="4" t="str">
        <f>VLOOKUP(Cobra8.6[[#This Row],[Table.Column]],ColumnMapping[Old Table.Column],1,)</f>
        <v>BATCHREP.USR_ID</v>
      </c>
    </row>
    <row r="114" spans="1:17" hidden="1" x14ac:dyDescent="0.2">
      <c r="A114" s="4" t="s">
        <v>2142</v>
      </c>
      <c r="B114" s="4">
        <v>0</v>
      </c>
      <c r="C114" s="4" t="s">
        <v>2142</v>
      </c>
      <c r="D114" s="4" t="s">
        <v>2143</v>
      </c>
      <c r="E114" s="4" t="s">
        <v>2108</v>
      </c>
      <c r="F114" s="4">
        <v>-1</v>
      </c>
      <c r="G114" s="4">
        <v>0</v>
      </c>
      <c r="H114" s="4">
        <v>0</v>
      </c>
      <c r="K114" s="4">
        <v>0</v>
      </c>
      <c r="N114" s="4">
        <v>0</v>
      </c>
      <c r="O114" s="4">
        <v>0</v>
      </c>
      <c r="P114" s="4" t="str">
        <f t="shared" si="1"/>
        <v>BDNDETL.BDN_LEVEL</v>
      </c>
      <c r="Q114" s="4" t="str">
        <f>VLOOKUP(Cobra8.6[[#This Row],[Table.Column]],ColumnMapping[Old Table.Column],1,)</f>
        <v>BDNDETL.BDN_LEVEL</v>
      </c>
    </row>
    <row r="115" spans="1:17" hidden="1" x14ac:dyDescent="0.2">
      <c r="A115" s="4" t="s">
        <v>2142</v>
      </c>
      <c r="B115" s="4">
        <v>0</v>
      </c>
      <c r="C115" s="4" t="s">
        <v>2142</v>
      </c>
      <c r="D115" s="4" t="s">
        <v>87</v>
      </c>
      <c r="E115" s="4" t="s">
        <v>86</v>
      </c>
      <c r="F115" s="4">
        <v>22</v>
      </c>
      <c r="G115" s="4">
        <v>0</v>
      </c>
      <c r="H115" s="4">
        <v>0</v>
      </c>
      <c r="K115" s="4">
        <v>0</v>
      </c>
      <c r="N115" s="4">
        <v>0</v>
      </c>
      <c r="O115" s="4">
        <v>0</v>
      </c>
      <c r="P115" s="4" t="str">
        <f t="shared" si="1"/>
        <v>BDNDETL.BREAKFILE</v>
      </c>
      <c r="Q115" s="4" t="str">
        <f>VLOOKUP(Cobra8.6[[#This Row],[Table.Column]],ColumnMapping[Old Table.Column],1,)</f>
        <v>BDNDETL.BREAKFILE</v>
      </c>
    </row>
    <row r="116" spans="1:17" hidden="1" x14ac:dyDescent="0.2">
      <c r="A116" s="4" t="s">
        <v>2142</v>
      </c>
      <c r="B116" s="4">
        <v>0</v>
      </c>
      <c r="C116" s="4" t="s">
        <v>2142</v>
      </c>
      <c r="D116" s="4" t="s">
        <v>29</v>
      </c>
      <c r="E116" s="4" t="s">
        <v>86</v>
      </c>
      <c r="F116" s="4">
        <v>59</v>
      </c>
      <c r="G116" s="4">
        <v>0</v>
      </c>
      <c r="H116" s="4">
        <v>0</v>
      </c>
      <c r="K116" s="4">
        <v>0</v>
      </c>
      <c r="N116" s="4">
        <v>0</v>
      </c>
      <c r="O116" s="4">
        <v>0</v>
      </c>
      <c r="P116" s="4" t="str">
        <f t="shared" si="1"/>
        <v>BDNDETL.CODE</v>
      </c>
      <c r="Q116" s="4" t="str">
        <f>VLOOKUP(Cobra8.6[[#This Row],[Table.Column]],ColumnMapping[Old Table.Column],1,)</f>
        <v>BDNDETL.CODE</v>
      </c>
    </row>
    <row r="117" spans="1:17" hidden="1" x14ac:dyDescent="0.2">
      <c r="A117" s="4" t="s">
        <v>2142</v>
      </c>
      <c r="B117" s="4">
        <v>0</v>
      </c>
      <c r="C117" s="4" t="s">
        <v>2142</v>
      </c>
      <c r="D117" s="4" t="s">
        <v>2144</v>
      </c>
      <c r="E117" s="4" t="s">
        <v>86</v>
      </c>
      <c r="F117" s="4">
        <v>254</v>
      </c>
      <c r="G117" s="4">
        <v>0</v>
      </c>
      <c r="H117" s="4">
        <v>0</v>
      </c>
      <c r="K117" s="4">
        <v>0</v>
      </c>
      <c r="N117" s="4">
        <v>0</v>
      </c>
      <c r="O117" s="4">
        <v>0</v>
      </c>
      <c r="P117" s="4" t="str">
        <f t="shared" si="1"/>
        <v>BDNDETL.CODEDESC</v>
      </c>
      <c r="Q117" s="4" t="str">
        <f>VLOOKUP(Cobra8.6[[#This Row],[Table.Column]],ColumnMapping[Old Table.Column],1,)</f>
        <v>BDNDETL.CODEDESC</v>
      </c>
    </row>
    <row r="118" spans="1:17" hidden="1" x14ac:dyDescent="0.2">
      <c r="A118" s="4" t="s">
        <v>2142</v>
      </c>
      <c r="B118" s="4">
        <v>0</v>
      </c>
      <c r="C118" s="4" t="s">
        <v>2142</v>
      </c>
      <c r="D118" s="4" t="s">
        <v>76</v>
      </c>
      <c r="E118" s="4" t="s">
        <v>86</v>
      </c>
      <c r="F118" s="4">
        <v>59</v>
      </c>
      <c r="G118" s="4">
        <v>0</v>
      </c>
      <c r="H118" s="4">
        <v>0</v>
      </c>
      <c r="K118" s="4">
        <v>0</v>
      </c>
      <c r="N118" s="4">
        <v>0</v>
      </c>
      <c r="O118" s="4">
        <v>0</v>
      </c>
      <c r="P118" s="4" t="str">
        <f t="shared" si="1"/>
        <v>BDNDETL.D1</v>
      </c>
      <c r="Q118" s="4" t="str">
        <f>VLOOKUP(Cobra8.6[[#This Row],[Table.Column]],ColumnMapping[Old Table.Column],1,)</f>
        <v>BDNDETL.D1</v>
      </c>
    </row>
    <row r="119" spans="1:17" hidden="1" x14ac:dyDescent="0.2">
      <c r="A119" s="4" t="s">
        <v>2142</v>
      </c>
      <c r="B119" s="4">
        <v>0</v>
      </c>
      <c r="C119" s="4" t="s">
        <v>2142</v>
      </c>
      <c r="D119" s="4" t="s">
        <v>77</v>
      </c>
      <c r="E119" s="4" t="s">
        <v>86</v>
      </c>
      <c r="F119" s="4">
        <v>59</v>
      </c>
      <c r="G119" s="4">
        <v>0</v>
      </c>
      <c r="H119" s="4">
        <v>0</v>
      </c>
      <c r="K119" s="4">
        <v>0</v>
      </c>
      <c r="N119" s="4">
        <v>0</v>
      </c>
      <c r="O119" s="4">
        <v>0</v>
      </c>
      <c r="P119" s="4" t="str">
        <f t="shared" si="1"/>
        <v>BDNDETL.D2</v>
      </c>
      <c r="Q119" s="4" t="str">
        <f>VLOOKUP(Cobra8.6[[#This Row],[Table.Column]],ColumnMapping[Old Table.Column],1,)</f>
        <v>BDNDETL.D2</v>
      </c>
    </row>
    <row r="120" spans="1:17" hidden="1" x14ac:dyDescent="0.2">
      <c r="A120" s="4" t="s">
        <v>2142</v>
      </c>
      <c r="B120" s="4">
        <v>0</v>
      </c>
      <c r="C120" s="4" t="s">
        <v>2142</v>
      </c>
      <c r="D120" s="4" t="s">
        <v>78</v>
      </c>
      <c r="E120" s="4" t="s">
        <v>86</v>
      </c>
      <c r="F120" s="4">
        <v>59</v>
      </c>
      <c r="G120" s="4">
        <v>0</v>
      </c>
      <c r="H120" s="4">
        <v>0</v>
      </c>
      <c r="K120" s="4">
        <v>0</v>
      </c>
      <c r="N120" s="4">
        <v>0</v>
      </c>
      <c r="O120" s="4">
        <v>0</v>
      </c>
      <c r="P120" s="4" t="str">
        <f t="shared" si="1"/>
        <v>BDNDETL.D3</v>
      </c>
      <c r="Q120" s="4" t="str">
        <f>VLOOKUP(Cobra8.6[[#This Row],[Table.Column]],ColumnMapping[Old Table.Column],1,)</f>
        <v>BDNDETL.D3</v>
      </c>
    </row>
    <row r="121" spans="1:17" hidden="1" x14ac:dyDescent="0.2">
      <c r="A121" s="4" t="s">
        <v>2142</v>
      </c>
      <c r="B121" s="4">
        <v>0</v>
      </c>
      <c r="C121" s="4" t="s">
        <v>2142</v>
      </c>
      <c r="D121" s="4" t="s">
        <v>79</v>
      </c>
      <c r="E121" s="4" t="s">
        <v>86</v>
      </c>
      <c r="F121" s="4">
        <v>59</v>
      </c>
      <c r="G121" s="4">
        <v>0</v>
      </c>
      <c r="H121" s="4">
        <v>0</v>
      </c>
      <c r="K121" s="4">
        <v>0</v>
      </c>
      <c r="N121" s="4">
        <v>0</v>
      </c>
      <c r="O121" s="4">
        <v>0</v>
      </c>
      <c r="P121" s="4" t="str">
        <f t="shared" si="1"/>
        <v>BDNDETL.D4</v>
      </c>
      <c r="Q121" s="4" t="str">
        <f>VLOOKUP(Cobra8.6[[#This Row],[Table.Column]],ColumnMapping[Old Table.Column],1,)</f>
        <v>BDNDETL.D4</v>
      </c>
    </row>
    <row r="122" spans="1:17" hidden="1" x14ac:dyDescent="0.2">
      <c r="A122" s="4" t="s">
        <v>2142</v>
      </c>
      <c r="B122" s="4">
        <v>0</v>
      </c>
      <c r="C122" s="4" t="s">
        <v>2142</v>
      </c>
      <c r="D122" s="4" t="s">
        <v>80</v>
      </c>
      <c r="E122" s="4" t="s">
        <v>86</v>
      </c>
      <c r="F122" s="4">
        <v>59</v>
      </c>
      <c r="G122" s="4">
        <v>0</v>
      </c>
      <c r="H122" s="4">
        <v>0</v>
      </c>
      <c r="K122" s="4">
        <v>0</v>
      </c>
      <c r="N122" s="4">
        <v>0</v>
      </c>
      <c r="O122" s="4">
        <v>0</v>
      </c>
      <c r="P122" s="4" t="str">
        <f t="shared" si="1"/>
        <v>BDNDETL.D5</v>
      </c>
      <c r="Q122" s="4" t="str">
        <f>VLOOKUP(Cobra8.6[[#This Row],[Table.Column]],ColumnMapping[Old Table.Column],1,)</f>
        <v>BDNDETL.D5</v>
      </c>
    </row>
    <row r="123" spans="1:17" hidden="1" x14ac:dyDescent="0.2">
      <c r="A123" s="4" t="s">
        <v>2142</v>
      </c>
      <c r="B123" s="4">
        <v>0</v>
      </c>
      <c r="C123" s="4" t="s">
        <v>2142</v>
      </c>
      <c r="D123" s="4" t="s">
        <v>81</v>
      </c>
      <c r="E123" s="4" t="s">
        <v>86</v>
      </c>
      <c r="F123" s="4">
        <v>59</v>
      </c>
      <c r="G123" s="4">
        <v>0</v>
      </c>
      <c r="H123" s="4">
        <v>0</v>
      </c>
      <c r="K123" s="4">
        <v>0</v>
      </c>
      <c r="N123" s="4">
        <v>0</v>
      </c>
      <c r="O123" s="4">
        <v>0</v>
      </c>
      <c r="P123" s="4" t="str">
        <f t="shared" si="1"/>
        <v>BDNDETL.D6</v>
      </c>
      <c r="Q123" s="4" t="str">
        <f>VLOOKUP(Cobra8.6[[#This Row],[Table.Column]],ColumnMapping[Old Table.Column],1,)</f>
        <v>BDNDETL.D6</v>
      </c>
    </row>
    <row r="124" spans="1:17" hidden="1" x14ac:dyDescent="0.2">
      <c r="A124" s="4" t="s">
        <v>2142</v>
      </c>
      <c r="B124" s="4">
        <v>0</v>
      </c>
      <c r="C124" s="4" t="s">
        <v>2142</v>
      </c>
      <c r="D124" s="4" t="s">
        <v>82</v>
      </c>
      <c r="E124" s="4" t="s">
        <v>86</v>
      </c>
      <c r="F124" s="4">
        <v>59</v>
      </c>
      <c r="G124" s="4">
        <v>0</v>
      </c>
      <c r="H124" s="4">
        <v>0</v>
      </c>
      <c r="K124" s="4">
        <v>0</v>
      </c>
      <c r="N124" s="4">
        <v>0</v>
      </c>
      <c r="O124" s="4">
        <v>0</v>
      </c>
      <c r="P124" s="4" t="str">
        <f t="shared" si="1"/>
        <v>BDNDETL.D7</v>
      </c>
      <c r="Q124" s="4" t="str">
        <f>VLOOKUP(Cobra8.6[[#This Row],[Table.Column]],ColumnMapping[Old Table.Column],1,)</f>
        <v>BDNDETL.D7</v>
      </c>
    </row>
    <row r="125" spans="1:17" hidden="1" x14ac:dyDescent="0.2">
      <c r="A125" s="4" t="s">
        <v>2142</v>
      </c>
      <c r="B125" s="4">
        <v>0</v>
      </c>
      <c r="C125" s="4" t="s">
        <v>2142</v>
      </c>
      <c r="D125" s="4" t="s">
        <v>83</v>
      </c>
      <c r="E125" s="4" t="s">
        <v>86</v>
      </c>
      <c r="F125" s="4">
        <v>59</v>
      </c>
      <c r="G125" s="4">
        <v>0</v>
      </c>
      <c r="H125" s="4">
        <v>0</v>
      </c>
      <c r="K125" s="4">
        <v>0</v>
      </c>
      <c r="N125" s="4">
        <v>0</v>
      </c>
      <c r="O125" s="4">
        <v>0</v>
      </c>
      <c r="P125" s="4" t="str">
        <f t="shared" si="1"/>
        <v>BDNDETL.D8</v>
      </c>
      <c r="Q125" s="4" t="str">
        <f>VLOOKUP(Cobra8.6[[#This Row],[Table.Column]],ColumnMapping[Old Table.Column],1,)</f>
        <v>BDNDETL.D8</v>
      </c>
    </row>
    <row r="126" spans="1:17" hidden="1" x14ac:dyDescent="0.2">
      <c r="A126" s="4" t="s">
        <v>2142</v>
      </c>
      <c r="B126" s="4">
        <v>0</v>
      </c>
      <c r="C126" s="4" t="s">
        <v>2142</v>
      </c>
      <c r="D126" s="4" t="s">
        <v>84</v>
      </c>
      <c r="E126" s="4" t="s">
        <v>86</v>
      </c>
      <c r="F126" s="4">
        <v>59</v>
      </c>
      <c r="G126" s="4">
        <v>0</v>
      </c>
      <c r="H126" s="4">
        <v>0</v>
      </c>
      <c r="K126" s="4">
        <v>0</v>
      </c>
      <c r="N126" s="4">
        <v>0</v>
      </c>
      <c r="O126" s="4">
        <v>0</v>
      </c>
      <c r="P126" s="4" t="str">
        <f t="shared" si="1"/>
        <v>BDNDETL.D9</v>
      </c>
      <c r="Q126" s="4" t="str">
        <f>VLOOKUP(Cobra8.6[[#This Row],[Table.Column]],ColumnMapping[Old Table.Column],1,)</f>
        <v>BDNDETL.D9</v>
      </c>
    </row>
    <row r="127" spans="1:17" hidden="1" x14ac:dyDescent="0.2">
      <c r="A127" s="4" t="s">
        <v>2142</v>
      </c>
      <c r="B127" s="4">
        <v>0</v>
      </c>
      <c r="C127" s="4" t="s">
        <v>2142</v>
      </c>
      <c r="D127" s="4" t="s">
        <v>2111</v>
      </c>
      <c r="E127" s="4" t="s">
        <v>356</v>
      </c>
      <c r="F127" s="4">
        <v>-1</v>
      </c>
      <c r="G127" s="4">
        <v>0</v>
      </c>
      <c r="H127" s="4">
        <v>0</v>
      </c>
      <c r="K127" s="4">
        <v>0</v>
      </c>
      <c r="N127" s="4">
        <v>0</v>
      </c>
      <c r="O127" s="4">
        <v>0</v>
      </c>
      <c r="P127" s="4" t="str">
        <f t="shared" si="1"/>
        <v>BDNDETL.LASTUPDATE</v>
      </c>
      <c r="Q127" s="4" t="str">
        <f>VLOOKUP(Cobra8.6[[#This Row],[Table.Column]],ColumnMapping[Old Table.Column],1,)</f>
        <v>BDNDETL.LASTUPDATE</v>
      </c>
    </row>
    <row r="128" spans="1:17" hidden="1" x14ac:dyDescent="0.2">
      <c r="A128" s="4" t="s">
        <v>2142</v>
      </c>
      <c r="B128" s="4">
        <v>0</v>
      </c>
      <c r="C128" s="4" t="s">
        <v>2142</v>
      </c>
      <c r="D128" s="4" t="s">
        <v>2145</v>
      </c>
      <c r="E128" s="4" t="s">
        <v>2108</v>
      </c>
      <c r="F128" s="4">
        <v>-1</v>
      </c>
      <c r="G128" s="4">
        <v>0</v>
      </c>
      <c r="H128" s="4">
        <v>0</v>
      </c>
      <c r="K128" s="4">
        <v>0</v>
      </c>
      <c r="N128" s="4">
        <v>0</v>
      </c>
      <c r="O128" s="4">
        <v>0</v>
      </c>
      <c r="P128" s="4" t="str">
        <f t="shared" si="1"/>
        <v>BDNDETL.NUMCHILD</v>
      </c>
      <c r="Q128" s="4" t="e">
        <f>VLOOKUP(Cobra8.6[[#This Row],[Table.Column]],ColumnMapping[Old Table.Column],1,)</f>
        <v>#N/A</v>
      </c>
    </row>
    <row r="129" spans="1:17" hidden="1" x14ac:dyDescent="0.2">
      <c r="A129" s="4" t="s">
        <v>2142</v>
      </c>
      <c r="B129" s="4">
        <v>0</v>
      </c>
      <c r="C129" s="4" t="s">
        <v>2142</v>
      </c>
      <c r="D129" s="4" t="s">
        <v>2146</v>
      </c>
      <c r="E129" s="4" t="s">
        <v>86</v>
      </c>
      <c r="F129" s="4">
        <v>59</v>
      </c>
      <c r="G129" s="4">
        <v>0</v>
      </c>
      <c r="H129" s="4">
        <v>0</v>
      </c>
      <c r="K129" s="4">
        <v>0</v>
      </c>
      <c r="N129" s="4">
        <v>0</v>
      </c>
      <c r="O129" s="4">
        <v>0</v>
      </c>
      <c r="P129" s="4" t="str">
        <f t="shared" si="1"/>
        <v>BDNDETL.PARENT</v>
      </c>
      <c r="Q129" s="4" t="str">
        <f>VLOOKUP(Cobra8.6[[#This Row],[Table.Column]],ColumnMapping[Old Table.Column],1,)</f>
        <v>BDNDETL.PARENT</v>
      </c>
    </row>
    <row r="130" spans="1:17" hidden="1" x14ac:dyDescent="0.2">
      <c r="A130" s="4" t="s">
        <v>2142</v>
      </c>
      <c r="B130" s="4">
        <v>0</v>
      </c>
      <c r="C130" s="4" t="s">
        <v>2142</v>
      </c>
      <c r="D130" s="4" t="s">
        <v>35</v>
      </c>
      <c r="E130" s="4" t="s">
        <v>2108</v>
      </c>
      <c r="F130" s="4">
        <v>-1</v>
      </c>
      <c r="G130" s="4">
        <v>0</v>
      </c>
      <c r="H130" s="4">
        <v>0</v>
      </c>
      <c r="K130" s="4">
        <v>0</v>
      </c>
      <c r="N130" s="4">
        <v>0</v>
      </c>
      <c r="O130" s="4">
        <v>0</v>
      </c>
      <c r="P130" s="4" t="str">
        <f t="shared" ref="P130:P193" si="2">_xlfn.CONCAT(A130,".",D130)</f>
        <v>BDNDETL.SEQUENCE</v>
      </c>
      <c r="Q130" s="4" t="str">
        <f>VLOOKUP(Cobra8.6[[#This Row],[Table.Column]],ColumnMapping[Old Table.Column],1,)</f>
        <v>BDNDETL.SEQUENCE</v>
      </c>
    </row>
    <row r="131" spans="1:17" hidden="1" x14ac:dyDescent="0.2">
      <c r="A131" s="4" t="s">
        <v>2142</v>
      </c>
      <c r="B131" s="4">
        <v>0</v>
      </c>
      <c r="C131" s="4" t="s">
        <v>2142</v>
      </c>
      <c r="D131" s="4" t="s">
        <v>85</v>
      </c>
      <c r="E131" s="4" t="s">
        <v>86</v>
      </c>
      <c r="F131" s="4">
        <v>60</v>
      </c>
      <c r="G131" s="4">
        <v>0</v>
      </c>
      <c r="H131" s="4">
        <v>0</v>
      </c>
      <c r="K131" s="4">
        <v>0</v>
      </c>
      <c r="N131" s="4">
        <v>0</v>
      </c>
      <c r="O131" s="4">
        <v>0</v>
      </c>
      <c r="P131" s="4" t="str">
        <f t="shared" si="2"/>
        <v>BDNDETL.TAG</v>
      </c>
      <c r="Q131" s="4" t="str">
        <f>VLOOKUP(Cobra8.6[[#This Row],[Table.Column]],ColumnMapping[Old Table.Column],1,)</f>
        <v>BDNDETL.TAG</v>
      </c>
    </row>
    <row r="132" spans="1:17" hidden="1" x14ac:dyDescent="0.2">
      <c r="A132" s="4" t="s">
        <v>2142</v>
      </c>
      <c r="B132" s="4">
        <v>0</v>
      </c>
      <c r="C132" s="4" t="s">
        <v>2142</v>
      </c>
      <c r="D132" s="4" t="s">
        <v>2147</v>
      </c>
      <c r="E132" s="4" t="s">
        <v>86</v>
      </c>
      <c r="F132" s="4">
        <v>10</v>
      </c>
      <c r="G132" s="4">
        <v>0</v>
      </c>
      <c r="H132" s="4">
        <v>0</v>
      </c>
      <c r="K132" s="4">
        <v>0</v>
      </c>
      <c r="N132" s="4">
        <v>0</v>
      </c>
      <c r="O132" s="4">
        <v>0</v>
      </c>
      <c r="P132" s="4" t="str">
        <f t="shared" si="2"/>
        <v>BDNDETL.TH_CAF_TL</v>
      </c>
      <c r="Q132" s="4" t="str">
        <f>VLOOKUP(Cobra8.6[[#This Row],[Table.Column]],ColumnMapping[Old Table.Column],1,)</f>
        <v>BDNDETL.TH_CAF_TL</v>
      </c>
    </row>
    <row r="133" spans="1:17" hidden="1" x14ac:dyDescent="0.2">
      <c r="A133" s="4" t="s">
        <v>2142</v>
      </c>
      <c r="B133" s="4">
        <v>0</v>
      </c>
      <c r="C133" s="4" t="s">
        <v>2142</v>
      </c>
      <c r="D133" s="4" t="s">
        <v>1552</v>
      </c>
      <c r="E133" s="4" t="s">
        <v>2124</v>
      </c>
      <c r="F133" s="4">
        <v>21</v>
      </c>
      <c r="G133" s="4">
        <v>6</v>
      </c>
      <c r="H133" s="4">
        <v>0</v>
      </c>
      <c r="K133" s="4">
        <v>0</v>
      </c>
      <c r="N133" s="4">
        <v>0</v>
      </c>
      <c r="O133" s="4">
        <v>0</v>
      </c>
      <c r="P133" s="4" t="str">
        <f t="shared" si="2"/>
        <v>BDNDETL.TH_CAPF</v>
      </c>
      <c r="Q133" s="4" t="str">
        <f>VLOOKUP(Cobra8.6[[#This Row],[Table.Column]],ColumnMapping[Old Table.Column],1,)</f>
        <v>BDNDETL.TH_CAPF</v>
      </c>
    </row>
    <row r="134" spans="1:17" hidden="1" x14ac:dyDescent="0.2">
      <c r="A134" s="4" t="s">
        <v>2142</v>
      </c>
      <c r="B134" s="4">
        <v>0</v>
      </c>
      <c r="C134" s="4" t="s">
        <v>2142</v>
      </c>
      <c r="D134" s="4" t="s">
        <v>1554</v>
      </c>
      <c r="E134" s="4" t="s">
        <v>2124</v>
      </c>
      <c r="F134" s="4">
        <v>21</v>
      </c>
      <c r="G134" s="4">
        <v>6</v>
      </c>
      <c r="H134" s="4">
        <v>0</v>
      </c>
      <c r="K134" s="4">
        <v>0</v>
      </c>
      <c r="N134" s="4">
        <v>0</v>
      </c>
      <c r="O134" s="4">
        <v>0</v>
      </c>
      <c r="P134" s="4" t="str">
        <f t="shared" si="2"/>
        <v>BDNDETL.TH_CAPU</v>
      </c>
      <c r="Q134" s="4" t="str">
        <f>VLOOKUP(Cobra8.6[[#This Row],[Table.Column]],ColumnMapping[Old Table.Column],1,)</f>
        <v>BDNDETL.TH_CAPU</v>
      </c>
    </row>
    <row r="135" spans="1:17" hidden="1" x14ac:dyDescent="0.2">
      <c r="A135" s="4" t="s">
        <v>2142</v>
      </c>
      <c r="B135" s="4">
        <v>0</v>
      </c>
      <c r="C135" s="4" t="s">
        <v>2142</v>
      </c>
      <c r="D135" s="4" t="s">
        <v>2148</v>
      </c>
      <c r="E135" s="4" t="s">
        <v>86</v>
      </c>
      <c r="F135" s="4">
        <v>10</v>
      </c>
      <c r="G135" s="4">
        <v>0</v>
      </c>
      <c r="H135" s="4">
        <v>0</v>
      </c>
      <c r="K135" s="4">
        <v>0</v>
      </c>
      <c r="N135" s="4">
        <v>0</v>
      </c>
      <c r="O135" s="4">
        <v>0</v>
      </c>
      <c r="P135" s="4" t="str">
        <f t="shared" si="2"/>
        <v>BDNDETL.TH_CAU_TL</v>
      </c>
      <c r="Q135" s="4" t="str">
        <f>VLOOKUP(Cobra8.6[[#This Row],[Table.Column]],ColumnMapping[Old Table.Column],1,)</f>
        <v>BDNDETL.TH_CAU_TL</v>
      </c>
    </row>
    <row r="136" spans="1:17" hidden="1" x14ac:dyDescent="0.2">
      <c r="A136" s="4" t="s">
        <v>2142</v>
      </c>
      <c r="B136" s="4">
        <v>0</v>
      </c>
      <c r="C136" s="4" t="s">
        <v>2142</v>
      </c>
      <c r="D136" s="4" t="s">
        <v>1556</v>
      </c>
      <c r="E136" s="4" t="s">
        <v>2124</v>
      </c>
      <c r="F136" s="4">
        <v>21</v>
      </c>
      <c r="G136" s="4">
        <v>6</v>
      </c>
      <c r="H136" s="4">
        <v>0</v>
      </c>
      <c r="K136" s="4">
        <v>0</v>
      </c>
      <c r="N136" s="4">
        <v>0</v>
      </c>
      <c r="O136" s="4">
        <v>0</v>
      </c>
      <c r="P136" s="4" t="str">
        <f t="shared" si="2"/>
        <v>BDNDETL.TH_CAVF</v>
      </c>
      <c r="Q136" s="4" t="str">
        <f>VLOOKUP(Cobra8.6[[#This Row],[Table.Column]],ColumnMapping[Old Table.Column],1,)</f>
        <v>BDNDETL.TH_CAVF</v>
      </c>
    </row>
    <row r="137" spans="1:17" hidden="1" x14ac:dyDescent="0.2">
      <c r="A137" s="4" t="s">
        <v>2142</v>
      </c>
      <c r="B137" s="4">
        <v>0</v>
      </c>
      <c r="C137" s="4" t="s">
        <v>2142</v>
      </c>
      <c r="D137" s="4" t="s">
        <v>1558</v>
      </c>
      <c r="E137" s="4" t="s">
        <v>2124</v>
      </c>
      <c r="F137" s="4">
        <v>21</v>
      </c>
      <c r="G137" s="4">
        <v>6</v>
      </c>
      <c r="H137" s="4">
        <v>0</v>
      </c>
      <c r="K137" s="4">
        <v>0</v>
      </c>
      <c r="N137" s="4">
        <v>0</v>
      </c>
      <c r="O137" s="4">
        <v>0</v>
      </c>
      <c r="P137" s="4" t="str">
        <f t="shared" si="2"/>
        <v>BDNDETL.TH_CAVU</v>
      </c>
      <c r="Q137" s="4" t="str">
        <f>VLOOKUP(Cobra8.6[[#This Row],[Table.Column]],ColumnMapping[Old Table.Column],1,)</f>
        <v>BDNDETL.TH_CAVU</v>
      </c>
    </row>
    <row r="138" spans="1:17" hidden="1" x14ac:dyDescent="0.2">
      <c r="A138" s="4" t="s">
        <v>2142</v>
      </c>
      <c r="B138" s="4">
        <v>0</v>
      </c>
      <c r="C138" s="4" t="s">
        <v>2142</v>
      </c>
      <c r="D138" s="4" t="s">
        <v>2149</v>
      </c>
      <c r="E138" s="4" t="s">
        <v>86</v>
      </c>
      <c r="F138" s="4">
        <v>10</v>
      </c>
      <c r="G138" s="4">
        <v>0</v>
      </c>
      <c r="H138" s="4">
        <v>0</v>
      </c>
      <c r="K138" s="4">
        <v>0</v>
      </c>
      <c r="N138" s="4">
        <v>0</v>
      </c>
      <c r="O138" s="4">
        <v>0</v>
      </c>
      <c r="P138" s="4" t="str">
        <f t="shared" si="2"/>
        <v>BDNDETL.TH_CCF_TL</v>
      </c>
      <c r="Q138" s="4" t="str">
        <f>VLOOKUP(Cobra8.6[[#This Row],[Table.Column]],ColumnMapping[Old Table.Column],1,)</f>
        <v>BDNDETL.TH_CCF_TL</v>
      </c>
    </row>
    <row r="139" spans="1:17" hidden="1" x14ac:dyDescent="0.2">
      <c r="A139" s="4" t="s">
        <v>2142</v>
      </c>
      <c r="B139" s="4">
        <v>0</v>
      </c>
      <c r="C139" s="4" t="s">
        <v>2142</v>
      </c>
      <c r="D139" s="4" t="s">
        <v>1560</v>
      </c>
      <c r="E139" s="4" t="s">
        <v>2124</v>
      </c>
      <c r="F139" s="4">
        <v>21</v>
      </c>
      <c r="G139" s="4">
        <v>6</v>
      </c>
      <c r="H139" s="4">
        <v>0</v>
      </c>
      <c r="K139" s="4">
        <v>0</v>
      </c>
      <c r="N139" s="4">
        <v>0</v>
      </c>
      <c r="O139" s="4">
        <v>0</v>
      </c>
      <c r="P139" s="4" t="str">
        <f t="shared" si="2"/>
        <v>BDNDETL.TH_CCPF</v>
      </c>
      <c r="Q139" s="4" t="str">
        <f>VLOOKUP(Cobra8.6[[#This Row],[Table.Column]],ColumnMapping[Old Table.Column],1,)</f>
        <v>BDNDETL.TH_CCPF</v>
      </c>
    </row>
    <row r="140" spans="1:17" hidden="1" x14ac:dyDescent="0.2">
      <c r="A140" s="4" t="s">
        <v>2142</v>
      </c>
      <c r="B140" s="4">
        <v>0</v>
      </c>
      <c r="C140" s="4" t="s">
        <v>2142</v>
      </c>
      <c r="D140" s="4" t="s">
        <v>1562</v>
      </c>
      <c r="E140" s="4" t="s">
        <v>2124</v>
      </c>
      <c r="F140" s="4">
        <v>21</v>
      </c>
      <c r="G140" s="4">
        <v>6</v>
      </c>
      <c r="H140" s="4">
        <v>0</v>
      </c>
      <c r="K140" s="4">
        <v>0</v>
      </c>
      <c r="N140" s="4">
        <v>0</v>
      </c>
      <c r="O140" s="4">
        <v>0</v>
      </c>
      <c r="P140" s="4" t="str">
        <f t="shared" si="2"/>
        <v>BDNDETL.TH_CCPU</v>
      </c>
      <c r="Q140" s="4" t="str">
        <f>VLOOKUP(Cobra8.6[[#This Row],[Table.Column]],ColumnMapping[Old Table.Column],1,)</f>
        <v>BDNDETL.TH_CCPU</v>
      </c>
    </row>
    <row r="141" spans="1:17" hidden="1" x14ac:dyDescent="0.2">
      <c r="A141" s="4" t="s">
        <v>2142</v>
      </c>
      <c r="B141" s="4">
        <v>0</v>
      </c>
      <c r="C141" s="4" t="s">
        <v>2142</v>
      </c>
      <c r="D141" s="4" t="s">
        <v>2150</v>
      </c>
      <c r="E141" s="4" t="s">
        <v>86</v>
      </c>
      <c r="F141" s="4">
        <v>10</v>
      </c>
      <c r="G141" s="4">
        <v>0</v>
      </c>
      <c r="H141" s="4">
        <v>0</v>
      </c>
      <c r="K141" s="4">
        <v>0</v>
      </c>
      <c r="N141" s="4">
        <v>0</v>
      </c>
      <c r="O141" s="4">
        <v>0</v>
      </c>
      <c r="P141" s="4" t="str">
        <f t="shared" si="2"/>
        <v>BDNDETL.TH_CCU_TL</v>
      </c>
      <c r="Q141" s="4" t="str">
        <f>VLOOKUP(Cobra8.6[[#This Row],[Table.Column]],ColumnMapping[Old Table.Column],1,)</f>
        <v>BDNDETL.TH_CCU_TL</v>
      </c>
    </row>
    <row r="142" spans="1:17" hidden="1" x14ac:dyDescent="0.2">
      <c r="A142" s="4" t="s">
        <v>2142</v>
      </c>
      <c r="B142" s="4">
        <v>0</v>
      </c>
      <c r="C142" s="4" t="s">
        <v>2142</v>
      </c>
      <c r="D142" s="4" t="s">
        <v>1564</v>
      </c>
      <c r="E142" s="4" t="s">
        <v>2124</v>
      </c>
      <c r="F142" s="4">
        <v>21</v>
      </c>
      <c r="G142" s="4">
        <v>6</v>
      </c>
      <c r="H142" s="4">
        <v>0</v>
      </c>
      <c r="K142" s="4">
        <v>0</v>
      </c>
      <c r="N142" s="4">
        <v>0</v>
      </c>
      <c r="O142" s="4">
        <v>0</v>
      </c>
      <c r="P142" s="4" t="str">
        <f t="shared" si="2"/>
        <v>BDNDETL.TH_CCVF</v>
      </c>
      <c r="Q142" s="4" t="str">
        <f>VLOOKUP(Cobra8.6[[#This Row],[Table.Column]],ColumnMapping[Old Table.Column],1,)</f>
        <v>BDNDETL.TH_CCVF</v>
      </c>
    </row>
    <row r="143" spans="1:17" hidden="1" x14ac:dyDescent="0.2">
      <c r="A143" s="4" t="s">
        <v>2142</v>
      </c>
      <c r="B143" s="4">
        <v>0</v>
      </c>
      <c r="C143" s="4" t="s">
        <v>2142</v>
      </c>
      <c r="D143" s="4" t="s">
        <v>1566</v>
      </c>
      <c r="E143" s="4" t="s">
        <v>2124</v>
      </c>
      <c r="F143" s="4">
        <v>21</v>
      </c>
      <c r="G143" s="4">
        <v>6</v>
      </c>
      <c r="H143" s="4">
        <v>0</v>
      </c>
      <c r="K143" s="4">
        <v>0</v>
      </c>
      <c r="N143" s="4">
        <v>0</v>
      </c>
      <c r="O143" s="4">
        <v>0</v>
      </c>
      <c r="P143" s="4" t="str">
        <f t="shared" si="2"/>
        <v>BDNDETL.TH_CCVU</v>
      </c>
      <c r="Q143" s="4" t="str">
        <f>VLOOKUP(Cobra8.6[[#This Row],[Table.Column]],ColumnMapping[Old Table.Column],1,)</f>
        <v>BDNDETL.TH_CCVU</v>
      </c>
    </row>
    <row r="144" spans="1:17" hidden="1" x14ac:dyDescent="0.2">
      <c r="A144" s="4" t="s">
        <v>2142</v>
      </c>
      <c r="B144" s="4">
        <v>0</v>
      </c>
      <c r="C144" s="4" t="s">
        <v>2142</v>
      </c>
      <c r="D144" s="4" t="s">
        <v>2151</v>
      </c>
      <c r="E144" s="4" t="s">
        <v>86</v>
      </c>
      <c r="F144" s="4">
        <v>10</v>
      </c>
      <c r="G144" s="4">
        <v>0</v>
      </c>
      <c r="H144" s="4">
        <v>0</v>
      </c>
      <c r="K144" s="4">
        <v>0</v>
      </c>
      <c r="N144" s="4">
        <v>0</v>
      </c>
      <c r="O144" s="4">
        <v>0</v>
      </c>
      <c r="P144" s="4" t="str">
        <f t="shared" si="2"/>
        <v>BDNDETL.TH_CPF_TL</v>
      </c>
      <c r="Q144" s="4" t="str">
        <f>VLOOKUP(Cobra8.6[[#This Row],[Table.Column]],ColumnMapping[Old Table.Column],1,)</f>
        <v>BDNDETL.TH_CPF_TL</v>
      </c>
    </row>
    <row r="145" spans="1:17" hidden="1" x14ac:dyDescent="0.2">
      <c r="A145" s="4" t="s">
        <v>2142</v>
      </c>
      <c r="B145" s="4">
        <v>0</v>
      </c>
      <c r="C145" s="4" t="s">
        <v>2142</v>
      </c>
      <c r="D145" s="4" t="s">
        <v>1568</v>
      </c>
      <c r="E145" s="4" t="s">
        <v>2124</v>
      </c>
      <c r="F145" s="4">
        <v>21</v>
      </c>
      <c r="G145" s="4">
        <v>6</v>
      </c>
      <c r="H145" s="4">
        <v>0</v>
      </c>
      <c r="K145" s="4">
        <v>0</v>
      </c>
      <c r="N145" s="4">
        <v>0</v>
      </c>
      <c r="O145" s="4">
        <v>0</v>
      </c>
      <c r="P145" s="4" t="str">
        <f t="shared" si="2"/>
        <v>BDNDETL.TH_CPPF</v>
      </c>
      <c r="Q145" s="4" t="str">
        <f>VLOOKUP(Cobra8.6[[#This Row],[Table.Column]],ColumnMapping[Old Table.Column],1,)</f>
        <v>BDNDETL.TH_CPPF</v>
      </c>
    </row>
    <row r="146" spans="1:17" hidden="1" x14ac:dyDescent="0.2">
      <c r="A146" s="4" t="s">
        <v>2142</v>
      </c>
      <c r="B146" s="4">
        <v>0</v>
      </c>
      <c r="C146" s="4" t="s">
        <v>2142</v>
      </c>
      <c r="D146" s="4" t="s">
        <v>1570</v>
      </c>
      <c r="E146" s="4" t="s">
        <v>2124</v>
      </c>
      <c r="F146" s="4">
        <v>21</v>
      </c>
      <c r="G146" s="4">
        <v>6</v>
      </c>
      <c r="H146" s="4">
        <v>0</v>
      </c>
      <c r="K146" s="4">
        <v>0</v>
      </c>
      <c r="N146" s="4">
        <v>0</v>
      </c>
      <c r="O146" s="4">
        <v>0</v>
      </c>
      <c r="P146" s="4" t="str">
        <f t="shared" si="2"/>
        <v>BDNDETL.TH_CPPU</v>
      </c>
      <c r="Q146" s="4" t="str">
        <f>VLOOKUP(Cobra8.6[[#This Row],[Table.Column]],ColumnMapping[Old Table.Column],1,)</f>
        <v>BDNDETL.TH_CPPU</v>
      </c>
    </row>
    <row r="147" spans="1:17" hidden="1" x14ac:dyDescent="0.2">
      <c r="A147" s="4" t="s">
        <v>2142</v>
      </c>
      <c r="B147" s="4">
        <v>0</v>
      </c>
      <c r="C147" s="4" t="s">
        <v>2142</v>
      </c>
      <c r="D147" s="4" t="s">
        <v>2152</v>
      </c>
      <c r="E147" s="4" t="s">
        <v>86</v>
      </c>
      <c r="F147" s="4">
        <v>10</v>
      </c>
      <c r="G147" s="4">
        <v>0</v>
      </c>
      <c r="H147" s="4">
        <v>0</v>
      </c>
      <c r="K147" s="4">
        <v>0</v>
      </c>
      <c r="N147" s="4">
        <v>0</v>
      </c>
      <c r="O147" s="4">
        <v>0</v>
      </c>
      <c r="P147" s="4" t="str">
        <f t="shared" si="2"/>
        <v>BDNDETL.TH_CPU_TL</v>
      </c>
      <c r="Q147" s="4" t="str">
        <f>VLOOKUP(Cobra8.6[[#This Row],[Table.Column]],ColumnMapping[Old Table.Column],1,)</f>
        <v>BDNDETL.TH_CPU_TL</v>
      </c>
    </row>
    <row r="148" spans="1:17" hidden="1" x14ac:dyDescent="0.2">
      <c r="A148" s="4" t="s">
        <v>2142</v>
      </c>
      <c r="B148" s="4">
        <v>0</v>
      </c>
      <c r="C148" s="4" t="s">
        <v>2142</v>
      </c>
      <c r="D148" s="4" t="s">
        <v>1572</v>
      </c>
      <c r="E148" s="4" t="s">
        <v>2124</v>
      </c>
      <c r="F148" s="4">
        <v>21</v>
      </c>
      <c r="G148" s="4">
        <v>6</v>
      </c>
      <c r="H148" s="4">
        <v>0</v>
      </c>
      <c r="K148" s="4">
        <v>0</v>
      </c>
      <c r="N148" s="4">
        <v>0</v>
      </c>
      <c r="O148" s="4">
        <v>0</v>
      </c>
      <c r="P148" s="4" t="str">
        <f t="shared" si="2"/>
        <v>BDNDETL.TH_CPVF</v>
      </c>
      <c r="Q148" s="4" t="str">
        <f>VLOOKUP(Cobra8.6[[#This Row],[Table.Column]],ColumnMapping[Old Table.Column],1,)</f>
        <v>BDNDETL.TH_CPVF</v>
      </c>
    </row>
    <row r="149" spans="1:17" hidden="1" x14ac:dyDescent="0.2">
      <c r="A149" s="4" t="s">
        <v>2142</v>
      </c>
      <c r="B149" s="4">
        <v>0</v>
      </c>
      <c r="C149" s="4" t="s">
        <v>2142</v>
      </c>
      <c r="D149" s="4" t="s">
        <v>1574</v>
      </c>
      <c r="E149" s="4" t="s">
        <v>2124</v>
      </c>
      <c r="F149" s="4">
        <v>21</v>
      </c>
      <c r="G149" s="4">
        <v>6</v>
      </c>
      <c r="H149" s="4">
        <v>0</v>
      </c>
      <c r="K149" s="4">
        <v>0</v>
      </c>
      <c r="N149" s="4">
        <v>0</v>
      </c>
      <c r="O149" s="4">
        <v>0</v>
      </c>
      <c r="P149" s="4" t="str">
        <f t="shared" si="2"/>
        <v>BDNDETL.TH_CPVU</v>
      </c>
      <c r="Q149" s="4" t="str">
        <f>VLOOKUP(Cobra8.6[[#This Row],[Table.Column]],ColumnMapping[Old Table.Column],1,)</f>
        <v>BDNDETL.TH_CPVU</v>
      </c>
    </row>
    <row r="150" spans="1:17" hidden="1" x14ac:dyDescent="0.2">
      <c r="A150" s="4" t="s">
        <v>2142</v>
      </c>
      <c r="B150" s="4">
        <v>0</v>
      </c>
      <c r="C150" s="4" t="s">
        <v>2142</v>
      </c>
      <c r="D150" s="4" t="s">
        <v>2153</v>
      </c>
      <c r="E150" s="4" t="s">
        <v>86</v>
      </c>
      <c r="F150" s="4">
        <v>10</v>
      </c>
      <c r="G150" s="4">
        <v>0</v>
      </c>
      <c r="H150" s="4">
        <v>0</v>
      </c>
      <c r="K150" s="4">
        <v>0</v>
      </c>
      <c r="N150" s="4">
        <v>0</v>
      </c>
      <c r="O150" s="4">
        <v>0</v>
      </c>
      <c r="P150" s="4" t="str">
        <f t="shared" si="2"/>
        <v>BDNDETL.TH_SCF_TL</v>
      </c>
      <c r="Q150" s="4" t="str">
        <f>VLOOKUP(Cobra8.6[[#This Row],[Table.Column]],ColumnMapping[Old Table.Column],1,)</f>
        <v>BDNDETL.TH_SCF_TL</v>
      </c>
    </row>
    <row r="151" spans="1:17" hidden="1" x14ac:dyDescent="0.2">
      <c r="A151" s="4" t="s">
        <v>2142</v>
      </c>
      <c r="B151" s="4">
        <v>0</v>
      </c>
      <c r="C151" s="4" t="s">
        <v>2142</v>
      </c>
      <c r="D151" s="4" t="s">
        <v>1576</v>
      </c>
      <c r="E151" s="4" t="s">
        <v>2124</v>
      </c>
      <c r="F151" s="4">
        <v>21</v>
      </c>
      <c r="G151" s="4">
        <v>6</v>
      </c>
      <c r="H151" s="4">
        <v>0</v>
      </c>
      <c r="K151" s="4">
        <v>0</v>
      </c>
      <c r="N151" s="4">
        <v>0</v>
      </c>
      <c r="O151" s="4">
        <v>0</v>
      </c>
      <c r="P151" s="4" t="str">
        <f t="shared" si="2"/>
        <v>BDNDETL.TH_SCPF</v>
      </c>
      <c r="Q151" s="4" t="str">
        <f>VLOOKUP(Cobra8.6[[#This Row],[Table.Column]],ColumnMapping[Old Table.Column],1,)</f>
        <v>BDNDETL.TH_SCPF</v>
      </c>
    </row>
    <row r="152" spans="1:17" hidden="1" x14ac:dyDescent="0.2">
      <c r="A152" s="4" t="s">
        <v>2142</v>
      </c>
      <c r="B152" s="4">
        <v>0</v>
      </c>
      <c r="C152" s="4" t="s">
        <v>2142</v>
      </c>
      <c r="D152" s="4" t="s">
        <v>1578</v>
      </c>
      <c r="E152" s="4" t="s">
        <v>2124</v>
      </c>
      <c r="F152" s="4">
        <v>21</v>
      </c>
      <c r="G152" s="4">
        <v>6</v>
      </c>
      <c r="H152" s="4">
        <v>0</v>
      </c>
      <c r="K152" s="4">
        <v>0</v>
      </c>
      <c r="N152" s="4">
        <v>0</v>
      </c>
      <c r="O152" s="4">
        <v>0</v>
      </c>
      <c r="P152" s="4" t="str">
        <f t="shared" si="2"/>
        <v>BDNDETL.TH_SCPU</v>
      </c>
      <c r="Q152" s="4" t="str">
        <f>VLOOKUP(Cobra8.6[[#This Row],[Table.Column]],ColumnMapping[Old Table.Column],1,)</f>
        <v>BDNDETL.TH_SCPU</v>
      </c>
    </row>
    <row r="153" spans="1:17" hidden="1" x14ac:dyDescent="0.2">
      <c r="A153" s="4" t="s">
        <v>2142</v>
      </c>
      <c r="B153" s="4">
        <v>0</v>
      </c>
      <c r="C153" s="4" t="s">
        <v>2142</v>
      </c>
      <c r="D153" s="4" t="s">
        <v>2154</v>
      </c>
      <c r="E153" s="4" t="s">
        <v>86</v>
      </c>
      <c r="F153" s="4">
        <v>10</v>
      </c>
      <c r="G153" s="4">
        <v>0</v>
      </c>
      <c r="H153" s="4">
        <v>0</v>
      </c>
      <c r="K153" s="4">
        <v>0</v>
      </c>
      <c r="N153" s="4">
        <v>0</v>
      </c>
      <c r="O153" s="4">
        <v>0</v>
      </c>
      <c r="P153" s="4" t="str">
        <f t="shared" si="2"/>
        <v>BDNDETL.TH_SCU_TL</v>
      </c>
      <c r="Q153" s="4" t="str">
        <f>VLOOKUP(Cobra8.6[[#This Row],[Table.Column]],ColumnMapping[Old Table.Column],1,)</f>
        <v>BDNDETL.TH_SCU_TL</v>
      </c>
    </row>
    <row r="154" spans="1:17" hidden="1" x14ac:dyDescent="0.2">
      <c r="A154" s="4" t="s">
        <v>2142</v>
      </c>
      <c r="B154" s="4">
        <v>0</v>
      </c>
      <c r="C154" s="4" t="s">
        <v>2142</v>
      </c>
      <c r="D154" s="4" t="s">
        <v>1580</v>
      </c>
      <c r="E154" s="4" t="s">
        <v>2124</v>
      </c>
      <c r="F154" s="4">
        <v>21</v>
      </c>
      <c r="G154" s="4">
        <v>6</v>
      </c>
      <c r="H154" s="4">
        <v>0</v>
      </c>
      <c r="K154" s="4">
        <v>0</v>
      </c>
      <c r="N154" s="4">
        <v>0</v>
      </c>
      <c r="O154" s="4">
        <v>0</v>
      </c>
      <c r="P154" s="4" t="str">
        <f t="shared" si="2"/>
        <v>BDNDETL.TH_SCVF</v>
      </c>
      <c r="Q154" s="4" t="str">
        <f>VLOOKUP(Cobra8.6[[#This Row],[Table.Column]],ColumnMapping[Old Table.Column],1,)</f>
        <v>BDNDETL.TH_SCVF</v>
      </c>
    </row>
    <row r="155" spans="1:17" hidden="1" x14ac:dyDescent="0.2">
      <c r="A155" s="4" t="s">
        <v>2142</v>
      </c>
      <c r="B155" s="4">
        <v>0</v>
      </c>
      <c r="C155" s="4" t="s">
        <v>2142</v>
      </c>
      <c r="D155" s="4" t="s">
        <v>1582</v>
      </c>
      <c r="E155" s="4" t="s">
        <v>2124</v>
      </c>
      <c r="F155" s="4">
        <v>21</v>
      </c>
      <c r="G155" s="4">
        <v>6</v>
      </c>
      <c r="H155" s="4">
        <v>0</v>
      </c>
      <c r="K155" s="4">
        <v>0</v>
      </c>
      <c r="N155" s="4">
        <v>0</v>
      </c>
      <c r="O155" s="4">
        <v>0</v>
      </c>
      <c r="P155" s="4" t="str">
        <f t="shared" si="2"/>
        <v>BDNDETL.TH_SCVU</v>
      </c>
      <c r="Q155" s="4" t="str">
        <f>VLOOKUP(Cobra8.6[[#This Row],[Table.Column]],ColumnMapping[Old Table.Column],1,)</f>
        <v>BDNDETL.TH_SCVU</v>
      </c>
    </row>
    <row r="156" spans="1:17" hidden="1" x14ac:dyDescent="0.2">
      <c r="A156" s="4" t="s">
        <v>2142</v>
      </c>
      <c r="B156" s="4">
        <v>0</v>
      </c>
      <c r="C156" s="4" t="s">
        <v>2142</v>
      </c>
      <c r="D156" s="4" t="s">
        <v>2155</v>
      </c>
      <c r="E156" s="4" t="s">
        <v>86</v>
      </c>
      <c r="F156" s="4">
        <v>10</v>
      </c>
      <c r="G156" s="4">
        <v>0</v>
      </c>
      <c r="H156" s="4">
        <v>0</v>
      </c>
      <c r="K156" s="4">
        <v>0</v>
      </c>
      <c r="N156" s="4">
        <v>0</v>
      </c>
      <c r="O156" s="4">
        <v>0</v>
      </c>
      <c r="P156" s="4" t="str">
        <f t="shared" si="2"/>
        <v>BDNDETL.TH_SPF_TL</v>
      </c>
      <c r="Q156" s="4" t="str">
        <f>VLOOKUP(Cobra8.6[[#This Row],[Table.Column]],ColumnMapping[Old Table.Column],1,)</f>
        <v>BDNDETL.TH_SPF_TL</v>
      </c>
    </row>
    <row r="157" spans="1:17" hidden="1" x14ac:dyDescent="0.2">
      <c r="A157" s="4" t="s">
        <v>2142</v>
      </c>
      <c r="B157" s="4">
        <v>0</v>
      </c>
      <c r="C157" s="4" t="s">
        <v>2142</v>
      </c>
      <c r="D157" s="4" t="s">
        <v>1584</v>
      </c>
      <c r="E157" s="4" t="s">
        <v>2124</v>
      </c>
      <c r="F157" s="4">
        <v>21</v>
      </c>
      <c r="G157" s="4">
        <v>6</v>
      </c>
      <c r="H157" s="4">
        <v>0</v>
      </c>
      <c r="K157" s="4">
        <v>0</v>
      </c>
      <c r="N157" s="4">
        <v>0</v>
      </c>
      <c r="O157" s="4">
        <v>0</v>
      </c>
      <c r="P157" s="4" t="str">
        <f t="shared" si="2"/>
        <v>BDNDETL.TH_SPPF</v>
      </c>
      <c r="Q157" s="4" t="str">
        <f>VLOOKUP(Cobra8.6[[#This Row],[Table.Column]],ColumnMapping[Old Table.Column],1,)</f>
        <v>BDNDETL.TH_SPPF</v>
      </c>
    </row>
    <row r="158" spans="1:17" hidden="1" x14ac:dyDescent="0.2">
      <c r="A158" s="4" t="s">
        <v>2142</v>
      </c>
      <c r="B158" s="4">
        <v>0</v>
      </c>
      <c r="C158" s="4" t="s">
        <v>2142</v>
      </c>
      <c r="D158" s="4" t="s">
        <v>1586</v>
      </c>
      <c r="E158" s="4" t="s">
        <v>2124</v>
      </c>
      <c r="F158" s="4">
        <v>21</v>
      </c>
      <c r="G158" s="4">
        <v>6</v>
      </c>
      <c r="H158" s="4">
        <v>0</v>
      </c>
      <c r="K158" s="4">
        <v>0</v>
      </c>
      <c r="N158" s="4">
        <v>0</v>
      </c>
      <c r="O158" s="4">
        <v>0</v>
      </c>
      <c r="P158" s="4" t="str">
        <f t="shared" si="2"/>
        <v>BDNDETL.TH_SPPU</v>
      </c>
      <c r="Q158" s="4" t="str">
        <f>VLOOKUP(Cobra8.6[[#This Row],[Table.Column]],ColumnMapping[Old Table.Column],1,)</f>
        <v>BDNDETL.TH_SPPU</v>
      </c>
    </row>
    <row r="159" spans="1:17" hidden="1" x14ac:dyDescent="0.2">
      <c r="A159" s="4" t="s">
        <v>2142</v>
      </c>
      <c r="B159" s="4">
        <v>0</v>
      </c>
      <c r="C159" s="4" t="s">
        <v>2142</v>
      </c>
      <c r="D159" s="4" t="s">
        <v>2156</v>
      </c>
      <c r="E159" s="4" t="s">
        <v>86</v>
      </c>
      <c r="F159" s="4">
        <v>10</v>
      </c>
      <c r="G159" s="4">
        <v>0</v>
      </c>
      <c r="H159" s="4">
        <v>0</v>
      </c>
      <c r="K159" s="4">
        <v>0</v>
      </c>
      <c r="N159" s="4">
        <v>0</v>
      </c>
      <c r="O159" s="4">
        <v>0</v>
      </c>
      <c r="P159" s="4" t="str">
        <f t="shared" si="2"/>
        <v>BDNDETL.TH_SPU_TL</v>
      </c>
      <c r="Q159" s="4" t="str">
        <f>VLOOKUP(Cobra8.6[[#This Row],[Table.Column]],ColumnMapping[Old Table.Column],1,)</f>
        <v>BDNDETL.TH_SPU_TL</v>
      </c>
    </row>
    <row r="160" spans="1:17" hidden="1" x14ac:dyDescent="0.2">
      <c r="A160" s="4" t="s">
        <v>2142</v>
      </c>
      <c r="B160" s="4">
        <v>0</v>
      </c>
      <c r="C160" s="4" t="s">
        <v>2142</v>
      </c>
      <c r="D160" s="4" t="s">
        <v>1588</v>
      </c>
      <c r="E160" s="4" t="s">
        <v>2124</v>
      </c>
      <c r="F160" s="4">
        <v>21</v>
      </c>
      <c r="G160" s="4">
        <v>6</v>
      </c>
      <c r="H160" s="4">
        <v>0</v>
      </c>
      <c r="K160" s="4">
        <v>0</v>
      </c>
      <c r="N160" s="4">
        <v>0</v>
      </c>
      <c r="O160" s="4">
        <v>0</v>
      </c>
      <c r="P160" s="4" t="str">
        <f t="shared" si="2"/>
        <v>BDNDETL.TH_SPVF</v>
      </c>
      <c r="Q160" s="4" t="str">
        <f>VLOOKUP(Cobra8.6[[#This Row],[Table.Column]],ColumnMapping[Old Table.Column],1,)</f>
        <v>BDNDETL.TH_SPVF</v>
      </c>
    </row>
    <row r="161" spans="1:17" hidden="1" x14ac:dyDescent="0.2">
      <c r="A161" s="4" t="s">
        <v>2142</v>
      </c>
      <c r="B161" s="4">
        <v>0</v>
      </c>
      <c r="C161" s="4" t="s">
        <v>2142</v>
      </c>
      <c r="D161" s="4" t="s">
        <v>1590</v>
      </c>
      <c r="E161" s="4" t="s">
        <v>2124</v>
      </c>
      <c r="F161" s="4">
        <v>21</v>
      </c>
      <c r="G161" s="4">
        <v>6</v>
      </c>
      <c r="H161" s="4">
        <v>0</v>
      </c>
      <c r="K161" s="4">
        <v>0</v>
      </c>
      <c r="N161" s="4">
        <v>0</v>
      </c>
      <c r="O161" s="4">
        <v>0</v>
      </c>
      <c r="P161" s="4" t="str">
        <f t="shared" si="2"/>
        <v>BDNDETL.TH_SPVU</v>
      </c>
      <c r="Q161" s="4" t="str">
        <f>VLOOKUP(Cobra8.6[[#This Row],[Table.Column]],ColumnMapping[Old Table.Column],1,)</f>
        <v>BDNDETL.TH_SPVU</v>
      </c>
    </row>
    <row r="162" spans="1:17" hidden="1" x14ac:dyDescent="0.2">
      <c r="A162" s="4" t="s">
        <v>2142</v>
      </c>
      <c r="B162" s="4">
        <v>0</v>
      </c>
      <c r="C162" s="4" t="s">
        <v>2142</v>
      </c>
      <c r="D162" s="4" t="s">
        <v>2112</v>
      </c>
      <c r="E162" s="4" t="s">
        <v>86</v>
      </c>
      <c r="F162" s="4">
        <v>20</v>
      </c>
      <c r="G162" s="4">
        <v>0</v>
      </c>
      <c r="H162" s="4">
        <v>0</v>
      </c>
      <c r="K162" s="4">
        <v>0</v>
      </c>
      <c r="N162" s="4">
        <v>0</v>
      </c>
      <c r="O162" s="4">
        <v>0</v>
      </c>
      <c r="P162" s="4" t="str">
        <f t="shared" si="2"/>
        <v>BDNDETL.USR_ID</v>
      </c>
      <c r="Q162" s="4" t="str">
        <f>VLOOKUP(Cobra8.6[[#This Row],[Table.Column]],ColumnMapping[Old Table.Column],1,)</f>
        <v>BDNDETL.USR_ID</v>
      </c>
    </row>
    <row r="163" spans="1:17" hidden="1" x14ac:dyDescent="0.2">
      <c r="A163" s="4" t="s">
        <v>2157</v>
      </c>
      <c r="B163" s="4">
        <v>0</v>
      </c>
      <c r="C163" s="4" t="s">
        <v>2157</v>
      </c>
      <c r="D163" s="4" t="s">
        <v>2158</v>
      </c>
      <c r="E163" s="4" t="s">
        <v>86</v>
      </c>
      <c r="F163" s="4">
        <v>1</v>
      </c>
      <c r="G163" s="4">
        <v>0</v>
      </c>
      <c r="H163" s="4">
        <v>0</v>
      </c>
      <c r="K163" s="4">
        <v>0</v>
      </c>
      <c r="N163" s="4">
        <v>0</v>
      </c>
      <c r="O163" s="4">
        <v>0</v>
      </c>
      <c r="P163" s="4" t="str">
        <f t="shared" si="2"/>
        <v>BREAKDWN.BREAK_TYPE</v>
      </c>
      <c r="Q163" s="4" t="e">
        <f>VLOOKUP(Cobra8.6[[#This Row],[Table.Column]],ColumnMapping[Old Table.Column],1,)</f>
        <v>#N/A</v>
      </c>
    </row>
    <row r="164" spans="1:17" hidden="1" x14ac:dyDescent="0.2">
      <c r="A164" s="4" t="s">
        <v>2157</v>
      </c>
      <c r="B164" s="4">
        <v>0</v>
      </c>
      <c r="C164" s="4" t="s">
        <v>2157</v>
      </c>
      <c r="D164" s="4" t="s">
        <v>87</v>
      </c>
      <c r="E164" s="4" t="s">
        <v>86</v>
      </c>
      <c r="F164" s="4">
        <v>22</v>
      </c>
      <c r="G164" s="4">
        <v>0</v>
      </c>
      <c r="H164" s="4">
        <v>0</v>
      </c>
      <c r="K164" s="4">
        <v>0</v>
      </c>
      <c r="N164" s="4">
        <v>0</v>
      </c>
      <c r="O164" s="4">
        <v>0</v>
      </c>
      <c r="P164" s="4" t="str">
        <f t="shared" si="2"/>
        <v>BREAKDWN.BREAKFILE</v>
      </c>
      <c r="Q164" s="4" t="str">
        <f>VLOOKUP(Cobra8.6[[#This Row],[Table.Column]],ColumnMapping[Old Table.Column],1,)</f>
        <v>BREAKDWN.BREAKFILE</v>
      </c>
    </row>
    <row r="165" spans="1:17" hidden="1" x14ac:dyDescent="0.2">
      <c r="A165" s="4" t="s">
        <v>2157</v>
      </c>
      <c r="B165" s="4">
        <v>0</v>
      </c>
      <c r="C165" s="4" t="s">
        <v>2157</v>
      </c>
      <c r="D165" s="4" t="s">
        <v>155</v>
      </c>
      <c r="E165" s="4" t="s">
        <v>2108</v>
      </c>
      <c r="F165" s="4">
        <v>-1</v>
      </c>
      <c r="G165" s="4">
        <v>0</v>
      </c>
      <c r="H165" s="4">
        <v>0</v>
      </c>
      <c r="K165" s="4">
        <v>0</v>
      </c>
      <c r="N165" s="4">
        <v>0</v>
      </c>
      <c r="O165" s="4">
        <v>0</v>
      </c>
      <c r="P165" s="4" t="str">
        <f t="shared" si="2"/>
        <v>BREAKDWN.CODELENGTH</v>
      </c>
      <c r="Q165" s="4" t="str">
        <f>VLOOKUP(Cobra8.6[[#This Row],[Table.Column]],ColumnMapping[Old Table.Column],1,)</f>
        <v>BREAKDWN.CODELENGTH</v>
      </c>
    </row>
    <row r="166" spans="1:17" hidden="1" x14ac:dyDescent="0.2">
      <c r="A166" s="4" t="s">
        <v>2157</v>
      </c>
      <c r="B166" s="4">
        <v>0</v>
      </c>
      <c r="C166" s="4" t="s">
        <v>2157</v>
      </c>
      <c r="D166" s="4" t="s">
        <v>2111</v>
      </c>
      <c r="E166" s="4" t="s">
        <v>356</v>
      </c>
      <c r="F166" s="4">
        <v>-1</v>
      </c>
      <c r="G166" s="4">
        <v>0</v>
      </c>
      <c r="H166" s="4">
        <v>0</v>
      </c>
      <c r="K166" s="4">
        <v>0</v>
      </c>
      <c r="N166" s="4">
        <v>0</v>
      </c>
      <c r="O166" s="4">
        <v>0</v>
      </c>
      <c r="P166" s="4" t="str">
        <f t="shared" si="2"/>
        <v>BREAKDWN.LASTUPDATE</v>
      </c>
      <c r="Q166" s="4" t="str">
        <f>VLOOKUP(Cobra8.6[[#This Row],[Table.Column]],ColumnMapping[Old Table.Column],1,)</f>
        <v>BREAKDWN.LASTUPDATE</v>
      </c>
    </row>
    <row r="167" spans="1:17" hidden="1" x14ac:dyDescent="0.2">
      <c r="A167" s="4" t="s">
        <v>2157</v>
      </c>
      <c r="B167" s="4">
        <v>0</v>
      </c>
      <c r="C167" s="4" t="s">
        <v>2157</v>
      </c>
      <c r="D167" s="4" t="s">
        <v>115</v>
      </c>
      <c r="E167" s="4" t="s">
        <v>2108</v>
      </c>
      <c r="F167" s="4">
        <v>-1</v>
      </c>
      <c r="G167" s="4">
        <v>0</v>
      </c>
      <c r="H167" s="4">
        <v>0</v>
      </c>
      <c r="K167" s="4">
        <v>0</v>
      </c>
      <c r="N167" s="4">
        <v>0</v>
      </c>
      <c r="O167" s="4">
        <v>0</v>
      </c>
      <c r="P167" s="4" t="str">
        <f t="shared" si="2"/>
        <v>BREAKDWN.LEVEL1</v>
      </c>
      <c r="Q167" s="4" t="str">
        <f>VLOOKUP(Cobra8.6[[#This Row],[Table.Column]],ColumnMapping[Old Table.Column],1,)</f>
        <v>BREAKDWN.LEVEL1</v>
      </c>
    </row>
    <row r="168" spans="1:17" hidden="1" x14ac:dyDescent="0.2">
      <c r="A168" s="4" t="s">
        <v>2157</v>
      </c>
      <c r="B168" s="4">
        <v>0</v>
      </c>
      <c r="C168" s="4" t="s">
        <v>2157</v>
      </c>
      <c r="D168" s="4" t="s">
        <v>133</v>
      </c>
      <c r="E168" s="4" t="s">
        <v>2108</v>
      </c>
      <c r="F168" s="4">
        <v>-1</v>
      </c>
      <c r="G168" s="4">
        <v>0</v>
      </c>
      <c r="H168" s="4">
        <v>0</v>
      </c>
      <c r="K168" s="4">
        <v>0</v>
      </c>
      <c r="N168" s="4">
        <v>0</v>
      </c>
      <c r="O168" s="4">
        <v>0</v>
      </c>
      <c r="P168" s="4" t="str">
        <f t="shared" si="2"/>
        <v>BREAKDWN.LEVEL10</v>
      </c>
      <c r="Q168" s="4" t="str">
        <f>VLOOKUP(Cobra8.6[[#This Row],[Table.Column]],ColumnMapping[Old Table.Column],1,)</f>
        <v>BREAKDWN.LEVEL10</v>
      </c>
    </row>
    <row r="169" spans="1:17" hidden="1" x14ac:dyDescent="0.2">
      <c r="A169" s="4" t="s">
        <v>2157</v>
      </c>
      <c r="B169" s="4">
        <v>0</v>
      </c>
      <c r="C169" s="4" t="s">
        <v>2157</v>
      </c>
      <c r="D169" s="4" t="s">
        <v>135</v>
      </c>
      <c r="E169" s="4" t="s">
        <v>2108</v>
      </c>
      <c r="F169" s="4">
        <v>-1</v>
      </c>
      <c r="G169" s="4">
        <v>0</v>
      </c>
      <c r="H169" s="4">
        <v>0</v>
      </c>
      <c r="K169" s="4">
        <v>0</v>
      </c>
      <c r="N169" s="4">
        <v>0</v>
      </c>
      <c r="O169" s="4">
        <v>0</v>
      </c>
      <c r="P169" s="4" t="str">
        <f t="shared" si="2"/>
        <v>BREAKDWN.LEVEL11</v>
      </c>
      <c r="Q169" s="4" t="str">
        <f>VLOOKUP(Cobra8.6[[#This Row],[Table.Column]],ColumnMapping[Old Table.Column],1,)</f>
        <v>BREAKDWN.LEVEL11</v>
      </c>
    </row>
    <row r="170" spans="1:17" hidden="1" x14ac:dyDescent="0.2">
      <c r="A170" s="4" t="s">
        <v>2157</v>
      </c>
      <c r="B170" s="4">
        <v>0</v>
      </c>
      <c r="C170" s="4" t="s">
        <v>2157</v>
      </c>
      <c r="D170" s="4" t="s">
        <v>137</v>
      </c>
      <c r="E170" s="4" t="s">
        <v>2108</v>
      </c>
      <c r="F170" s="4">
        <v>-1</v>
      </c>
      <c r="G170" s="4">
        <v>0</v>
      </c>
      <c r="H170" s="4">
        <v>0</v>
      </c>
      <c r="K170" s="4">
        <v>0</v>
      </c>
      <c r="N170" s="4">
        <v>0</v>
      </c>
      <c r="O170" s="4">
        <v>0</v>
      </c>
      <c r="P170" s="4" t="str">
        <f t="shared" si="2"/>
        <v>BREAKDWN.LEVEL12</v>
      </c>
      <c r="Q170" s="4" t="str">
        <f>VLOOKUP(Cobra8.6[[#This Row],[Table.Column]],ColumnMapping[Old Table.Column],1,)</f>
        <v>BREAKDWN.LEVEL12</v>
      </c>
    </row>
    <row r="171" spans="1:17" hidden="1" x14ac:dyDescent="0.2">
      <c r="A171" s="4" t="s">
        <v>2157</v>
      </c>
      <c r="B171" s="4">
        <v>0</v>
      </c>
      <c r="C171" s="4" t="s">
        <v>2157</v>
      </c>
      <c r="D171" s="4" t="s">
        <v>139</v>
      </c>
      <c r="E171" s="4" t="s">
        <v>2108</v>
      </c>
      <c r="F171" s="4">
        <v>-1</v>
      </c>
      <c r="G171" s="4">
        <v>0</v>
      </c>
      <c r="H171" s="4">
        <v>0</v>
      </c>
      <c r="K171" s="4">
        <v>0</v>
      </c>
      <c r="N171" s="4">
        <v>0</v>
      </c>
      <c r="O171" s="4">
        <v>0</v>
      </c>
      <c r="P171" s="4" t="str">
        <f t="shared" si="2"/>
        <v>BREAKDWN.LEVEL13</v>
      </c>
      <c r="Q171" s="4" t="str">
        <f>VLOOKUP(Cobra8.6[[#This Row],[Table.Column]],ColumnMapping[Old Table.Column],1,)</f>
        <v>BREAKDWN.LEVEL13</v>
      </c>
    </row>
    <row r="172" spans="1:17" hidden="1" x14ac:dyDescent="0.2">
      <c r="A172" s="4" t="s">
        <v>2157</v>
      </c>
      <c r="B172" s="4">
        <v>0</v>
      </c>
      <c r="C172" s="4" t="s">
        <v>2157</v>
      </c>
      <c r="D172" s="4" t="s">
        <v>141</v>
      </c>
      <c r="E172" s="4" t="s">
        <v>2108</v>
      </c>
      <c r="F172" s="4">
        <v>-1</v>
      </c>
      <c r="G172" s="4">
        <v>0</v>
      </c>
      <c r="H172" s="4">
        <v>0</v>
      </c>
      <c r="K172" s="4">
        <v>0</v>
      </c>
      <c r="N172" s="4">
        <v>0</v>
      </c>
      <c r="O172" s="4">
        <v>0</v>
      </c>
      <c r="P172" s="4" t="str">
        <f t="shared" si="2"/>
        <v>BREAKDWN.LEVEL14</v>
      </c>
      <c r="Q172" s="4" t="str">
        <f>VLOOKUP(Cobra8.6[[#This Row],[Table.Column]],ColumnMapping[Old Table.Column],1,)</f>
        <v>BREAKDWN.LEVEL14</v>
      </c>
    </row>
    <row r="173" spans="1:17" hidden="1" x14ac:dyDescent="0.2">
      <c r="A173" s="4" t="s">
        <v>2157</v>
      </c>
      <c r="B173" s="4">
        <v>0</v>
      </c>
      <c r="C173" s="4" t="s">
        <v>2157</v>
      </c>
      <c r="D173" s="4" t="s">
        <v>143</v>
      </c>
      <c r="E173" s="4" t="s">
        <v>2108</v>
      </c>
      <c r="F173" s="4">
        <v>-1</v>
      </c>
      <c r="G173" s="4">
        <v>0</v>
      </c>
      <c r="H173" s="4">
        <v>0</v>
      </c>
      <c r="K173" s="4">
        <v>0</v>
      </c>
      <c r="N173" s="4">
        <v>0</v>
      </c>
      <c r="O173" s="4">
        <v>0</v>
      </c>
      <c r="P173" s="4" t="str">
        <f t="shared" si="2"/>
        <v>BREAKDWN.LEVEL15</v>
      </c>
      <c r="Q173" s="4" t="str">
        <f>VLOOKUP(Cobra8.6[[#This Row],[Table.Column]],ColumnMapping[Old Table.Column],1,)</f>
        <v>BREAKDWN.LEVEL15</v>
      </c>
    </row>
    <row r="174" spans="1:17" hidden="1" x14ac:dyDescent="0.2">
      <c r="A174" s="4" t="s">
        <v>2157</v>
      </c>
      <c r="B174" s="4">
        <v>0</v>
      </c>
      <c r="C174" s="4" t="s">
        <v>2157</v>
      </c>
      <c r="D174" s="4" t="s">
        <v>145</v>
      </c>
      <c r="E174" s="4" t="s">
        <v>2108</v>
      </c>
      <c r="F174" s="4">
        <v>-1</v>
      </c>
      <c r="G174" s="4">
        <v>0</v>
      </c>
      <c r="H174" s="4">
        <v>0</v>
      </c>
      <c r="K174" s="4">
        <v>0</v>
      </c>
      <c r="N174" s="4">
        <v>0</v>
      </c>
      <c r="O174" s="4">
        <v>0</v>
      </c>
      <c r="P174" s="4" t="str">
        <f t="shared" si="2"/>
        <v>BREAKDWN.LEVEL16</v>
      </c>
      <c r="Q174" s="4" t="str">
        <f>VLOOKUP(Cobra8.6[[#This Row],[Table.Column]],ColumnMapping[Old Table.Column],1,)</f>
        <v>BREAKDWN.LEVEL16</v>
      </c>
    </row>
    <row r="175" spans="1:17" hidden="1" x14ac:dyDescent="0.2">
      <c r="A175" s="4" t="s">
        <v>2157</v>
      </c>
      <c r="B175" s="4">
        <v>0</v>
      </c>
      <c r="C175" s="4" t="s">
        <v>2157</v>
      </c>
      <c r="D175" s="4" t="s">
        <v>147</v>
      </c>
      <c r="E175" s="4" t="s">
        <v>2108</v>
      </c>
      <c r="F175" s="4">
        <v>-1</v>
      </c>
      <c r="G175" s="4">
        <v>0</v>
      </c>
      <c r="H175" s="4">
        <v>0</v>
      </c>
      <c r="K175" s="4">
        <v>0</v>
      </c>
      <c r="N175" s="4">
        <v>0</v>
      </c>
      <c r="O175" s="4">
        <v>0</v>
      </c>
      <c r="P175" s="4" t="str">
        <f t="shared" si="2"/>
        <v>BREAKDWN.LEVEL17</v>
      </c>
      <c r="Q175" s="4" t="str">
        <f>VLOOKUP(Cobra8.6[[#This Row],[Table.Column]],ColumnMapping[Old Table.Column],1,)</f>
        <v>BREAKDWN.LEVEL17</v>
      </c>
    </row>
    <row r="176" spans="1:17" hidden="1" x14ac:dyDescent="0.2">
      <c r="A176" s="4" t="s">
        <v>2157</v>
      </c>
      <c r="B176" s="4">
        <v>0</v>
      </c>
      <c r="C176" s="4" t="s">
        <v>2157</v>
      </c>
      <c r="D176" s="4" t="s">
        <v>149</v>
      </c>
      <c r="E176" s="4" t="s">
        <v>2108</v>
      </c>
      <c r="F176" s="4">
        <v>-1</v>
      </c>
      <c r="G176" s="4">
        <v>0</v>
      </c>
      <c r="H176" s="4">
        <v>0</v>
      </c>
      <c r="K176" s="4">
        <v>0</v>
      </c>
      <c r="N176" s="4">
        <v>0</v>
      </c>
      <c r="O176" s="4">
        <v>0</v>
      </c>
      <c r="P176" s="4" t="str">
        <f t="shared" si="2"/>
        <v>BREAKDWN.LEVEL18</v>
      </c>
      <c r="Q176" s="4" t="str">
        <f>VLOOKUP(Cobra8.6[[#This Row],[Table.Column]],ColumnMapping[Old Table.Column],1,)</f>
        <v>BREAKDWN.LEVEL18</v>
      </c>
    </row>
    <row r="177" spans="1:17" hidden="1" x14ac:dyDescent="0.2">
      <c r="A177" s="4" t="s">
        <v>2157</v>
      </c>
      <c r="B177" s="4">
        <v>0</v>
      </c>
      <c r="C177" s="4" t="s">
        <v>2157</v>
      </c>
      <c r="D177" s="4" t="s">
        <v>151</v>
      </c>
      <c r="E177" s="4" t="s">
        <v>2108</v>
      </c>
      <c r="F177" s="4">
        <v>-1</v>
      </c>
      <c r="G177" s="4">
        <v>0</v>
      </c>
      <c r="H177" s="4">
        <v>0</v>
      </c>
      <c r="K177" s="4">
        <v>0</v>
      </c>
      <c r="N177" s="4">
        <v>0</v>
      </c>
      <c r="O177" s="4">
        <v>0</v>
      </c>
      <c r="P177" s="4" t="str">
        <f t="shared" si="2"/>
        <v>BREAKDWN.LEVEL19</v>
      </c>
      <c r="Q177" s="4" t="str">
        <f>VLOOKUP(Cobra8.6[[#This Row],[Table.Column]],ColumnMapping[Old Table.Column],1,)</f>
        <v>BREAKDWN.LEVEL19</v>
      </c>
    </row>
    <row r="178" spans="1:17" hidden="1" x14ac:dyDescent="0.2">
      <c r="A178" s="4" t="s">
        <v>2157</v>
      </c>
      <c r="B178" s="4">
        <v>0</v>
      </c>
      <c r="C178" s="4" t="s">
        <v>2157</v>
      </c>
      <c r="D178" s="4" t="s">
        <v>117</v>
      </c>
      <c r="E178" s="4" t="s">
        <v>2108</v>
      </c>
      <c r="F178" s="4">
        <v>-1</v>
      </c>
      <c r="G178" s="4">
        <v>0</v>
      </c>
      <c r="H178" s="4">
        <v>0</v>
      </c>
      <c r="K178" s="4">
        <v>0</v>
      </c>
      <c r="N178" s="4">
        <v>0</v>
      </c>
      <c r="O178" s="4">
        <v>0</v>
      </c>
      <c r="P178" s="4" t="str">
        <f t="shared" si="2"/>
        <v>BREAKDWN.LEVEL2</v>
      </c>
      <c r="Q178" s="4" t="str">
        <f>VLOOKUP(Cobra8.6[[#This Row],[Table.Column]],ColumnMapping[Old Table.Column],1,)</f>
        <v>BREAKDWN.LEVEL2</v>
      </c>
    </row>
    <row r="179" spans="1:17" hidden="1" x14ac:dyDescent="0.2">
      <c r="A179" s="4" t="s">
        <v>2157</v>
      </c>
      <c r="B179" s="4">
        <v>0</v>
      </c>
      <c r="C179" s="4" t="s">
        <v>2157</v>
      </c>
      <c r="D179" s="4" t="s">
        <v>153</v>
      </c>
      <c r="E179" s="4" t="s">
        <v>2108</v>
      </c>
      <c r="F179" s="4">
        <v>-1</v>
      </c>
      <c r="G179" s="4">
        <v>0</v>
      </c>
      <c r="H179" s="4">
        <v>0</v>
      </c>
      <c r="K179" s="4">
        <v>0</v>
      </c>
      <c r="N179" s="4">
        <v>0</v>
      </c>
      <c r="O179" s="4">
        <v>0</v>
      </c>
      <c r="P179" s="4" t="str">
        <f t="shared" si="2"/>
        <v>BREAKDWN.LEVEL20</v>
      </c>
      <c r="Q179" s="4" t="str">
        <f>VLOOKUP(Cobra8.6[[#This Row],[Table.Column]],ColumnMapping[Old Table.Column],1,)</f>
        <v>BREAKDWN.LEVEL20</v>
      </c>
    </row>
    <row r="180" spans="1:17" hidden="1" x14ac:dyDescent="0.2">
      <c r="A180" s="4" t="s">
        <v>2157</v>
      </c>
      <c r="B180" s="4">
        <v>0</v>
      </c>
      <c r="C180" s="4" t="s">
        <v>2157</v>
      </c>
      <c r="D180" s="4" t="s">
        <v>119</v>
      </c>
      <c r="E180" s="4" t="s">
        <v>2108</v>
      </c>
      <c r="F180" s="4">
        <v>-1</v>
      </c>
      <c r="G180" s="4">
        <v>0</v>
      </c>
      <c r="H180" s="4">
        <v>0</v>
      </c>
      <c r="K180" s="4">
        <v>0</v>
      </c>
      <c r="N180" s="4">
        <v>0</v>
      </c>
      <c r="O180" s="4">
        <v>0</v>
      </c>
      <c r="P180" s="4" t="str">
        <f t="shared" si="2"/>
        <v>BREAKDWN.LEVEL3</v>
      </c>
      <c r="Q180" s="4" t="str">
        <f>VLOOKUP(Cobra8.6[[#This Row],[Table.Column]],ColumnMapping[Old Table.Column],1,)</f>
        <v>BREAKDWN.LEVEL3</v>
      </c>
    </row>
    <row r="181" spans="1:17" hidden="1" x14ac:dyDescent="0.2">
      <c r="A181" s="4" t="s">
        <v>2157</v>
      </c>
      <c r="B181" s="4">
        <v>0</v>
      </c>
      <c r="C181" s="4" t="s">
        <v>2157</v>
      </c>
      <c r="D181" s="4" t="s">
        <v>121</v>
      </c>
      <c r="E181" s="4" t="s">
        <v>2108</v>
      </c>
      <c r="F181" s="4">
        <v>-1</v>
      </c>
      <c r="G181" s="4">
        <v>0</v>
      </c>
      <c r="H181" s="4">
        <v>0</v>
      </c>
      <c r="K181" s="4">
        <v>0</v>
      </c>
      <c r="N181" s="4">
        <v>0</v>
      </c>
      <c r="O181" s="4">
        <v>0</v>
      </c>
      <c r="P181" s="4" t="str">
        <f t="shared" si="2"/>
        <v>BREAKDWN.LEVEL4</v>
      </c>
      <c r="Q181" s="4" t="str">
        <f>VLOOKUP(Cobra8.6[[#This Row],[Table.Column]],ColumnMapping[Old Table.Column],1,)</f>
        <v>BREAKDWN.LEVEL4</v>
      </c>
    </row>
    <row r="182" spans="1:17" hidden="1" x14ac:dyDescent="0.2">
      <c r="A182" s="4" t="s">
        <v>2157</v>
      </c>
      <c r="B182" s="4">
        <v>0</v>
      </c>
      <c r="C182" s="4" t="s">
        <v>2157</v>
      </c>
      <c r="D182" s="4" t="s">
        <v>123</v>
      </c>
      <c r="E182" s="4" t="s">
        <v>2108</v>
      </c>
      <c r="F182" s="4">
        <v>-1</v>
      </c>
      <c r="G182" s="4">
        <v>0</v>
      </c>
      <c r="H182" s="4">
        <v>0</v>
      </c>
      <c r="K182" s="4">
        <v>0</v>
      </c>
      <c r="N182" s="4">
        <v>0</v>
      </c>
      <c r="O182" s="4">
        <v>0</v>
      </c>
      <c r="P182" s="4" t="str">
        <f t="shared" si="2"/>
        <v>BREAKDWN.LEVEL5</v>
      </c>
      <c r="Q182" s="4" t="str">
        <f>VLOOKUP(Cobra8.6[[#This Row],[Table.Column]],ColumnMapping[Old Table.Column],1,)</f>
        <v>BREAKDWN.LEVEL5</v>
      </c>
    </row>
    <row r="183" spans="1:17" hidden="1" x14ac:dyDescent="0.2">
      <c r="A183" s="4" t="s">
        <v>2157</v>
      </c>
      <c r="B183" s="4">
        <v>0</v>
      </c>
      <c r="C183" s="4" t="s">
        <v>2157</v>
      </c>
      <c r="D183" s="4" t="s">
        <v>125</v>
      </c>
      <c r="E183" s="4" t="s">
        <v>2108</v>
      </c>
      <c r="F183" s="4">
        <v>-1</v>
      </c>
      <c r="G183" s="4">
        <v>0</v>
      </c>
      <c r="H183" s="4">
        <v>0</v>
      </c>
      <c r="K183" s="4">
        <v>0</v>
      </c>
      <c r="N183" s="4">
        <v>0</v>
      </c>
      <c r="O183" s="4">
        <v>0</v>
      </c>
      <c r="P183" s="4" t="str">
        <f t="shared" si="2"/>
        <v>BREAKDWN.LEVEL6</v>
      </c>
      <c r="Q183" s="4" t="str">
        <f>VLOOKUP(Cobra8.6[[#This Row],[Table.Column]],ColumnMapping[Old Table.Column],1,)</f>
        <v>BREAKDWN.LEVEL6</v>
      </c>
    </row>
    <row r="184" spans="1:17" hidden="1" x14ac:dyDescent="0.2">
      <c r="A184" s="4" t="s">
        <v>2157</v>
      </c>
      <c r="B184" s="4">
        <v>0</v>
      </c>
      <c r="C184" s="4" t="s">
        <v>2157</v>
      </c>
      <c r="D184" s="4" t="s">
        <v>127</v>
      </c>
      <c r="E184" s="4" t="s">
        <v>2108</v>
      </c>
      <c r="F184" s="4">
        <v>-1</v>
      </c>
      <c r="G184" s="4">
        <v>0</v>
      </c>
      <c r="H184" s="4">
        <v>0</v>
      </c>
      <c r="K184" s="4">
        <v>0</v>
      </c>
      <c r="N184" s="4">
        <v>0</v>
      </c>
      <c r="O184" s="4">
        <v>0</v>
      </c>
      <c r="P184" s="4" t="str">
        <f t="shared" si="2"/>
        <v>BREAKDWN.LEVEL7</v>
      </c>
      <c r="Q184" s="4" t="str">
        <f>VLOOKUP(Cobra8.6[[#This Row],[Table.Column]],ColumnMapping[Old Table.Column],1,)</f>
        <v>BREAKDWN.LEVEL7</v>
      </c>
    </row>
    <row r="185" spans="1:17" hidden="1" x14ac:dyDescent="0.2">
      <c r="A185" s="4" t="s">
        <v>2157</v>
      </c>
      <c r="B185" s="4">
        <v>0</v>
      </c>
      <c r="C185" s="4" t="s">
        <v>2157</v>
      </c>
      <c r="D185" s="4" t="s">
        <v>129</v>
      </c>
      <c r="E185" s="4" t="s">
        <v>2108</v>
      </c>
      <c r="F185" s="4">
        <v>-1</v>
      </c>
      <c r="G185" s="4">
        <v>0</v>
      </c>
      <c r="H185" s="4">
        <v>0</v>
      </c>
      <c r="K185" s="4">
        <v>0</v>
      </c>
      <c r="N185" s="4">
        <v>0</v>
      </c>
      <c r="O185" s="4">
        <v>0</v>
      </c>
      <c r="P185" s="4" t="str">
        <f t="shared" si="2"/>
        <v>BREAKDWN.LEVEL8</v>
      </c>
      <c r="Q185" s="4" t="str">
        <f>VLOOKUP(Cobra8.6[[#This Row],[Table.Column]],ColumnMapping[Old Table.Column],1,)</f>
        <v>BREAKDWN.LEVEL8</v>
      </c>
    </row>
    <row r="186" spans="1:17" hidden="1" x14ac:dyDescent="0.2">
      <c r="A186" s="4" t="s">
        <v>2157</v>
      </c>
      <c r="B186" s="4">
        <v>0</v>
      </c>
      <c r="C186" s="4" t="s">
        <v>2157</v>
      </c>
      <c r="D186" s="4" t="s">
        <v>131</v>
      </c>
      <c r="E186" s="4" t="s">
        <v>2108</v>
      </c>
      <c r="F186" s="4">
        <v>-1</v>
      </c>
      <c r="G186" s="4">
        <v>0</v>
      </c>
      <c r="H186" s="4">
        <v>0</v>
      </c>
      <c r="K186" s="4">
        <v>0</v>
      </c>
      <c r="N186" s="4">
        <v>0</v>
      </c>
      <c r="O186" s="4">
        <v>0</v>
      </c>
      <c r="P186" s="4" t="str">
        <f t="shared" si="2"/>
        <v>BREAKDWN.LEVEL9</v>
      </c>
      <c r="Q186" s="4" t="str">
        <f>VLOOKUP(Cobra8.6[[#This Row],[Table.Column]],ColumnMapping[Old Table.Column],1,)</f>
        <v>BREAKDWN.LEVEL9</v>
      </c>
    </row>
    <row r="187" spans="1:17" hidden="1" x14ac:dyDescent="0.2">
      <c r="A187" s="4" t="s">
        <v>2157</v>
      </c>
      <c r="B187" s="4">
        <v>0</v>
      </c>
      <c r="C187" s="4" t="s">
        <v>2157</v>
      </c>
      <c r="D187" s="4" t="s">
        <v>113</v>
      </c>
      <c r="E187" s="4" t="s">
        <v>2108</v>
      </c>
      <c r="F187" s="4">
        <v>-1</v>
      </c>
      <c r="G187" s="4">
        <v>0</v>
      </c>
      <c r="H187" s="4">
        <v>0</v>
      </c>
      <c r="K187" s="4">
        <v>0</v>
      </c>
      <c r="N187" s="4">
        <v>0</v>
      </c>
      <c r="O187" s="4">
        <v>0</v>
      </c>
      <c r="P187" s="4" t="str">
        <f t="shared" si="2"/>
        <v>BREAKDWN.MAX_LEVEL</v>
      </c>
      <c r="Q187" s="4" t="str">
        <f>VLOOKUP(Cobra8.6[[#This Row],[Table.Column]],ColumnMapping[Old Table.Column],1,)</f>
        <v>BREAKDWN.MAX_LEVEL</v>
      </c>
    </row>
    <row r="188" spans="1:17" hidden="1" x14ac:dyDescent="0.2">
      <c r="A188" s="4" t="s">
        <v>2157</v>
      </c>
      <c r="B188" s="4">
        <v>0</v>
      </c>
      <c r="C188" s="4" t="s">
        <v>2157</v>
      </c>
      <c r="D188" s="4" t="s">
        <v>111</v>
      </c>
      <c r="E188" s="4" t="s">
        <v>86</v>
      </c>
      <c r="F188" s="4">
        <v>1</v>
      </c>
      <c r="G188" s="4">
        <v>0</v>
      </c>
      <c r="H188" s="4">
        <v>0</v>
      </c>
      <c r="K188" s="4">
        <v>0</v>
      </c>
      <c r="N188" s="4">
        <v>0</v>
      </c>
      <c r="O188" s="4">
        <v>0</v>
      </c>
      <c r="P188" s="4" t="str">
        <f t="shared" si="2"/>
        <v>BREAKDWN.PAD_CHAR</v>
      </c>
      <c r="Q188" s="4" t="str">
        <f>VLOOKUP(Cobra8.6[[#This Row],[Table.Column]],ColumnMapping[Old Table.Column],1,)</f>
        <v>BREAKDWN.PAD_CHAR</v>
      </c>
    </row>
    <row r="189" spans="1:17" hidden="1" x14ac:dyDescent="0.2">
      <c r="A189" s="4" t="s">
        <v>2157</v>
      </c>
      <c r="B189" s="4">
        <v>0</v>
      </c>
      <c r="C189" s="4" t="s">
        <v>2157</v>
      </c>
      <c r="D189" s="4" t="s">
        <v>35</v>
      </c>
      <c r="E189" s="4" t="s">
        <v>2108</v>
      </c>
      <c r="F189" s="4">
        <v>-1</v>
      </c>
      <c r="G189" s="4">
        <v>0</v>
      </c>
      <c r="H189" s="4">
        <v>0</v>
      </c>
      <c r="K189" s="4">
        <v>0</v>
      </c>
      <c r="N189" s="4">
        <v>0</v>
      </c>
      <c r="O189" s="4">
        <v>0</v>
      </c>
      <c r="P189" s="4" t="str">
        <f t="shared" si="2"/>
        <v>BREAKDWN.SEQUENCE</v>
      </c>
      <c r="Q189" s="4" t="str">
        <f>VLOOKUP(Cobra8.6[[#This Row],[Table.Column]],ColumnMapping[Old Table.Column],1,)</f>
        <v>BREAKDWN.SEQUENCE</v>
      </c>
    </row>
    <row r="190" spans="1:17" hidden="1" x14ac:dyDescent="0.2">
      <c r="A190" s="4" t="s">
        <v>2157</v>
      </c>
      <c r="B190" s="4">
        <v>0</v>
      </c>
      <c r="C190" s="4" t="s">
        <v>2157</v>
      </c>
      <c r="D190" s="4" t="s">
        <v>93</v>
      </c>
      <c r="E190" s="4" t="s">
        <v>86</v>
      </c>
      <c r="F190" s="4">
        <v>10</v>
      </c>
      <c r="G190" s="4">
        <v>0</v>
      </c>
      <c r="H190" s="4">
        <v>0</v>
      </c>
      <c r="K190" s="4">
        <v>0</v>
      </c>
      <c r="N190" s="4">
        <v>0</v>
      </c>
      <c r="O190" s="4">
        <v>0</v>
      </c>
      <c r="P190" s="4" t="str">
        <f t="shared" si="2"/>
        <v>BREAKDWN.TH_FLAGS</v>
      </c>
      <c r="Q190" s="4" t="str">
        <f>VLOOKUP(Cobra8.6[[#This Row],[Table.Column]],ColumnMapping[Old Table.Column],1,)</f>
        <v>BREAKDWN.TH_FLAGS</v>
      </c>
    </row>
    <row r="191" spans="1:17" hidden="1" x14ac:dyDescent="0.2">
      <c r="A191" s="4" t="s">
        <v>2157</v>
      </c>
      <c r="B191" s="4">
        <v>0</v>
      </c>
      <c r="C191" s="4" t="s">
        <v>2157</v>
      </c>
      <c r="D191" s="4" t="s">
        <v>2112</v>
      </c>
      <c r="E191" s="4" t="s">
        <v>86</v>
      </c>
      <c r="F191" s="4">
        <v>20</v>
      </c>
      <c r="G191" s="4">
        <v>0</v>
      </c>
      <c r="H191" s="4">
        <v>0</v>
      </c>
      <c r="K191" s="4">
        <v>0</v>
      </c>
      <c r="N191" s="4">
        <v>0</v>
      </c>
      <c r="O191" s="4">
        <v>0</v>
      </c>
      <c r="P191" s="4" t="str">
        <f t="shared" si="2"/>
        <v>BREAKDWN.USR_ID</v>
      </c>
      <c r="Q191" s="4" t="str">
        <f>VLOOKUP(Cobra8.6[[#This Row],[Table.Column]],ColumnMapping[Old Table.Column],1,)</f>
        <v>BREAKDWN.USR_ID</v>
      </c>
    </row>
    <row r="192" spans="1:17" hidden="1" x14ac:dyDescent="0.2">
      <c r="A192" s="4" t="s">
        <v>2159</v>
      </c>
      <c r="B192" s="4">
        <v>0</v>
      </c>
      <c r="C192" s="4" t="s">
        <v>2159</v>
      </c>
      <c r="D192" s="4" t="s">
        <v>1501</v>
      </c>
      <c r="E192" s="4" t="s">
        <v>86</v>
      </c>
      <c r="F192" s="4">
        <v>22</v>
      </c>
      <c r="G192" s="4">
        <v>0</v>
      </c>
      <c r="H192" s="4">
        <v>0</v>
      </c>
      <c r="K192" s="4">
        <v>0</v>
      </c>
      <c r="N192" s="4">
        <v>0</v>
      </c>
      <c r="O192" s="4">
        <v>0</v>
      </c>
      <c r="P192" s="4" t="str">
        <f t="shared" si="2"/>
        <v>CALC.CALCFILE</v>
      </c>
      <c r="Q192" s="4" t="str">
        <f>VLOOKUP(Cobra8.6[[#This Row],[Table.Column]],ColumnMapping[Old Table.Column],1,)</f>
        <v>CALC.CALCFILE</v>
      </c>
    </row>
    <row r="193" spans="1:17" hidden="1" x14ac:dyDescent="0.2">
      <c r="A193" s="4" t="s">
        <v>2159</v>
      </c>
      <c r="B193" s="4">
        <v>0</v>
      </c>
      <c r="C193" s="4" t="s">
        <v>2159</v>
      </c>
      <c r="D193" s="4" t="s">
        <v>90</v>
      </c>
      <c r="E193" s="4" t="s">
        <v>86</v>
      </c>
      <c r="F193" s="4">
        <v>1</v>
      </c>
      <c r="G193" s="4">
        <v>0</v>
      </c>
      <c r="H193" s="4">
        <v>0</v>
      </c>
      <c r="K193" s="4">
        <v>0</v>
      </c>
      <c r="N193" s="4">
        <v>0</v>
      </c>
      <c r="O193" s="4">
        <v>0</v>
      </c>
      <c r="P193" s="4" t="str">
        <f t="shared" si="2"/>
        <v>CALC.CODE_TYPE</v>
      </c>
      <c r="Q193" s="4" t="str">
        <f>VLOOKUP(Cobra8.6[[#This Row],[Table.Column]],ColumnMapping[Old Table.Column],1,)</f>
        <v>CALC.CODE_TYPE</v>
      </c>
    </row>
    <row r="194" spans="1:17" hidden="1" x14ac:dyDescent="0.2">
      <c r="A194" s="4" t="s">
        <v>2159</v>
      </c>
      <c r="B194" s="4">
        <v>0</v>
      </c>
      <c r="C194" s="4" t="s">
        <v>2159</v>
      </c>
      <c r="D194" s="4" t="s">
        <v>155</v>
      </c>
      <c r="E194" s="4" t="s">
        <v>2108</v>
      </c>
      <c r="F194" s="4">
        <v>-1</v>
      </c>
      <c r="G194" s="4">
        <v>0</v>
      </c>
      <c r="H194" s="4">
        <v>0</v>
      </c>
      <c r="K194" s="4">
        <v>0</v>
      </c>
      <c r="N194" s="4">
        <v>0</v>
      </c>
      <c r="O194" s="4">
        <v>0</v>
      </c>
      <c r="P194" s="4" t="str">
        <f t="shared" ref="P194:P257" si="3">_xlfn.CONCAT(A194,".",D194)</f>
        <v>CALC.CODELENGTH</v>
      </c>
      <c r="Q194" s="4" t="str">
        <f>VLOOKUP(Cobra8.6[[#This Row],[Table.Column]],ColumnMapping[Old Table.Column],1,)</f>
        <v>CALC.CODELENGTH</v>
      </c>
    </row>
    <row r="195" spans="1:17" hidden="1" x14ac:dyDescent="0.2">
      <c r="A195" s="4" t="s">
        <v>2159</v>
      </c>
      <c r="B195" s="4">
        <v>0</v>
      </c>
      <c r="C195" s="4" t="s">
        <v>2159</v>
      </c>
      <c r="D195" s="4" t="s">
        <v>2111</v>
      </c>
      <c r="E195" s="4" t="s">
        <v>356</v>
      </c>
      <c r="F195" s="4">
        <v>-1</v>
      </c>
      <c r="G195" s="4">
        <v>0</v>
      </c>
      <c r="H195" s="4">
        <v>0</v>
      </c>
      <c r="K195" s="4">
        <v>0</v>
      </c>
      <c r="N195" s="4">
        <v>0</v>
      </c>
      <c r="O195" s="4">
        <v>0</v>
      </c>
      <c r="P195" s="4" t="str">
        <f t="shared" si="3"/>
        <v>CALC.LASTUPDATE</v>
      </c>
      <c r="Q195" s="4" t="str">
        <f>VLOOKUP(Cobra8.6[[#This Row],[Table.Column]],ColumnMapping[Old Table.Column],1,)</f>
        <v>CALC.LASTUPDATE</v>
      </c>
    </row>
    <row r="196" spans="1:17" hidden="1" x14ac:dyDescent="0.2">
      <c r="A196" s="4" t="s">
        <v>2159</v>
      </c>
      <c r="B196" s="4">
        <v>0</v>
      </c>
      <c r="C196" s="4" t="s">
        <v>2159</v>
      </c>
      <c r="D196" s="4" t="s">
        <v>115</v>
      </c>
      <c r="E196" s="4" t="s">
        <v>2108</v>
      </c>
      <c r="F196" s="4">
        <v>-1</v>
      </c>
      <c r="G196" s="4">
        <v>0</v>
      </c>
      <c r="H196" s="4">
        <v>0</v>
      </c>
      <c r="K196" s="4">
        <v>0</v>
      </c>
      <c r="N196" s="4">
        <v>0</v>
      </c>
      <c r="O196" s="4">
        <v>0</v>
      </c>
      <c r="P196" s="4" t="str">
        <f t="shared" si="3"/>
        <v>CALC.LEVEL1</v>
      </c>
      <c r="Q196" s="4" t="str">
        <f>VLOOKUP(Cobra8.6[[#This Row],[Table.Column]],ColumnMapping[Old Table.Column],1,)</f>
        <v>CALC.LEVEL1</v>
      </c>
    </row>
    <row r="197" spans="1:17" hidden="1" x14ac:dyDescent="0.2">
      <c r="A197" s="4" t="s">
        <v>2159</v>
      </c>
      <c r="B197" s="4">
        <v>0</v>
      </c>
      <c r="C197" s="4" t="s">
        <v>2159</v>
      </c>
      <c r="D197" s="4" t="s">
        <v>133</v>
      </c>
      <c r="E197" s="4" t="s">
        <v>2108</v>
      </c>
      <c r="F197" s="4">
        <v>-1</v>
      </c>
      <c r="G197" s="4">
        <v>0</v>
      </c>
      <c r="H197" s="4">
        <v>0</v>
      </c>
      <c r="K197" s="4">
        <v>0</v>
      </c>
      <c r="N197" s="4">
        <v>0</v>
      </c>
      <c r="O197" s="4">
        <v>0</v>
      </c>
      <c r="P197" s="4" t="str">
        <f t="shared" si="3"/>
        <v>CALC.LEVEL10</v>
      </c>
      <c r="Q197" s="4" t="str">
        <f>VLOOKUP(Cobra8.6[[#This Row],[Table.Column]],ColumnMapping[Old Table.Column],1,)</f>
        <v>CALC.LEVEL10</v>
      </c>
    </row>
    <row r="198" spans="1:17" hidden="1" x14ac:dyDescent="0.2">
      <c r="A198" s="4" t="s">
        <v>2159</v>
      </c>
      <c r="B198" s="4">
        <v>0</v>
      </c>
      <c r="C198" s="4" t="s">
        <v>2159</v>
      </c>
      <c r="D198" s="4" t="s">
        <v>135</v>
      </c>
      <c r="E198" s="4" t="s">
        <v>2108</v>
      </c>
      <c r="F198" s="4">
        <v>-1</v>
      </c>
      <c r="G198" s="4">
        <v>0</v>
      </c>
      <c r="H198" s="4">
        <v>0</v>
      </c>
      <c r="K198" s="4">
        <v>0</v>
      </c>
      <c r="N198" s="4">
        <v>0</v>
      </c>
      <c r="O198" s="4">
        <v>0</v>
      </c>
      <c r="P198" s="4" t="str">
        <f t="shared" si="3"/>
        <v>CALC.LEVEL11</v>
      </c>
      <c r="Q198" s="4" t="str">
        <f>VLOOKUP(Cobra8.6[[#This Row],[Table.Column]],ColumnMapping[Old Table.Column],1,)</f>
        <v>CALC.LEVEL11</v>
      </c>
    </row>
    <row r="199" spans="1:17" hidden="1" x14ac:dyDescent="0.2">
      <c r="A199" s="4" t="s">
        <v>2159</v>
      </c>
      <c r="B199" s="4">
        <v>0</v>
      </c>
      <c r="C199" s="4" t="s">
        <v>2159</v>
      </c>
      <c r="D199" s="4" t="s">
        <v>137</v>
      </c>
      <c r="E199" s="4" t="s">
        <v>2108</v>
      </c>
      <c r="F199" s="4">
        <v>-1</v>
      </c>
      <c r="G199" s="4">
        <v>0</v>
      </c>
      <c r="H199" s="4">
        <v>0</v>
      </c>
      <c r="K199" s="4">
        <v>0</v>
      </c>
      <c r="N199" s="4">
        <v>0</v>
      </c>
      <c r="O199" s="4">
        <v>0</v>
      </c>
      <c r="P199" s="4" t="str">
        <f t="shared" si="3"/>
        <v>CALC.LEVEL12</v>
      </c>
      <c r="Q199" s="4" t="str">
        <f>VLOOKUP(Cobra8.6[[#This Row],[Table.Column]],ColumnMapping[Old Table.Column],1,)</f>
        <v>CALC.LEVEL12</v>
      </c>
    </row>
    <row r="200" spans="1:17" hidden="1" x14ac:dyDescent="0.2">
      <c r="A200" s="4" t="s">
        <v>2159</v>
      </c>
      <c r="B200" s="4">
        <v>0</v>
      </c>
      <c r="C200" s="4" t="s">
        <v>2159</v>
      </c>
      <c r="D200" s="4" t="s">
        <v>139</v>
      </c>
      <c r="E200" s="4" t="s">
        <v>2108</v>
      </c>
      <c r="F200" s="4">
        <v>-1</v>
      </c>
      <c r="G200" s="4">
        <v>0</v>
      </c>
      <c r="H200" s="4">
        <v>0</v>
      </c>
      <c r="K200" s="4">
        <v>0</v>
      </c>
      <c r="N200" s="4">
        <v>0</v>
      </c>
      <c r="O200" s="4">
        <v>0</v>
      </c>
      <c r="P200" s="4" t="str">
        <f t="shared" si="3"/>
        <v>CALC.LEVEL13</v>
      </c>
      <c r="Q200" s="4" t="str">
        <f>VLOOKUP(Cobra8.6[[#This Row],[Table.Column]],ColumnMapping[Old Table.Column],1,)</f>
        <v>CALC.LEVEL13</v>
      </c>
    </row>
    <row r="201" spans="1:17" hidden="1" x14ac:dyDescent="0.2">
      <c r="A201" s="4" t="s">
        <v>2159</v>
      </c>
      <c r="B201" s="4">
        <v>0</v>
      </c>
      <c r="C201" s="4" t="s">
        <v>2159</v>
      </c>
      <c r="D201" s="4" t="s">
        <v>141</v>
      </c>
      <c r="E201" s="4" t="s">
        <v>2108</v>
      </c>
      <c r="F201" s="4">
        <v>-1</v>
      </c>
      <c r="G201" s="4">
        <v>0</v>
      </c>
      <c r="H201" s="4">
        <v>0</v>
      </c>
      <c r="K201" s="4">
        <v>0</v>
      </c>
      <c r="N201" s="4">
        <v>0</v>
      </c>
      <c r="O201" s="4">
        <v>0</v>
      </c>
      <c r="P201" s="4" t="str">
        <f t="shared" si="3"/>
        <v>CALC.LEVEL14</v>
      </c>
      <c r="Q201" s="4" t="str">
        <f>VLOOKUP(Cobra8.6[[#This Row],[Table.Column]],ColumnMapping[Old Table.Column],1,)</f>
        <v>CALC.LEVEL14</v>
      </c>
    </row>
    <row r="202" spans="1:17" hidden="1" x14ac:dyDescent="0.2">
      <c r="A202" s="4" t="s">
        <v>2159</v>
      </c>
      <c r="B202" s="4">
        <v>0</v>
      </c>
      <c r="C202" s="4" t="s">
        <v>2159</v>
      </c>
      <c r="D202" s="4" t="s">
        <v>143</v>
      </c>
      <c r="E202" s="4" t="s">
        <v>2108</v>
      </c>
      <c r="F202" s="4">
        <v>-1</v>
      </c>
      <c r="G202" s="4">
        <v>0</v>
      </c>
      <c r="H202" s="4">
        <v>0</v>
      </c>
      <c r="K202" s="4">
        <v>0</v>
      </c>
      <c r="N202" s="4">
        <v>0</v>
      </c>
      <c r="O202" s="4">
        <v>0</v>
      </c>
      <c r="P202" s="4" t="str">
        <f t="shared" si="3"/>
        <v>CALC.LEVEL15</v>
      </c>
      <c r="Q202" s="4" t="str">
        <f>VLOOKUP(Cobra8.6[[#This Row],[Table.Column]],ColumnMapping[Old Table.Column],1,)</f>
        <v>CALC.LEVEL15</v>
      </c>
    </row>
    <row r="203" spans="1:17" hidden="1" x14ac:dyDescent="0.2">
      <c r="A203" s="4" t="s">
        <v>2159</v>
      </c>
      <c r="B203" s="4">
        <v>0</v>
      </c>
      <c r="C203" s="4" t="s">
        <v>2159</v>
      </c>
      <c r="D203" s="4" t="s">
        <v>145</v>
      </c>
      <c r="E203" s="4" t="s">
        <v>2108</v>
      </c>
      <c r="F203" s="4">
        <v>-1</v>
      </c>
      <c r="G203" s="4">
        <v>0</v>
      </c>
      <c r="H203" s="4">
        <v>0</v>
      </c>
      <c r="K203" s="4">
        <v>0</v>
      </c>
      <c r="N203" s="4">
        <v>0</v>
      </c>
      <c r="O203" s="4">
        <v>0</v>
      </c>
      <c r="P203" s="4" t="str">
        <f t="shared" si="3"/>
        <v>CALC.LEVEL16</v>
      </c>
      <c r="Q203" s="4" t="str">
        <f>VLOOKUP(Cobra8.6[[#This Row],[Table.Column]],ColumnMapping[Old Table.Column],1,)</f>
        <v>CALC.LEVEL16</v>
      </c>
    </row>
    <row r="204" spans="1:17" hidden="1" x14ac:dyDescent="0.2">
      <c r="A204" s="4" t="s">
        <v>2159</v>
      </c>
      <c r="B204" s="4">
        <v>0</v>
      </c>
      <c r="C204" s="4" t="s">
        <v>2159</v>
      </c>
      <c r="D204" s="4" t="s">
        <v>147</v>
      </c>
      <c r="E204" s="4" t="s">
        <v>2108</v>
      </c>
      <c r="F204" s="4">
        <v>-1</v>
      </c>
      <c r="G204" s="4">
        <v>0</v>
      </c>
      <c r="H204" s="4">
        <v>0</v>
      </c>
      <c r="K204" s="4">
        <v>0</v>
      </c>
      <c r="N204" s="4">
        <v>0</v>
      </c>
      <c r="O204" s="4">
        <v>0</v>
      </c>
      <c r="P204" s="4" t="str">
        <f t="shared" si="3"/>
        <v>CALC.LEVEL17</v>
      </c>
      <c r="Q204" s="4" t="str">
        <f>VLOOKUP(Cobra8.6[[#This Row],[Table.Column]],ColumnMapping[Old Table.Column],1,)</f>
        <v>CALC.LEVEL17</v>
      </c>
    </row>
    <row r="205" spans="1:17" hidden="1" x14ac:dyDescent="0.2">
      <c r="A205" s="4" t="s">
        <v>2159</v>
      </c>
      <c r="B205" s="4">
        <v>0</v>
      </c>
      <c r="C205" s="4" t="s">
        <v>2159</v>
      </c>
      <c r="D205" s="4" t="s">
        <v>149</v>
      </c>
      <c r="E205" s="4" t="s">
        <v>2108</v>
      </c>
      <c r="F205" s="4">
        <v>-1</v>
      </c>
      <c r="G205" s="4">
        <v>0</v>
      </c>
      <c r="H205" s="4">
        <v>0</v>
      </c>
      <c r="K205" s="4">
        <v>0</v>
      </c>
      <c r="N205" s="4">
        <v>0</v>
      </c>
      <c r="O205" s="4">
        <v>0</v>
      </c>
      <c r="P205" s="4" t="str">
        <f t="shared" si="3"/>
        <v>CALC.LEVEL18</v>
      </c>
      <c r="Q205" s="4" t="str">
        <f>VLOOKUP(Cobra8.6[[#This Row],[Table.Column]],ColumnMapping[Old Table.Column],1,)</f>
        <v>CALC.LEVEL18</v>
      </c>
    </row>
    <row r="206" spans="1:17" hidden="1" x14ac:dyDescent="0.2">
      <c r="A206" s="4" t="s">
        <v>2159</v>
      </c>
      <c r="B206" s="4">
        <v>0</v>
      </c>
      <c r="C206" s="4" t="s">
        <v>2159</v>
      </c>
      <c r="D206" s="4" t="s">
        <v>151</v>
      </c>
      <c r="E206" s="4" t="s">
        <v>2108</v>
      </c>
      <c r="F206" s="4">
        <v>-1</v>
      </c>
      <c r="G206" s="4">
        <v>0</v>
      </c>
      <c r="H206" s="4">
        <v>0</v>
      </c>
      <c r="K206" s="4">
        <v>0</v>
      </c>
      <c r="N206" s="4">
        <v>0</v>
      </c>
      <c r="O206" s="4">
        <v>0</v>
      </c>
      <c r="P206" s="4" t="str">
        <f t="shared" si="3"/>
        <v>CALC.LEVEL19</v>
      </c>
      <c r="Q206" s="4" t="str">
        <f>VLOOKUP(Cobra8.6[[#This Row],[Table.Column]],ColumnMapping[Old Table.Column],1,)</f>
        <v>CALC.LEVEL19</v>
      </c>
    </row>
    <row r="207" spans="1:17" hidden="1" x14ac:dyDescent="0.2">
      <c r="A207" s="4" t="s">
        <v>2159</v>
      </c>
      <c r="B207" s="4">
        <v>0</v>
      </c>
      <c r="C207" s="4" t="s">
        <v>2159</v>
      </c>
      <c r="D207" s="4" t="s">
        <v>117</v>
      </c>
      <c r="E207" s="4" t="s">
        <v>2108</v>
      </c>
      <c r="F207" s="4">
        <v>-1</v>
      </c>
      <c r="G207" s="4">
        <v>0</v>
      </c>
      <c r="H207" s="4">
        <v>0</v>
      </c>
      <c r="K207" s="4">
        <v>0</v>
      </c>
      <c r="N207" s="4">
        <v>0</v>
      </c>
      <c r="O207" s="4">
        <v>0</v>
      </c>
      <c r="P207" s="4" t="str">
        <f t="shared" si="3"/>
        <v>CALC.LEVEL2</v>
      </c>
      <c r="Q207" s="4" t="str">
        <f>VLOOKUP(Cobra8.6[[#This Row],[Table.Column]],ColumnMapping[Old Table.Column],1,)</f>
        <v>CALC.LEVEL2</v>
      </c>
    </row>
    <row r="208" spans="1:17" hidden="1" x14ac:dyDescent="0.2">
      <c r="A208" s="4" t="s">
        <v>2159</v>
      </c>
      <c r="B208" s="4">
        <v>0</v>
      </c>
      <c r="C208" s="4" t="s">
        <v>2159</v>
      </c>
      <c r="D208" s="4" t="s">
        <v>153</v>
      </c>
      <c r="E208" s="4" t="s">
        <v>2108</v>
      </c>
      <c r="F208" s="4">
        <v>-1</v>
      </c>
      <c r="G208" s="4">
        <v>0</v>
      </c>
      <c r="H208" s="4">
        <v>0</v>
      </c>
      <c r="K208" s="4">
        <v>0</v>
      </c>
      <c r="N208" s="4">
        <v>0</v>
      </c>
      <c r="O208" s="4">
        <v>0</v>
      </c>
      <c r="P208" s="4" t="str">
        <f t="shared" si="3"/>
        <v>CALC.LEVEL20</v>
      </c>
      <c r="Q208" s="4" t="str">
        <f>VLOOKUP(Cobra8.6[[#This Row],[Table.Column]],ColumnMapping[Old Table.Column],1,)</f>
        <v>CALC.LEVEL20</v>
      </c>
    </row>
    <row r="209" spans="1:17" hidden="1" x14ac:dyDescent="0.2">
      <c r="A209" s="4" t="s">
        <v>2159</v>
      </c>
      <c r="B209" s="4">
        <v>0</v>
      </c>
      <c r="C209" s="4" t="s">
        <v>2159</v>
      </c>
      <c r="D209" s="4" t="s">
        <v>119</v>
      </c>
      <c r="E209" s="4" t="s">
        <v>2108</v>
      </c>
      <c r="F209" s="4">
        <v>-1</v>
      </c>
      <c r="G209" s="4">
        <v>0</v>
      </c>
      <c r="H209" s="4">
        <v>0</v>
      </c>
      <c r="K209" s="4">
        <v>0</v>
      </c>
      <c r="N209" s="4">
        <v>0</v>
      </c>
      <c r="O209" s="4">
        <v>0</v>
      </c>
      <c r="P209" s="4" t="str">
        <f t="shared" si="3"/>
        <v>CALC.LEVEL3</v>
      </c>
      <c r="Q209" s="4" t="str">
        <f>VLOOKUP(Cobra8.6[[#This Row],[Table.Column]],ColumnMapping[Old Table.Column],1,)</f>
        <v>CALC.LEVEL3</v>
      </c>
    </row>
    <row r="210" spans="1:17" hidden="1" x14ac:dyDescent="0.2">
      <c r="A210" s="4" t="s">
        <v>2159</v>
      </c>
      <c r="B210" s="4">
        <v>0</v>
      </c>
      <c r="C210" s="4" t="s">
        <v>2159</v>
      </c>
      <c r="D210" s="4" t="s">
        <v>121</v>
      </c>
      <c r="E210" s="4" t="s">
        <v>2108</v>
      </c>
      <c r="F210" s="4">
        <v>-1</v>
      </c>
      <c r="G210" s="4">
        <v>0</v>
      </c>
      <c r="H210" s="4">
        <v>0</v>
      </c>
      <c r="K210" s="4">
        <v>0</v>
      </c>
      <c r="N210" s="4">
        <v>0</v>
      </c>
      <c r="O210" s="4">
        <v>0</v>
      </c>
      <c r="P210" s="4" t="str">
        <f t="shared" si="3"/>
        <v>CALC.LEVEL4</v>
      </c>
      <c r="Q210" s="4" t="str">
        <f>VLOOKUP(Cobra8.6[[#This Row],[Table.Column]],ColumnMapping[Old Table.Column],1,)</f>
        <v>CALC.LEVEL4</v>
      </c>
    </row>
    <row r="211" spans="1:17" hidden="1" x14ac:dyDescent="0.2">
      <c r="A211" s="4" t="s">
        <v>2159</v>
      </c>
      <c r="B211" s="4">
        <v>0</v>
      </c>
      <c r="C211" s="4" t="s">
        <v>2159</v>
      </c>
      <c r="D211" s="4" t="s">
        <v>123</v>
      </c>
      <c r="E211" s="4" t="s">
        <v>2108</v>
      </c>
      <c r="F211" s="4">
        <v>-1</v>
      </c>
      <c r="G211" s="4">
        <v>0</v>
      </c>
      <c r="H211" s="4">
        <v>0</v>
      </c>
      <c r="K211" s="4">
        <v>0</v>
      </c>
      <c r="N211" s="4">
        <v>0</v>
      </c>
      <c r="O211" s="4">
        <v>0</v>
      </c>
      <c r="P211" s="4" t="str">
        <f t="shared" si="3"/>
        <v>CALC.LEVEL5</v>
      </c>
      <c r="Q211" s="4" t="str">
        <f>VLOOKUP(Cobra8.6[[#This Row],[Table.Column]],ColumnMapping[Old Table.Column],1,)</f>
        <v>CALC.LEVEL5</v>
      </c>
    </row>
    <row r="212" spans="1:17" hidden="1" x14ac:dyDescent="0.2">
      <c r="A212" s="4" t="s">
        <v>2159</v>
      </c>
      <c r="B212" s="4">
        <v>0</v>
      </c>
      <c r="C212" s="4" t="s">
        <v>2159</v>
      </c>
      <c r="D212" s="4" t="s">
        <v>125</v>
      </c>
      <c r="E212" s="4" t="s">
        <v>2108</v>
      </c>
      <c r="F212" s="4">
        <v>-1</v>
      </c>
      <c r="G212" s="4">
        <v>0</v>
      </c>
      <c r="H212" s="4">
        <v>0</v>
      </c>
      <c r="K212" s="4">
        <v>0</v>
      </c>
      <c r="N212" s="4">
        <v>0</v>
      </c>
      <c r="O212" s="4">
        <v>0</v>
      </c>
      <c r="P212" s="4" t="str">
        <f t="shared" si="3"/>
        <v>CALC.LEVEL6</v>
      </c>
      <c r="Q212" s="4" t="str">
        <f>VLOOKUP(Cobra8.6[[#This Row],[Table.Column]],ColumnMapping[Old Table.Column],1,)</f>
        <v>CALC.LEVEL6</v>
      </c>
    </row>
    <row r="213" spans="1:17" hidden="1" x14ac:dyDescent="0.2">
      <c r="A213" s="4" t="s">
        <v>2159</v>
      </c>
      <c r="B213" s="4">
        <v>0</v>
      </c>
      <c r="C213" s="4" t="s">
        <v>2159</v>
      </c>
      <c r="D213" s="4" t="s">
        <v>127</v>
      </c>
      <c r="E213" s="4" t="s">
        <v>2108</v>
      </c>
      <c r="F213" s="4">
        <v>-1</v>
      </c>
      <c r="G213" s="4">
        <v>0</v>
      </c>
      <c r="H213" s="4">
        <v>0</v>
      </c>
      <c r="K213" s="4">
        <v>0</v>
      </c>
      <c r="N213" s="4">
        <v>0</v>
      </c>
      <c r="O213" s="4">
        <v>0</v>
      </c>
      <c r="P213" s="4" t="str">
        <f t="shared" si="3"/>
        <v>CALC.LEVEL7</v>
      </c>
      <c r="Q213" s="4" t="str">
        <f>VLOOKUP(Cobra8.6[[#This Row],[Table.Column]],ColumnMapping[Old Table.Column],1,)</f>
        <v>CALC.LEVEL7</v>
      </c>
    </row>
    <row r="214" spans="1:17" hidden="1" x14ac:dyDescent="0.2">
      <c r="A214" s="4" t="s">
        <v>2159</v>
      </c>
      <c r="B214" s="4">
        <v>0</v>
      </c>
      <c r="C214" s="4" t="s">
        <v>2159</v>
      </c>
      <c r="D214" s="4" t="s">
        <v>129</v>
      </c>
      <c r="E214" s="4" t="s">
        <v>2108</v>
      </c>
      <c r="F214" s="4">
        <v>-1</v>
      </c>
      <c r="G214" s="4">
        <v>0</v>
      </c>
      <c r="H214" s="4">
        <v>0</v>
      </c>
      <c r="K214" s="4">
        <v>0</v>
      </c>
      <c r="N214" s="4">
        <v>0</v>
      </c>
      <c r="O214" s="4">
        <v>0</v>
      </c>
      <c r="P214" s="4" t="str">
        <f t="shared" si="3"/>
        <v>CALC.LEVEL8</v>
      </c>
      <c r="Q214" s="4" t="str">
        <f>VLOOKUP(Cobra8.6[[#This Row],[Table.Column]],ColumnMapping[Old Table.Column],1,)</f>
        <v>CALC.LEVEL8</v>
      </c>
    </row>
    <row r="215" spans="1:17" hidden="1" x14ac:dyDescent="0.2">
      <c r="A215" s="4" t="s">
        <v>2159</v>
      </c>
      <c r="B215" s="4">
        <v>0</v>
      </c>
      <c r="C215" s="4" t="s">
        <v>2159</v>
      </c>
      <c r="D215" s="4" t="s">
        <v>131</v>
      </c>
      <c r="E215" s="4" t="s">
        <v>2108</v>
      </c>
      <c r="F215" s="4">
        <v>-1</v>
      </c>
      <c r="G215" s="4">
        <v>0</v>
      </c>
      <c r="H215" s="4">
        <v>0</v>
      </c>
      <c r="K215" s="4">
        <v>0</v>
      </c>
      <c r="N215" s="4">
        <v>0</v>
      </c>
      <c r="O215" s="4">
        <v>0</v>
      </c>
      <c r="P215" s="4" t="str">
        <f t="shared" si="3"/>
        <v>CALC.LEVEL9</v>
      </c>
      <c r="Q215" s="4" t="str">
        <f>VLOOKUP(Cobra8.6[[#This Row],[Table.Column]],ColumnMapping[Old Table.Column],1,)</f>
        <v>CALC.LEVEL9</v>
      </c>
    </row>
    <row r="216" spans="1:17" hidden="1" x14ac:dyDescent="0.2">
      <c r="A216" s="4" t="s">
        <v>2159</v>
      </c>
      <c r="B216" s="4">
        <v>0</v>
      </c>
      <c r="C216" s="4" t="s">
        <v>2159</v>
      </c>
      <c r="D216" s="4" t="s">
        <v>113</v>
      </c>
      <c r="E216" s="4" t="s">
        <v>2108</v>
      </c>
      <c r="F216" s="4">
        <v>-1</v>
      </c>
      <c r="G216" s="4">
        <v>0</v>
      </c>
      <c r="H216" s="4">
        <v>0</v>
      </c>
      <c r="K216" s="4">
        <v>0</v>
      </c>
      <c r="N216" s="4">
        <v>0</v>
      </c>
      <c r="O216" s="4">
        <v>0</v>
      </c>
      <c r="P216" s="4" t="str">
        <f t="shared" si="3"/>
        <v>CALC.MAX_LEVEL</v>
      </c>
      <c r="Q216" s="4" t="str">
        <f>VLOOKUP(Cobra8.6[[#This Row],[Table.Column]],ColumnMapping[Old Table.Column],1,)</f>
        <v>CALC.MAX_LEVEL</v>
      </c>
    </row>
    <row r="217" spans="1:17" hidden="1" x14ac:dyDescent="0.2">
      <c r="A217" s="4" t="s">
        <v>2159</v>
      </c>
      <c r="B217" s="4">
        <v>0</v>
      </c>
      <c r="C217" s="4" t="s">
        <v>2159</v>
      </c>
      <c r="D217" s="4" t="s">
        <v>111</v>
      </c>
      <c r="E217" s="4" t="s">
        <v>86</v>
      </c>
      <c r="F217" s="4">
        <v>1</v>
      </c>
      <c r="G217" s="4">
        <v>0</v>
      </c>
      <c r="H217" s="4">
        <v>0</v>
      </c>
      <c r="K217" s="4">
        <v>0</v>
      </c>
      <c r="N217" s="4">
        <v>0</v>
      </c>
      <c r="O217" s="4">
        <v>0</v>
      </c>
      <c r="P217" s="4" t="str">
        <f t="shared" si="3"/>
        <v>CALC.PAD_CHAR</v>
      </c>
      <c r="Q217" s="4" t="str">
        <f>VLOOKUP(Cobra8.6[[#This Row],[Table.Column]],ColumnMapping[Old Table.Column],1,)</f>
        <v>CALC.PAD_CHAR</v>
      </c>
    </row>
    <row r="218" spans="1:17" hidden="1" x14ac:dyDescent="0.2">
      <c r="A218" s="4" t="s">
        <v>2159</v>
      </c>
      <c r="B218" s="4">
        <v>0</v>
      </c>
      <c r="C218" s="4" t="s">
        <v>2159</v>
      </c>
      <c r="D218" s="4" t="s">
        <v>1433</v>
      </c>
      <c r="E218" s="4" t="s">
        <v>86</v>
      </c>
      <c r="F218" s="4">
        <v>22</v>
      </c>
      <c r="G218" s="4">
        <v>0</v>
      </c>
      <c r="H218" s="4">
        <v>0</v>
      </c>
      <c r="K218" s="4">
        <v>0</v>
      </c>
      <c r="N218" s="4">
        <v>0</v>
      </c>
      <c r="O218" s="4">
        <v>0</v>
      </c>
      <c r="P218" s="4" t="str">
        <f t="shared" si="3"/>
        <v>CALC.RATEFILE</v>
      </c>
      <c r="Q218" s="4" t="str">
        <f>VLOOKUP(Cobra8.6[[#This Row],[Table.Column]],ColumnMapping[Old Table.Column],1,)</f>
        <v>CALC.RATEFILE</v>
      </c>
    </row>
    <row r="219" spans="1:17" hidden="1" x14ac:dyDescent="0.2">
      <c r="A219" s="4" t="s">
        <v>2159</v>
      </c>
      <c r="B219" s="4">
        <v>0</v>
      </c>
      <c r="C219" s="4" t="s">
        <v>2159</v>
      </c>
      <c r="D219" s="4" t="s">
        <v>1508</v>
      </c>
      <c r="E219" s="4" t="s">
        <v>86</v>
      </c>
      <c r="F219" s="4">
        <v>250</v>
      </c>
      <c r="G219" s="4">
        <v>0</v>
      </c>
      <c r="H219" s="4">
        <v>0</v>
      </c>
      <c r="K219" s="4">
        <v>0</v>
      </c>
      <c r="N219" s="4">
        <v>0</v>
      </c>
      <c r="O219" s="4">
        <v>0</v>
      </c>
      <c r="P219" s="4" t="str">
        <f t="shared" si="3"/>
        <v>CALC.RSLTALL</v>
      </c>
      <c r="Q219" s="4" t="str">
        <f>VLOOKUP(Cobra8.6[[#This Row],[Table.Column]],ColumnMapping[Old Table.Column],1,)</f>
        <v>CALC.RSLTALL</v>
      </c>
    </row>
    <row r="220" spans="1:17" hidden="1" x14ac:dyDescent="0.2">
      <c r="A220" s="4" t="s">
        <v>2159</v>
      </c>
      <c r="B220" s="4">
        <v>0</v>
      </c>
      <c r="C220" s="4" t="s">
        <v>2159</v>
      </c>
      <c r="D220" s="4" t="s">
        <v>1511</v>
      </c>
      <c r="E220" s="4" t="s">
        <v>86</v>
      </c>
      <c r="F220" s="4">
        <v>250</v>
      </c>
      <c r="G220" s="4">
        <v>0</v>
      </c>
      <c r="H220" s="4">
        <v>0</v>
      </c>
      <c r="K220" s="4">
        <v>0</v>
      </c>
      <c r="N220" s="4">
        <v>0</v>
      </c>
      <c r="O220" s="4">
        <v>0</v>
      </c>
      <c r="P220" s="4" t="str">
        <f t="shared" si="3"/>
        <v>CALC.RSLTCURR</v>
      </c>
      <c r="Q220" s="4" t="str">
        <f>VLOOKUP(Cobra8.6[[#This Row],[Table.Column]],ColumnMapping[Old Table.Column],1,)</f>
        <v>CALC.RSLTCURR</v>
      </c>
    </row>
    <row r="221" spans="1:17" hidden="1" x14ac:dyDescent="0.2">
      <c r="A221" s="4" t="s">
        <v>2159</v>
      </c>
      <c r="B221" s="4">
        <v>0</v>
      </c>
      <c r="C221" s="4" t="s">
        <v>2159</v>
      </c>
      <c r="D221" s="4" t="s">
        <v>35</v>
      </c>
      <c r="E221" s="4" t="s">
        <v>2108</v>
      </c>
      <c r="F221" s="4">
        <v>-1</v>
      </c>
      <c r="G221" s="4">
        <v>0</v>
      </c>
      <c r="H221" s="4">
        <v>0</v>
      </c>
      <c r="K221" s="4">
        <v>0</v>
      </c>
      <c r="N221" s="4">
        <v>0</v>
      </c>
      <c r="O221" s="4">
        <v>0</v>
      </c>
      <c r="P221" s="4" t="str">
        <f t="shared" si="3"/>
        <v>CALC.SEQUENCE</v>
      </c>
      <c r="Q221" s="4" t="str">
        <f>VLOOKUP(Cobra8.6[[#This Row],[Table.Column]],ColumnMapping[Old Table.Column],1,)</f>
        <v>CALC.SEQUENCE</v>
      </c>
    </row>
    <row r="222" spans="1:17" hidden="1" x14ac:dyDescent="0.2">
      <c r="A222" s="4" t="s">
        <v>2159</v>
      </c>
      <c r="B222" s="4">
        <v>0</v>
      </c>
      <c r="C222" s="4" t="s">
        <v>2159</v>
      </c>
      <c r="D222" s="4" t="s">
        <v>93</v>
      </c>
      <c r="E222" s="4" t="s">
        <v>86</v>
      </c>
      <c r="F222" s="4">
        <v>10</v>
      </c>
      <c r="G222" s="4">
        <v>0</v>
      </c>
      <c r="H222" s="4">
        <v>0</v>
      </c>
      <c r="K222" s="4">
        <v>0</v>
      </c>
      <c r="N222" s="4">
        <v>0</v>
      </c>
      <c r="O222" s="4">
        <v>0</v>
      </c>
      <c r="P222" s="4" t="str">
        <f t="shared" si="3"/>
        <v>CALC.TH_FLAGS</v>
      </c>
      <c r="Q222" s="4" t="str">
        <f>VLOOKUP(Cobra8.6[[#This Row],[Table.Column]],ColumnMapping[Old Table.Column],1,)</f>
        <v>CALC.TH_FLAGS</v>
      </c>
    </row>
    <row r="223" spans="1:17" hidden="1" x14ac:dyDescent="0.2">
      <c r="A223" s="4" t="s">
        <v>2159</v>
      </c>
      <c r="B223" s="4">
        <v>0</v>
      </c>
      <c r="C223" s="4" t="s">
        <v>2159</v>
      </c>
      <c r="D223" s="4" t="s">
        <v>2112</v>
      </c>
      <c r="E223" s="4" t="s">
        <v>86</v>
      </c>
      <c r="F223" s="4">
        <v>20</v>
      </c>
      <c r="G223" s="4">
        <v>0</v>
      </c>
      <c r="H223" s="4">
        <v>0</v>
      </c>
      <c r="K223" s="4">
        <v>0</v>
      </c>
      <c r="N223" s="4">
        <v>0</v>
      </c>
      <c r="O223" s="4">
        <v>0</v>
      </c>
      <c r="P223" s="4" t="str">
        <f t="shared" si="3"/>
        <v>CALC.USR_ID</v>
      </c>
      <c r="Q223" s="4" t="str">
        <f>VLOOKUP(Cobra8.6[[#This Row],[Table.Column]],ColumnMapping[Old Table.Column],1,)</f>
        <v>CALC.USR_ID</v>
      </c>
    </row>
    <row r="224" spans="1:17" hidden="1" x14ac:dyDescent="0.2">
      <c r="A224" s="4" t="s">
        <v>2160</v>
      </c>
      <c r="B224" s="4">
        <v>0</v>
      </c>
      <c r="C224" s="4" t="s">
        <v>2160</v>
      </c>
      <c r="D224" s="4" t="s">
        <v>1501</v>
      </c>
      <c r="E224" s="4" t="s">
        <v>86</v>
      </c>
      <c r="F224" s="4">
        <v>22</v>
      </c>
      <c r="G224" s="4">
        <v>0</v>
      </c>
      <c r="H224" s="4">
        <v>0</v>
      </c>
      <c r="K224" s="4">
        <v>0</v>
      </c>
      <c r="N224" s="4">
        <v>0</v>
      </c>
      <c r="O224" s="4">
        <v>0</v>
      </c>
      <c r="P224" s="4" t="str">
        <f t="shared" si="3"/>
        <v>CALCDESC.CALCFILE</v>
      </c>
      <c r="Q224" s="4" t="str">
        <f>VLOOKUP(Cobra8.6[[#This Row],[Table.Column]],ColumnMapping[Old Table.Column],1,)</f>
        <v>CALCDESC.CALCFILE</v>
      </c>
    </row>
    <row r="225" spans="1:17" hidden="1" x14ac:dyDescent="0.2">
      <c r="A225" s="4" t="s">
        <v>2160</v>
      </c>
      <c r="B225" s="4">
        <v>0</v>
      </c>
      <c r="C225" s="4" t="s">
        <v>2160</v>
      </c>
      <c r="D225" s="4" t="s">
        <v>2161</v>
      </c>
      <c r="E225" s="4" t="s">
        <v>2108</v>
      </c>
      <c r="F225" s="4">
        <v>-1</v>
      </c>
      <c r="G225" s="4">
        <v>0</v>
      </c>
      <c r="H225" s="4">
        <v>0</v>
      </c>
      <c r="K225" s="4">
        <v>0</v>
      </c>
      <c r="N225" s="4">
        <v>0</v>
      </c>
      <c r="O225" s="4">
        <v>0</v>
      </c>
      <c r="P225" s="4" t="str">
        <f t="shared" si="3"/>
        <v>CALCDESC.CE_LEVEL</v>
      </c>
      <c r="Q225" s="4" t="str">
        <f>VLOOKUP(Cobra8.6[[#This Row],[Table.Column]],ColumnMapping[Old Table.Column],1,)</f>
        <v>CALCDESC.CE_LEVEL</v>
      </c>
    </row>
    <row r="226" spans="1:17" hidden="1" x14ac:dyDescent="0.2">
      <c r="A226" s="4" t="s">
        <v>2160</v>
      </c>
      <c r="B226" s="4">
        <v>0</v>
      </c>
      <c r="C226" s="4" t="s">
        <v>2160</v>
      </c>
      <c r="D226" s="4" t="s">
        <v>1098</v>
      </c>
      <c r="E226" s="4" t="s">
        <v>86</v>
      </c>
      <c r="F226" s="4">
        <v>59</v>
      </c>
      <c r="G226" s="4">
        <v>0</v>
      </c>
      <c r="H226" s="4">
        <v>0</v>
      </c>
      <c r="K226" s="4">
        <v>0</v>
      </c>
      <c r="N226" s="4">
        <v>0</v>
      </c>
      <c r="O226" s="4">
        <v>0</v>
      </c>
      <c r="P226" s="4" t="str">
        <f t="shared" si="3"/>
        <v>CALCDESC.CECODE</v>
      </c>
      <c r="Q226" s="4" t="str">
        <f>VLOOKUP(Cobra8.6[[#This Row],[Table.Column]],ColumnMapping[Old Table.Column],1,)</f>
        <v>CALCDESC.CECODE</v>
      </c>
    </row>
    <row r="227" spans="1:17" hidden="1" x14ac:dyDescent="0.2">
      <c r="A227" s="4" t="s">
        <v>2160</v>
      </c>
      <c r="B227" s="4">
        <v>0</v>
      </c>
      <c r="C227" s="4" t="s">
        <v>2160</v>
      </c>
      <c r="D227" s="4" t="s">
        <v>2162</v>
      </c>
      <c r="E227" s="4" t="s">
        <v>86</v>
      </c>
      <c r="F227" s="4">
        <v>254</v>
      </c>
      <c r="G227" s="4">
        <v>0</v>
      </c>
      <c r="H227" s="4">
        <v>0</v>
      </c>
      <c r="K227" s="4">
        <v>0</v>
      </c>
      <c r="N227" s="4">
        <v>0</v>
      </c>
      <c r="O227" s="4">
        <v>0</v>
      </c>
      <c r="P227" s="4" t="str">
        <f t="shared" si="3"/>
        <v>CALCDESC.CEDESC</v>
      </c>
      <c r="Q227" s="4" t="str">
        <f>VLOOKUP(Cobra8.6[[#This Row],[Table.Column]],ColumnMapping[Old Table.Column],1,)</f>
        <v>CALCDESC.CEDESC</v>
      </c>
    </row>
    <row r="228" spans="1:17" hidden="1" x14ac:dyDescent="0.2">
      <c r="A228" s="4" t="s">
        <v>2160</v>
      </c>
      <c r="B228" s="4">
        <v>0</v>
      </c>
      <c r="C228" s="4" t="s">
        <v>2160</v>
      </c>
      <c r="D228" s="4" t="s">
        <v>76</v>
      </c>
      <c r="E228" s="4" t="s">
        <v>86</v>
      </c>
      <c r="F228" s="4">
        <v>59</v>
      </c>
      <c r="G228" s="4">
        <v>0</v>
      </c>
      <c r="H228" s="4">
        <v>0</v>
      </c>
      <c r="K228" s="4">
        <v>0</v>
      </c>
      <c r="N228" s="4">
        <v>0</v>
      </c>
      <c r="O228" s="4">
        <v>0</v>
      </c>
      <c r="P228" s="4" t="str">
        <f t="shared" si="3"/>
        <v>CALCDESC.D1</v>
      </c>
      <c r="Q228" s="4" t="str">
        <f>VLOOKUP(Cobra8.6[[#This Row],[Table.Column]],ColumnMapping[Old Table.Column],1,)</f>
        <v>CALCDESC.D1</v>
      </c>
    </row>
    <row r="229" spans="1:17" hidden="1" x14ac:dyDescent="0.2">
      <c r="A229" s="4" t="s">
        <v>2160</v>
      </c>
      <c r="B229" s="4">
        <v>0</v>
      </c>
      <c r="C229" s="4" t="s">
        <v>2160</v>
      </c>
      <c r="D229" s="4" t="s">
        <v>77</v>
      </c>
      <c r="E229" s="4" t="s">
        <v>86</v>
      </c>
      <c r="F229" s="4">
        <v>59</v>
      </c>
      <c r="G229" s="4">
        <v>0</v>
      </c>
      <c r="H229" s="4">
        <v>0</v>
      </c>
      <c r="K229" s="4">
        <v>0</v>
      </c>
      <c r="N229" s="4">
        <v>0</v>
      </c>
      <c r="O229" s="4">
        <v>0</v>
      </c>
      <c r="P229" s="4" t="str">
        <f t="shared" si="3"/>
        <v>CALCDESC.D2</v>
      </c>
      <c r="Q229" s="4" t="str">
        <f>VLOOKUP(Cobra8.6[[#This Row],[Table.Column]],ColumnMapping[Old Table.Column],1,)</f>
        <v>CALCDESC.D2</v>
      </c>
    </row>
    <row r="230" spans="1:17" hidden="1" x14ac:dyDescent="0.2">
      <c r="A230" s="4" t="s">
        <v>2160</v>
      </c>
      <c r="B230" s="4">
        <v>0</v>
      </c>
      <c r="C230" s="4" t="s">
        <v>2160</v>
      </c>
      <c r="D230" s="4" t="s">
        <v>78</v>
      </c>
      <c r="E230" s="4" t="s">
        <v>86</v>
      </c>
      <c r="F230" s="4">
        <v>59</v>
      </c>
      <c r="G230" s="4">
        <v>0</v>
      </c>
      <c r="H230" s="4">
        <v>0</v>
      </c>
      <c r="K230" s="4">
        <v>0</v>
      </c>
      <c r="N230" s="4">
        <v>0</v>
      </c>
      <c r="O230" s="4">
        <v>0</v>
      </c>
      <c r="P230" s="4" t="str">
        <f t="shared" si="3"/>
        <v>CALCDESC.D3</v>
      </c>
      <c r="Q230" s="4" t="str">
        <f>VLOOKUP(Cobra8.6[[#This Row],[Table.Column]],ColumnMapping[Old Table.Column],1,)</f>
        <v>CALCDESC.D3</v>
      </c>
    </row>
    <row r="231" spans="1:17" hidden="1" x14ac:dyDescent="0.2">
      <c r="A231" s="4" t="s">
        <v>2160</v>
      </c>
      <c r="B231" s="4">
        <v>0</v>
      </c>
      <c r="C231" s="4" t="s">
        <v>2160</v>
      </c>
      <c r="D231" s="4" t="s">
        <v>79</v>
      </c>
      <c r="E231" s="4" t="s">
        <v>86</v>
      </c>
      <c r="F231" s="4">
        <v>59</v>
      </c>
      <c r="G231" s="4">
        <v>0</v>
      </c>
      <c r="H231" s="4">
        <v>0</v>
      </c>
      <c r="K231" s="4">
        <v>0</v>
      </c>
      <c r="N231" s="4">
        <v>0</v>
      </c>
      <c r="O231" s="4">
        <v>0</v>
      </c>
      <c r="P231" s="4" t="str">
        <f t="shared" si="3"/>
        <v>CALCDESC.D4</v>
      </c>
      <c r="Q231" s="4" t="str">
        <f>VLOOKUP(Cobra8.6[[#This Row],[Table.Column]],ColumnMapping[Old Table.Column],1,)</f>
        <v>CALCDESC.D4</v>
      </c>
    </row>
    <row r="232" spans="1:17" hidden="1" x14ac:dyDescent="0.2">
      <c r="A232" s="4" t="s">
        <v>2160</v>
      </c>
      <c r="B232" s="4">
        <v>0</v>
      </c>
      <c r="C232" s="4" t="s">
        <v>2160</v>
      </c>
      <c r="D232" s="4" t="s">
        <v>80</v>
      </c>
      <c r="E232" s="4" t="s">
        <v>86</v>
      </c>
      <c r="F232" s="4">
        <v>59</v>
      </c>
      <c r="G232" s="4">
        <v>0</v>
      </c>
      <c r="H232" s="4">
        <v>0</v>
      </c>
      <c r="K232" s="4">
        <v>0</v>
      </c>
      <c r="N232" s="4">
        <v>0</v>
      </c>
      <c r="O232" s="4">
        <v>0</v>
      </c>
      <c r="P232" s="4" t="str">
        <f t="shared" si="3"/>
        <v>CALCDESC.D5</v>
      </c>
      <c r="Q232" s="4" t="str">
        <f>VLOOKUP(Cobra8.6[[#This Row],[Table.Column]],ColumnMapping[Old Table.Column],1,)</f>
        <v>CALCDESC.D5</v>
      </c>
    </row>
    <row r="233" spans="1:17" hidden="1" x14ac:dyDescent="0.2">
      <c r="A233" s="4" t="s">
        <v>2160</v>
      </c>
      <c r="B233" s="4">
        <v>0</v>
      </c>
      <c r="C233" s="4" t="s">
        <v>2160</v>
      </c>
      <c r="D233" s="4" t="s">
        <v>81</v>
      </c>
      <c r="E233" s="4" t="s">
        <v>86</v>
      </c>
      <c r="F233" s="4">
        <v>59</v>
      </c>
      <c r="G233" s="4">
        <v>0</v>
      </c>
      <c r="H233" s="4">
        <v>0</v>
      </c>
      <c r="K233" s="4">
        <v>0</v>
      </c>
      <c r="N233" s="4">
        <v>0</v>
      </c>
      <c r="O233" s="4">
        <v>0</v>
      </c>
      <c r="P233" s="4" t="str">
        <f t="shared" si="3"/>
        <v>CALCDESC.D6</v>
      </c>
      <c r="Q233" s="4" t="str">
        <f>VLOOKUP(Cobra8.6[[#This Row],[Table.Column]],ColumnMapping[Old Table.Column],1,)</f>
        <v>CALCDESC.D6</v>
      </c>
    </row>
    <row r="234" spans="1:17" hidden="1" x14ac:dyDescent="0.2">
      <c r="A234" s="4" t="s">
        <v>2160</v>
      </c>
      <c r="B234" s="4">
        <v>0</v>
      </c>
      <c r="C234" s="4" t="s">
        <v>2160</v>
      </c>
      <c r="D234" s="4" t="s">
        <v>82</v>
      </c>
      <c r="E234" s="4" t="s">
        <v>86</v>
      </c>
      <c r="F234" s="4">
        <v>59</v>
      </c>
      <c r="G234" s="4">
        <v>0</v>
      </c>
      <c r="H234" s="4">
        <v>0</v>
      </c>
      <c r="K234" s="4">
        <v>0</v>
      </c>
      <c r="N234" s="4">
        <v>0</v>
      </c>
      <c r="O234" s="4">
        <v>0</v>
      </c>
      <c r="P234" s="4" t="str">
        <f t="shared" si="3"/>
        <v>CALCDESC.D7</v>
      </c>
      <c r="Q234" s="4" t="str">
        <f>VLOOKUP(Cobra8.6[[#This Row],[Table.Column]],ColumnMapping[Old Table.Column],1,)</f>
        <v>CALCDESC.D7</v>
      </c>
    </row>
    <row r="235" spans="1:17" hidden="1" x14ac:dyDescent="0.2">
      <c r="A235" s="4" t="s">
        <v>2160</v>
      </c>
      <c r="B235" s="4">
        <v>0</v>
      </c>
      <c r="C235" s="4" t="s">
        <v>2160</v>
      </c>
      <c r="D235" s="4" t="s">
        <v>83</v>
      </c>
      <c r="E235" s="4" t="s">
        <v>86</v>
      </c>
      <c r="F235" s="4">
        <v>59</v>
      </c>
      <c r="G235" s="4">
        <v>0</v>
      </c>
      <c r="H235" s="4">
        <v>0</v>
      </c>
      <c r="K235" s="4">
        <v>0</v>
      </c>
      <c r="N235" s="4">
        <v>0</v>
      </c>
      <c r="O235" s="4">
        <v>0</v>
      </c>
      <c r="P235" s="4" t="str">
        <f t="shared" si="3"/>
        <v>CALCDESC.D8</v>
      </c>
      <c r="Q235" s="4" t="str">
        <f>VLOOKUP(Cobra8.6[[#This Row],[Table.Column]],ColumnMapping[Old Table.Column],1,)</f>
        <v>CALCDESC.D8</v>
      </c>
    </row>
    <row r="236" spans="1:17" hidden="1" x14ac:dyDescent="0.2">
      <c r="A236" s="4" t="s">
        <v>2160</v>
      </c>
      <c r="B236" s="4">
        <v>0</v>
      </c>
      <c r="C236" s="4" t="s">
        <v>2160</v>
      </c>
      <c r="D236" s="4" t="s">
        <v>84</v>
      </c>
      <c r="E236" s="4" t="s">
        <v>86</v>
      </c>
      <c r="F236" s="4">
        <v>59</v>
      </c>
      <c r="G236" s="4">
        <v>0</v>
      </c>
      <c r="H236" s="4">
        <v>0</v>
      </c>
      <c r="K236" s="4">
        <v>0</v>
      </c>
      <c r="N236" s="4">
        <v>0</v>
      </c>
      <c r="O236" s="4">
        <v>0</v>
      </c>
      <c r="P236" s="4" t="str">
        <f t="shared" si="3"/>
        <v>CALCDESC.D9</v>
      </c>
      <c r="Q236" s="4" t="str">
        <f>VLOOKUP(Cobra8.6[[#This Row],[Table.Column]],ColumnMapping[Old Table.Column],1,)</f>
        <v>CALCDESC.D9</v>
      </c>
    </row>
    <row r="237" spans="1:17" hidden="1" x14ac:dyDescent="0.2">
      <c r="A237" s="4" t="s">
        <v>2160</v>
      </c>
      <c r="B237" s="4">
        <v>0</v>
      </c>
      <c r="C237" s="4" t="s">
        <v>2160</v>
      </c>
      <c r="D237" s="4" t="s">
        <v>1015</v>
      </c>
      <c r="E237" s="4" t="s">
        <v>86</v>
      </c>
      <c r="F237" s="4">
        <v>59</v>
      </c>
      <c r="G237" s="4">
        <v>0</v>
      </c>
      <c r="H237" s="4">
        <v>0</v>
      </c>
      <c r="K237" s="4">
        <v>0</v>
      </c>
      <c r="N237" s="4">
        <v>0</v>
      </c>
      <c r="O237" s="4">
        <v>0</v>
      </c>
      <c r="P237" s="4" t="str">
        <f t="shared" si="3"/>
        <v>CALCDESC.EOC</v>
      </c>
      <c r="Q237" s="4" t="str">
        <f>VLOOKUP(Cobra8.6[[#This Row],[Table.Column]],ColumnMapping[Old Table.Column],1,)</f>
        <v>CALCDESC.EOC</v>
      </c>
    </row>
    <row r="238" spans="1:17" hidden="1" x14ac:dyDescent="0.2">
      <c r="A238" s="4" t="s">
        <v>2160</v>
      </c>
      <c r="B238" s="4">
        <v>0</v>
      </c>
      <c r="C238" s="4" t="s">
        <v>2160</v>
      </c>
      <c r="D238" s="4" t="s">
        <v>2111</v>
      </c>
      <c r="E238" s="4" t="s">
        <v>356</v>
      </c>
      <c r="F238" s="4">
        <v>-1</v>
      </c>
      <c r="G238" s="4">
        <v>0</v>
      </c>
      <c r="H238" s="4">
        <v>0</v>
      </c>
      <c r="K238" s="4">
        <v>0</v>
      </c>
      <c r="N238" s="4">
        <v>0</v>
      </c>
      <c r="O238" s="4">
        <v>0</v>
      </c>
      <c r="P238" s="4" t="str">
        <f t="shared" si="3"/>
        <v>CALCDESC.LASTUPDATE</v>
      </c>
      <c r="Q238" s="4" t="str">
        <f>VLOOKUP(Cobra8.6[[#This Row],[Table.Column]],ColumnMapping[Old Table.Column],1,)</f>
        <v>CALCDESC.LASTUPDATE</v>
      </c>
    </row>
    <row r="239" spans="1:17" hidden="1" x14ac:dyDescent="0.2">
      <c r="A239" s="4" t="s">
        <v>2160</v>
      </c>
      <c r="B239" s="4">
        <v>0</v>
      </c>
      <c r="C239" s="4" t="s">
        <v>2160</v>
      </c>
      <c r="D239" s="4" t="s">
        <v>2145</v>
      </c>
      <c r="E239" s="4" t="s">
        <v>2108</v>
      </c>
      <c r="F239" s="4">
        <v>-1</v>
      </c>
      <c r="G239" s="4">
        <v>0</v>
      </c>
      <c r="H239" s="4">
        <v>0</v>
      </c>
      <c r="K239" s="4">
        <v>0</v>
      </c>
      <c r="N239" s="4">
        <v>0</v>
      </c>
      <c r="O239" s="4">
        <v>0</v>
      </c>
      <c r="P239" s="4" t="str">
        <f t="shared" si="3"/>
        <v>CALCDESC.NUMCHILD</v>
      </c>
      <c r="Q239" s="4" t="str">
        <f>VLOOKUP(Cobra8.6[[#This Row],[Table.Column]],ColumnMapping[Old Table.Column],1,)</f>
        <v>CALCDESC.NUMCHILD</v>
      </c>
    </row>
    <row r="240" spans="1:17" hidden="1" x14ac:dyDescent="0.2">
      <c r="A240" s="4" t="s">
        <v>2160</v>
      </c>
      <c r="B240" s="4">
        <v>0</v>
      </c>
      <c r="C240" s="4" t="s">
        <v>2160</v>
      </c>
      <c r="D240" s="4" t="s">
        <v>2146</v>
      </c>
      <c r="E240" s="4" t="s">
        <v>86</v>
      </c>
      <c r="F240" s="4">
        <v>59</v>
      </c>
      <c r="G240" s="4">
        <v>0</v>
      </c>
      <c r="H240" s="4">
        <v>0</v>
      </c>
      <c r="K240" s="4">
        <v>0</v>
      </c>
      <c r="N240" s="4">
        <v>0</v>
      </c>
      <c r="O240" s="4">
        <v>0</v>
      </c>
      <c r="P240" s="4" t="str">
        <f t="shared" si="3"/>
        <v>CALCDESC.PARENT</v>
      </c>
      <c r="Q240" s="4" t="str">
        <f>VLOOKUP(Cobra8.6[[#This Row],[Table.Column]],ColumnMapping[Old Table.Column],1,)</f>
        <v>CALCDESC.PARENT</v>
      </c>
    </row>
    <row r="241" spans="1:17" hidden="1" x14ac:dyDescent="0.2">
      <c r="A241" s="4" t="s">
        <v>2160</v>
      </c>
      <c r="B241" s="4">
        <v>0</v>
      </c>
      <c r="C241" s="4" t="s">
        <v>2160</v>
      </c>
      <c r="D241" s="4" t="s">
        <v>35</v>
      </c>
      <c r="E241" s="4" t="s">
        <v>2108</v>
      </c>
      <c r="F241" s="4">
        <v>-1</v>
      </c>
      <c r="G241" s="4">
        <v>0</v>
      </c>
      <c r="H241" s="4">
        <v>0</v>
      </c>
      <c r="K241" s="4">
        <v>0</v>
      </c>
      <c r="N241" s="4">
        <v>0</v>
      </c>
      <c r="O241" s="4">
        <v>0</v>
      </c>
      <c r="P241" s="4" t="str">
        <f t="shared" si="3"/>
        <v>CALCDESC.SEQUENCE</v>
      </c>
      <c r="Q241" s="4" t="str">
        <f>VLOOKUP(Cobra8.6[[#This Row],[Table.Column]],ColumnMapping[Old Table.Column],1,)</f>
        <v>CALCDESC.SEQUENCE</v>
      </c>
    </row>
    <row r="242" spans="1:17" hidden="1" x14ac:dyDescent="0.2">
      <c r="A242" s="4" t="s">
        <v>2160</v>
      </c>
      <c r="B242" s="4">
        <v>0</v>
      </c>
      <c r="C242" s="4" t="s">
        <v>2160</v>
      </c>
      <c r="D242" s="4" t="s">
        <v>85</v>
      </c>
      <c r="E242" s="4" t="s">
        <v>86</v>
      </c>
      <c r="F242" s="4">
        <v>60</v>
      </c>
      <c r="G242" s="4">
        <v>0</v>
      </c>
      <c r="H242" s="4">
        <v>0</v>
      </c>
      <c r="K242" s="4">
        <v>0</v>
      </c>
      <c r="N242" s="4">
        <v>0</v>
      </c>
      <c r="O242" s="4">
        <v>0</v>
      </c>
      <c r="P242" s="4" t="str">
        <f t="shared" si="3"/>
        <v>CALCDESC.TAG</v>
      </c>
      <c r="Q242" s="4" t="str">
        <f>VLOOKUP(Cobra8.6[[#This Row],[Table.Column]],ColumnMapping[Old Table.Column],1,)</f>
        <v>CALCDESC.TAG</v>
      </c>
    </row>
    <row r="243" spans="1:17" hidden="1" x14ac:dyDescent="0.2">
      <c r="A243" s="4" t="s">
        <v>2160</v>
      </c>
      <c r="B243" s="4">
        <v>0</v>
      </c>
      <c r="C243" s="4" t="s">
        <v>2160</v>
      </c>
      <c r="D243" s="4" t="s">
        <v>1552</v>
      </c>
      <c r="E243" s="4" t="s">
        <v>2124</v>
      </c>
      <c r="F243" s="4">
        <v>5</v>
      </c>
      <c r="G243" s="4">
        <v>2</v>
      </c>
      <c r="H243" s="4">
        <v>0</v>
      </c>
      <c r="K243" s="4">
        <v>0</v>
      </c>
      <c r="N243" s="4">
        <v>0</v>
      </c>
      <c r="O243" s="4">
        <v>0</v>
      </c>
      <c r="P243" s="4" t="str">
        <f t="shared" si="3"/>
        <v>CALCDESC.TH_CAPF</v>
      </c>
      <c r="Q243" s="4" t="str">
        <f>VLOOKUP(Cobra8.6[[#This Row],[Table.Column]],ColumnMapping[Old Table.Column],1,)</f>
        <v>CALCDESC.TH_CAPF</v>
      </c>
    </row>
    <row r="244" spans="1:17" hidden="1" x14ac:dyDescent="0.2">
      <c r="A244" s="4" t="s">
        <v>2160</v>
      </c>
      <c r="B244" s="4">
        <v>0</v>
      </c>
      <c r="C244" s="4" t="s">
        <v>2160</v>
      </c>
      <c r="D244" s="4" t="s">
        <v>1554</v>
      </c>
      <c r="E244" s="4" t="s">
        <v>2124</v>
      </c>
      <c r="F244" s="4">
        <v>5</v>
      </c>
      <c r="G244" s="4">
        <v>2</v>
      </c>
      <c r="H244" s="4">
        <v>0</v>
      </c>
      <c r="K244" s="4">
        <v>0</v>
      </c>
      <c r="N244" s="4">
        <v>0</v>
      </c>
      <c r="O244" s="4">
        <v>0</v>
      </c>
      <c r="P244" s="4" t="str">
        <f t="shared" si="3"/>
        <v>CALCDESC.TH_CAPU</v>
      </c>
      <c r="Q244" s="4" t="str">
        <f>VLOOKUP(Cobra8.6[[#This Row],[Table.Column]],ColumnMapping[Old Table.Column],1,)</f>
        <v>CALCDESC.TH_CAPU</v>
      </c>
    </row>
    <row r="245" spans="1:17" hidden="1" x14ac:dyDescent="0.2">
      <c r="A245" s="4" t="s">
        <v>2160</v>
      </c>
      <c r="B245" s="4">
        <v>0</v>
      </c>
      <c r="C245" s="4" t="s">
        <v>2160</v>
      </c>
      <c r="D245" s="4" t="s">
        <v>1556</v>
      </c>
      <c r="E245" s="4" t="s">
        <v>2124</v>
      </c>
      <c r="F245" s="4">
        <v>21</v>
      </c>
      <c r="G245" s="4">
        <v>6</v>
      </c>
      <c r="H245" s="4">
        <v>0</v>
      </c>
      <c r="K245" s="4">
        <v>0</v>
      </c>
      <c r="N245" s="4">
        <v>0</v>
      </c>
      <c r="O245" s="4">
        <v>0</v>
      </c>
      <c r="P245" s="4" t="str">
        <f t="shared" si="3"/>
        <v>CALCDESC.TH_CAVF</v>
      </c>
      <c r="Q245" s="4" t="str">
        <f>VLOOKUP(Cobra8.6[[#This Row],[Table.Column]],ColumnMapping[Old Table.Column],1,)</f>
        <v>CALCDESC.TH_CAVF</v>
      </c>
    </row>
    <row r="246" spans="1:17" hidden="1" x14ac:dyDescent="0.2">
      <c r="A246" s="4" t="s">
        <v>2160</v>
      </c>
      <c r="B246" s="4">
        <v>0</v>
      </c>
      <c r="C246" s="4" t="s">
        <v>2160</v>
      </c>
      <c r="D246" s="4" t="s">
        <v>1558</v>
      </c>
      <c r="E246" s="4" t="s">
        <v>2124</v>
      </c>
      <c r="F246" s="4">
        <v>21</v>
      </c>
      <c r="G246" s="4">
        <v>6</v>
      </c>
      <c r="H246" s="4">
        <v>0</v>
      </c>
      <c r="K246" s="4">
        <v>0</v>
      </c>
      <c r="N246" s="4">
        <v>0</v>
      </c>
      <c r="O246" s="4">
        <v>0</v>
      </c>
      <c r="P246" s="4" t="str">
        <f t="shared" si="3"/>
        <v>CALCDESC.TH_CAVU</v>
      </c>
      <c r="Q246" s="4" t="str">
        <f>VLOOKUP(Cobra8.6[[#This Row],[Table.Column]],ColumnMapping[Old Table.Column],1,)</f>
        <v>CALCDESC.TH_CAVU</v>
      </c>
    </row>
    <row r="247" spans="1:17" hidden="1" x14ac:dyDescent="0.2">
      <c r="A247" s="4" t="s">
        <v>2160</v>
      </c>
      <c r="B247" s="4">
        <v>0</v>
      </c>
      <c r="C247" s="4" t="s">
        <v>2160</v>
      </c>
      <c r="D247" s="4" t="s">
        <v>1560</v>
      </c>
      <c r="E247" s="4" t="s">
        <v>2124</v>
      </c>
      <c r="F247" s="4">
        <v>5</v>
      </c>
      <c r="G247" s="4">
        <v>2</v>
      </c>
      <c r="H247" s="4">
        <v>0</v>
      </c>
      <c r="K247" s="4">
        <v>0</v>
      </c>
      <c r="N247" s="4">
        <v>0</v>
      </c>
      <c r="O247" s="4">
        <v>0</v>
      </c>
      <c r="P247" s="4" t="str">
        <f t="shared" si="3"/>
        <v>CALCDESC.TH_CCPF</v>
      </c>
      <c r="Q247" s="4" t="str">
        <f>VLOOKUP(Cobra8.6[[#This Row],[Table.Column]],ColumnMapping[Old Table.Column],1,)</f>
        <v>CALCDESC.TH_CCPF</v>
      </c>
    </row>
    <row r="248" spans="1:17" hidden="1" x14ac:dyDescent="0.2">
      <c r="A248" s="4" t="s">
        <v>2160</v>
      </c>
      <c r="B248" s="4">
        <v>0</v>
      </c>
      <c r="C248" s="4" t="s">
        <v>2160</v>
      </c>
      <c r="D248" s="4" t="s">
        <v>1562</v>
      </c>
      <c r="E248" s="4" t="s">
        <v>2124</v>
      </c>
      <c r="F248" s="4">
        <v>5</v>
      </c>
      <c r="G248" s="4">
        <v>2</v>
      </c>
      <c r="H248" s="4">
        <v>0</v>
      </c>
      <c r="K248" s="4">
        <v>0</v>
      </c>
      <c r="N248" s="4">
        <v>0</v>
      </c>
      <c r="O248" s="4">
        <v>0</v>
      </c>
      <c r="P248" s="4" t="str">
        <f t="shared" si="3"/>
        <v>CALCDESC.TH_CCPU</v>
      </c>
      <c r="Q248" s="4" t="str">
        <f>VLOOKUP(Cobra8.6[[#This Row],[Table.Column]],ColumnMapping[Old Table.Column],1,)</f>
        <v>CALCDESC.TH_CCPU</v>
      </c>
    </row>
    <row r="249" spans="1:17" hidden="1" x14ac:dyDescent="0.2">
      <c r="A249" s="4" t="s">
        <v>2160</v>
      </c>
      <c r="B249" s="4">
        <v>0</v>
      </c>
      <c r="C249" s="4" t="s">
        <v>2160</v>
      </c>
      <c r="D249" s="4" t="s">
        <v>1564</v>
      </c>
      <c r="E249" s="4" t="s">
        <v>2124</v>
      </c>
      <c r="F249" s="4">
        <v>21</v>
      </c>
      <c r="G249" s="4">
        <v>6</v>
      </c>
      <c r="H249" s="4">
        <v>0</v>
      </c>
      <c r="K249" s="4">
        <v>0</v>
      </c>
      <c r="N249" s="4">
        <v>0</v>
      </c>
      <c r="O249" s="4">
        <v>0</v>
      </c>
      <c r="P249" s="4" t="str">
        <f t="shared" si="3"/>
        <v>CALCDESC.TH_CCVF</v>
      </c>
      <c r="Q249" s="4" t="str">
        <f>VLOOKUP(Cobra8.6[[#This Row],[Table.Column]],ColumnMapping[Old Table.Column],1,)</f>
        <v>CALCDESC.TH_CCVF</v>
      </c>
    </row>
    <row r="250" spans="1:17" hidden="1" x14ac:dyDescent="0.2">
      <c r="A250" s="4" t="s">
        <v>2160</v>
      </c>
      <c r="B250" s="4">
        <v>0</v>
      </c>
      <c r="C250" s="4" t="s">
        <v>2160</v>
      </c>
      <c r="D250" s="4" t="s">
        <v>1566</v>
      </c>
      <c r="E250" s="4" t="s">
        <v>2124</v>
      </c>
      <c r="F250" s="4">
        <v>21</v>
      </c>
      <c r="G250" s="4">
        <v>6</v>
      </c>
      <c r="H250" s="4">
        <v>0</v>
      </c>
      <c r="K250" s="4">
        <v>0</v>
      </c>
      <c r="N250" s="4">
        <v>0</v>
      </c>
      <c r="O250" s="4">
        <v>0</v>
      </c>
      <c r="P250" s="4" t="str">
        <f t="shared" si="3"/>
        <v>CALCDESC.TH_CCVU</v>
      </c>
      <c r="Q250" s="4" t="str">
        <f>VLOOKUP(Cobra8.6[[#This Row],[Table.Column]],ColumnMapping[Old Table.Column],1,)</f>
        <v>CALCDESC.TH_CCVU</v>
      </c>
    </row>
    <row r="251" spans="1:17" hidden="1" x14ac:dyDescent="0.2">
      <c r="A251" s="4" t="s">
        <v>2160</v>
      </c>
      <c r="B251" s="4">
        <v>0</v>
      </c>
      <c r="C251" s="4" t="s">
        <v>2160</v>
      </c>
      <c r="D251" s="4" t="s">
        <v>1568</v>
      </c>
      <c r="E251" s="4" t="s">
        <v>2124</v>
      </c>
      <c r="F251" s="4">
        <v>5</v>
      </c>
      <c r="G251" s="4">
        <v>2</v>
      </c>
      <c r="H251" s="4">
        <v>0</v>
      </c>
      <c r="K251" s="4">
        <v>0</v>
      </c>
      <c r="N251" s="4">
        <v>0</v>
      </c>
      <c r="O251" s="4">
        <v>0</v>
      </c>
      <c r="P251" s="4" t="str">
        <f t="shared" si="3"/>
        <v>CALCDESC.TH_CPPF</v>
      </c>
      <c r="Q251" s="4" t="str">
        <f>VLOOKUP(Cobra8.6[[#This Row],[Table.Column]],ColumnMapping[Old Table.Column],1,)</f>
        <v>CALCDESC.TH_CPPF</v>
      </c>
    </row>
    <row r="252" spans="1:17" hidden="1" x14ac:dyDescent="0.2">
      <c r="A252" s="4" t="s">
        <v>2160</v>
      </c>
      <c r="B252" s="4">
        <v>0</v>
      </c>
      <c r="C252" s="4" t="s">
        <v>2160</v>
      </c>
      <c r="D252" s="4" t="s">
        <v>1570</v>
      </c>
      <c r="E252" s="4" t="s">
        <v>2124</v>
      </c>
      <c r="F252" s="4">
        <v>5</v>
      </c>
      <c r="G252" s="4">
        <v>2</v>
      </c>
      <c r="H252" s="4">
        <v>0</v>
      </c>
      <c r="K252" s="4">
        <v>0</v>
      </c>
      <c r="N252" s="4">
        <v>0</v>
      </c>
      <c r="O252" s="4">
        <v>0</v>
      </c>
      <c r="P252" s="4" t="str">
        <f t="shared" si="3"/>
        <v>CALCDESC.TH_CPPU</v>
      </c>
      <c r="Q252" s="4" t="str">
        <f>VLOOKUP(Cobra8.6[[#This Row],[Table.Column]],ColumnMapping[Old Table.Column],1,)</f>
        <v>CALCDESC.TH_CPPU</v>
      </c>
    </row>
    <row r="253" spans="1:17" hidden="1" x14ac:dyDescent="0.2">
      <c r="A253" s="4" t="s">
        <v>2160</v>
      </c>
      <c r="B253" s="4">
        <v>0</v>
      </c>
      <c r="C253" s="4" t="s">
        <v>2160</v>
      </c>
      <c r="D253" s="4" t="s">
        <v>1572</v>
      </c>
      <c r="E253" s="4" t="s">
        <v>2124</v>
      </c>
      <c r="F253" s="4">
        <v>21</v>
      </c>
      <c r="G253" s="4">
        <v>6</v>
      </c>
      <c r="H253" s="4">
        <v>0</v>
      </c>
      <c r="K253" s="4">
        <v>0</v>
      </c>
      <c r="N253" s="4">
        <v>0</v>
      </c>
      <c r="O253" s="4">
        <v>0</v>
      </c>
      <c r="P253" s="4" t="str">
        <f t="shared" si="3"/>
        <v>CALCDESC.TH_CPVF</v>
      </c>
      <c r="Q253" s="4" t="str">
        <f>VLOOKUP(Cobra8.6[[#This Row],[Table.Column]],ColumnMapping[Old Table.Column],1,)</f>
        <v>CALCDESC.TH_CPVF</v>
      </c>
    </row>
    <row r="254" spans="1:17" hidden="1" x14ac:dyDescent="0.2">
      <c r="A254" s="4" t="s">
        <v>2160</v>
      </c>
      <c r="B254" s="4">
        <v>0</v>
      </c>
      <c r="C254" s="4" t="s">
        <v>2160</v>
      </c>
      <c r="D254" s="4" t="s">
        <v>1574</v>
      </c>
      <c r="E254" s="4" t="s">
        <v>2124</v>
      </c>
      <c r="F254" s="4">
        <v>21</v>
      </c>
      <c r="G254" s="4">
        <v>6</v>
      </c>
      <c r="H254" s="4">
        <v>0</v>
      </c>
      <c r="K254" s="4">
        <v>0</v>
      </c>
      <c r="N254" s="4">
        <v>0</v>
      </c>
      <c r="O254" s="4">
        <v>0</v>
      </c>
      <c r="P254" s="4" t="str">
        <f t="shared" si="3"/>
        <v>CALCDESC.TH_CPVU</v>
      </c>
      <c r="Q254" s="4" t="str">
        <f>VLOOKUP(Cobra8.6[[#This Row],[Table.Column]],ColumnMapping[Old Table.Column],1,)</f>
        <v>CALCDESC.TH_CPVU</v>
      </c>
    </row>
    <row r="255" spans="1:17" hidden="1" x14ac:dyDescent="0.2">
      <c r="A255" s="4" t="s">
        <v>2160</v>
      </c>
      <c r="B255" s="4">
        <v>0</v>
      </c>
      <c r="C255" s="4" t="s">
        <v>2160</v>
      </c>
      <c r="D255" s="4" t="s">
        <v>1576</v>
      </c>
      <c r="E255" s="4" t="s">
        <v>2124</v>
      </c>
      <c r="F255" s="4">
        <v>5</v>
      </c>
      <c r="G255" s="4">
        <v>2</v>
      </c>
      <c r="H255" s="4">
        <v>0</v>
      </c>
      <c r="K255" s="4">
        <v>0</v>
      </c>
      <c r="N255" s="4">
        <v>0</v>
      </c>
      <c r="O255" s="4">
        <v>0</v>
      </c>
      <c r="P255" s="4" t="str">
        <f t="shared" si="3"/>
        <v>CALCDESC.TH_SCPF</v>
      </c>
      <c r="Q255" s="4" t="str">
        <f>VLOOKUP(Cobra8.6[[#This Row],[Table.Column]],ColumnMapping[Old Table.Column],1,)</f>
        <v>CALCDESC.TH_SCPF</v>
      </c>
    </row>
    <row r="256" spans="1:17" hidden="1" x14ac:dyDescent="0.2">
      <c r="A256" s="4" t="s">
        <v>2160</v>
      </c>
      <c r="B256" s="4">
        <v>0</v>
      </c>
      <c r="C256" s="4" t="s">
        <v>2160</v>
      </c>
      <c r="D256" s="4" t="s">
        <v>1578</v>
      </c>
      <c r="E256" s="4" t="s">
        <v>2124</v>
      </c>
      <c r="F256" s="4">
        <v>5</v>
      </c>
      <c r="G256" s="4">
        <v>2</v>
      </c>
      <c r="H256" s="4">
        <v>0</v>
      </c>
      <c r="K256" s="4">
        <v>0</v>
      </c>
      <c r="N256" s="4">
        <v>0</v>
      </c>
      <c r="O256" s="4">
        <v>0</v>
      </c>
      <c r="P256" s="4" t="str">
        <f t="shared" si="3"/>
        <v>CALCDESC.TH_SCPU</v>
      </c>
      <c r="Q256" s="4" t="str">
        <f>VLOOKUP(Cobra8.6[[#This Row],[Table.Column]],ColumnMapping[Old Table.Column],1,)</f>
        <v>CALCDESC.TH_SCPU</v>
      </c>
    </row>
    <row r="257" spans="1:17" hidden="1" x14ac:dyDescent="0.2">
      <c r="A257" s="4" t="s">
        <v>2160</v>
      </c>
      <c r="B257" s="4">
        <v>0</v>
      </c>
      <c r="C257" s="4" t="s">
        <v>2160</v>
      </c>
      <c r="D257" s="4" t="s">
        <v>1580</v>
      </c>
      <c r="E257" s="4" t="s">
        <v>2124</v>
      </c>
      <c r="F257" s="4">
        <v>21</v>
      </c>
      <c r="G257" s="4">
        <v>6</v>
      </c>
      <c r="H257" s="4">
        <v>0</v>
      </c>
      <c r="K257" s="4">
        <v>0</v>
      </c>
      <c r="N257" s="4">
        <v>0</v>
      </c>
      <c r="O257" s="4">
        <v>0</v>
      </c>
      <c r="P257" s="4" t="str">
        <f t="shared" si="3"/>
        <v>CALCDESC.TH_SCVF</v>
      </c>
      <c r="Q257" s="4" t="str">
        <f>VLOOKUP(Cobra8.6[[#This Row],[Table.Column]],ColumnMapping[Old Table.Column],1,)</f>
        <v>CALCDESC.TH_SCVF</v>
      </c>
    </row>
    <row r="258" spans="1:17" hidden="1" x14ac:dyDescent="0.2">
      <c r="A258" s="4" t="s">
        <v>2160</v>
      </c>
      <c r="B258" s="4">
        <v>0</v>
      </c>
      <c r="C258" s="4" t="s">
        <v>2160</v>
      </c>
      <c r="D258" s="4" t="s">
        <v>1582</v>
      </c>
      <c r="E258" s="4" t="s">
        <v>2124</v>
      </c>
      <c r="F258" s="4">
        <v>21</v>
      </c>
      <c r="G258" s="4">
        <v>6</v>
      </c>
      <c r="H258" s="4">
        <v>0</v>
      </c>
      <c r="K258" s="4">
        <v>0</v>
      </c>
      <c r="N258" s="4">
        <v>0</v>
      </c>
      <c r="O258" s="4">
        <v>0</v>
      </c>
      <c r="P258" s="4" t="str">
        <f t="shared" ref="P258:P321" si="4">_xlfn.CONCAT(A258,".",D258)</f>
        <v>CALCDESC.TH_SCVU</v>
      </c>
      <c r="Q258" s="4" t="str">
        <f>VLOOKUP(Cobra8.6[[#This Row],[Table.Column]],ColumnMapping[Old Table.Column],1,)</f>
        <v>CALCDESC.TH_SCVU</v>
      </c>
    </row>
    <row r="259" spans="1:17" hidden="1" x14ac:dyDescent="0.2">
      <c r="A259" s="4" t="s">
        <v>2160</v>
      </c>
      <c r="B259" s="4">
        <v>0</v>
      </c>
      <c r="C259" s="4" t="s">
        <v>2160</v>
      </c>
      <c r="D259" s="4" t="s">
        <v>1584</v>
      </c>
      <c r="E259" s="4" t="s">
        <v>2124</v>
      </c>
      <c r="F259" s="4">
        <v>5</v>
      </c>
      <c r="G259" s="4">
        <v>2</v>
      </c>
      <c r="H259" s="4">
        <v>0</v>
      </c>
      <c r="K259" s="4">
        <v>0</v>
      </c>
      <c r="N259" s="4">
        <v>0</v>
      </c>
      <c r="O259" s="4">
        <v>0</v>
      </c>
      <c r="P259" s="4" t="str">
        <f t="shared" si="4"/>
        <v>CALCDESC.TH_SPPF</v>
      </c>
      <c r="Q259" s="4" t="str">
        <f>VLOOKUP(Cobra8.6[[#This Row],[Table.Column]],ColumnMapping[Old Table.Column],1,)</f>
        <v>CALCDESC.TH_SPPF</v>
      </c>
    </row>
    <row r="260" spans="1:17" hidden="1" x14ac:dyDescent="0.2">
      <c r="A260" s="4" t="s">
        <v>2160</v>
      </c>
      <c r="B260" s="4">
        <v>0</v>
      </c>
      <c r="C260" s="4" t="s">
        <v>2160</v>
      </c>
      <c r="D260" s="4" t="s">
        <v>1586</v>
      </c>
      <c r="E260" s="4" t="s">
        <v>2124</v>
      </c>
      <c r="F260" s="4">
        <v>5</v>
      </c>
      <c r="G260" s="4">
        <v>2</v>
      </c>
      <c r="H260" s="4">
        <v>0</v>
      </c>
      <c r="K260" s="4">
        <v>0</v>
      </c>
      <c r="N260" s="4">
        <v>0</v>
      </c>
      <c r="O260" s="4">
        <v>0</v>
      </c>
      <c r="P260" s="4" t="str">
        <f t="shared" si="4"/>
        <v>CALCDESC.TH_SPPU</v>
      </c>
      <c r="Q260" s="4" t="str">
        <f>VLOOKUP(Cobra8.6[[#This Row],[Table.Column]],ColumnMapping[Old Table.Column],1,)</f>
        <v>CALCDESC.TH_SPPU</v>
      </c>
    </row>
    <row r="261" spans="1:17" hidden="1" x14ac:dyDescent="0.2">
      <c r="A261" s="4" t="s">
        <v>2160</v>
      </c>
      <c r="B261" s="4">
        <v>0</v>
      </c>
      <c r="C261" s="4" t="s">
        <v>2160</v>
      </c>
      <c r="D261" s="4" t="s">
        <v>1588</v>
      </c>
      <c r="E261" s="4" t="s">
        <v>2124</v>
      </c>
      <c r="F261" s="4">
        <v>21</v>
      </c>
      <c r="G261" s="4">
        <v>6</v>
      </c>
      <c r="H261" s="4">
        <v>0</v>
      </c>
      <c r="K261" s="4">
        <v>0</v>
      </c>
      <c r="N261" s="4">
        <v>0</v>
      </c>
      <c r="O261" s="4">
        <v>0</v>
      </c>
      <c r="P261" s="4" t="str">
        <f t="shared" si="4"/>
        <v>CALCDESC.TH_SPVF</v>
      </c>
      <c r="Q261" s="4" t="str">
        <f>VLOOKUP(Cobra8.6[[#This Row],[Table.Column]],ColumnMapping[Old Table.Column],1,)</f>
        <v>CALCDESC.TH_SPVF</v>
      </c>
    </row>
    <row r="262" spans="1:17" hidden="1" x14ac:dyDescent="0.2">
      <c r="A262" s="4" t="s">
        <v>2160</v>
      </c>
      <c r="B262" s="4">
        <v>0</v>
      </c>
      <c r="C262" s="4" t="s">
        <v>2160</v>
      </c>
      <c r="D262" s="4" t="s">
        <v>1590</v>
      </c>
      <c r="E262" s="4" t="s">
        <v>2124</v>
      </c>
      <c r="F262" s="4">
        <v>21</v>
      </c>
      <c r="G262" s="4">
        <v>6</v>
      </c>
      <c r="H262" s="4">
        <v>0</v>
      </c>
      <c r="K262" s="4">
        <v>0</v>
      </c>
      <c r="N262" s="4">
        <v>0</v>
      </c>
      <c r="O262" s="4">
        <v>0</v>
      </c>
      <c r="P262" s="4" t="str">
        <f t="shared" si="4"/>
        <v>CALCDESC.TH_SPVU</v>
      </c>
      <c r="Q262" s="4" t="str">
        <f>VLOOKUP(Cobra8.6[[#This Row],[Table.Column]],ColumnMapping[Old Table.Column],1,)</f>
        <v>CALCDESC.TH_SPVU</v>
      </c>
    </row>
    <row r="263" spans="1:17" hidden="1" x14ac:dyDescent="0.2">
      <c r="A263" s="4" t="s">
        <v>2160</v>
      </c>
      <c r="B263" s="4">
        <v>0</v>
      </c>
      <c r="C263" s="4" t="s">
        <v>2160</v>
      </c>
      <c r="D263" s="4" t="s">
        <v>2112</v>
      </c>
      <c r="E263" s="4" t="s">
        <v>86</v>
      </c>
      <c r="F263" s="4">
        <v>20</v>
      </c>
      <c r="G263" s="4">
        <v>0</v>
      </c>
      <c r="H263" s="4">
        <v>0</v>
      </c>
      <c r="K263" s="4">
        <v>0</v>
      </c>
      <c r="N263" s="4">
        <v>0</v>
      </c>
      <c r="O263" s="4">
        <v>0</v>
      </c>
      <c r="P263" s="4" t="str">
        <f t="shared" si="4"/>
        <v>CALCDESC.USR_ID</v>
      </c>
      <c r="Q263" s="4" t="str">
        <f>VLOOKUP(Cobra8.6[[#This Row],[Table.Column]],ColumnMapping[Old Table.Column],1,)</f>
        <v>CALCDESC.USR_ID</v>
      </c>
    </row>
    <row r="264" spans="1:17" hidden="1" x14ac:dyDescent="0.2">
      <c r="A264" s="4" t="s">
        <v>2163</v>
      </c>
      <c r="B264" s="4">
        <v>0</v>
      </c>
      <c r="C264" s="4" t="s">
        <v>2163</v>
      </c>
      <c r="D264" s="4" t="s">
        <v>2164</v>
      </c>
      <c r="E264" s="4" t="s">
        <v>86</v>
      </c>
      <c r="F264" s="4">
        <v>20</v>
      </c>
      <c r="G264" s="4">
        <v>0</v>
      </c>
      <c r="H264" s="4">
        <v>0</v>
      </c>
      <c r="K264" s="4">
        <v>0</v>
      </c>
      <c r="N264" s="4">
        <v>0</v>
      </c>
      <c r="O264" s="4">
        <v>0</v>
      </c>
      <c r="P264" s="4" t="str">
        <f t="shared" si="4"/>
        <v>CALCDETL.ALIAS</v>
      </c>
      <c r="Q264" s="4" t="str">
        <f>VLOOKUP(Cobra8.6[[#This Row],[Table.Column]],ColumnMapping[Old Table.Column],1,)</f>
        <v>CALCDETL.ALIAS</v>
      </c>
    </row>
    <row r="265" spans="1:17" hidden="1" x14ac:dyDescent="0.2">
      <c r="A265" s="4" t="s">
        <v>2163</v>
      </c>
      <c r="B265" s="4">
        <v>0</v>
      </c>
      <c r="C265" s="4" t="s">
        <v>2163</v>
      </c>
      <c r="D265" s="4" t="s">
        <v>1501</v>
      </c>
      <c r="E265" s="4" t="s">
        <v>86</v>
      </c>
      <c r="F265" s="4">
        <v>22</v>
      </c>
      <c r="G265" s="4">
        <v>0</v>
      </c>
      <c r="H265" s="4">
        <v>0</v>
      </c>
      <c r="K265" s="4">
        <v>0</v>
      </c>
      <c r="N265" s="4">
        <v>0</v>
      </c>
      <c r="O265" s="4">
        <v>0</v>
      </c>
      <c r="P265" s="4" t="str">
        <f t="shared" si="4"/>
        <v>CALCDETL.CALCFILE</v>
      </c>
      <c r="Q265" s="4" t="str">
        <f>VLOOKUP(Cobra8.6[[#This Row],[Table.Column]],ColumnMapping[Old Table.Column],1,)</f>
        <v>CALCDETL.CALCFILE</v>
      </c>
    </row>
    <row r="266" spans="1:17" hidden="1" x14ac:dyDescent="0.2">
      <c r="A266" s="4" t="s">
        <v>2163</v>
      </c>
      <c r="B266" s="4">
        <v>0</v>
      </c>
      <c r="C266" s="4" t="s">
        <v>2163</v>
      </c>
      <c r="D266" s="4" t="s">
        <v>1098</v>
      </c>
      <c r="E266" s="4" t="s">
        <v>86</v>
      </c>
      <c r="F266" s="4">
        <v>59</v>
      </c>
      <c r="G266" s="4">
        <v>0</v>
      </c>
      <c r="H266" s="4">
        <v>0</v>
      </c>
      <c r="K266" s="4">
        <v>0</v>
      </c>
      <c r="N266" s="4">
        <v>0</v>
      </c>
      <c r="O266" s="4">
        <v>0</v>
      </c>
      <c r="P266" s="4" t="str">
        <f t="shared" si="4"/>
        <v>CALCDETL.CECODE</v>
      </c>
      <c r="Q266" s="4" t="str">
        <f>VLOOKUP(Cobra8.6[[#This Row],[Table.Column]],ColumnMapping[Old Table.Column],1,)</f>
        <v>CALCDETL.CECODE</v>
      </c>
    </row>
    <row r="267" spans="1:17" hidden="1" x14ac:dyDescent="0.2">
      <c r="A267" s="4" t="s">
        <v>2163</v>
      </c>
      <c r="B267" s="4">
        <v>0</v>
      </c>
      <c r="C267" s="4" t="s">
        <v>2163</v>
      </c>
      <c r="D267" s="4" t="s">
        <v>2165</v>
      </c>
      <c r="E267" s="4" t="s">
        <v>86</v>
      </c>
      <c r="F267" s="4">
        <v>1</v>
      </c>
      <c r="G267" s="4">
        <v>0</v>
      </c>
      <c r="H267" s="4">
        <v>0</v>
      </c>
      <c r="K267" s="4">
        <v>0</v>
      </c>
      <c r="N267" s="4">
        <v>0</v>
      </c>
      <c r="O267" s="4">
        <v>0</v>
      </c>
      <c r="P267" s="4" t="str">
        <f t="shared" si="4"/>
        <v>CALCDETL.CURRNCY</v>
      </c>
      <c r="Q267" s="4" t="e">
        <f>VLOOKUP(Cobra8.6[[#This Row],[Table.Column]],ColumnMapping[Old Table.Column],1,)</f>
        <v>#N/A</v>
      </c>
    </row>
    <row r="268" spans="1:17" hidden="1" x14ac:dyDescent="0.2">
      <c r="A268" s="4" t="s">
        <v>2163</v>
      </c>
      <c r="B268" s="4">
        <v>0</v>
      </c>
      <c r="C268" s="4" t="s">
        <v>2163</v>
      </c>
      <c r="D268" s="4" t="s">
        <v>2111</v>
      </c>
      <c r="E268" s="4" t="s">
        <v>356</v>
      </c>
      <c r="F268" s="4">
        <v>-1</v>
      </c>
      <c r="G268" s="4">
        <v>0</v>
      </c>
      <c r="H268" s="4">
        <v>0</v>
      </c>
      <c r="K268" s="4">
        <v>0</v>
      </c>
      <c r="N268" s="4">
        <v>0</v>
      </c>
      <c r="O268" s="4">
        <v>0</v>
      </c>
      <c r="P268" s="4" t="str">
        <f t="shared" si="4"/>
        <v>CALCDETL.LASTUPDATE</v>
      </c>
      <c r="Q268" s="4" t="str">
        <f>VLOOKUP(Cobra8.6[[#This Row],[Table.Column]],ColumnMapping[Old Table.Column],1,)</f>
        <v>CALCDETL.LASTUPDATE</v>
      </c>
    </row>
    <row r="269" spans="1:17" hidden="1" x14ac:dyDescent="0.2">
      <c r="A269" s="4" t="s">
        <v>2163</v>
      </c>
      <c r="B269" s="4">
        <v>0</v>
      </c>
      <c r="C269" s="4" t="s">
        <v>2163</v>
      </c>
      <c r="D269" s="4" t="s">
        <v>1454</v>
      </c>
      <c r="E269" s="4" t="s">
        <v>2108</v>
      </c>
      <c r="F269" s="4">
        <v>-1</v>
      </c>
      <c r="G269" s="4">
        <v>0</v>
      </c>
      <c r="H269" s="4">
        <v>0</v>
      </c>
      <c r="K269" s="4">
        <v>0</v>
      </c>
      <c r="N269" s="4">
        <v>0</v>
      </c>
      <c r="O269" s="4">
        <v>0</v>
      </c>
      <c r="P269" s="4" t="str">
        <f t="shared" si="4"/>
        <v>CALCDETL.LINE</v>
      </c>
      <c r="Q269" s="4" t="str">
        <f>VLOOKUP(Cobra8.6[[#This Row],[Table.Column]],ColumnMapping[Old Table.Column],1,)</f>
        <v>CALCDETL.LINE</v>
      </c>
    </row>
    <row r="270" spans="1:17" hidden="1" x14ac:dyDescent="0.2">
      <c r="A270" s="4" t="s">
        <v>2163</v>
      </c>
      <c r="B270" s="4">
        <v>0</v>
      </c>
      <c r="C270" s="4" t="s">
        <v>2163</v>
      </c>
      <c r="D270" s="4" t="s">
        <v>1434</v>
      </c>
      <c r="E270" s="4" t="s">
        <v>86</v>
      </c>
      <c r="F270" s="4">
        <v>59</v>
      </c>
      <c r="G270" s="4">
        <v>0</v>
      </c>
      <c r="H270" s="4">
        <v>0</v>
      </c>
      <c r="K270" s="4">
        <v>0</v>
      </c>
      <c r="N270" s="4">
        <v>0</v>
      </c>
      <c r="O270" s="4">
        <v>0</v>
      </c>
      <c r="P270" s="4" t="str">
        <f t="shared" si="4"/>
        <v>CALCDETL.RATE_TABLE</v>
      </c>
      <c r="Q270" s="4" t="str">
        <f>VLOOKUP(Cobra8.6[[#This Row],[Table.Column]],ColumnMapping[Old Table.Column],1,)</f>
        <v>CALCDETL.RATE_TABLE</v>
      </c>
    </row>
    <row r="271" spans="1:17" hidden="1" x14ac:dyDescent="0.2">
      <c r="A271" s="4" t="s">
        <v>2163</v>
      </c>
      <c r="B271" s="4">
        <v>0</v>
      </c>
      <c r="C271" s="4" t="s">
        <v>2163</v>
      </c>
      <c r="D271" s="4" t="s">
        <v>865</v>
      </c>
      <c r="E271" s="4" t="s">
        <v>86</v>
      </c>
      <c r="F271" s="4">
        <v>10</v>
      </c>
      <c r="G271" s="4">
        <v>0</v>
      </c>
      <c r="H271" s="4">
        <v>0</v>
      </c>
      <c r="K271" s="4">
        <v>0</v>
      </c>
      <c r="N271" s="4">
        <v>0</v>
      </c>
      <c r="O271" s="4">
        <v>0</v>
      </c>
      <c r="P271" s="4" t="str">
        <f t="shared" si="4"/>
        <v>CALCDETL.RESULT</v>
      </c>
      <c r="Q271" s="4" t="str">
        <f>VLOOKUP(Cobra8.6[[#This Row],[Table.Column]],ColumnMapping[Old Table.Column],1,)</f>
        <v>CALCDETL.RESULT</v>
      </c>
    </row>
    <row r="272" spans="1:17" hidden="1" x14ac:dyDescent="0.2">
      <c r="A272" s="4" t="s">
        <v>2163</v>
      </c>
      <c r="B272" s="4">
        <v>0</v>
      </c>
      <c r="C272" s="4" t="s">
        <v>2163</v>
      </c>
      <c r="D272" s="4" t="s">
        <v>35</v>
      </c>
      <c r="E272" s="4" t="s">
        <v>2108</v>
      </c>
      <c r="F272" s="4">
        <v>-1</v>
      </c>
      <c r="G272" s="4">
        <v>0</v>
      </c>
      <c r="H272" s="4">
        <v>0</v>
      </c>
      <c r="K272" s="4">
        <v>0</v>
      </c>
      <c r="N272" s="4">
        <v>0</v>
      </c>
      <c r="O272" s="4">
        <v>0</v>
      </c>
      <c r="P272" s="4" t="str">
        <f t="shared" si="4"/>
        <v>CALCDETL.SEQUENCE</v>
      </c>
      <c r="Q272" s="4" t="str">
        <f>VLOOKUP(Cobra8.6[[#This Row],[Table.Column]],ColumnMapping[Old Table.Column],1,)</f>
        <v>CALCDETL.SEQUENCE</v>
      </c>
    </row>
    <row r="273" spans="1:17" hidden="1" x14ac:dyDescent="0.2">
      <c r="A273" s="4" t="s">
        <v>2163</v>
      </c>
      <c r="C273" s="4" t="s">
        <v>2163</v>
      </c>
      <c r="D273" s="4" t="s">
        <v>2166</v>
      </c>
      <c r="E273" s="4" t="s">
        <v>86</v>
      </c>
      <c r="F273" s="4">
        <v>1</v>
      </c>
      <c r="G273" s="4">
        <v>0</v>
      </c>
      <c r="H273" s="4">
        <v>0</v>
      </c>
      <c r="K273" s="4">
        <v>0</v>
      </c>
      <c r="N273" s="4">
        <v>0</v>
      </c>
      <c r="O273" s="4">
        <v>0</v>
      </c>
      <c r="P273" s="4" t="str">
        <f t="shared" si="4"/>
        <v>CALCDETL.SORT_CODE</v>
      </c>
      <c r="Q273" s="4" t="str">
        <f>VLOOKUP(Cobra8.6[[#This Row],[Table.Column]],ColumnMapping[Old Table.Column],1,)</f>
        <v>CALCDETL.SORT_CODE</v>
      </c>
    </row>
    <row r="274" spans="1:17" hidden="1" x14ac:dyDescent="0.2">
      <c r="A274" s="4" t="s">
        <v>2163</v>
      </c>
      <c r="B274" s="4">
        <v>0</v>
      </c>
      <c r="C274" s="4" t="s">
        <v>2163</v>
      </c>
      <c r="D274" s="4" t="s">
        <v>1467</v>
      </c>
      <c r="E274" s="4" t="s">
        <v>86</v>
      </c>
      <c r="F274" s="4">
        <v>10</v>
      </c>
      <c r="G274" s="4">
        <v>0</v>
      </c>
      <c r="H274" s="4">
        <v>0</v>
      </c>
      <c r="K274" s="4">
        <v>0</v>
      </c>
      <c r="N274" s="4">
        <v>0</v>
      </c>
      <c r="O274" s="4">
        <v>0</v>
      </c>
      <c r="P274" s="4" t="str">
        <f t="shared" si="4"/>
        <v>CALCDETL.SOURCE1</v>
      </c>
      <c r="Q274" s="4" t="e">
        <f>VLOOKUP(Cobra8.6[[#This Row],[Table.Column]],ColumnMapping[Old Table.Column],1,)</f>
        <v>#N/A</v>
      </c>
    </row>
    <row r="275" spans="1:17" hidden="1" x14ac:dyDescent="0.2">
      <c r="A275" s="4" t="s">
        <v>2163</v>
      </c>
      <c r="B275" s="4">
        <v>0</v>
      </c>
      <c r="C275" s="4" t="s">
        <v>2163</v>
      </c>
      <c r="D275" s="4" t="s">
        <v>1494</v>
      </c>
      <c r="E275" s="4" t="s">
        <v>86</v>
      </c>
      <c r="F275" s="4">
        <v>10</v>
      </c>
      <c r="G275" s="4">
        <v>0</v>
      </c>
      <c r="H275" s="4">
        <v>0</v>
      </c>
      <c r="K275" s="4">
        <v>0</v>
      </c>
      <c r="N275" s="4">
        <v>0</v>
      </c>
      <c r="O275" s="4">
        <v>0</v>
      </c>
      <c r="P275" s="4" t="str">
        <f t="shared" si="4"/>
        <v>CALCDETL.SOURCE10</v>
      </c>
      <c r="Q275" s="4" t="e">
        <f>VLOOKUP(Cobra8.6[[#This Row],[Table.Column]],ColumnMapping[Old Table.Column],1,)</f>
        <v>#N/A</v>
      </c>
    </row>
    <row r="276" spans="1:17" hidden="1" x14ac:dyDescent="0.2">
      <c r="A276" s="4" t="s">
        <v>2163</v>
      </c>
      <c r="B276" s="4">
        <v>0</v>
      </c>
      <c r="C276" s="4" t="s">
        <v>2163</v>
      </c>
      <c r="D276" s="4" t="s">
        <v>1470</v>
      </c>
      <c r="E276" s="4" t="s">
        <v>86</v>
      </c>
      <c r="F276" s="4">
        <v>10</v>
      </c>
      <c r="G276" s="4">
        <v>0</v>
      </c>
      <c r="H276" s="4">
        <v>0</v>
      </c>
      <c r="K276" s="4">
        <v>0</v>
      </c>
      <c r="N276" s="4">
        <v>0</v>
      </c>
      <c r="O276" s="4">
        <v>0</v>
      </c>
      <c r="P276" s="4" t="str">
        <f t="shared" si="4"/>
        <v>CALCDETL.SOURCE2</v>
      </c>
      <c r="Q276" s="4" t="e">
        <f>VLOOKUP(Cobra8.6[[#This Row],[Table.Column]],ColumnMapping[Old Table.Column],1,)</f>
        <v>#N/A</v>
      </c>
    </row>
    <row r="277" spans="1:17" hidden="1" x14ac:dyDescent="0.2">
      <c r="A277" s="4" t="s">
        <v>2163</v>
      </c>
      <c r="B277" s="4">
        <v>0</v>
      </c>
      <c r="C277" s="4" t="s">
        <v>2163</v>
      </c>
      <c r="D277" s="4" t="s">
        <v>1473</v>
      </c>
      <c r="E277" s="4" t="s">
        <v>86</v>
      </c>
      <c r="F277" s="4">
        <v>10</v>
      </c>
      <c r="G277" s="4">
        <v>0</v>
      </c>
      <c r="H277" s="4">
        <v>0</v>
      </c>
      <c r="K277" s="4">
        <v>0</v>
      </c>
      <c r="N277" s="4">
        <v>0</v>
      </c>
      <c r="O277" s="4">
        <v>0</v>
      </c>
      <c r="P277" s="4" t="str">
        <f t="shared" si="4"/>
        <v>CALCDETL.SOURCE3</v>
      </c>
      <c r="Q277" s="4" t="e">
        <f>VLOOKUP(Cobra8.6[[#This Row],[Table.Column]],ColumnMapping[Old Table.Column],1,)</f>
        <v>#N/A</v>
      </c>
    </row>
    <row r="278" spans="1:17" hidden="1" x14ac:dyDescent="0.2">
      <c r="A278" s="4" t="s">
        <v>2163</v>
      </c>
      <c r="B278" s="4">
        <v>0</v>
      </c>
      <c r="C278" s="4" t="s">
        <v>2163</v>
      </c>
      <c r="D278" s="4" t="s">
        <v>1476</v>
      </c>
      <c r="E278" s="4" t="s">
        <v>86</v>
      </c>
      <c r="F278" s="4">
        <v>10</v>
      </c>
      <c r="G278" s="4">
        <v>0</v>
      </c>
      <c r="H278" s="4">
        <v>0</v>
      </c>
      <c r="K278" s="4">
        <v>0</v>
      </c>
      <c r="N278" s="4">
        <v>0</v>
      </c>
      <c r="O278" s="4">
        <v>0</v>
      </c>
      <c r="P278" s="4" t="str">
        <f t="shared" si="4"/>
        <v>CALCDETL.SOURCE4</v>
      </c>
      <c r="Q278" s="4" t="e">
        <f>VLOOKUP(Cobra8.6[[#This Row],[Table.Column]],ColumnMapping[Old Table.Column],1,)</f>
        <v>#N/A</v>
      </c>
    </row>
    <row r="279" spans="1:17" hidden="1" x14ac:dyDescent="0.2">
      <c r="A279" s="4" t="s">
        <v>2163</v>
      </c>
      <c r="B279" s="4">
        <v>0</v>
      </c>
      <c r="C279" s="4" t="s">
        <v>2163</v>
      </c>
      <c r="D279" s="4" t="s">
        <v>1479</v>
      </c>
      <c r="E279" s="4" t="s">
        <v>86</v>
      </c>
      <c r="F279" s="4">
        <v>10</v>
      </c>
      <c r="G279" s="4">
        <v>0</v>
      </c>
      <c r="H279" s="4">
        <v>0</v>
      </c>
      <c r="K279" s="4">
        <v>0</v>
      </c>
      <c r="N279" s="4">
        <v>0</v>
      </c>
      <c r="O279" s="4">
        <v>0</v>
      </c>
      <c r="P279" s="4" t="str">
        <f t="shared" si="4"/>
        <v>CALCDETL.SOURCE5</v>
      </c>
      <c r="Q279" s="4" t="e">
        <f>VLOOKUP(Cobra8.6[[#This Row],[Table.Column]],ColumnMapping[Old Table.Column],1,)</f>
        <v>#N/A</v>
      </c>
    </row>
    <row r="280" spans="1:17" hidden="1" x14ac:dyDescent="0.2">
      <c r="A280" s="4" t="s">
        <v>2163</v>
      </c>
      <c r="B280" s="4">
        <v>0</v>
      </c>
      <c r="C280" s="4" t="s">
        <v>2163</v>
      </c>
      <c r="D280" s="4" t="s">
        <v>1482</v>
      </c>
      <c r="E280" s="4" t="s">
        <v>86</v>
      </c>
      <c r="F280" s="4">
        <v>10</v>
      </c>
      <c r="G280" s="4">
        <v>0</v>
      </c>
      <c r="H280" s="4">
        <v>0</v>
      </c>
      <c r="K280" s="4">
        <v>0</v>
      </c>
      <c r="N280" s="4">
        <v>0</v>
      </c>
      <c r="O280" s="4">
        <v>0</v>
      </c>
      <c r="P280" s="4" t="str">
        <f t="shared" si="4"/>
        <v>CALCDETL.SOURCE6</v>
      </c>
      <c r="Q280" s="4" t="e">
        <f>VLOOKUP(Cobra8.6[[#This Row],[Table.Column]],ColumnMapping[Old Table.Column],1,)</f>
        <v>#N/A</v>
      </c>
    </row>
    <row r="281" spans="1:17" hidden="1" x14ac:dyDescent="0.2">
      <c r="A281" s="4" t="s">
        <v>2163</v>
      </c>
      <c r="B281" s="4">
        <v>0</v>
      </c>
      <c r="C281" s="4" t="s">
        <v>2163</v>
      </c>
      <c r="D281" s="4" t="s">
        <v>1485</v>
      </c>
      <c r="E281" s="4" t="s">
        <v>86</v>
      </c>
      <c r="F281" s="4">
        <v>10</v>
      </c>
      <c r="G281" s="4">
        <v>0</v>
      </c>
      <c r="H281" s="4">
        <v>0</v>
      </c>
      <c r="K281" s="4">
        <v>0</v>
      </c>
      <c r="N281" s="4">
        <v>0</v>
      </c>
      <c r="O281" s="4">
        <v>0</v>
      </c>
      <c r="P281" s="4" t="str">
        <f t="shared" si="4"/>
        <v>CALCDETL.SOURCE7</v>
      </c>
      <c r="Q281" s="4" t="e">
        <f>VLOOKUP(Cobra8.6[[#This Row],[Table.Column]],ColumnMapping[Old Table.Column],1,)</f>
        <v>#N/A</v>
      </c>
    </row>
    <row r="282" spans="1:17" hidden="1" x14ac:dyDescent="0.2">
      <c r="A282" s="4" t="s">
        <v>2163</v>
      </c>
      <c r="B282" s="4">
        <v>0</v>
      </c>
      <c r="C282" s="4" t="s">
        <v>2163</v>
      </c>
      <c r="D282" s="4" t="s">
        <v>1488</v>
      </c>
      <c r="E282" s="4" t="s">
        <v>86</v>
      </c>
      <c r="F282" s="4">
        <v>10</v>
      </c>
      <c r="G282" s="4">
        <v>0</v>
      </c>
      <c r="H282" s="4">
        <v>0</v>
      </c>
      <c r="K282" s="4">
        <v>0</v>
      </c>
      <c r="N282" s="4">
        <v>0</v>
      </c>
      <c r="O282" s="4">
        <v>0</v>
      </c>
      <c r="P282" s="4" t="str">
        <f t="shared" si="4"/>
        <v>CALCDETL.SOURCE8</v>
      </c>
      <c r="Q282" s="4" t="e">
        <f>VLOOKUP(Cobra8.6[[#This Row],[Table.Column]],ColumnMapping[Old Table.Column],1,)</f>
        <v>#N/A</v>
      </c>
    </row>
    <row r="283" spans="1:17" hidden="1" x14ac:dyDescent="0.2">
      <c r="A283" s="4" t="s">
        <v>2163</v>
      </c>
      <c r="B283" s="4">
        <v>0</v>
      </c>
      <c r="C283" s="4" t="s">
        <v>2163</v>
      </c>
      <c r="D283" s="4" t="s">
        <v>1491</v>
      </c>
      <c r="E283" s="4" t="s">
        <v>86</v>
      </c>
      <c r="F283" s="4">
        <v>10</v>
      </c>
      <c r="G283" s="4">
        <v>0</v>
      </c>
      <c r="H283" s="4">
        <v>0</v>
      </c>
      <c r="K283" s="4">
        <v>0</v>
      </c>
      <c r="N283" s="4">
        <v>0</v>
      </c>
      <c r="O283" s="4">
        <v>0</v>
      </c>
      <c r="P283" s="4" t="str">
        <f t="shared" si="4"/>
        <v>CALCDETL.SOURCE9</v>
      </c>
      <c r="Q283" s="4" t="e">
        <f>VLOOKUP(Cobra8.6[[#This Row],[Table.Column]],ColumnMapping[Old Table.Column],1,)</f>
        <v>#N/A</v>
      </c>
    </row>
    <row r="284" spans="1:17" hidden="1" x14ac:dyDescent="0.2">
      <c r="A284" s="4" t="s">
        <v>2163</v>
      </c>
      <c r="B284" s="4">
        <v>0</v>
      </c>
      <c r="C284" s="4" t="s">
        <v>2163</v>
      </c>
      <c r="D284" s="4" t="s">
        <v>1463</v>
      </c>
      <c r="E284" s="4" t="s">
        <v>86</v>
      </c>
      <c r="F284" s="4">
        <v>10</v>
      </c>
      <c r="G284" s="4">
        <v>0</v>
      </c>
      <c r="H284" s="4">
        <v>0</v>
      </c>
      <c r="K284" s="4">
        <v>0</v>
      </c>
      <c r="N284" s="4">
        <v>0</v>
      </c>
      <c r="O284" s="4">
        <v>0</v>
      </c>
      <c r="P284" s="4" t="str">
        <f t="shared" si="4"/>
        <v>CALCDETL.UNITS</v>
      </c>
      <c r="Q284" s="4" t="str">
        <f>VLOOKUP(Cobra8.6[[#This Row],[Table.Column]],ColumnMapping[Old Table.Column],1,)</f>
        <v>CALCDETL.UNITS</v>
      </c>
    </row>
    <row r="285" spans="1:17" hidden="1" x14ac:dyDescent="0.2">
      <c r="A285" s="4" t="s">
        <v>2163</v>
      </c>
      <c r="B285" s="4">
        <v>0</v>
      </c>
      <c r="C285" s="4" t="s">
        <v>2163</v>
      </c>
      <c r="D285" s="4" t="s">
        <v>2112</v>
      </c>
      <c r="E285" s="4" t="s">
        <v>86</v>
      </c>
      <c r="F285" s="4">
        <v>20</v>
      </c>
      <c r="G285" s="4">
        <v>0</v>
      </c>
      <c r="H285" s="4">
        <v>0</v>
      </c>
      <c r="K285" s="4">
        <v>0</v>
      </c>
      <c r="N285" s="4">
        <v>0</v>
      </c>
      <c r="O285" s="4">
        <v>0</v>
      </c>
      <c r="P285" s="4" t="str">
        <f t="shared" si="4"/>
        <v>CALCDETL.USR_ID</v>
      </c>
      <c r="Q285" s="4" t="str">
        <f>VLOOKUP(Cobra8.6[[#This Row],[Table.Column]],ColumnMapping[Old Table.Column],1,)</f>
        <v>CALCDETL.USR_ID</v>
      </c>
    </row>
    <row r="286" spans="1:17" hidden="1" x14ac:dyDescent="0.2">
      <c r="A286" s="4" t="s">
        <v>2167</v>
      </c>
      <c r="B286" s="4">
        <v>0</v>
      </c>
      <c r="C286" s="4" t="s">
        <v>2167</v>
      </c>
      <c r="D286" s="4" t="s">
        <v>2168</v>
      </c>
      <c r="E286" s="4" t="s">
        <v>86</v>
      </c>
      <c r="F286" s="4">
        <v>59</v>
      </c>
      <c r="G286" s="4">
        <v>0</v>
      </c>
      <c r="H286" s="4">
        <v>0</v>
      </c>
      <c r="K286" s="4">
        <v>0</v>
      </c>
      <c r="N286" s="4">
        <v>0</v>
      </c>
      <c r="O286" s="4">
        <v>0</v>
      </c>
      <c r="P286" s="4" t="str">
        <f t="shared" si="4"/>
        <v>CALCEXPR.CALCEXPR_ID</v>
      </c>
      <c r="Q286" s="4" t="str">
        <f>VLOOKUP(Cobra8.6[[#This Row],[Table.Column]],ColumnMapping[Old Table.Column],1,)</f>
        <v>CALCEXPR.CALCEXPR_ID</v>
      </c>
    </row>
    <row r="287" spans="1:17" hidden="1" x14ac:dyDescent="0.2">
      <c r="A287" s="4" t="s">
        <v>2167</v>
      </c>
      <c r="B287" s="4">
        <v>0</v>
      </c>
      <c r="C287" s="4" t="s">
        <v>2167</v>
      </c>
      <c r="D287" s="4" t="s">
        <v>2169</v>
      </c>
      <c r="E287" s="4" t="s">
        <v>31</v>
      </c>
      <c r="F287" s="4">
        <v>22</v>
      </c>
      <c r="G287" s="4">
        <v>0</v>
      </c>
      <c r="H287" s="4">
        <v>0</v>
      </c>
      <c r="K287" s="4">
        <v>0</v>
      </c>
      <c r="N287" s="4">
        <v>0</v>
      </c>
      <c r="O287" s="4">
        <v>0</v>
      </c>
      <c r="P287" s="4" t="str">
        <f t="shared" si="4"/>
        <v>CALCEXPR.CALCEXPR_UID</v>
      </c>
      <c r="Q287" s="4" t="e">
        <f>VLOOKUP(Cobra8.6[[#This Row],[Table.Column]],ColumnMapping[Old Table.Column],1,)</f>
        <v>#N/A</v>
      </c>
    </row>
    <row r="288" spans="1:17" hidden="1" x14ac:dyDescent="0.2">
      <c r="A288" s="4" t="s">
        <v>2167</v>
      </c>
      <c r="B288" s="4">
        <v>0</v>
      </c>
      <c r="C288" s="4" t="s">
        <v>2167</v>
      </c>
      <c r="D288" s="4" t="s">
        <v>875</v>
      </c>
      <c r="E288" s="4" t="s">
        <v>86</v>
      </c>
      <c r="F288" s="4">
        <v>250</v>
      </c>
      <c r="G288" s="4">
        <v>0</v>
      </c>
      <c r="H288" s="4">
        <v>0</v>
      </c>
      <c r="K288" s="4">
        <v>0</v>
      </c>
      <c r="N288" s="4">
        <v>0</v>
      </c>
      <c r="O288" s="4">
        <v>0</v>
      </c>
      <c r="P288" s="4" t="str">
        <f t="shared" si="4"/>
        <v>CALCEXPR.EXPRESSION</v>
      </c>
      <c r="Q288" s="4" t="e">
        <f>VLOOKUP(Cobra8.6[[#This Row],[Table.Column]],ColumnMapping[Old Table.Column],1,)</f>
        <v>#N/A</v>
      </c>
    </row>
    <row r="289" spans="1:17" hidden="1" x14ac:dyDescent="0.2">
      <c r="A289" s="4" t="s">
        <v>2167</v>
      </c>
      <c r="B289" s="4">
        <v>0</v>
      </c>
      <c r="C289" s="4" t="s">
        <v>2167</v>
      </c>
      <c r="D289" s="4" t="s">
        <v>2170</v>
      </c>
      <c r="E289" s="4" t="s">
        <v>2108</v>
      </c>
      <c r="F289" s="4">
        <v>-1</v>
      </c>
      <c r="G289" s="4">
        <v>0</v>
      </c>
      <c r="H289" s="4">
        <v>0</v>
      </c>
      <c r="K289" s="4">
        <v>0</v>
      </c>
      <c r="N289" s="4">
        <v>0</v>
      </c>
      <c r="O289" s="4">
        <v>0</v>
      </c>
      <c r="P289" s="4" t="str">
        <f t="shared" si="4"/>
        <v>CALCEXPR.FLAGS</v>
      </c>
      <c r="Q289" s="4" t="e">
        <f>VLOOKUP(Cobra8.6[[#This Row],[Table.Column]],ColumnMapping[Old Table.Column],1,)</f>
        <v>#N/A</v>
      </c>
    </row>
    <row r="290" spans="1:17" hidden="1" x14ac:dyDescent="0.2">
      <c r="A290" s="4" t="s">
        <v>2167</v>
      </c>
      <c r="B290" s="4">
        <v>0</v>
      </c>
      <c r="C290" s="4" t="s">
        <v>2167</v>
      </c>
      <c r="D290" s="4" t="s">
        <v>2111</v>
      </c>
      <c r="E290" s="4" t="s">
        <v>356</v>
      </c>
      <c r="F290" s="4">
        <v>-1</v>
      </c>
      <c r="G290" s="4">
        <v>0</v>
      </c>
      <c r="H290" s="4">
        <v>0</v>
      </c>
      <c r="K290" s="4">
        <v>0</v>
      </c>
      <c r="N290" s="4">
        <v>0</v>
      </c>
      <c r="O290" s="4">
        <v>0</v>
      </c>
      <c r="P290" s="4" t="str">
        <f t="shared" si="4"/>
        <v>CALCEXPR.LASTUPDATE</v>
      </c>
      <c r="Q290" s="4" t="e">
        <f>VLOOKUP(Cobra8.6[[#This Row],[Table.Column]],ColumnMapping[Old Table.Column],1,)</f>
        <v>#N/A</v>
      </c>
    </row>
    <row r="291" spans="1:17" hidden="1" x14ac:dyDescent="0.2">
      <c r="A291" s="4" t="s">
        <v>2167</v>
      </c>
      <c r="B291" s="4">
        <v>0</v>
      </c>
      <c r="C291" s="4" t="s">
        <v>2167</v>
      </c>
      <c r="D291" s="4" t="s">
        <v>1936</v>
      </c>
      <c r="E291" s="4" t="s">
        <v>86</v>
      </c>
      <c r="F291" s="4">
        <v>20</v>
      </c>
      <c r="G291" s="4">
        <v>0</v>
      </c>
      <c r="H291" s="4">
        <v>0</v>
      </c>
      <c r="K291" s="4">
        <v>0</v>
      </c>
      <c r="N291" s="4">
        <v>0</v>
      </c>
      <c r="O291" s="4">
        <v>0</v>
      </c>
      <c r="P291" s="4" t="str">
        <f t="shared" si="4"/>
        <v>CALCEXPR.OWNER_ID</v>
      </c>
      <c r="Q291" s="4" t="e">
        <f>VLOOKUP(Cobra8.6[[#This Row],[Table.Column]],ColumnMapping[Old Table.Column],1,)</f>
        <v>#N/A</v>
      </c>
    </row>
    <row r="292" spans="1:17" hidden="1" x14ac:dyDescent="0.2">
      <c r="A292" s="4" t="s">
        <v>2167</v>
      </c>
      <c r="B292" s="4">
        <v>0</v>
      </c>
      <c r="C292" s="4" t="s">
        <v>2167</v>
      </c>
      <c r="D292" s="4" t="s">
        <v>35</v>
      </c>
      <c r="E292" s="4" t="s">
        <v>2108</v>
      </c>
      <c r="F292" s="4">
        <v>-1</v>
      </c>
      <c r="G292" s="4">
        <v>0</v>
      </c>
      <c r="H292" s="4">
        <v>0</v>
      </c>
      <c r="K292" s="4">
        <v>0</v>
      </c>
      <c r="N292" s="4">
        <v>0</v>
      </c>
      <c r="O292" s="4">
        <v>0</v>
      </c>
      <c r="P292" s="4" t="str">
        <f t="shared" si="4"/>
        <v>CALCEXPR.SEQUENCE</v>
      </c>
      <c r="Q292" s="4" t="e">
        <f>VLOOKUP(Cobra8.6[[#This Row],[Table.Column]],ColumnMapping[Old Table.Column],1,)</f>
        <v>#N/A</v>
      </c>
    </row>
    <row r="293" spans="1:17" hidden="1" x14ac:dyDescent="0.2">
      <c r="A293" s="4" t="s">
        <v>2167</v>
      </c>
      <c r="B293" s="4">
        <v>0</v>
      </c>
      <c r="C293" s="4" t="s">
        <v>2167</v>
      </c>
      <c r="D293" s="4" t="s">
        <v>2005</v>
      </c>
      <c r="E293" s="4" t="s">
        <v>86</v>
      </c>
      <c r="F293" s="4">
        <v>30</v>
      </c>
      <c r="G293" s="4">
        <v>0</v>
      </c>
      <c r="H293" s="4">
        <v>0</v>
      </c>
      <c r="K293" s="4">
        <v>0</v>
      </c>
      <c r="N293" s="4">
        <v>0</v>
      </c>
      <c r="O293" s="4">
        <v>0</v>
      </c>
      <c r="P293" s="4" t="str">
        <f t="shared" si="4"/>
        <v>CALCEXPR.TABLE_TYPE</v>
      </c>
      <c r="Q293" s="4" t="e">
        <f>VLOOKUP(Cobra8.6[[#This Row],[Table.Column]],ColumnMapping[Old Table.Column],1,)</f>
        <v>#N/A</v>
      </c>
    </row>
    <row r="294" spans="1:17" hidden="1" x14ac:dyDescent="0.2">
      <c r="A294" s="4" t="s">
        <v>2167</v>
      </c>
      <c r="B294" s="4">
        <v>0</v>
      </c>
      <c r="C294" s="4" t="s">
        <v>2167</v>
      </c>
      <c r="D294" s="4" t="s">
        <v>258</v>
      </c>
      <c r="E294" s="4" t="s">
        <v>86</v>
      </c>
      <c r="F294" s="4">
        <v>4</v>
      </c>
      <c r="G294" s="4">
        <v>0</v>
      </c>
      <c r="H294" s="4">
        <v>0</v>
      </c>
      <c r="K294" s="4">
        <v>0</v>
      </c>
      <c r="N294" s="4">
        <v>0</v>
      </c>
      <c r="O294" s="4">
        <v>0</v>
      </c>
      <c r="P294" s="4" t="str">
        <f t="shared" si="4"/>
        <v>CALCEXPR.TYPE</v>
      </c>
      <c r="Q294" s="4" t="e">
        <f>VLOOKUP(Cobra8.6[[#This Row],[Table.Column]],ColumnMapping[Old Table.Column],1,)</f>
        <v>#N/A</v>
      </c>
    </row>
    <row r="295" spans="1:17" hidden="1" x14ac:dyDescent="0.2">
      <c r="A295" s="4" t="s">
        <v>2167</v>
      </c>
      <c r="B295" s="4">
        <v>0</v>
      </c>
      <c r="C295" s="4" t="s">
        <v>2167</v>
      </c>
      <c r="D295" s="4" t="s">
        <v>2112</v>
      </c>
      <c r="E295" s="4" t="s">
        <v>86</v>
      </c>
      <c r="F295" s="4">
        <v>20</v>
      </c>
      <c r="G295" s="4">
        <v>0</v>
      </c>
      <c r="H295" s="4">
        <v>0</v>
      </c>
      <c r="K295" s="4">
        <v>0</v>
      </c>
      <c r="N295" s="4">
        <v>0</v>
      </c>
      <c r="O295" s="4">
        <v>0</v>
      </c>
      <c r="P295" s="4" t="str">
        <f t="shared" si="4"/>
        <v>CALCEXPR.USR_ID</v>
      </c>
      <c r="Q295" s="4" t="e">
        <f>VLOOKUP(Cobra8.6[[#This Row],[Table.Column]],ColumnMapping[Old Table.Column],1,)</f>
        <v>#N/A</v>
      </c>
    </row>
    <row r="296" spans="1:17" hidden="1" x14ac:dyDescent="0.2">
      <c r="A296" s="4" t="s">
        <v>2171</v>
      </c>
      <c r="B296" s="4">
        <v>0</v>
      </c>
      <c r="C296" s="4" t="s">
        <v>2171</v>
      </c>
      <c r="D296" s="4" t="s">
        <v>2172</v>
      </c>
      <c r="E296" s="4" t="s">
        <v>86</v>
      </c>
      <c r="F296" s="4">
        <v>10</v>
      </c>
      <c r="G296" s="4">
        <v>0</v>
      </c>
      <c r="H296" s="4">
        <v>0</v>
      </c>
      <c r="K296" s="4">
        <v>0</v>
      </c>
      <c r="N296" s="4">
        <v>0</v>
      </c>
      <c r="O296" s="4">
        <v>0</v>
      </c>
      <c r="P296" s="4" t="str">
        <f t="shared" si="4"/>
        <v>CALCFLDS.CALCFIELD</v>
      </c>
      <c r="Q296" s="4" t="str">
        <f>VLOOKUP(Cobra8.6[[#This Row],[Table.Column]],ColumnMapping[Old Table.Column],1,)</f>
        <v>CALCFLDS.CALCFIELD</v>
      </c>
    </row>
    <row r="297" spans="1:17" hidden="1" x14ac:dyDescent="0.2">
      <c r="A297" s="4" t="s">
        <v>2171</v>
      </c>
      <c r="B297" s="4">
        <v>0</v>
      </c>
      <c r="C297" s="4" t="s">
        <v>2171</v>
      </c>
      <c r="D297" s="4" t="s">
        <v>2165</v>
      </c>
      <c r="E297" s="4" t="s">
        <v>86</v>
      </c>
      <c r="F297" s="4">
        <v>1</v>
      </c>
      <c r="G297" s="4">
        <v>0</v>
      </c>
      <c r="H297" s="4">
        <v>0</v>
      </c>
      <c r="K297" s="4">
        <v>0</v>
      </c>
      <c r="N297" s="4">
        <v>0</v>
      </c>
      <c r="O297" s="4">
        <v>0</v>
      </c>
      <c r="P297" s="4" t="str">
        <f t="shared" si="4"/>
        <v>CALCFLDS.CURRNCY</v>
      </c>
      <c r="Q297" s="4" t="str">
        <f>VLOOKUP(Cobra8.6[[#This Row],[Table.Column]],ColumnMapping[Old Table.Column],1,)</f>
        <v>CALCFLDS.CURRNCY</v>
      </c>
    </row>
    <row r="298" spans="1:17" hidden="1" x14ac:dyDescent="0.2">
      <c r="A298" s="4" t="s">
        <v>2171</v>
      </c>
      <c r="B298" s="4">
        <v>0</v>
      </c>
      <c r="C298" s="4" t="s">
        <v>2171</v>
      </c>
      <c r="D298" s="4" t="s">
        <v>2173</v>
      </c>
      <c r="E298" s="4" t="s">
        <v>86</v>
      </c>
      <c r="F298" s="4">
        <v>250</v>
      </c>
      <c r="G298" s="4">
        <v>0</v>
      </c>
      <c r="H298" s="4">
        <v>0</v>
      </c>
      <c r="K298" s="4">
        <v>0</v>
      </c>
      <c r="N298" s="4">
        <v>0</v>
      </c>
      <c r="O298" s="4">
        <v>0</v>
      </c>
      <c r="P298" s="4" t="str">
        <f t="shared" si="4"/>
        <v>CALCFLDS.EXPR</v>
      </c>
      <c r="Q298" s="4" t="str">
        <f>VLOOKUP(Cobra8.6[[#This Row],[Table.Column]],ColumnMapping[Old Table.Column],1,)</f>
        <v>CALCFLDS.EXPR</v>
      </c>
    </row>
    <row r="299" spans="1:17" hidden="1" x14ac:dyDescent="0.2">
      <c r="A299" s="4" t="s">
        <v>2171</v>
      </c>
      <c r="B299" s="4">
        <v>0</v>
      </c>
      <c r="C299" s="4" t="s">
        <v>2171</v>
      </c>
      <c r="D299" s="4" t="s">
        <v>2111</v>
      </c>
      <c r="E299" s="4" t="s">
        <v>356</v>
      </c>
      <c r="F299" s="4">
        <v>-1</v>
      </c>
      <c r="G299" s="4">
        <v>0</v>
      </c>
      <c r="H299" s="4">
        <v>0</v>
      </c>
      <c r="K299" s="4">
        <v>0</v>
      </c>
      <c r="N299" s="4">
        <v>0</v>
      </c>
      <c r="O299" s="4">
        <v>0</v>
      </c>
      <c r="P299" s="4" t="str">
        <f t="shared" si="4"/>
        <v>CALCFLDS.LASTUPDATE</v>
      </c>
      <c r="Q299" s="4" t="str">
        <f>VLOOKUP(Cobra8.6[[#This Row],[Table.Column]],ColumnMapping[Old Table.Column],1,)</f>
        <v>CALCFLDS.LASTUPDATE</v>
      </c>
    </row>
    <row r="300" spans="1:17" hidden="1" x14ac:dyDescent="0.2">
      <c r="A300" s="4" t="s">
        <v>2171</v>
      </c>
      <c r="B300" s="4">
        <v>0</v>
      </c>
      <c r="C300" s="4" t="s">
        <v>2171</v>
      </c>
      <c r="D300" s="4" t="s">
        <v>744</v>
      </c>
      <c r="E300" s="4" t="s">
        <v>86</v>
      </c>
      <c r="F300" s="4">
        <v>22</v>
      </c>
      <c r="G300" s="4">
        <v>0</v>
      </c>
      <c r="H300" s="4">
        <v>0</v>
      </c>
      <c r="K300" s="4">
        <v>0</v>
      </c>
      <c r="N300" s="4">
        <v>0</v>
      </c>
      <c r="O300" s="4">
        <v>0</v>
      </c>
      <c r="P300" s="4" t="str">
        <f t="shared" si="4"/>
        <v>CALCFLDS.PROGRAM</v>
      </c>
      <c r="Q300" s="4" t="str">
        <f>VLOOKUP(Cobra8.6[[#This Row],[Table.Column]],ColumnMapping[Old Table.Column],1,)</f>
        <v>CALCFLDS.PROGRAM</v>
      </c>
    </row>
    <row r="301" spans="1:17" hidden="1" x14ac:dyDescent="0.2">
      <c r="A301" s="4" t="s">
        <v>2171</v>
      </c>
      <c r="B301" s="4">
        <v>0</v>
      </c>
      <c r="C301" s="4" t="s">
        <v>2171</v>
      </c>
      <c r="D301" s="4" t="s">
        <v>35</v>
      </c>
      <c r="E301" s="4" t="s">
        <v>2108</v>
      </c>
      <c r="F301" s="4">
        <v>-1</v>
      </c>
      <c r="G301" s="4">
        <v>0</v>
      </c>
      <c r="H301" s="4">
        <v>0</v>
      </c>
      <c r="K301" s="4">
        <v>0</v>
      </c>
      <c r="N301" s="4">
        <v>0</v>
      </c>
      <c r="O301" s="4">
        <v>0</v>
      </c>
      <c r="P301" s="4" t="str">
        <f t="shared" si="4"/>
        <v>CALCFLDS.SEQUENCE</v>
      </c>
      <c r="Q301" s="4" t="str">
        <f>VLOOKUP(Cobra8.6[[#This Row],[Table.Column]],ColumnMapping[Old Table.Column],1,)</f>
        <v>CALCFLDS.SEQUENCE</v>
      </c>
    </row>
    <row r="302" spans="1:17" hidden="1" x14ac:dyDescent="0.2">
      <c r="A302" s="4" t="s">
        <v>2171</v>
      </c>
      <c r="B302" s="4">
        <v>0</v>
      </c>
      <c r="C302" s="4" t="s">
        <v>2171</v>
      </c>
      <c r="D302" s="4" t="s">
        <v>2166</v>
      </c>
      <c r="E302" s="4" t="s">
        <v>86</v>
      </c>
      <c r="F302" s="4">
        <v>1</v>
      </c>
      <c r="G302" s="4">
        <v>0</v>
      </c>
      <c r="H302" s="4">
        <v>0</v>
      </c>
      <c r="K302" s="4">
        <v>0</v>
      </c>
      <c r="N302" s="4">
        <v>0</v>
      </c>
      <c r="O302" s="4">
        <v>0</v>
      </c>
      <c r="P302" s="4" t="str">
        <f t="shared" si="4"/>
        <v>CALCFLDS.SORT_CODE</v>
      </c>
      <c r="Q302" s="4" t="str">
        <f>VLOOKUP(Cobra8.6[[#This Row],[Table.Column]],ColumnMapping[Old Table.Column],1,)</f>
        <v>CALCFLDS.SORT_CODE</v>
      </c>
    </row>
    <row r="303" spans="1:17" hidden="1" x14ac:dyDescent="0.2">
      <c r="A303" s="4" t="s">
        <v>2171</v>
      </c>
      <c r="B303" s="4">
        <v>0</v>
      </c>
      <c r="C303" s="4" t="s">
        <v>2171</v>
      </c>
      <c r="D303" s="4" t="s">
        <v>2112</v>
      </c>
      <c r="E303" s="4" t="s">
        <v>86</v>
      </c>
      <c r="F303" s="4">
        <v>20</v>
      </c>
      <c r="G303" s="4">
        <v>0</v>
      </c>
      <c r="H303" s="4">
        <v>0</v>
      </c>
      <c r="K303" s="4">
        <v>0</v>
      </c>
      <c r="N303" s="4">
        <v>0</v>
      </c>
      <c r="O303" s="4">
        <v>0</v>
      </c>
      <c r="P303" s="4" t="str">
        <f t="shared" si="4"/>
        <v>CALCFLDS.USR_ID</v>
      </c>
      <c r="Q303" s="4" t="str">
        <f>VLOOKUP(Cobra8.6[[#This Row],[Table.Column]],ColumnMapping[Old Table.Column],1,)</f>
        <v>CALCFLDS.USR_ID</v>
      </c>
    </row>
    <row r="304" spans="1:17" hidden="1" x14ac:dyDescent="0.2">
      <c r="A304" s="4" t="s">
        <v>2174</v>
      </c>
      <c r="B304" s="4">
        <v>0</v>
      </c>
      <c r="C304" s="4" t="s">
        <v>2174</v>
      </c>
      <c r="D304" s="4" t="s">
        <v>2164</v>
      </c>
      <c r="E304" s="4" t="s">
        <v>86</v>
      </c>
      <c r="F304" s="4">
        <v>20</v>
      </c>
      <c r="G304" s="4">
        <v>0</v>
      </c>
      <c r="H304" s="4">
        <v>0</v>
      </c>
      <c r="K304" s="4">
        <v>0</v>
      </c>
      <c r="N304" s="4">
        <v>0</v>
      </c>
      <c r="O304" s="4">
        <v>0</v>
      </c>
      <c r="P304" s="4" t="str">
        <f t="shared" si="4"/>
        <v>CALCRESULT.ALIAS</v>
      </c>
      <c r="Q304" s="4" t="str">
        <f>VLOOKUP(Cobra8.6[[#This Row],[Table.Column]],ColumnMapping[Old Table.Column],1,)</f>
        <v>CALCRESULT.ALIAS</v>
      </c>
    </row>
    <row r="305" spans="1:17" hidden="1" x14ac:dyDescent="0.2">
      <c r="A305" s="4" t="s">
        <v>2174</v>
      </c>
      <c r="B305" s="4">
        <v>0</v>
      </c>
      <c r="C305" s="4" t="s">
        <v>2174</v>
      </c>
      <c r="D305" s="4" t="s">
        <v>1501</v>
      </c>
      <c r="E305" s="4" t="s">
        <v>86</v>
      </c>
      <c r="F305" s="4">
        <v>22</v>
      </c>
      <c r="G305" s="4">
        <v>0</v>
      </c>
      <c r="H305" s="4">
        <v>0</v>
      </c>
      <c r="K305" s="4">
        <v>0</v>
      </c>
      <c r="N305" s="4">
        <v>0</v>
      </c>
      <c r="O305" s="4">
        <v>0</v>
      </c>
      <c r="P305" s="4" t="str">
        <f t="shared" si="4"/>
        <v>CALCRESULT.CALCFILE</v>
      </c>
      <c r="Q305" s="4" t="str">
        <f>VLOOKUP(Cobra8.6[[#This Row],[Table.Column]],ColumnMapping[Old Table.Column],1,)</f>
        <v>CALCRESULT.CALCFILE</v>
      </c>
    </row>
    <row r="306" spans="1:17" hidden="1" x14ac:dyDescent="0.2">
      <c r="A306" s="4" t="s">
        <v>2174</v>
      </c>
      <c r="B306" s="4">
        <v>0</v>
      </c>
      <c r="C306" s="4" t="s">
        <v>2174</v>
      </c>
      <c r="D306" s="4" t="s">
        <v>2165</v>
      </c>
      <c r="E306" s="4" t="s">
        <v>86</v>
      </c>
      <c r="F306" s="4">
        <v>1</v>
      </c>
      <c r="G306" s="4">
        <v>0</v>
      </c>
      <c r="H306" s="4">
        <v>0</v>
      </c>
      <c r="K306" s="4">
        <v>0</v>
      </c>
      <c r="N306" s="4">
        <v>0</v>
      </c>
      <c r="O306" s="4">
        <v>0</v>
      </c>
      <c r="P306" s="4" t="str">
        <f t="shared" si="4"/>
        <v>CALCRESULT.CURRNCY</v>
      </c>
      <c r="Q306" s="4" t="str">
        <f>VLOOKUP(Cobra8.6[[#This Row],[Table.Column]],ColumnMapping[Old Table.Column],1,)</f>
        <v>CALCRESULT.CURRNCY</v>
      </c>
    </row>
    <row r="307" spans="1:17" hidden="1" x14ac:dyDescent="0.2">
      <c r="A307" s="4" t="s">
        <v>2174</v>
      </c>
      <c r="B307" s="4">
        <v>0</v>
      </c>
      <c r="C307" s="4" t="s">
        <v>2174</v>
      </c>
      <c r="D307" s="4" t="s">
        <v>2111</v>
      </c>
      <c r="E307" s="4" t="s">
        <v>356</v>
      </c>
      <c r="F307" s="4">
        <v>-1</v>
      </c>
      <c r="G307" s="4">
        <v>0</v>
      </c>
      <c r="H307" s="4">
        <v>0</v>
      </c>
      <c r="K307" s="4">
        <v>0</v>
      </c>
      <c r="N307" s="4">
        <v>0</v>
      </c>
      <c r="O307" s="4">
        <v>0</v>
      </c>
      <c r="P307" s="4" t="str">
        <f t="shared" si="4"/>
        <v>CALCRESULT.LASTUPDATE</v>
      </c>
      <c r="Q307" s="4" t="str">
        <f>VLOOKUP(Cobra8.6[[#This Row],[Table.Column]],ColumnMapping[Old Table.Column],1,)</f>
        <v>CALCRESULT.LASTUPDATE</v>
      </c>
    </row>
    <row r="308" spans="1:17" hidden="1" x14ac:dyDescent="0.2">
      <c r="A308" s="4" t="s">
        <v>2174</v>
      </c>
      <c r="B308" s="4">
        <v>0</v>
      </c>
      <c r="C308" s="4" t="s">
        <v>2174</v>
      </c>
      <c r="D308" s="4" t="s">
        <v>1454</v>
      </c>
      <c r="E308" s="4" t="s">
        <v>2108</v>
      </c>
      <c r="F308" s="4">
        <v>-1</v>
      </c>
      <c r="G308" s="4">
        <v>0</v>
      </c>
      <c r="H308" s="4">
        <v>0</v>
      </c>
      <c r="K308" s="4">
        <v>0</v>
      </c>
      <c r="N308" s="4">
        <v>0</v>
      </c>
      <c r="O308" s="4">
        <v>0</v>
      </c>
      <c r="P308" s="4" t="str">
        <f t="shared" si="4"/>
        <v>CALCRESULT.LINE</v>
      </c>
      <c r="Q308" s="4" t="str">
        <f>VLOOKUP(Cobra8.6[[#This Row],[Table.Column]],ColumnMapping[Old Table.Column],1,)</f>
        <v>CALCRESULT.LINE</v>
      </c>
    </row>
    <row r="309" spans="1:17" hidden="1" x14ac:dyDescent="0.2">
      <c r="A309" s="4" t="s">
        <v>2174</v>
      </c>
      <c r="B309" s="4">
        <v>0</v>
      </c>
      <c r="C309" s="4" t="s">
        <v>2174</v>
      </c>
      <c r="D309" s="4" t="s">
        <v>1434</v>
      </c>
      <c r="E309" s="4" t="s">
        <v>86</v>
      </c>
      <c r="F309" s="4">
        <v>59</v>
      </c>
      <c r="G309" s="4">
        <v>0</v>
      </c>
      <c r="H309" s="4">
        <v>0</v>
      </c>
      <c r="K309" s="4">
        <v>0</v>
      </c>
      <c r="N309" s="4">
        <v>0</v>
      </c>
      <c r="O309" s="4">
        <v>0</v>
      </c>
      <c r="P309" s="4" t="str">
        <f t="shared" si="4"/>
        <v>CALCRESULT.RATE_TABLE</v>
      </c>
      <c r="Q309" s="4" t="str">
        <f>VLOOKUP(Cobra8.6[[#This Row],[Table.Column]],ColumnMapping[Old Table.Column],1,)</f>
        <v>CALCRESULT.RATE_TABLE</v>
      </c>
    </row>
    <row r="310" spans="1:17" hidden="1" x14ac:dyDescent="0.2">
      <c r="A310" s="4" t="s">
        <v>2174</v>
      </c>
      <c r="B310" s="4">
        <v>0</v>
      </c>
      <c r="C310" s="4" t="s">
        <v>2174</v>
      </c>
      <c r="D310" s="4" t="s">
        <v>865</v>
      </c>
      <c r="E310" s="4" t="s">
        <v>86</v>
      </c>
      <c r="F310" s="4">
        <v>10</v>
      </c>
      <c r="G310" s="4">
        <v>0</v>
      </c>
      <c r="H310" s="4">
        <v>0</v>
      </c>
      <c r="K310" s="4">
        <v>0</v>
      </c>
      <c r="N310" s="4">
        <v>0</v>
      </c>
      <c r="O310" s="4">
        <v>0</v>
      </c>
      <c r="P310" s="4" t="str">
        <f t="shared" si="4"/>
        <v>CALCRESULT.RESULT</v>
      </c>
      <c r="Q310" s="4" t="str">
        <f>VLOOKUP(Cobra8.6[[#This Row],[Table.Column]],ColumnMapping[Old Table.Column],1,)</f>
        <v>CALCRESULT.RESULT</v>
      </c>
    </row>
    <row r="311" spans="1:17" hidden="1" x14ac:dyDescent="0.2">
      <c r="A311" s="4" t="s">
        <v>2174</v>
      </c>
      <c r="B311" s="4">
        <v>0</v>
      </c>
      <c r="C311" s="4" t="s">
        <v>2174</v>
      </c>
      <c r="D311" s="4" t="s">
        <v>35</v>
      </c>
      <c r="E311" s="4" t="s">
        <v>2108</v>
      </c>
      <c r="F311" s="4">
        <v>-1</v>
      </c>
      <c r="G311" s="4">
        <v>0</v>
      </c>
      <c r="H311" s="4">
        <v>0</v>
      </c>
      <c r="K311" s="4">
        <v>0</v>
      </c>
      <c r="N311" s="4">
        <v>0</v>
      </c>
      <c r="O311" s="4">
        <v>0</v>
      </c>
      <c r="P311" s="4" t="str">
        <f t="shared" si="4"/>
        <v>CALCRESULT.SEQUENCE</v>
      </c>
      <c r="Q311" s="4" t="str">
        <f>VLOOKUP(Cobra8.6[[#This Row],[Table.Column]],ColumnMapping[Old Table.Column],1,)</f>
        <v>CALCRESULT.SEQUENCE</v>
      </c>
    </row>
    <row r="312" spans="1:17" hidden="1" x14ac:dyDescent="0.2">
      <c r="A312" s="4" t="s">
        <v>2174</v>
      </c>
      <c r="B312" s="4">
        <v>0</v>
      </c>
      <c r="C312" s="4" t="s">
        <v>2174</v>
      </c>
      <c r="D312" s="4" t="s">
        <v>2166</v>
      </c>
      <c r="E312" s="4" t="s">
        <v>86</v>
      </c>
      <c r="F312" s="4">
        <v>1</v>
      </c>
      <c r="G312" s="4">
        <v>0</v>
      </c>
      <c r="H312" s="4">
        <v>0</v>
      </c>
      <c r="K312" s="4">
        <v>0</v>
      </c>
      <c r="N312" s="4">
        <v>0</v>
      </c>
      <c r="O312" s="4">
        <v>0</v>
      </c>
      <c r="P312" s="4" t="str">
        <f t="shared" si="4"/>
        <v>CALCRESULT.SORT_CODE</v>
      </c>
      <c r="Q312" s="4" t="str">
        <f>VLOOKUP(Cobra8.6[[#This Row],[Table.Column]],ColumnMapping[Old Table.Column],1,)</f>
        <v>CALCRESULT.SORT_CODE</v>
      </c>
    </row>
    <row r="313" spans="1:17" hidden="1" x14ac:dyDescent="0.2">
      <c r="A313" s="4" t="s">
        <v>2174</v>
      </c>
      <c r="B313" s="4">
        <v>0</v>
      </c>
      <c r="C313" s="4" t="s">
        <v>2174</v>
      </c>
      <c r="D313" s="4" t="s">
        <v>1463</v>
      </c>
      <c r="E313" s="4" t="s">
        <v>86</v>
      </c>
      <c r="F313" s="4">
        <v>10</v>
      </c>
      <c r="G313" s="4">
        <v>0</v>
      </c>
      <c r="H313" s="4">
        <v>0</v>
      </c>
      <c r="K313" s="4">
        <v>0</v>
      </c>
      <c r="N313" s="4">
        <v>0</v>
      </c>
      <c r="O313" s="4">
        <v>0</v>
      </c>
      <c r="P313" s="4" t="str">
        <f t="shared" si="4"/>
        <v>CALCRESULT.UNITS</v>
      </c>
      <c r="Q313" s="4" t="str">
        <f>VLOOKUP(Cobra8.6[[#This Row],[Table.Column]],ColumnMapping[Old Table.Column],1,)</f>
        <v>CALCRESULT.UNITS</v>
      </c>
    </row>
    <row r="314" spans="1:17" hidden="1" x14ac:dyDescent="0.2">
      <c r="A314" s="4" t="s">
        <v>2174</v>
      </c>
      <c r="B314" s="4">
        <v>0</v>
      </c>
      <c r="C314" s="4" t="s">
        <v>2174</v>
      </c>
      <c r="D314" s="4" t="s">
        <v>2112</v>
      </c>
      <c r="E314" s="4" t="s">
        <v>86</v>
      </c>
      <c r="F314" s="4">
        <v>20</v>
      </c>
      <c r="G314" s="4">
        <v>0</v>
      </c>
      <c r="H314" s="4">
        <v>0</v>
      </c>
      <c r="K314" s="4">
        <v>0</v>
      </c>
      <c r="N314" s="4">
        <v>0</v>
      </c>
      <c r="O314" s="4">
        <v>0</v>
      </c>
      <c r="P314" s="4" t="str">
        <f t="shared" si="4"/>
        <v>CALCRESULT.USR_ID</v>
      </c>
      <c r="Q314" s="4" t="str">
        <f>VLOOKUP(Cobra8.6[[#This Row],[Table.Column]],ColumnMapping[Old Table.Column],1,)</f>
        <v>CALCRESULT.USR_ID</v>
      </c>
    </row>
    <row r="315" spans="1:17" hidden="1" x14ac:dyDescent="0.2">
      <c r="A315" s="4" t="s">
        <v>849</v>
      </c>
      <c r="B315" s="4">
        <v>0</v>
      </c>
      <c r="C315" s="4" t="s">
        <v>849</v>
      </c>
      <c r="D315" s="4" t="s">
        <v>600</v>
      </c>
      <c r="E315" s="4" t="s">
        <v>2124</v>
      </c>
      <c r="F315" s="4">
        <v>21</v>
      </c>
      <c r="G315" s="4">
        <v>6</v>
      </c>
      <c r="H315" s="4">
        <v>0</v>
      </c>
      <c r="K315" s="4">
        <v>0</v>
      </c>
      <c r="N315" s="4">
        <v>0</v>
      </c>
      <c r="O315" s="4">
        <v>0</v>
      </c>
      <c r="P315" s="4" t="str">
        <f t="shared" si="4"/>
        <v>CAWP.ACWP</v>
      </c>
      <c r="Q315" s="4" t="str">
        <f>VLOOKUP(Cobra8.6[[#This Row],[Table.Column]],ColumnMapping[Old Table.Column],1,)</f>
        <v>CAWP.ACWP</v>
      </c>
    </row>
    <row r="316" spans="1:17" hidden="1" x14ac:dyDescent="0.2">
      <c r="A316" s="4" t="s">
        <v>849</v>
      </c>
      <c r="B316" s="4">
        <v>0</v>
      </c>
      <c r="C316" s="4" t="s">
        <v>849</v>
      </c>
      <c r="D316" s="4" t="s">
        <v>602</v>
      </c>
      <c r="E316" s="4" t="s">
        <v>2124</v>
      </c>
      <c r="F316" s="4">
        <v>21</v>
      </c>
      <c r="G316" s="4">
        <v>6</v>
      </c>
      <c r="H316" s="4">
        <v>0</v>
      </c>
      <c r="K316" s="4">
        <v>0</v>
      </c>
      <c r="N316" s="4">
        <v>0</v>
      </c>
      <c r="O316" s="4">
        <v>0</v>
      </c>
      <c r="P316" s="4" t="str">
        <f t="shared" si="4"/>
        <v>CAWP.ACWP_HRS</v>
      </c>
      <c r="Q316" s="4" t="str">
        <f>VLOOKUP(Cobra8.6[[#This Row],[Table.Column]],ColumnMapping[Old Table.Column],1,)</f>
        <v>CAWP.ACWP_HRS</v>
      </c>
    </row>
    <row r="317" spans="1:17" hidden="1" x14ac:dyDescent="0.2">
      <c r="A317" s="4" t="s">
        <v>849</v>
      </c>
      <c r="B317" s="4">
        <v>0</v>
      </c>
      <c r="C317" s="4" t="s">
        <v>849</v>
      </c>
      <c r="D317" s="4" t="s">
        <v>949</v>
      </c>
      <c r="E317" s="4" t="s">
        <v>2124</v>
      </c>
      <c r="F317" s="4">
        <v>21</v>
      </c>
      <c r="G317" s="4">
        <v>6</v>
      </c>
      <c r="H317" s="4">
        <v>0</v>
      </c>
      <c r="K317" s="4">
        <v>0</v>
      </c>
      <c r="N317" s="4">
        <v>0</v>
      </c>
      <c r="O317" s="4">
        <v>0</v>
      </c>
      <c r="P317" s="4" t="str">
        <f t="shared" si="4"/>
        <v>CAWP.ACWPCP</v>
      </c>
      <c r="Q317" s="4" t="str">
        <f>VLOOKUP(Cobra8.6[[#This Row],[Table.Column]],ColumnMapping[Old Table.Column],1,)</f>
        <v>CAWP.ACWPCP</v>
      </c>
    </row>
    <row r="318" spans="1:17" hidden="1" x14ac:dyDescent="0.2">
      <c r="A318" s="4" t="s">
        <v>849</v>
      </c>
      <c r="B318" s="4">
        <v>0</v>
      </c>
      <c r="C318" s="4" t="s">
        <v>849</v>
      </c>
      <c r="D318" s="4" t="s">
        <v>951</v>
      </c>
      <c r="E318" s="4" t="s">
        <v>2124</v>
      </c>
      <c r="F318" s="4">
        <v>21</v>
      </c>
      <c r="G318" s="4">
        <v>6</v>
      </c>
      <c r="H318" s="4">
        <v>0</v>
      </c>
      <c r="K318" s="4">
        <v>0</v>
      </c>
      <c r="N318" s="4">
        <v>0</v>
      </c>
      <c r="O318" s="4">
        <v>0</v>
      </c>
      <c r="P318" s="4" t="str">
        <f t="shared" si="4"/>
        <v>CAWP.ACWPCP_HRS</v>
      </c>
      <c r="Q318" s="4" t="str">
        <f>VLOOKUP(Cobra8.6[[#This Row],[Table.Column]],ColumnMapping[Old Table.Column],1,)</f>
        <v>CAWP.ACWPCP_HRS</v>
      </c>
    </row>
    <row r="319" spans="1:17" hidden="1" x14ac:dyDescent="0.2">
      <c r="A319" s="4" t="s">
        <v>849</v>
      </c>
      <c r="B319" s="4">
        <v>0</v>
      </c>
      <c r="C319" s="4" t="s">
        <v>849</v>
      </c>
      <c r="D319" s="4" t="s">
        <v>2175</v>
      </c>
      <c r="E319" s="4" t="s">
        <v>356</v>
      </c>
      <c r="F319" s="4">
        <v>-1</v>
      </c>
      <c r="G319" s="4">
        <v>0</v>
      </c>
      <c r="H319" s="4">
        <v>0</v>
      </c>
      <c r="K319" s="4">
        <v>0</v>
      </c>
      <c r="N319" s="4">
        <v>0</v>
      </c>
      <c r="O319" s="4">
        <v>0</v>
      </c>
      <c r="P319" s="4" t="str">
        <f t="shared" si="4"/>
        <v>CAWP.AFD</v>
      </c>
      <c r="Q319" s="4" t="str">
        <f>VLOOKUP(Cobra8.6[[#This Row],[Table.Column]],ColumnMapping[Old Table.Column],1,)</f>
        <v>CAWP.AFD</v>
      </c>
    </row>
    <row r="320" spans="1:17" hidden="1" x14ac:dyDescent="0.2">
      <c r="A320" s="4" t="s">
        <v>849</v>
      </c>
      <c r="B320" s="4">
        <v>0</v>
      </c>
      <c r="C320" s="4" t="s">
        <v>849</v>
      </c>
      <c r="D320" s="4" t="s">
        <v>953</v>
      </c>
      <c r="E320" s="4" t="s">
        <v>2108</v>
      </c>
      <c r="F320" s="4">
        <v>-1</v>
      </c>
      <c r="G320" s="4">
        <v>0</v>
      </c>
      <c r="H320" s="4">
        <v>0</v>
      </c>
      <c r="K320" s="4">
        <v>0</v>
      </c>
      <c r="N320" s="4">
        <v>0</v>
      </c>
      <c r="O320" s="4">
        <v>0</v>
      </c>
      <c r="P320" s="4" t="str">
        <f t="shared" si="4"/>
        <v>CAWP.APPLINK</v>
      </c>
      <c r="Q320" s="4" t="str">
        <f>VLOOKUP(Cobra8.6[[#This Row],[Table.Column]],ColumnMapping[Old Table.Column],1,)</f>
        <v>CAWP.APPLINK</v>
      </c>
    </row>
    <row r="321" spans="1:17" hidden="1" x14ac:dyDescent="0.2">
      <c r="A321" s="4" t="s">
        <v>849</v>
      </c>
      <c r="B321" s="4">
        <v>0</v>
      </c>
      <c r="C321" s="4" t="s">
        <v>849</v>
      </c>
      <c r="D321" s="4" t="s">
        <v>2176</v>
      </c>
      <c r="E321" s="4" t="s">
        <v>356</v>
      </c>
      <c r="F321" s="4">
        <v>-1</v>
      </c>
      <c r="G321" s="4">
        <v>0</v>
      </c>
      <c r="H321" s="4">
        <v>0</v>
      </c>
      <c r="K321" s="4">
        <v>0</v>
      </c>
      <c r="N321" s="4">
        <v>0</v>
      </c>
      <c r="O321" s="4">
        <v>0</v>
      </c>
      <c r="P321" s="4" t="str">
        <f t="shared" si="4"/>
        <v>CAWP.ASD</v>
      </c>
      <c r="Q321" s="4" t="str">
        <f>VLOOKUP(Cobra8.6[[#This Row],[Table.Column]],ColumnMapping[Old Table.Column],1,)</f>
        <v>CAWP.ASD</v>
      </c>
    </row>
    <row r="322" spans="1:17" hidden="1" x14ac:dyDescent="0.2">
      <c r="A322" s="4" t="s">
        <v>849</v>
      </c>
      <c r="B322" s="4">
        <v>0</v>
      </c>
      <c r="C322" s="4" t="s">
        <v>849</v>
      </c>
      <c r="D322" s="4" t="s">
        <v>607</v>
      </c>
      <c r="E322" s="4" t="s">
        <v>2124</v>
      </c>
      <c r="F322" s="4">
        <v>21</v>
      </c>
      <c r="G322" s="4">
        <v>6</v>
      </c>
      <c r="H322" s="4">
        <v>0</v>
      </c>
      <c r="K322" s="4">
        <v>0</v>
      </c>
      <c r="N322" s="4">
        <v>0</v>
      </c>
      <c r="O322" s="4">
        <v>0</v>
      </c>
      <c r="P322" s="4" t="str">
        <f t="shared" ref="P322:P385" si="5">_xlfn.CONCAT(A322,".",D322)</f>
        <v>CAWP.BAC</v>
      </c>
      <c r="Q322" s="4" t="str">
        <f>VLOOKUP(Cobra8.6[[#This Row],[Table.Column]],ColumnMapping[Old Table.Column],1,)</f>
        <v>CAWP.BAC</v>
      </c>
    </row>
    <row r="323" spans="1:17" hidden="1" x14ac:dyDescent="0.2">
      <c r="A323" s="4" t="s">
        <v>849</v>
      </c>
      <c r="B323" s="4">
        <v>0</v>
      </c>
      <c r="C323" s="4" t="s">
        <v>849</v>
      </c>
      <c r="D323" s="4" t="s">
        <v>609</v>
      </c>
      <c r="E323" s="4" t="s">
        <v>2124</v>
      </c>
      <c r="F323" s="4">
        <v>21</v>
      </c>
      <c r="G323" s="4">
        <v>6</v>
      </c>
      <c r="H323" s="4">
        <v>0</v>
      </c>
      <c r="K323" s="4">
        <v>0</v>
      </c>
      <c r="N323" s="4">
        <v>0</v>
      </c>
      <c r="O323" s="4">
        <v>0</v>
      </c>
      <c r="P323" s="4" t="str">
        <f t="shared" si="5"/>
        <v>CAWP.BAC_HRS</v>
      </c>
      <c r="Q323" s="4" t="str">
        <f>VLOOKUP(Cobra8.6[[#This Row],[Table.Column]],ColumnMapping[Old Table.Column],1,)</f>
        <v>CAWP.BAC_HRS</v>
      </c>
    </row>
    <row r="324" spans="1:17" hidden="1" x14ac:dyDescent="0.2">
      <c r="A324" s="4" t="s">
        <v>849</v>
      </c>
      <c r="B324" s="4">
        <v>0</v>
      </c>
      <c r="C324" s="4" t="s">
        <v>849</v>
      </c>
      <c r="D324" s="4" t="s">
        <v>613</v>
      </c>
      <c r="E324" s="4" t="s">
        <v>2124</v>
      </c>
      <c r="F324" s="4">
        <v>21</v>
      </c>
      <c r="G324" s="4">
        <v>6</v>
      </c>
      <c r="H324" s="4">
        <v>0</v>
      </c>
      <c r="K324" s="4">
        <v>0</v>
      </c>
      <c r="N324" s="4">
        <v>0</v>
      </c>
      <c r="O324" s="4">
        <v>0</v>
      </c>
      <c r="P324" s="4" t="str">
        <f t="shared" si="5"/>
        <v>CAWP.BCWP</v>
      </c>
      <c r="Q324" s="4" t="str">
        <f>VLOOKUP(Cobra8.6[[#This Row],[Table.Column]],ColumnMapping[Old Table.Column],1,)</f>
        <v>CAWP.BCWP</v>
      </c>
    </row>
    <row r="325" spans="1:17" hidden="1" x14ac:dyDescent="0.2">
      <c r="A325" s="4" t="s">
        <v>849</v>
      </c>
      <c r="B325" s="4">
        <v>0</v>
      </c>
      <c r="C325" s="4" t="s">
        <v>849</v>
      </c>
      <c r="D325" s="4" t="s">
        <v>615</v>
      </c>
      <c r="E325" s="4" t="s">
        <v>2124</v>
      </c>
      <c r="F325" s="4">
        <v>21</v>
      </c>
      <c r="G325" s="4">
        <v>6</v>
      </c>
      <c r="H325" s="4">
        <v>0</v>
      </c>
      <c r="K325" s="4">
        <v>0</v>
      </c>
      <c r="N325" s="4">
        <v>0</v>
      </c>
      <c r="O325" s="4">
        <v>0</v>
      </c>
      <c r="P325" s="4" t="str">
        <f t="shared" si="5"/>
        <v>CAWP.BCWP_HRS</v>
      </c>
      <c r="Q325" s="4" t="str">
        <f>VLOOKUP(Cobra8.6[[#This Row],[Table.Column]],ColumnMapping[Old Table.Column],1,)</f>
        <v>CAWP.BCWP_HRS</v>
      </c>
    </row>
    <row r="326" spans="1:17" hidden="1" x14ac:dyDescent="0.2">
      <c r="A326" s="4" t="s">
        <v>849</v>
      </c>
      <c r="B326" s="4">
        <v>0</v>
      </c>
      <c r="C326" s="4" t="s">
        <v>849</v>
      </c>
      <c r="D326" s="4" t="s">
        <v>955</v>
      </c>
      <c r="E326" s="4" t="s">
        <v>2124</v>
      </c>
      <c r="F326" s="4">
        <v>21</v>
      </c>
      <c r="G326" s="4">
        <v>6</v>
      </c>
      <c r="H326" s="4">
        <v>0</v>
      </c>
      <c r="K326" s="4">
        <v>0</v>
      </c>
      <c r="N326" s="4">
        <v>0</v>
      </c>
      <c r="O326" s="4">
        <v>0</v>
      </c>
      <c r="P326" s="4" t="str">
        <f t="shared" si="5"/>
        <v>CAWP.BCWPCP</v>
      </c>
      <c r="Q326" s="4" t="str">
        <f>VLOOKUP(Cobra8.6[[#This Row],[Table.Column]],ColumnMapping[Old Table.Column],1,)</f>
        <v>CAWP.BCWPCP</v>
      </c>
    </row>
    <row r="327" spans="1:17" hidden="1" x14ac:dyDescent="0.2">
      <c r="A327" s="4" t="s">
        <v>849</v>
      </c>
      <c r="B327" s="4">
        <v>0</v>
      </c>
      <c r="C327" s="4" t="s">
        <v>849</v>
      </c>
      <c r="D327" s="4" t="s">
        <v>957</v>
      </c>
      <c r="E327" s="4" t="s">
        <v>2124</v>
      </c>
      <c r="F327" s="4">
        <v>21</v>
      </c>
      <c r="G327" s="4">
        <v>6</v>
      </c>
      <c r="H327" s="4">
        <v>0</v>
      </c>
      <c r="K327" s="4">
        <v>0</v>
      </c>
      <c r="N327" s="4">
        <v>0</v>
      </c>
      <c r="O327" s="4">
        <v>0</v>
      </c>
      <c r="P327" s="4" t="str">
        <f t="shared" si="5"/>
        <v>CAWP.BCWPCP_HRS</v>
      </c>
      <c r="Q327" s="4" t="str">
        <f>VLOOKUP(Cobra8.6[[#This Row],[Table.Column]],ColumnMapping[Old Table.Column],1,)</f>
        <v>CAWP.BCWPCP_HRS</v>
      </c>
    </row>
    <row r="328" spans="1:17" hidden="1" x14ac:dyDescent="0.2">
      <c r="A328" s="4" t="s">
        <v>849</v>
      </c>
      <c r="B328" s="4">
        <v>0</v>
      </c>
      <c r="C328" s="4" t="s">
        <v>849</v>
      </c>
      <c r="D328" s="4" t="s">
        <v>617</v>
      </c>
      <c r="E328" s="4" t="s">
        <v>2124</v>
      </c>
      <c r="F328" s="4">
        <v>21</v>
      </c>
      <c r="G328" s="4">
        <v>6</v>
      </c>
      <c r="H328" s="4">
        <v>0</v>
      </c>
      <c r="K328" s="4">
        <v>0</v>
      </c>
      <c r="N328" s="4">
        <v>0</v>
      </c>
      <c r="O328" s="4">
        <v>0</v>
      </c>
      <c r="P328" s="4" t="str">
        <f t="shared" si="5"/>
        <v>CAWP.BCWS</v>
      </c>
      <c r="Q328" s="4" t="str">
        <f>VLOOKUP(Cobra8.6[[#This Row],[Table.Column]],ColumnMapping[Old Table.Column],1,)</f>
        <v>CAWP.BCWS</v>
      </c>
    </row>
    <row r="329" spans="1:17" hidden="1" x14ac:dyDescent="0.2">
      <c r="A329" s="4" t="s">
        <v>849</v>
      </c>
      <c r="B329" s="4">
        <v>0</v>
      </c>
      <c r="C329" s="4" t="s">
        <v>849</v>
      </c>
      <c r="D329" s="4" t="s">
        <v>619</v>
      </c>
      <c r="E329" s="4" t="s">
        <v>2124</v>
      </c>
      <c r="F329" s="4">
        <v>21</v>
      </c>
      <c r="G329" s="4">
        <v>6</v>
      </c>
      <c r="H329" s="4">
        <v>0</v>
      </c>
      <c r="K329" s="4">
        <v>0</v>
      </c>
      <c r="N329" s="4">
        <v>0</v>
      </c>
      <c r="O329" s="4">
        <v>0</v>
      </c>
      <c r="P329" s="4" t="str">
        <f t="shared" si="5"/>
        <v>CAWP.BCWS_HRS</v>
      </c>
      <c r="Q329" s="4" t="str">
        <f>VLOOKUP(Cobra8.6[[#This Row],[Table.Column]],ColumnMapping[Old Table.Column],1,)</f>
        <v>CAWP.BCWS_HRS</v>
      </c>
    </row>
    <row r="330" spans="1:17" hidden="1" x14ac:dyDescent="0.2">
      <c r="A330" s="4" t="s">
        <v>849</v>
      </c>
      <c r="B330" s="4">
        <v>0</v>
      </c>
      <c r="C330" s="4" t="s">
        <v>849</v>
      </c>
      <c r="D330" s="4" t="s">
        <v>959</v>
      </c>
      <c r="E330" s="4" t="s">
        <v>2124</v>
      </c>
      <c r="F330" s="4">
        <v>21</v>
      </c>
      <c r="G330" s="4">
        <v>6</v>
      </c>
      <c r="H330" s="4">
        <v>0</v>
      </c>
      <c r="K330" s="4">
        <v>0</v>
      </c>
      <c r="N330" s="4">
        <v>0</v>
      </c>
      <c r="O330" s="4">
        <v>0</v>
      </c>
      <c r="P330" s="4" t="str">
        <f t="shared" si="5"/>
        <v>CAWP.BCWSCP</v>
      </c>
      <c r="Q330" s="4" t="str">
        <f>VLOOKUP(Cobra8.6[[#This Row],[Table.Column]],ColumnMapping[Old Table.Column],1,)</f>
        <v>CAWP.BCWSCP</v>
      </c>
    </row>
    <row r="331" spans="1:17" hidden="1" x14ac:dyDescent="0.2">
      <c r="A331" s="4" t="s">
        <v>849</v>
      </c>
      <c r="B331" s="4">
        <v>0</v>
      </c>
      <c r="C331" s="4" t="s">
        <v>849</v>
      </c>
      <c r="D331" s="4" t="s">
        <v>961</v>
      </c>
      <c r="E331" s="4" t="s">
        <v>2124</v>
      </c>
      <c r="F331" s="4">
        <v>21</v>
      </c>
      <c r="G331" s="4">
        <v>6</v>
      </c>
      <c r="H331" s="4">
        <v>0</v>
      </c>
      <c r="K331" s="4">
        <v>0</v>
      </c>
      <c r="N331" s="4">
        <v>0</v>
      </c>
      <c r="O331" s="4">
        <v>0</v>
      </c>
      <c r="P331" s="4" t="str">
        <f t="shared" si="5"/>
        <v>CAWP.BCWSCP_HRS</v>
      </c>
      <c r="Q331" s="4" t="str">
        <f>VLOOKUP(Cobra8.6[[#This Row],[Table.Column]],ColumnMapping[Old Table.Column],1,)</f>
        <v>CAWP.BCWSCP_HRS</v>
      </c>
    </row>
    <row r="332" spans="1:17" hidden="1" x14ac:dyDescent="0.2">
      <c r="A332" s="4" t="s">
        <v>849</v>
      </c>
      <c r="B332" s="4">
        <v>0</v>
      </c>
      <c r="C332" s="4" t="s">
        <v>849</v>
      </c>
      <c r="D332" s="4" t="s">
        <v>963</v>
      </c>
      <c r="E332" s="4" t="s">
        <v>86</v>
      </c>
      <c r="F332" s="4">
        <v>59</v>
      </c>
      <c r="G332" s="4">
        <v>0</v>
      </c>
      <c r="H332" s="4">
        <v>0</v>
      </c>
      <c r="K332" s="4">
        <v>0</v>
      </c>
      <c r="N332" s="4">
        <v>0</v>
      </c>
      <c r="O332" s="4">
        <v>0</v>
      </c>
      <c r="P332" s="4" t="str">
        <f t="shared" si="5"/>
        <v>CAWP.C1</v>
      </c>
      <c r="Q332" s="4" t="str">
        <f>VLOOKUP(Cobra8.6[[#This Row],[Table.Column]],ColumnMapping[Old Table.Column],1,)</f>
        <v>CAWP.C1</v>
      </c>
    </row>
    <row r="333" spans="1:17" hidden="1" x14ac:dyDescent="0.2">
      <c r="A333" s="4" t="s">
        <v>849</v>
      </c>
      <c r="B333" s="4">
        <v>0</v>
      </c>
      <c r="C333" s="4" t="s">
        <v>849</v>
      </c>
      <c r="D333" s="4" t="s">
        <v>965</v>
      </c>
      <c r="E333" s="4" t="s">
        <v>86</v>
      </c>
      <c r="F333" s="4">
        <v>59</v>
      </c>
      <c r="G333" s="4">
        <v>0</v>
      </c>
      <c r="H333" s="4">
        <v>0</v>
      </c>
      <c r="K333" s="4">
        <v>0</v>
      </c>
      <c r="N333" s="4">
        <v>0</v>
      </c>
      <c r="O333" s="4">
        <v>0</v>
      </c>
      <c r="P333" s="4" t="str">
        <f t="shared" si="5"/>
        <v>CAWP.C10</v>
      </c>
      <c r="Q333" s="4" t="str">
        <f>VLOOKUP(Cobra8.6[[#This Row],[Table.Column]],ColumnMapping[Old Table.Column],1,)</f>
        <v>CAWP.C10</v>
      </c>
    </row>
    <row r="334" spans="1:17" hidden="1" x14ac:dyDescent="0.2">
      <c r="A334" s="4" t="s">
        <v>849</v>
      </c>
      <c r="B334" s="4">
        <v>0</v>
      </c>
      <c r="C334" s="4" t="s">
        <v>849</v>
      </c>
      <c r="D334" s="4" t="s">
        <v>967</v>
      </c>
      <c r="E334" s="4" t="s">
        <v>86</v>
      </c>
      <c r="F334" s="4">
        <v>59</v>
      </c>
      <c r="G334" s="4">
        <v>0</v>
      </c>
      <c r="H334" s="4">
        <v>0</v>
      </c>
      <c r="K334" s="4">
        <v>0</v>
      </c>
      <c r="N334" s="4">
        <v>0</v>
      </c>
      <c r="O334" s="4">
        <v>0</v>
      </c>
      <c r="P334" s="4" t="str">
        <f t="shared" si="5"/>
        <v>CAWP.C11</v>
      </c>
      <c r="Q334" s="4" t="str">
        <f>VLOOKUP(Cobra8.6[[#This Row],[Table.Column]],ColumnMapping[Old Table.Column],1,)</f>
        <v>CAWP.C11</v>
      </c>
    </row>
    <row r="335" spans="1:17" hidden="1" x14ac:dyDescent="0.2">
      <c r="A335" s="4" t="s">
        <v>849</v>
      </c>
      <c r="B335" s="4">
        <v>0</v>
      </c>
      <c r="C335" s="4" t="s">
        <v>849</v>
      </c>
      <c r="D335" s="4" t="s">
        <v>969</v>
      </c>
      <c r="E335" s="4" t="s">
        <v>86</v>
      </c>
      <c r="F335" s="4">
        <v>59</v>
      </c>
      <c r="G335" s="4">
        <v>0</v>
      </c>
      <c r="H335" s="4">
        <v>0</v>
      </c>
      <c r="K335" s="4">
        <v>0</v>
      </c>
      <c r="N335" s="4">
        <v>0</v>
      </c>
      <c r="O335" s="4">
        <v>0</v>
      </c>
      <c r="P335" s="4" t="str">
        <f t="shared" si="5"/>
        <v>CAWP.C12</v>
      </c>
      <c r="Q335" s="4" t="str">
        <f>VLOOKUP(Cobra8.6[[#This Row],[Table.Column]],ColumnMapping[Old Table.Column],1,)</f>
        <v>CAWP.C12</v>
      </c>
    </row>
    <row r="336" spans="1:17" hidden="1" x14ac:dyDescent="0.2">
      <c r="A336" s="4" t="s">
        <v>849</v>
      </c>
      <c r="B336" s="4">
        <v>0</v>
      </c>
      <c r="C336" s="4" t="s">
        <v>849</v>
      </c>
      <c r="D336" s="4" t="s">
        <v>971</v>
      </c>
      <c r="E336" s="4" t="s">
        <v>86</v>
      </c>
      <c r="F336" s="4">
        <v>59</v>
      </c>
      <c r="G336" s="4">
        <v>0</v>
      </c>
      <c r="H336" s="4">
        <v>0</v>
      </c>
      <c r="K336" s="4">
        <v>0</v>
      </c>
      <c r="N336" s="4">
        <v>0</v>
      </c>
      <c r="O336" s="4">
        <v>0</v>
      </c>
      <c r="P336" s="4" t="str">
        <f t="shared" si="5"/>
        <v>CAWP.C13</v>
      </c>
      <c r="Q336" s="4" t="str">
        <f>VLOOKUP(Cobra8.6[[#This Row],[Table.Column]],ColumnMapping[Old Table.Column],1,)</f>
        <v>CAWP.C13</v>
      </c>
    </row>
    <row r="337" spans="1:17" hidden="1" x14ac:dyDescent="0.2">
      <c r="A337" s="4" t="s">
        <v>849</v>
      </c>
      <c r="B337" s="4">
        <v>0</v>
      </c>
      <c r="C337" s="4" t="s">
        <v>849</v>
      </c>
      <c r="D337" s="4" t="s">
        <v>973</v>
      </c>
      <c r="E337" s="4" t="s">
        <v>86</v>
      </c>
      <c r="F337" s="4">
        <v>59</v>
      </c>
      <c r="G337" s="4">
        <v>0</v>
      </c>
      <c r="H337" s="4">
        <v>0</v>
      </c>
      <c r="K337" s="4">
        <v>0</v>
      </c>
      <c r="N337" s="4">
        <v>0</v>
      </c>
      <c r="O337" s="4">
        <v>0</v>
      </c>
      <c r="P337" s="4" t="str">
        <f t="shared" si="5"/>
        <v>CAWP.C14</v>
      </c>
      <c r="Q337" s="4" t="str">
        <f>VLOOKUP(Cobra8.6[[#This Row],[Table.Column]],ColumnMapping[Old Table.Column],1,)</f>
        <v>CAWP.C14</v>
      </c>
    </row>
    <row r="338" spans="1:17" hidden="1" x14ac:dyDescent="0.2">
      <c r="A338" s="4" t="s">
        <v>849</v>
      </c>
      <c r="B338" s="4">
        <v>0</v>
      </c>
      <c r="C338" s="4" t="s">
        <v>849</v>
      </c>
      <c r="D338" s="4" t="s">
        <v>975</v>
      </c>
      <c r="E338" s="4" t="s">
        <v>86</v>
      </c>
      <c r="F338" s="4">
        <v>59</v>
      </c>
      <c r="G338" s="4">
        <v>0</v>
      </c>
      <c r="H338" s="4">
        <v>0</v>
      </c>
      <c r="K338" s="4">
        <v>0</v>
      </c>
      <c r="N338" s="4">
        <v>0</v>
      </c>
      <c r="O338" s="4">
        <v>0</v>
      </c>
      <c r="P338" s="4" t="str">
        <f t="shared" si="5"/>
        <v>CAWP.C15</v>
      </c>
      <c r="Q338" s="4" t="str">
        <f>VLOOKUP(Cobra8.6[[#This Row],[Table.Column]],ColumnMapping[Old Table.Column],1,)</f>
        <v>CAWP.C15</v>
      </c>
    </row>
    <row r="339" spans="1:17" hidden="1" x14ac:dyDescent="0.2">
      <c r="A339" s="4" t="s">
        <v>849</v>
      </c>
      <c r="B339" s="4">
        <v>0</v>
      </c>
      <c r="C339" s="4" t="s">
        <v>849</v>
      </c>
      <c r="D339" s="4" t="s">
        <v>977</v>
      </c>
      <c r="E339" s="4" t="s">
        <v>86</v>
      </c>
      <c r="F339" s="4">
        <v>59</v>
      </c>
      <c r="G339" s="4">
        <v>0</v>
      </c>
      <c r="H339" s="4">
        <v>0</v>
      </c>
      <c r="K339" s="4">
        <v>0</v>
      </c>
      <c r="N339" s="4">
        <v>0</v>
      </c>
      <c r="O339" s="4">
        <v>0</v>
      </c>
      <c r="P339" s="4" t="str">
        <f t="shared" si="5"/>
        <v>CAWP.C16</v>
      </c>
      <c r="Q339" s="4" t="str">
        <f>VLOOKUP(Cobra8.6[[#This Row],[Table.Column]],ColumnMapping[Old Table.Column],1,)</f>
        <v>CAWP.C16</v>
      </c>
    </row>
    <row r="340" spans="1:17" hidden="1" x14ac:dyDescent="0.2">
      <c r="A340" s="4" t="s">
        <v>849</v>
      </c>
      <c r="B340" s="4">
        <v>0</v>
      </c>
      <c r="C340" s="4" t="s">
        <v>849</v>
      </c>
      <c r="D340" s="4" t="s">
        <v>979</v>
      </c>
      <c r="E340" s="4" t="s">
        <v>86</v>
      </c>
      <c r="F340" s="4">
        <v>59</v>
      </c>
      <c r="G340" s="4">
        <v>0</v>
      </c>
      <c r="H340" s="4">
        <v>0</v>
      </c>
      <c r="K340" s="4">
        <v>0</v>
      </c>
      <c r="N340" s="4">
        <v>0</v>
      </c>
      <c r="O340" s="4">
        <v>0</v>
      </c>
      <c r="P340" s="4" t="str">
        <f t="shared" si="5"/>
        <v>CAWP.C17</v>
      </c>
      <c r="Q340" s="4" t="str">
        <f>VLOOKUP(Cobra8.6[[#This Row],[Table.Column]],ColumnMapping[Old Table.Column],1,)</f>
        <v>CAWP.C17</v>
      </c>
    </row>
    <row r="341" spans="1:17" hidden="1" x14ac:dyDescent="0.2">
      <c r="A341" s="4" t="s">
        <v>849</v>
      </c>
      <c r="B341" s="4">
        <v>0</v>
      </c>
      <c r="C341" s="4" t="s">
        <v>849</v>
      </c>
      <c r="D341" s="4" t="s">
        <v>981</v>
      </c>
      <c r="E341" s="4" t="s">
        <v>86</v>
      </c>
      <c r="F341" s="4">
        <v>59</v>
      </c>
      <c r="G341" s="4">
        <v>0</v>
      </c>
      <c r="H341" s="4">
        <v>0</v>
      </c>
      <c r="K341" s="4">
        <v>0</v>
      </c>
      <c r="N341" s="4">
        <v>0</v>
      </c>
      <c r="O341" s="4">
        <v>0</v>
      </c>
      <c r="P341" s="4" t="str">
        <f t="shared" si="5"/>
        <v>CAWP.C18</v>
      </c>
      <c r="Q341" s="4" t="str">
        <f>VLOOKUP(Cobra8.6[[#This Row],[Table.Column]],ColumnMapping[Old Table.Column],1,)</f>
        <v>CAWP.C18</v>
      </c>
    </row>
    <row r="342" spans="1:17" hidden="1" x14ac:dyDescent="0.2">
      <c r="A342" s="4" t="s">
        <v>849</v>
      </c>
      <c r="B342" s="4">
        <v>0</v>
      </c>
      <c r="C342" s="4" t="s">
        <v>849</v>
      </c>
      <c r="D342" s="4" t="s">
        <v>983</v>
      </c>
      <c r="E342" s="4" t="s">
        <v>86</v>
      </c>
      <c r="F342" s="4">
        <v>59</v>
      </c>
      <c r="G342" s="4">
        <v>0</v>
      </c>
      <c r="H342" s="4">
        <v>0</v>
      </c>
      <c r="K342" s="4">
        <v>0</v>
      </c>
      <c r="N342" s="4">
        <v>0</v>
      </c>
      <c r="O342" s="4">
        <v>0</v>
      </c>
      <c r="P342" s="4" t="str">
        <f t="shared" si="5"/>
        <v>CAWP.C19</v>
      </c>
      <c r="Q342" s="4" t="str">
        <f>VLOOKUP(Cobra8.6[[#This Row],[Table.Column]],ColumnMapping[Old Table.Column],1,)</f>
        <v>CAWP.C19</v>
      </c>
    </row>
    <row r="343" spans="1:17" hidden="1" x14ac:dyDescent="0.2">
      <c r="A343" s="4" t="s">
        <v>849</v>
      </c>
      <c r="B343" s="4">
        <v>0</v>
      </c>
      <c r="C343" s="4" t="s">
        <v>849</v>
      </c>
      <c r="D343" s="4" t="s">
        <v>985</v>
      </c>
      <c r="E343" s="4" t="s">
        <v>86</v>
      </c>
      <c r="F343" s="4">
        <v>59</v>
      </c>
      <c r="G343" s="4">
        <v>0</v>
      </c>
      <c r="H343" s="4">
        <v>0</v>
      </c>
      <c r="K343" s="4">
        <v>0</v>
      </c>
      <c r="N343" s="4">
        <v>0</v>
      </c>
      <c r="O343" s="4">
        <v>0</v>
      </c>
      <c r="P343" s="4" t="str">
        <f t="shared" si="5"/>
        <v>CAWP.C2</v>
      </c>
      <c r="Q343" s="4" t="str">
        <f>VLOOKUP(Cobra8.6[[#This Row],[Table.Column]],ColumnMapping[Old Table.Column],1,)</f>
        <v>CAWP.C2</v>
      </c>
    </row>
    <row r="344" spans="1:17" hidden="1" x14ac:dyDescent="0.2">
      <c r="A344" s="4" t="s">
        <v>849</v>
      </c>
      <c r="B344" s="4">
        <v>0</v>
      </c>
      <c r="C344" s="4" t="s">
        <v>849</v>
      </c>
      <c r="D344" s="4" t="s">
        <v>987</v>
      </c>
      <c r="E344" s="4" t="s">
        <v>86</v>
      </c>
      <c r="F344" s="4">
        <v>59</v>
      </c>
      <c r="G344" s="4">
        <v>0</v>
      </c>
      <c r="H344" s="4">
        <v>0</v>
      </c>
      <c r="K344" s="4">
        <v>0</v>
      </c>
      <c r="N344" s="4">
        <v>0</v>
      </c>
      <c r="O344" s="4">
        <v>0</v>
      </c>
      <c r="P344" s="4" t="str">
        <f t="shared" si="5"/>
        <v>CAWP.C20</v>
      </c>
      <c r="Q344" s="4" t="str">
        <f>VLOOKUP(Cobra8.6[[#This Row],[Table.Column]],ColumnMapping[Old Table.Column],1,)</f>
        <v>CAWP.C20</v>
      </c>
    </row>
    <row r="345" spans="1:17" hidden="1" x14ac:dyDescent="0.2">
      <c r="A345" s="4" t="s">
        <v>849</v>
      </c>
      <c r="B345" s="4">
        <v>0</v>
      </c>
      <c r="C345" s="4" t="s">
        <v>849</v>
      </c>
      <c r="D345" s="4" t="s">
        <v>989</v>
      </c>
      <c r="E345" s="4" t="s">
        <v>86</v>
      </c>
      <c r="F345" s="4">
        <v>59</v>
      </c>
      <c r="G345" s="4">
        <v>0</v>
      </c>
      <c r="H345" s="4">
        <v>0</v>
      </c>
      <c r="K345" s="4">
        <v>0</v>
      </c>
      <c r="N345" s="4">
        <v>0</v>
      </c>
      <c r="O345" s="4">
        <v>0</v>
      </c>
      <c r="P345" s="4" t="str">
        <f t="shared" si="5"/>
        <v>CAWP.C3</v>
      </c>
      <c r="Q345" s="4" t="str">
        <f>VLOOKUP(Cobra8.6[[#This Row],[Table.Column]],ColumnMapping[Old Table.Column],1,)</f>
        <v>CAWP.C3</v>
      </c>
    </row>
    <row r="346" spans="1:17" hidden="1" x14ac:dyDescent="0.2">
      <c r="A346" s="4" t="s">
        <v>849</v>
      </c>
      <c r="B346" s="4">
        <v>0</v>
      </c>
      <c r="C346" s="4" t="s">
        <v>849</v>
      </c>
      <c r="D346" s="4" t="s">
        <v>991</v>
      </c>
      <c r="E346" s="4" t="s">
        <v>86</v>
      </c>
      <c r="F346" s="4">
        <v>59</v>
      </c>
      <c r="G346" s="4">
        <v>0</v>
      </c>
      <c r="H346" s="4">
        <v>0</v>
      </c>
      <c r="K346" s="4">
        <v>0</v>
      </c>
      <c r="N346" s="4">
        <v>0</v>
      </c>
      <c r="O346" s="4">
        <v>0</v>
      </c>
      <c r="P346" s="4" t="str">
        <f t="shared" si="5"/>
        <v>CAWP.C4</v>
      </c>
      <c r="Q346" s="4" t="str">
        <f>VLOOKUP(Cobra8.6[[#This Row],[Table.Column]],ColumnMapping[Old Table.Column],1,)</f>
        <v>CAWP.C4</v>
      </c>
    </row>
    <row r="347" spans="1:17" hidden="1" x14ac:dyDescent="0.2">
      <c r="A347" s="4" t="s">
        <v>849</v>
      </c>
      <c r="B347" s="4">
        <v>0</v>
      </c>
      <c r="C347" s="4" t="s">
        <v>849</v>
      </c>
      <c r="D347" s="4" t="s">
        <v>993</v>
      </c>
      <c r="E347" s="4" t="s">
        <v>86</v>
      </c>
      <c r="F347" s="4">
        <v>59</v>
      </c>
      <c r="G347" s="4">
        <v>0</v>
      </c>
      <c r="H347" s="4">
        <v>0</v>
      </c>
      <c r="K347" s="4">
        <v>0</v>
      </c>
      <c r="N347" s="4">
        <v>0</v>
      </c>
      <c r="O347" s="4">
        <v>0</v>
      </c>
      <c r="P347" s="4" t="str">
        <f t="shared" si="5"/>
        <v>CAWP.C5</v>
      </c>
      <c r="Q347" s="4" t="str">
        <f>VLOOKUP(Cobra8.6[[#This Row],[Table.Column]],ColumnMapping[Old Table.Column],1,)</f>
        <v>CAWP.C5</v>
      </c>
    </row>
    <row r="348" spans="1:17" hidden="1" x14ac:dyDescent="0.2">
      <c r="A348" s="4" t="s">
        <v>849</v>
      </c>
      <c r="B348" s="4">
        <v>0</v>
      </c>
      <c r="C348" s="4" t="s">
        <v>849</v>
      </c>
      <c r="D348" s="4" t="s">
        <v>995</v>
      </c>
      <c r="E348" s="4" t="s">
        <v>86</v>
      </c>
      <c r="F348" s="4">
        <v>59</v>
      </c>
      <c r="G348" s="4">
        <v>0</v>
      </c>
      <c r="H348" s="4">
        <v>0</v>
      </c>
      <c r="K348" s="4">
        <v>0</v>
      </c>
      <c r="N348" s="4">
        <v>0</v>
      </c>
      <c r="O348" s="4">
        <v>0</v>
      </c>
      <c r="P348" s="4" t="str">
        <f t="shared" si="5"/>
        <v>CAWP.C6</v>
      </c>
      <c r="Q348" s="4" t="str">
        <f>VLOOKUP(Cobra8.6[[#This Row],[Table.Column]],ColumnMapping[Old Table.Column],1,)</f>
        <v>CAWP.C6</v>
      </c>
    </row>
    <row r="349" spans="1:17" hidden="1" x14ac:dyDescent="0.2">
      <c r="A349" s="4" t="s">
        <v>849</v>
      </c>
      <c r="B349" s="4">
        <v>0</v>
      </c>
      <c r="C349" s="4" t="s">
        <v>849</v>
      </c>
      <c r="D349" s="4" t="s">
        <v>997</v>
      </c>
      <c r="E349" s="4" t="s">
        <v>86</v>
      </c>
      <c r="F349" s="4">
        <v>59</v>
      </c>
      <c r="G349" s="4">
        <v>0</v>
      </c>
      <c r="H349" s="4">
        <v>0</v>
      </c>
      <c r="K349" s="4">
        <v>0</v>
      </c>
      <c r="N349" s="4">
        <v>0</v>
      </c>
      <c r="O349" s="4">
        <v>0</v>
      </c>
      <c r="P349" s="4" t="str">
        <f t="shared" si="5"/>
        <v>CAWP.C7</v>
      </c>
      <c r="Q349" s="4" t="str">
        <f>VLOOKUP(Cobra8.6[[#This Row],[Table.Column]],ColumnMapping[Old Table.Column],1,)</f>
        <v>CAWP.C7</v>
      </c>
    </row>
    <row r="350" spans="1:17" hidden="1" x14ac:dyDescent="0.2">
      <c r="A350" s="4" t="s">
        <v>849</v>
      </c>
      <c r="B350" s="4">
        <v>0</v>
      </c>
      <c r="C350" s="4" t="s">
        <v>849</v>
      </c>
      <c r="D350" s="4" t="s">
        <v>999</v>
      </c>
      <c r="E350" s="4" t="s">
        <v>86</v>
      </c>
      <c r="F350" s="4">
        <v>59</v>
      </c>
      <c r="G350" s="4">
        <v>0</v>
      </c>
      <c r="H350" s="4">
        <v>0</v>
      </c>
      <c r="K350" s="4">
        <v>0</v>
      </c>
      <c r="N350" s="4">
        <v>0</v>
      </c>
      <c r="O350" s="4">
        <v>0</v>
      </c>
      <c r="P350" s="4" t="str">
        <f t="shared" si="5"/>
        <v>CAWP.C8</v>
      </c>
      <c r="Q350" s="4" t="str">
        <f>VLOOKUP(Cobra8.6[[#This Row],[Table.Column]],ColumnMapping[Old Table.Column],1,)</f>
        <v>CAWP.C8</v>
      </c>
    </row>
    <row r="351" spans="1:17" hidden="1" x14ac:dyDescent="0.2">
      <c r="A351" s="4" t="s">
        <v>849</v>
      </c>
      <c r="B351" s="4">
        <v>0</v>
      </c>
      <c r="C351" s="4" t="s">
        <v>849</v>
      </c>
      <c r="D351" s="4" t="s">
        <v>1001</v>
      </c>
      <c r="E351" s="4" t="s">
        <v>86</v>
      </c>
      <c r="F351" s="4">
        <v>59</v>
      </c>
      <c r="G351" s="4">
        <v>0</v>
      </c>
      <c r="H351" s="4">
        <v>0</v>
      </c>
      <c r="K351" s="4">
        <v>0</v>
      </c>
      <c r="N351" s="4">
        <v>0</v>
      </c>
      <c r="O351" s="4">
        <v>0</v>
      </c>
      <c r="P351" s="4" t="str">
        <f t="shared" si="5"/>
        <v>CAWP.C9</v>
      </c>
      <c r="Q351" s="4" t="str">
        <f>VLOOKUP(Cobra8.6[[#This Row],[Table.Column]],ColumnMapping[Old Table.Column],1,)</f>
        <v>CAWP.C9</v>
      </c>
    </row>
    <row r="352" spans="1:17" hidden="1" x14ac:dyDescent="0.2">
      <c r="A352" s="4" t="s">
        <v>849</v>
      </c>
      <c r="B352" s="4">
        <v>0</v>
      </c>
      <c r="C352" s="4" t="s">
        <v>849</v>
      </c>
      <c r="D352" s="4" t="s">
        <v>1003</v>
      </c>
      <c r="E352" s="4" t="s">
        <v>86</v>
      </c>
      <c r="F352" s="4">
        <v>59</v>
      </c>
      <c r="G352" s="4">
        <v>0</v>
      </c>
      <c r="H352" s="4">
        <v>0</v>
      </c>
      <c r="K352" s="4">
        <v>0</v>
      </c>
      <c r="N352" s="4">
        <v>0</v>
      </c>
      <c r="O352" s="4">
        <v>0</v>
      </c>
      <c r="P352" s="4" t="str">
        <f t="shared" si="5"/>
        <v>CAWP.CA1</v>
      </c>
      <c r="Q352" s="4" t="str">
        <f>VLOOKUP(Cobra8.6[[#This Row],[Table.Column]],ColumnMapping[Old Table.Column],1,)</f>
        <v>CAWP.CA1</v>
      </c>
    </row>
    <row r="353" spans="1:17" hidden="1" x14ac:dyDescent="0.2">
      <c r="A353" s="4" t="s">
        <v>849</v>
      </c>
      <c r="B353" s="4">
        <v>0</v>
      </c>
      <c r="C353" s="4" t="s">
        <v>849</v>
      </c>
      <c r="D353" s="4" t="s">
        <v>1005</v>
      </c>
      <c r="E353" s="4" t="s">
        <v>86</v>
      </c>
      <c r="F353" s="4">
        <v>59</v>
      </c>
      <c r="G353" s="4">
        <v>0</v>
      </c>
      <c r="H353" s="4">
        <v>0</v>
      </c>
      <c r="K353" s="4">
        <v>0</v>
      </c>
      <c r="N353" s="4">
        <v>0</v>
      </c>
      <c r="O353" s="4">
        <v>0</v>
      </c>
      <c r="P353" s="4" t="str">
        <f t="shared" si="5"/>
        <v>CAWP.CA2</v>
      </c>
      <c r="Q353" s="4" t="str">
        <f>VLOOKUP(Cobra8.6[[#This Row],[Table.Column]],ColumnMapping[Old Table.Column],1,)</f>
        <v>CAWP.CA2</v>
      </c>
    </row>
    <row r="354" spans="1:17" hidden="1" x14ac:dyDescent="0.2">
      <c r="A354" s="4" t="s">
        <v>849</v>
      </c>
      <c r="B354" s="4">
        <v>0</v>
      </c>
      <c r="C354" s="4" t="s">
        <v>849</v>
      </c>
      <c r="D354" s="4" t="s">
        <v>1007</v>
      </c>
      <c r="E354" s="4" t="s">
        <v>86</v>
      </c>
      <c r="F354" s="4">
        <v>59</v>
      </c>
      <c r="G354" s="4">
        <v>0</v>
      </c>
      <c r="H354" s="4">
        <v>0</v>
      </c>
      <c r="K354" s="4">
        <v>0</v>
      </c>
      <c r="N354" s="4">
        <v>0</v>
      </c>
      <c r="O354" s="4">
        <v>0</v>
      </c>
      <c r="P354" s="4" t="str">
        <f t="shared" si="5"/>
        <v>CAWP.CA3</v>
      </c>
      <c r="Q354" s="4" t="str">
        <f>VLOOKUP(Cobra8.6[[#This Row],[Table.Column]],ColumnMapping[Old Table.Column],1,)</f>
        <v>CAWP.CA3</v>
      </c>
    </row>
    <row r="355" spans="1:17" hidden="1" x14ac:dyDescent="0.2">
      <c r="A355" s="4" t="s">
        <v>849</v>
      </c>
      <c r="B355" s="4">
        <v>0</v>
      </c>
      <c r="C355" s="4" t="s">
        <v>849</v>
      </c>
      <c r="D355" s="4" t="s">
        <v>1009</v>
      </c>
      <c r="E355" s="4" t="s">
        <v>2108</v>
      </c>
      <c r="F355" s="4">
        <v>-1</v>
      </c>
      <c r="G355" s="4">
        <v>0</v>
      </c>
      <c r="H355" s="4">
        <v>0</v>
      </c>
      <c r="K355" s="4">
        <v>0</v>
      </c>
      <c r="N355" s="4">
        <v>0</v>
      </c>
      <c r="O355" s="4">
        <v>0</v>
      </c>
      <c r="P355" s="4" t="str">
        <f t="shared" si="5"/>
        <v>CAWP.CAWPID</v>
      </c>
      <c r="Q355" s="4" t="str">
        <f>VLOOKUP(Cobra8.6[[#This Row],[Table.Column]],ColumnMapping[Old Table.Column],1,)</f>
        <v>CAWP.CAWPID</v>
      </c>
    </row>
    <row r="356" spans="1:17" hidden="1" x14ac:dyDescent="0.2">
      <c r="A356" s="4" t="s">
        <v>849</v>
      </c>
      <c r="B356" s="4">
        <v>0</v>
      </c>
      <c r="C356" s="4" t="s">
        <v>849</v>
      </c>
      <c r="D356" s="4" t="s">
        <v>1011</v>
      </c>
      <c r="E356" s="4" t="s">
        <v>2108</v>
      </c>
      <c r="F356" s="4">
        <v>-1</v>
      </c>
      <c r="G356" s="4">
        <v>0</v>
      </c>
      <c r="H356" s="4">
        <v>0</v>
      </c>
      <c r="K356" s="4">
        <v>0</v>
      </c>
      <c r="N356" s="4">
        <v>0</v>
      </c>
      <c r="O356" s="4">
        <v>0</v>
      </c>
      <c r="P356" s="4" t="str">
        <f t="shared" si="5"/>
        <v>CAWP.CL_BATCH</v>
      </c>
      <c r="Q356" s="4" t="str">
        <f>VLOOKUP(Cobra8.6[[#This Row],[Table.Column]],ColumnMapping[Old Table.Column],1,)</f>
        <v>CAWP.CL_BATCH</v>
      </c>
    </row>
    <row r="357" spans="1:17" hidden="1" x14ac:dyDescent="0.2">
      <c r="A357" s="4" t="s">
        <v>849</v>
      </c>
      <c r="B357" s="4">
        <v>0</v>
      </c>
      <c r="C357" s="4" t="s">
        <v>849</v>
      </c>
      <c r="D357" s="4" t="s">
        <v>2141</v>
      </c>
      <c r="E357" s="4" t="s">
        <v>86</v>
      </c>
      <c r="F357" s="4">
        <v>254</v>
      </c>
      <c r="G357" s="4">
        <v>0</v>
      </c>
      <c r="H357" s="4">
        <v>0</v>
      </c>
      <c r="K357" s="4">
        <v>0</v>
      </c>
      <c r="N357" s="4">
        <v>0</v>
      </c>
      <c r="O357" s="4">
        <v>0</v>
      </c>
      <c r="P357" s="4" t="str">
        <f t="shared" si="5"/>
        <v>CAWP.DESCRIP</v>
      </c>
      <c r="Q357" s="4" t="str">
        <f>VLOOKUP(Cobra8.6[[#This Row],[Table.Column]],ColumnMapping[Old Table.Column],1,)</f>
        <v>CAWP.DESCRIP</v>
      </c>
    </row>
    <row r="358" spans="1:17" hidden="1" x14ac:dyDescent="0.2">
      <c r="A358" s="4" t="s">
        <v>849</v>
      </c>
      <c r="B358" s="4">
        <v>0</v>
      </c>
      <c r="C358" s="4" t="s">
        <v>849</v>
      </c>
      <c r="D358" s="4" t="s">
        <v>690</v>
      </c>
      <c r="E358" s="4" t="s">
        <v>2124</v>
      </c>
      <c r="F358" s="4">
        <v>21</v>
      </c>
      <c r="G358" s="4">
        <v>6</v>
      </c>
      <c r="H358" s="4">
        <v>0</v>
      </c>
      <c r="K358" s="4">
        <v>0</v>
      </c>
      <c r="N358" s="4">
        <v>0</v>
      </c>
      <c r="O358" s="4">
        <v>0</v>
      </c>
      <c r="P358" s="4" t="str">
        <f t="shared" si="5"/>
        <v>CAWP.EAC</v>
      </c>
      <c r="Q358" s="4" t="str">
        <f>VLOOKUP(Cobra8.6[[#This Row],[Table.Column]],ColumnMapping[Old Table.Column],1,)</f>
        <v>CAWP.EAC</v>
      </c>
    </row>
    <row r="359" spans="1:17" hidden="1" x14ac:dyDescent="0.2">
      <c r="A359" s="4" t="s">
        <v>849</v>
      </c>
      <c r="B359" s="4">
        <v>0</v>
      </c>
      <c r="C359" s="4" t="s">
        <v>849</v>
      </c>
      <c r="D359" s="4" t="s">
        <v>692</v>
      </c>
      <c r="E359" s="4" t="s">
        <v>2124</v>
      </c>
      <c r="F359" s="4">
        <v>21</v>
      </c>
      <c r="G359" s="4">
        <v>6</v>
      </c>
      <c r="H359" s="4">
        <v>0</v>
      </c>
      <c r="K359" s="4">
        <v>0</v>
      </c>
      <c r="N359" s="4">
        <v>0</v>
      </c>
      <c r="O359" s="4">
        <v>0</v>
      </c>
      <c r="P359" s="4" t="str">
        <f t="shared" si="5"/>
        <v>CAWP.EAC_HRS</v>
      </c>
      <c r="Q359" s="4" t="str">
        <f>VLOOKUP(Cobra8.6[[#This Row],[Table.Column]],ColumnMapping[Old Table.Column],1,)</f>
        <v>CAWP.EAC_HRS</v>
      </c>
    </row>
    <row r="360" spans="1:17" hidden="1" x14ac:dyDescent="0.2">
      <c r="A360" s="4" t="s">
        <v>849</v>
      </c>
      <c r="B360" s="4">
        <v>0</v>
      </c>
      <c r="C360" s="4" t="s">
        <v>849</v>
      </c>
      <c r="D360" s="4" t="s">
        <v>1013</v>
      </c>
      <c r="E360" s="4" t="s">
        <v>2124</v>
      </c>
      <c r="F360" s="4">
        <v>21</v>
      </c>
      <c r="G360" s="4">
        <v>6</v>
      </c>
      <c r="H360" s="4">
        <v>0</v>
      </c>
      <c r="K360" s="4">
        <v>0</v>
      </c>
      <c r="N360" s="4">
        <v>0</v>
      </c>
      <c r="O360" s="4">
        <v>0</v>
      </c>
      <c r="P360" s="4" t="str">
        <f t="shared" si="5"/>
        <v>CAWP.EAC_NONLAB</v>
      </c>
      <c r="Q360" s="4" t="str">
        <f>VLOOKUP(Cobra8.6[[#This Row],[Table.Column]],ColumnMapping[Old Table.Column],1,)</f>
        <v>CAWP.EAC_NONLAB</v>
      </c>
    </row>
    <row r="361" spans="1:17" hidden="1" x14ac:dyDescent="0.2">
      <c r="A361" s="4" t="s">
        <v>849</v>
      </c>
      <c r="B361" s="4">
        <v>0</v>
      </c>
      <c r="C361" s="4" t="s">
        <v>849</v>
      </c>
      <c r="D361" s="4" t="s">
        <v>2177</v>
      </c>
      <c r="E361" s="4" t="s">
        <v>356</v>
      </c>
      <c r="F361" s="4">
        <v>-1</v>
      </c>
      <c r="G361" s="4">
        <v>0</v>
      </c>
      <c r="H361" s="4">
        <v>0</v>
      </c>
      <c r="K361" s="4">
        <v>0</v>
      </c>
      <c r="N361" s="4">
        <v>0</v>
      </c>
      <c r="O361" s="4">
        <v>0</v>
      </c>
      <c r="P361" s="4" t="str">
        <f t="shared" si="5"/>
        <v>CAWP.EFD</v>
      </c>
      <c r="Q361" s="4" t="str">
        <f>VLOOKUP(Cobra8.6[[#This Row],[Table.Column]],ColumnMapping[Old Table.Column],1,)</f>
        <v>CAWP.EFD</v>
      </c>
    </row>
    <row r="362" spans="1:17" hidden="1" x14ac:dyDescent="0.2">
      <c r="A362" s="4" t="s">
        <v>849</v>
      </c>
      <c r="B362" s="4">
        <v>0</v>
      </c>
      <c r="C362" s="4" t="s">
        <v>849</v>
      </c>
      <c r="D362" s="4" t="s">
        <v>1015</v>
      </c>
      <c r="E362" s="4" t="s">
        <v>86</v>
      </c>
      <c r="F362" s="4">
        <v>59</v>
      </c>
      <c r="G362" s="4">
        <v>0</v>
      </c>
      <c r="H362" s="4">
        <v>0</v>
      </c>
      <c r="K362" s="4">
        <v>0</v>
      </c>
      <c r="N362" s="4">
        <v>0</v>
      </c>
      <c r="O362" s="4">
        <v>0</v>
      </c>
      <c r="P362" s="4" t="str">
        <f t="shared" si="5"/>
        <v>CAWP.EOC</v>
      </c>
      <c r="Q362" s="4" t="str">
        <f>VLOOKUP(Cobra8.6[[#This Row],[Table.Column]],ColumnMapping[Old Table.Column],1,)</f>
        <v>CAWP.EOC</v>
      </c>
    </row>
    <row r="363" spans="1:17" hidden="1" x14ac:dyDescent="0.2">
      <c r="A363" s="4" t="s">
        <v>849</v>
      </c>
      <c r="B363" s="4">
        <v>0</v>
      </c>
      <c r="C363" s="4" t="s">
        <v>849</v>
      </c>
      <c r="D363" s="4" t="s">
        <v>2178</v>
      </c>
      <c r="E363" s="4" t="s">
        <v>356</v>
      </c>
      <c r="F363" s="4">
        <v>-1</v>
      </c>
      <c r="G363" s="4">
        <v>0</v>
      </c>
      <c r="H363" s="4">
        <v>0</v>
      </c>
      <c r="K363" s="4">
        <v>0</v>
      </c>
      <c r="N363" s="4">
        <v>0</v>
      </c>
      <c r="O363" s="4">
        <v>0</v>
      </c>
      <c r="P363" s="4" t="str">
        <f t="shared" si="5"/>
        <v>CAWP.ESD</v>
      </c>
      <c r="Q363" s="4" t="str">
        <f>VLOOKUP(Cobra8.6[[#This Row],[Table.Column]],ColumnMapping[Old Table.Column],1,)</f>
        <v>CAWP.ESD</v>
      </c>
    </row>
    <row r="364" spans="1:17" hidden="1" x14ac:dyDescent="0.2">
      <c r="A364" s="4" t="s">
        <v>849</v>
      </c>
      <c r="B364" s="4">
        <v>0</v>
      </c>
      <c r="C364" s="4" t="s">
        <v>849</v>
      </c>
      <c r="D364" s="4" t="s">
        <v>443</v>
      </c>
      <c r="E364" s="4" t="s">
        <v>86</v>
      </c>
      <c r="F364" s="4">
        <v>1</v>
      </c>
      <c r="G364" s="4">
        <v>0</v>
      </c>
      <c r="H364" s="4">
        <v>0</v>
      </c>
      <c r="K364" s="4">
        <v>0</v>
      </c>
      <c r="N364" s="4">
        <v>0</v>
      </c>
      <c r="O364" s="4">
        <v>0</v>
      </c>
      <c r="P364" s="4" t="str">
        <f t="shared" si="5"/>
        <v>CAWP.FLAG</v>
      </c>
      <c r="Q364" s="4" t="str">
        <f>VLOOKUP(Cobra8.6[[#This Row],[Table.Column]],ColumnMapping[Old Table.Column],1,)</f>
        <v>CAWP.FLAG</v>
      </c>
    </row>
    <row r="365" spans="1:17" hidden="1" x14ac:dyDescent="0.2">
      <c r="A365" s="4" t="s">
        <v>849</v>
      </c>
      <c r="B365" s="4">
        <v>0</v>
      </c>
      <c r="C365" s="4" t="s">
        <v>849</v>
      </c>
      <c r="D365" s="4" t="s">
        <v>2111</v>
      </c>
      <c r="E365" s="4" t="s">
        <v>356</v>
      </c>
      <c r="F365" s="4">
        <v>-1</v>
      </c>
      <c r="G365" s="4">
        <v>0</v>
      </c>
      <c r="H365" s="4">
        <v>0</v>
      </c>
      <c r="K365" s="4">
        <v>0</v>
      </c>
      <c r="N365" s="4">
        <v>0</v>
      </c>
      <c r="O365" s="4">
        <v>0</v>
      </c>
      <c r="P365" s="4" t="str">
        <f t="shared" si="5"/>
        <v>CAWP.LASTUPDATE</v>
      </c>
      <c r="Q365" s="4" t="str">
        <f>VLOOKUP(Cobra8.6[[#This Row],[Table.Column]],ColumnMapping[Old Table.Column],1,)</f>
        <v>CAWP.LASTUPDATE</v>
      </c>
    </row>
    <row r="366" spans="1:17" hidden="1" x14ac:dyDescent="0.2">
      <c r="A366" s="4" t="s">
        <v>849</v>
      </c>
      <c r="B366" s="4">
        <v>0</v>
      </c>
      <c r="C366" s="4" t="s">
        <v>849</v>
      </c>
      <c r="D366" s="4" t="s">
        <v>2179</v>
      </c>
      <c r="E366" s="4" t="s">
        <v>356</v>
      </c>
      <c r="F366" s="4">
        <v>-1</v>
      </c>
      <c r="G366" s="4">
        <v>0</v>
      </c>
      <c r="H366" s="4">
        <v>0</v>
      </c>
      <c r="K366" s="4">
        <v>0</v>
      </c>
      <c r="N366" s="4">
        <v>0</v>
      </c>
      <c r="O366" s="4">
        <v>0</v>
      </c>
      <c r="P366" s="4" t="str">
        <f t="shared" si="5"/>
        <v>CAWP.LFD</v>
      </c>
      <c r="Q366" s="4" t="str">
        <f>VLOOKUP(Cobra8.6[[#This Row],[Table.Column]],ColumnMapping[Old Table.Column],1,)</f>
        <v>CAWP.LFD</v>
      </c>
    </row>
    <row r="367" spans="1:17" hidden="1" x14ac:dyDescent="0.2">
      <c r="A367" s="4" t="s">
        <v>849</v>
      </c>
      <c r="B367" s="4">
        <v>0</v>
      </c>
      <c r="C367" s="4" t="s">
        <v>849</v>
      </c>
      <c r="D367" s="4" t="s">
        <v>2180</v>
      </c>
      <c r="E367" s="4" t="s">
        <v>356</v>
      </c>
      <c r="F367" s="4">
        <v>-1</v>
      </c>
      <c r="G367" s="4">
        <v>0</v>
      </c>
      <c r="H367" s="4">
        <v>0</v>
      </c>
      <c r="K367" s="4">
        <v>0</v>
      </c>
      <c r="N367" s="4">
        <v>0</v>
      </c>
      <c r="O367" s="4">
        <v>0</v>
      </c>
      <c r="P367" s="4" t="str">
        <f t="shared" si="5"/>
        <v>CAWP.LSD</v>
      </c>
      <c r="Q367" s="4" t="str">
        <f>VLOOKUP(Cobra8.6[[#This Row],[Table.Column]],ColumnMapping[Old Table.Column],1,)</f>
        <v>CAWP.LSD</v>
      </c>
    </row>
    <row r="368" spans="1:17" hidden="1" x14ac:dyDescent="0.2">
      <c r="A368" s="4" t="s">
        <v>849</v>
      </c>
      <c r="B368" s="4">
        <v>0</v>
      </c>
      <c r="C368" s="4" t="s">
        <v>849</v>
      </c>
      <c r="D368" s="4" t="s">
        <v>2181</v>
      </c>
      <c r="E368" s="4" t="s">
        <v>86</v>
      </c>
      <c r="F368" s="4">
        <v>59</v>
      </c>
      <c r="G368" s="4">
        <v>0</v>
      </c>
      <c r="H368" s="4">
        <v>0</v>
      </c>
      <c r="K368" s="4">
        <v>0</v>
      </c>
      <c r="N368" s="4">
        <v>0</v>
      </c>
      <c r="O368" s="4">
        <v>0</v>
      </c>
      <c r="P368" s="4" t="str">
        <f t="shared" si="5"/>
        <v>CAWP.MANAGER</v>
      </c>
      <c r="Q368" s="4" t="str">
        <f>VLOOKUP(Cobra8.6[[#This Row],[Table.Column]],ColumnMapping[Old Table.Column],1,)</f>
        <v>CAWP.MANAGER</v>
      </c>
    </row>
    <row r="369" spans="1:17" hidden="1" x14ac:dyDescent="0.2">
      <c r="A369" s="4" t="s">
        <v>849</v>
      </c>
      <c r="B369" s="4">
        <v>0</v>
      </c>
      <c r="C369" s="4" t="s">
        <v>849</v>
      </c>
      <c r="D369" s="4" t="s">
        <v>1018</v>
      </c>
      <c r="E369" s="4" t="s">
        <v>2108</v>
      </c>
      <c r="F369" s="4">
        <v>-1</v>
      </c>
      <c r="G369" s="4">
        <v>0</v>
      </c>
      <c r="H369" s="4">
        <v>0</v>
      </c>
      <c r="K369" s="4">
        <v>0</v>
      </c>
      <c r="N369" s="4">
        <v>0</v>
      </c>
      <c r="O369" s="4">
        <v>0</v>
      </c>
      <c r="P369" s="4" t="str">
        <f t="shared" si="5"/>
        <v>CAWP.OP_BATCH</v>
      </c>
      <c r="Q369" s="4" t="str">
        <f>VLOOKUP(Cobra8.6[[#This Row],[Table.Column]],ColumnMapping[Old Table.Column],1,)</f>
        <v>CAWP.OP_BATCH</v>
      </c>
    </row>
    <row r="370" spans="1:17" hidden="1" x14ac:dyDescent="0.2">
      <c r="A370" s="4" t="s">
        <v>849</v>
      </c>
      <c r="B370" s="4">
        <v>0</v>
      </c>
      <c r="C370" s="4" t="s">
        <v>849</v>
      </c>
      <c r="D370" s="4" t="s">
        <v>1241</v>
      </c>
      <c r="E370" s="4" t="s">
        <v>2124</v>
      </c>
      <c r="F370" s="4">
        <v>11</v>
      </c>
      <c r="G370" s="4">
        <v>6</v>
      </c>
      <c r="H370" s="4">
        <v>0</v>
      </c>
      <c r="K370" s="4">
        <v>0</v>
      </c>
      <c r="N370" s="4">
        <v>0</v>
      </c>
      <c r="O370" s="4">
        <v>0</v>
      </c>
      <c r="P370" s="4" t="str">
        <f t="shared" si="5"/>
        <v>CAWP.PC_COMP</v>
      </c>
      <c r="Q370" s="4" t="str">
        <f>VLOOKUP(Cobra8.6[[#This Row],[Table.Column]],ColumnMapping[Old Table.Column],1,)</f>
        <v>CAWP.PC_COMP</v>
      </c>
    </row>
    <row r="371" spans="1:17" hidden="1" x14ac:dyDescent="0.2">
      <c r="A371" s="4" t="s">
        <v>849</v>
      </c>
      <c r="B371" s="4">
        <v>0</v>
      </c>
      <c r="C371" s="4" t="s">
        <v>849</v>
      </c>
      <c r="D371" s="4" t="s">
        <v>2182</v>
      </c>
      <c r="E371" s="4" t="s">
        <v>356</v>
      </c>
      <c r="F371" s="4">
        <v>-1</v>
      </c>
      <c r="G371" s="4">
        <v>0</v>
      </c>
      <c r="H371" s="4">
        <v>0</v>
      </c>
      <c r="K371" s="4">
        <v>0</v>
      </c>
      <c r="N371" s="4">
        <v>0</v>
      </c>
      <c r="O371" s="4">
        <v>0</v>
      </c>
      <c r="P371" s="4" t="str">
        <f t="shared" si="5"/>
        <v>CAWP.PFD</v>
      </c>
      <c r="Q371" s="4" t="str">
        <f>VLOOKUP(Cobra8.6[[#This Row],[Table.Column]],ColumnMapping[Old Table.Column],1,)</f>
        <v>CAWP.PFD</v>
      </c>
    </row>
    <row r="372" spans="1:17" hidden="1" x14ac:dyDescent="0.2">
      <c r="A372" s="4" t="s">
        <v>849</v>
      </c>
      <c r="B372" s="4">
        <v>0</v>
      </c>
      <c r="C372" s="4" t="s">
        <v>849</v>
      </c>
      <c r="D372" s="4" t="s">
        <v>1242</v>
      </c>
      <c r="E372" s="4" t="s">
        <v>86</v>
      </c>
      <c r="F372" s="4">
        <v>1</v>
      </c>
      <c r="G372" s="4">
        <v>0</v>
      </c>
      <c r="H372" s="4">
        <v>0</v>
      </c>
      <c r="K372" s="4">
        <v>0</v>
      </c>
      <c r="N372" s="4">
        <v>0</v>
      </c>
      <c r="O372" s="4">
        <v>0</v>
      </c>
      <c r="P372" s="4" t="str">
        <f t="shared" si="5"/>
        <v>CAWP.PMT</v>
      </c>
      <c r="Q372" s="4" t="str">
        <f>VLOOKUP(Cobra8.6[[#This Row],[Table.Column]],ColumnMapping[Old Table.Column],1,)</f>
        <v>CAWP.PMT</v>
      </c>
    </row>
    <row r="373" spans="1:17" hidden="1" x14ac:dyDescent="0.2">
      <c r="A373" s="4" t="s">
        <v>849</v>
      </c>
      <c r="B373" s="4">
        <v>0</v>
      </c>
      <c r="C373" s="4" t="s">
        <v>849</v>
      </c>
      <c r="D373" s="4" t="s">
        <v>744</v>
      </c>
      <c r="E373" s="4" t="s">
        <v>86</v>
      </c>
      <c r="F373" s="4">
        <v>22</v>
      </c>
      <c r="G373" s="4">
        <v>0</v>
      </c>
      <c r="H373" s="4">
        <v>0</v>
      </c>
      <c r="K373" s="4">
        <v>0</v>
      </c>
      <c r="N373" s="4">
        <v>0</v>
      </c>
      <c r="O373" s="4">
        <v>0</v>
      </c>
      <c r="P373" s="4" t="str">
        <f t="shared" si="5"/>
        <v>CAWP.PROGRAM</v>
      </c>
      <c r="Q373" s="4" t="str">
        <f>VLOOKUP(Cobra8.6[[#This Row],[Table.Column]],ColumnMapping[Old Table.Column],1,)</f>
        <v>CAWP.PROGRAM</v>
      </c>
    </row>
    <row r="374" spans="1:17" hidden="1" x14ac:dyDescent="0.2">
      <c r="A374" s="4" t="s">
        <v>849</v>
      </c>
      <c r="B374" s="4">
        <v>0</v>
      </c>
      <c r="C374" s="4" t="s">
        <v>849</v>
      </c>
      <c r="D374" s="4" t="s">
        <v>2183</v>
      </c>
      <c r="E374" s="4" t="s">
        <v>356</v>
      </c>
      <c r="F374" s="4">
        <v>-1</v>
      </c>
      <c r="G374" s="4">
        <v>0</v>
      </c>
      <c r="H374" s="4">
        <v>0</v>
      </c>
      <c r="K374" s="4">
        <v>0</v>
      </c>
      <c r="N374" s="4">
        <v>0</v>
      </c>
      <c r="O374" s="4">
        <v>0</v>
      </c>
      <c r="P374" s="4" t="str">
        <f t="shared" si="5"/>
        <v>CAWP.PSD</v>
      </c>
      <c r="Q374" s="4" t="str">
        <f>VLOOKUP(Cobra8.6[[#This Row],[Table.Column]],ColumnMapping[Old Table.Column],1,)</f>
        <v>CAWP.PSD</v>
      </c>
    </row>
    <row r="375" spans="1:17" hidden="1" x14ac:dyDescent="0.2">
      <c r="A375" s="4" t="s">
        <v>849</v>
      </c>
      <c r="B375" s="4">
        <v>0</v>
      </c>
      <c r="C375" s="4" t="s">
        <v>849</v>
      </c>
      <c r="D375" s="4" t="s">
        <v>1056</v>
      </c>
      <c r="E375" s="4" t="s">
        <v>86</v>
      </c>
      <c r="F375" s="4">
        <v>239</v>
      </c>
      <c r="G375" s="4">
        <v>0</v>
      </c>
      <c r="H375" s="4">
        <v>0</v>
      </c>
      <c r="K375" s="4">
        <v>0</v>
      </c>
      <c r="N375" s="4">
        <v>0</v>
      </c>
      <c r="O375" s="4">
        <v>0</v>
      </c>
      <c r="P375" s="4" t="str">
        <f t="shared" si="5"/>
        <v>CAWP.RESERVED1</v>
      </c>
      <c r="Q375" s="4" t="str">
        <f>VLOOKUP(Cobra8.6[[#This Row],[Table.Column]],ColumnMapping[Old Table.Column],1,)</f>
        <v>CAWP.RESERVED1</v>
      </c>
    </row>
    <row r="376" spans="1:17" hidden="1" x14ac:dyDescent="0.2">
      <c r="A376" s="4" t="s">
        <v>849</v>
      </c>
      <c r="B376" s="4">
        <v>0</v>
      </c>
      <c r="C376" s="4" t="s">
        <v>849</v>
      </c>
      <c r="D376" s="4" t="s">
        <v>35</v>
      </c>
      <c r="E376" s="4" t="s">
        <v>2108</v>
      </c>
      <c r="F376" s="4">
        <v>-1</v>
      </c>
      <c r="G376" s="4">
        <v>0</v>
      </c>
      <c r="H376" s="4">
        <v>0</v>
      </c>
      <c r="K376" s="4">
        <v>0</v>
      </c>
      <c r="N376" s="4">
        <v>0</v>
      </c>
      <c r="O376" s="4">
        <v>0</v>
      </c>
      <c r="P376" s="4" t="str">
        <f t="shared" si="5"/>
        <v>CAWP.SEQUENCE</v>
      </c>
      <c r="Q376" s="4" t="str">
        <f>VLOOKUP(Cobra8.6[[#This Row],[Table.Column]],ColumnMapping[Old Table.Column],1,)</f>
        <v>CAWP.SEQUENCE</v>
      </c>
    </row>
    <row r="377" spans="1:17" hidden="1" x14ac:dyDescent="0.2">
      <c r="A377" s="4" t="s">
        <v>849</v>
      </c>
      <c r="B377" s="4">
        <v>0</v>
      </c>
      <c r="C377" s="4" t="s">
        <v>849</v>
      </c>
      <c r="D377" s="4" t="s">
        <v>2184</v>
      </c>
      <c r="E377" s="4" t="s">
        <v>356</v>
      </c>
      <c r="F377" s="4">
        <v>-1</v>
      </c>
      <c r="G377" s="4">
        <v>0</v>
      </c>
      <c r="H377" s="4">
        <v>0</v>
      </c>
      <c r="K377" s="4">
        <v>0</v>
      </c>
      <c r="N377" s="4">
        <v>0</v>
      </c>
      <c r="O377" s="4">
        <v>0</v>
      </c>
      <c r="P377" s="4" t="str">
        <f t="shared" si="5"/>
        <v>CAWP.SFD</v>
      </c>
      <c r="Q377" s="4" t="str">
        <f>VLOOKUP(Cobra8.6[[#This Row],[Table.Column]],ColumnMapping[Old Table.Column],1,)</f>
        <v>CAWP.SFD</v>
      </c>
    </row>
    <row r="378" spans="1:17" hidden="1" x14ac:dyDescent="0.2">
      <c r="A378" s="4" t="s">
        <v>849</v>
      </c>
      <c r="B378" s="4">
        <v>0</v>
      </c>
      <c r="C378" s="4" t="s">
        <v>849</v>
      </c>
      <c r="D378" s="4" t="s">
        <v>2185</v>
      </c>
      <c r="E378" s="4" t="s">
        <v>356</v>
      </c>
      <c r="F378" s="4">
        <v>-1</v>
      </c>
      <c r="G378" s="4">
        <v>0</v>
      </c>
      <c r="H378" s="4">
        <v>0</v>
      </c>
      <c r="K378" s="4">
        <v>0</v>
      </c>
      <c r="N378" s="4">
        <v>0</v>
      </c>
      <c r="O378" s="4">
        <v>0</v>
      </c>
      <c r="P378" s="4" t="str">
        <f t="shared" si="5"/>
        <v>CAWP.SSD</v>
      </c>
      <c r="Q378" s="4" t="str">
        <f>VLOOKUP(Cobra8.6[[#This Row],[Table.Column]],ColumnMapping[Old Table.Column],1,)</f>
        <v>CAWP.SSD</v>
      </c>
    </row>
    <row r="379" spans="1:17" hidden="1" x14ac:dyDescent="0.2">
      <c r="A379" s="4" t="s">
        <v>849</v>
      </c>
      <c r="B379" s="4">
        <v>0</v>
      </c>
      <c r="C379" s="4" t="s">
        <v>849</v>
      </c>
      <c r="D379" s="4" t="s">
        <v>1394</v>
      </c>
      <c r="E379" s="4" t="s">
        <v>2108</v>
      </c>
      <c r="F379" s="4">
        <v>-1</v>
      </c>
      <c r="G379" s="4">
        <v>0</v>
      </c>
      <c r="H379" s="4">
        <v>0</v>
      </c>
      <c r="K379" s="4">
        <v>0</v>
      </c>
      <c r="N379" s="4">
        <v>0</v>
      </c>
      <c r="O379" s="4">
        <v>0</v>
      </c>
      <c r="P379" s="4" t="str">
        <f t="shared" si="5"/>
        <v>CAWP.STARTPC</v>
      </c>
      <c r="Q379" s="4" t="str">
        <f>VLOOKUP(Cobra8.6[[#This Row],[Table.Column]],ColumnMapping[Old Table.Column],1,)</f>
        <v>CAWP.STARTPC</v>
      </c>
    </row>
    <row r="380" spans="1:17" hidden="1" x14ac:dyDescent="0.2">
      <c r="A380" s="4" t="s">
        <v>849</v>
      </c>
      <c r="B380" s="4">
        <v>0</v>
      </c>
      <c r="C380" s="4" t="s">
        <v>849</v>
      </c>
      <c r="D380" s="4" t="s">
        <v>1395</v>
      </c>
      <c r="E380" s="4" t="s">
        <v>2124</v>
      </c>
      <c r="F380" s="4">
        <v>21</v>
      </c>
      <c r="G380" s="4">
        <v>6</v>
      </c>
      <c r="H380" s="4">
        <v>0</v>
      </c>
      <c r="K380" s="4">
        <v>0</v>
      </c>
      <c r="N380" s="4">
        <v>0</v>
      </c>
      <c r="O380" s="4">
        <v>0</v>
      </c>
      <c r="P380" s="4" t="str">
        <f t="shared" si="5"/>
        <v>CAWP.UNITS_COMP</v>
      </c>
      <c r="Q380" s="4" t="str">
        <f>VLOOKUP(Cobra8.6[[#This Row],[Table.Column]],ColumnMapping[Old Table.Column],1,)</f>
        <v>CAWP.UNITS_COMP</v>
      </c>
    </row>
    <row r="381" spans="1:17" hidden="1" x14ac:dyDescent="0.2">
      <c r="A381" s="4" t="s">
        <v>849</v>
      </c>
      <c r="B381" s="4">
        <v>0</v>
      </c>
      <c r="C381" s="4" t="s">
        <v>849</v>
      </c>
      <c r="D381" s="4" t="s">
        <v>1396</v>
      </c>
      <c r="E381" s="4" t="s">
        <v>2124</v>
      </c>
      <c r="F381" s="4">
        <v>21</v>
      </c>
      <c r="G381" s="4">
        <v>6</v>
      </c>
      <c r="H381" s="4">
        <v>0</v>
      </c>
      <c r="K381" s="4">
        <v>0</v>
      </c>
      <c r="N381" s="4">
        <v>0</v>
      </c>
      <c r="O381" s="4">
        <v>0</v>
      </c>
      <c r="P381" s="4" t="str">
        <f t="shared" si="5"/>
        <v>CAWP.UNITSTODO</v>
      </c>
      <c r="Q381" s="4" t="str">
        <f>VLOOKUP(Cobra8.6[[#This Row],[Table.Column]],ColumnMapping[Old Table.Column],1,)</f>
        <v>CAWP.UNITSTODO</v>
      </c>
    </row>
    <row r="382" spans="1:17" hidden="1" x14ac:dyDescent="0.2">
      <c r="A382" s="4" t="s">
        <v>849</v>
      </c>
      <c r="B382" s="4">
        <v>0</v>
      </c>
      <c r="C382" s="4" t="s">
        <v>849</v>
      </c>
      <c r="D382" s="4" t="s">
        <v>1020</v>
      </c>
      <c r="E382" s="4" t="s">
        <v>86</v>
      </c>
      <c r="F382" s="4">
        <v>100</v>
      </c>
      <c r="G382" s="4">
        <v>0</v>
      </c>
      <c r="H382" s="4">
        <v>0</v>
      </c>
      <c r="K382" s="4">
        <v>0</v>
      </c>
      <c r="N382" s="4">
        <v>0</v>
      </c>
      <c r="O382" s="4">
        <v>0</v>
      </c>
      <c r="P382" s="4" t="str">
        <f t="shared" si="5"/>
        <v>CAWP.USER_CHR01</v>
      </c>
      <c r="Q382" s="4" t="str">
        <f>VLOOKUP(Cobra8.6[[#This Row],[Table.Column]],ColumnMapping[Old Table.Column],1,)</f>
        <v>CAWP.USER_CHR01</v>
      </c>
    </row>
    <row r="383" spans="1:17" hidden="1" x14ac:dyDescent="0.2">
      <c r="A383" s="4" t="s">
        <v>849</v>
      </c>
      <c r="B383" s="4">
        <v>0</v>
      </c>
      <c r="C383" s="4" t="s">
        <v>849</v>
      </c>
      <c r="D383" s="4" t="s">
        <v>1022</v>
      </c>
      <c r="E383" s="4" t="s">
        <v>86</v>
      </c>
      <c r="F383" s="4">
        <v>100</v>
      </c>
      <c r="G383" s="4">
        <v>0</v>
      </c>
      <c r="H383" s="4">
        <v>0</v>
      </c>
      <c r="K383" s="4">
        <v>0</v>
      </c>
      <c r="N383" s="4">
        <v>0</v>
      </c>
      <c r="O383" s="4">
        <v>0</v>
      </c>
      <c r="P383" s="4" t="str">
        <f t="shared" si="5"/>
        <v>CAWP.USER_CHR02</v>
      </c>
      <c r="Q383" s="4" t="str">
        <f>VLOOKUP(Cobra8.6[[#This Row],[Table.Column]],ColumnMapping[Old Table.Column],1,)</f>
        <v>CAWP.USER_CHR02</v>
      </c>
    </row>
    <row r="384" spans="1:17" hidden="1" x14ac:dyDescent="0.2">
      <c r="A384" s="4" t="s">
        <v>849</v>
      </c>
      <c r="B384" s="4">
        <v>0</v>
      </c>
      <c r="C384" s="4" t="s">
        <v>849</v>
      </c>
      <c r="D384" s="4" t="s">
        <v>1024</v>
      </c>
      <c r="E384" s="4" t="s">
        <v>86</v>
      </c>
      <c r="F384" s="4">
        <v>100</v>
      </c>
      <c r="G384" s="4">
        <v>0</v>
      </c>
      <c r="H384" s="4">
        <v>0</v>
      </c>
      <c r="K384" s="4">
        <v>0</v>
      </c>
      <c r="N384" s="4">
        <v>0</v>
      </c>
      <c r="O384" s="4">
        <v>0</v>
      </c>
      <c r="P384" s="4" t="str">
        <f t="shared" si="5"/>
        <v>CAWP.USER_CHR03</v>
      </c>
      <c r="Q384" s="4" t="str">
        <f>VLOOKUP(Cobra8.6[[#This Row],[Table.Column]],ColumnMapping[Old Table.Column],1,)</f>
        <v>CAWP.USER_CHR03</v>
      </c>
    </row>
    <row r="385" spans="1:17" hidden="1" x14ac:dyDescent="0.2">
      <c r="A385" s="4" t="s">
        <v>849</v>
      </c>
      <c r="B385" s="4">
        <v>0</v>
      </c>
      <c r="C385" s="4" t="s">
        <v>849</v>
      </c>
      <c r="D385" s="4" t="s">
        <v>1026</v>
      </c>
      <c r="E385" s="4" t="s">
        <v>86</v>
      </c>
      <c r="F385" s="4">
        <v>100</v>
      </c>
      <c r="G385" s="4">
        <v>0</v>
      </c>
      <c r="H385" s="4">
        <v>0</v>
      </c>
      <c r="K385" s="4">
        <v>0</v>
      </c>
      <c r="N385" s="4">
        <v>0</v>
      </c>
      <c r="O385" s="4">
        <v>0</v>
      </c>
      <c r="P385" s="4" t="str">
        <f t="shared" si="5"/>
        <v>CAWP.USER_CHR04</v>
      </c>
      <c r="Q385" s="4" t="str">
        <f>VLOOKUP(Cobra8.6[[#This Row],[Table.Column]],ColumnMapping[Old Table.Column],1,)</f>
        <v>CAWP.USER_CHR04</v>
      </c>
    </row>
    <row r="386" spans="1:17" hidden="1" x14ac:dyDescent="0.2">
      <c r="A386" s="4" t="s">
        <v>849</v>
      </c>
      <c r="B386" s="4">
        <v>0</v>
      </c>
      <c r="C386" s="4" t="s">
        <v>849</v>
      </c>
      <c r="D386" s="4" t="s">
        <v>1028</v>
      </c>
      <c r="E386" s="4" t="s">
        <v>86</v>
      </c>
      <c r="F386" s="4">
        <v>100</v>
      </c>
      <c r="G386" s="4">
        <v>0</v>
      </c>
      <c r="H386" s="4">
        <v>0</v>
      </c>
      <c r="K386" s="4">
        <v>0</v>
      </c>
      <c r="N386" s="4">
        <v>0</v>
      </c>
      <c r="O386" s="4">
        <v>0</v>
      </c>
      <c r="P386" s="4" t="str">
        <f t="shared" ref="P386:P449" si="6">_xlfn.CONCAT(A386,".",D386)</f>
        <v>CAWP.USER_CHR05</v>
      </c>
      <c r="Q386" s="4" t="str">
        <f>VLOOKUP(Cobra8.6[[#This Row],[Table.Column]],ColumnMapping[Old Table.Column],1,)</f>
        <v>CAWP.USER_CHR05</v>
      </c>
    </row>
    <row r="387" spans="1:17" hidden="1" x14ac:dyDescent="0.2">
      <c r="A387" s="4" t="s">
        <v>849</v>
      </c>
      <c r="B387" s="4">
        <v>0</v>
      </c>
      <c r="C387" s="4" t="s">
        <v>849</v>
      </c>
      <c r="D387" s="4" t="s">
        <v>1030</v>
      </c>
      <c r="E387" s="4" t="s">
        <v>356</v>
      </c>
      <c r="F387" s="4">
        <v>-1</v>
      </c>
      <c r="G387" s="4">
        <v>0</v>
      </c>
      <c r="H387" s="4">
        <v>0</v>
      </c>
      <c r="K387" s="4">
        <v>0</v>
      </c>
      <c r="N387" s="4">
        <v>0</v>
      </c>
      <c r="O387" s="4">
        <v>0</v>
      </c>
      <c r="P387" s="4" t="str">
        <f t="shared" si="6"/>
        <v>CAWP.USER_DTE01</v>
      </c>
      <c r="Q387" s="4" t="str">
        <f>VLOOKUP(Cobra8.6[[#This Row],[Table.Column]],ColumnMapping[Old Table.Column],1,)</f>
        <v>CAWP.USER_DTE01</v>
      </c>
    </row>
    <row r="388" spans="1:17" hidden="1" x14ac:dyDescent="0.2">
      <c r="A388" s="4" t="s">
        <v>849</v>
      </c>
      <c r="B388" s="4">
        <v>0</v>
      </c>
      <c r="C388" s="4" t="s">
        <v>849</v>
      </c>
      <c r="D388" s="4" t="s">
        <v>1032</v>
      </c>
      <c r="E388" s="4" t="s">
        <v>356</v>
      </c>
      <c r="F388" s="4">
        <v>-1</v>
      </c>
      <c r="G388" s="4">
        <v>0</v>
      </c>
      <c r="H388" s="4">
        <v>0</v>
      </c>
      <c r="K388" s="4">
        <v>0</v>
      </c>
      <c r="N388" s="4">
        <v>0</v>
      </c>
      <c r="O388" s="4">
        <v>0</v>
      </c>
      <c r="P388" s="4" t="str">
        <f t="shared" si="6"/>
        <v>CAWP.USER_DTE02</v>
      </c>
      <c r="Q388" s="4" t="str">
        <f>VLOOKUP(Cobra8.6[[#This Row],[Table.Column]],ColumnMapping[Old Table.Column],1,)</f>
        <v>CAWP.USER_DTE02</v>
      </c>
    </row>
    <row r="389" spans="1:17" hidden="1" x14ac:dyDescent="0.2">
      <c r="A389" s="4" t="s">
        <v>849</v>
      </c>
      <c r="B389" s="4">
        <v>0</v>
      </c>
      <c r="C389" s="4" t="s">
        <v>849</v>
      </c>
      <c r="D389" s="4" t="s">
        <v>1034</v>
      </c>
      <c r="E389" s="4" t="s">
        <v>356</v>
      </c>
      <c r="F389" s="4">
        <v>-1</v>
      </c>
      <c r="G389" s="4">
        <v>0</v>
      </c>
      <c r="H389" s="4">
        <v>0</v>
      </c>
      <c r="K389" s="4">
        <v>0</v>
      </c>
      <c r="N389" s="4">
        <v>0</v>
      </c>
      <c r="O389" s="4">
        <v>0</v>
      </c>
      <c r="P389" s="4" t="str">
        <f t="shared" si="6"/>
        <v>CAWP.USER_DTE03</v>
      </c>
      <c r="Q389" s="4" t="str">
        <f>VLOOKUP(Cobra8.6[[#This Row],[Table.Column]],ColumnMapping[Old Table.Column],1,)</f>
        <v>CAWP.USER_DTE03</v>
      </c>
    </row>
    <row r="390" spans="1:17" hidden="1" x14ac:dyDescent="0.2">
      <c r="A390" s="4" t="s">
        <v>849</v>
      </c>
      <c r="B390" s="4">
        <v>0</v>
      </c>
      <c r="C390" s="4" t="s">
        <v>849</v>
      </c>
      <c r="D390" s="4" t="s">
        <v>1036</v>
      </c>
      <c r="E390" s="4" t="s">
        <v>356</v>
      </c>
      <c r="F390" s="4">
        <v>-1</v>
      </c>
      <c r="G390" s="4">
        <v>0</v>
      </c>
      <c r="H390" s="4">
        <v>0</v>
      </c>
      <c r="K390" s="4">
        <v>0</v>
      </c>
      <c r="N390" s="4">
        <v>0</v>
      </c>
      <c r="O390" s="4">
        <v>0</v>
      </c>
      <c r="P390" s="4" t="str">
        <f t="shared" si="6"/>
        <v>CAWP.USER_DTE04</v>
      </c>
      <c r="Q390" s="4" t="str">
        <f>VLOOKUP(Cobra8.6[[#This Row],[Table.Column]],ColumnMapping[Old Table.Column],1,)</f>
        <v>CAWP.USER_DTE04</v>
      </c>
    </row>
    <row r="391" spans="1:17" hidden="1" x14ac:dyDescent="0.2">
      <c r="A391" s="4" t="s">
        <v>849</v>
      </c>
      <c r="B391" s="4">
        <v>0</v>
      </c>
      <c r="C391" s="4" t="s">
        <v>849</v>
      </c>
      <c r="D391" s="4" t="s">
        <v>1038</v>
      </c>
      <c r="E391" s="4" t="s">
        <v>356</v>
      </c>
      <c r="F391" s="4">
        <v>-1</v>
      </c>
      <c r="G391" s="4">
        <v>0</v>
      </c>
      <c r="H391" s="4">
        <v>0</v>
      </c>
      <c r="K391" s="4">
        <v>0</v>
      </c>
      <c r="N391" s="4">
        <v>0</v>
      </c>
      <c r="O391" s="4">
        <v>0</v>
      </c>
      <c r="P391" s="4" t="str">
        <f t="shared" si="6"/>
        <v>CAWP.USER_DTE05</v>
      </c>
      <c r="Q391" s="4" t="str">
        <f>VLOOKUP(Cobra8.6[[#This Row],[Table.Column]],ColumnMapping[Old Table.Column],1,)</f>
        <v>CAWP.USER_DTE05</v>
      </c>
    </row>
    <row r="392" spans="1:17" hidden="1" x14ac:dyDescent="0.2">
      <c r="A392" s="4" t="s">
        <v>849</v>
      </c>
      <c r="B392" s="4">
        <v>0</v>
      </c>
      <c r="C392" s="4" t="s">
        <v>849</v>
      </c>
      <c r="D392" s="4" t="s">
        <v>1397</v>
      </c>
      <c r="E392" s="4" t="s">
        <v>2124</v>
      </c>
      <c r="F392" s="4">
        <v>21</v>
      </c>
      <c r="G392" s="4">
        <v>6</v>
      </c>
      <c r="H392" s="4">
        <v>0</v>
      </c>
      <c r="K392" s="4">
        <v>0</v>
      </c>
      <c r="N392" s="4">
        <v>0</v>
      </c>
      <c r="O392" s="4">
        <v>0</v>
      </c>
      <c r="P392" s="4" t="str">
        <f t="shared" si="6"/>
        <v>CAWP.USER_NUM01</v>
      </c>
      <c r="Q392" s="4" t="str">
        <f>VLOOKUP(Cobra8.6[[#This Row],[Table.Column]],ColumnMapping[Old Table.Column],1,)</f>
        <v>CAWP.USER_NUM01</v>
      </c>
    </row>
    <row r="393" spans="1:17" hidden="1" x14ac:dyDescent="0.2">
      <c r="A393" s="4" t="s">
        <v>849</v>
      </c>
      <c r="B393" s="4">
        <v>0</v>
      </c>
      <c r="C393" s="4" t="s">
        <v>849</v>
      </c>
      <c r="D393" s="4" t="s">
        <v>1042</v>
      </c>
      <c r="E393" s="4" t="s">
        <v>2124</v>
      </c>
      <c r="F393" s="4">
        <v>21</v>
      </c>
      <c r="G393" s="4">
        <v>6</v>
      </c>
      <c r="H393" s="4">
        <v>0</v>
      </c>
      <c r="K393" s="4">
        <v>0</v>
      </c>
      <c r="N393" s="4">
        <v>0</v>
      </c>
      <c r="O393" s="4">
        <v>0</v>
      </c>
      <c r="P393" s="4" t="str">
        <f t="shared" si="6"/>
        <v>CAWP.USER_NUM02</v>
      </c>
      <c r="Q393" s="4" t="str">
        <f>VLOOKUP(Cobra8.6[[#This Row],[Table.Column]],ColumnMapping[Old Table.Column],1,)</f>
        <v>CAWP.USER_NUM02</v>
      </c>
    </row>
    <row r="394" spans="1:17" hidden="1" x14ac:dyDescent="0.2">
      <c r="A394" s="4" t="s">
        <v>849</v>
      </c>
      <c r="B394" s="4">
        <v>0</v>
      </c>
      <c r="C394" s="4" t="s">
        <v>849</v>
      </c>
      <c r="D394" s="4" t="s">
        <v>1044</v>
      </c>
      <c r="E394" s="4" t="s">
        <v>2124</v>
      </c>
      <c r="F394" s="4">
        <v>21</v>
      </c>
      <c r="G394" s="4">
        <v>6</v>
      </c>
      <c r="H394" s="4">
        <v>0</v>
      </c>
      <c r="K394" s="4">
        <v>0</v>
      </c>
      <c r="N394" s="4">
        <v>0</v>
      </c>
      <c r="O394" s="4">
        <v>0</v>
      </c>
      <c r="P394" s="4" t="str">
        <f t="shared" si="6"/>
        <v>CAWP.USER_NUM03</v>
      </c>
      <c r="Q394" s="4" t="str">
        <f>VLOOKUP(Cobra8.6[[#This Row],[Table.Column]],ColumnMapping[Old Table.Column],1,)</f>
        <v>CAWP.USER_NUM03</v>
      </c>
    </row>
    <row r="395" spans="1:17" hidden="1" x14ac:dyDescent="0.2">
      <c r="A395" s="4" t="s">
        <v>849</v>
      </c>
      <c r="B395" s="4">
        <v>0</v>
      </c>
      <c r="C395" s="4" t="s">
        <v>849</v>
      </c>
      <c r="D395" s="4" t="s">
        <v>1046</v>
      </c>
      <c r="E395" s="4" t="s">
        <v>2124</v>
      </c>
      <c r="F395" s="4">
        <v>21</v>
      </c>
      <c r="G395" s="4">
        <v>6</v>
      </c>
      <c r="H395" s="4">
        <v>0</v>
      </c>
      <c r="K395" s="4">
        <v>0</v>
      </c>
      <c r="N395" s="4">
        <v>0</v>
      </c>
      <c r="O395" s="4">
        <v>0</v>
      </c>
      <c r="P395" s="4" t="str">
        <f t="shared" si="6"/>
        <v>CAWP.USER_NUM04</v>
      </c>
      <c r="Q395" s="4" t="str">
        <f>VLOOKUP(Cobra8.6[[#This Row],[Table.Column]],ColumnMapping[Old Table.Column],1,)</f>
        <v>CAWP.USER_NUM04</v>
      </c>
    </row>
    <row r="396" spans="1:17" hidden="1" x14ac:dyDescent="0.2">
      <c r="A396" s="4" t="s">
        <v>849</v>
      </c>
      <c r="B396" s="4">
        <v>0</v>
      </c>
      <c r="C396" s="4" t="s">
        <v>849</v>
      </c>
      <c r="D396" s="4" t="s">
        <v>1048</v>
      </c>
      <c r="E396" s="4" t="s">
        <v>2124</v>
      </c>
      <c r="F396" s="4">
        <v>21</v>
      </c>
      <c r="G396" s="4">
        <v>6</v>
      </c>
      <c r="H396" s="4">
        <v>0</v>
      </c>
      <c r="K396" s="4">
        <v>0</v>
      </c>
      <c r="N396" s="4">
        <v>0</v>
      </c>
      <c r="O396" s="4">
        <v>0</v>
      </c>
      <c r="P396" s="4" t="str">
        <f t="shared" si="6"/>
        <v>CAWP.USER_NUM05</v>
      </c>
      <c r="Q396" s="4" t="str">
        <f>VLOOKUP(Cobra8.6[[#This Row],[Table.Column]],ColumnMapping[Old Table.Column],1,)</f>
        <v>CAWP.USER_NUM05</v>
      </c>
    </row>
    <row r="397" spans="1:17" hidden="1" x14ac:dyDescent="0.2">
      <c r="A397" s="4" t="s">
        <v>849</v>
      </c>
      <c r="B397" s="4">
        <v>0</v>
      </c>
      <c r="C397" s="4" t="s">
        <v>849</v>
      </c>
      <c r="D397" s="4" t="s">
        <v>2112</v>
      </c>
      <c r="E397" s="4" t="s">
        <v>86</v>
      </c>
      <c r="F397" s="4">
        <v>20</v>
      </c>
      <c r="G397" s="4">
        <v>0</v>
      </c>
      <c r="H397" s="4">
        <v>0</v>
      </c>
      <c r="K397" s="4">
        <v>0</v>
      </c>
      <c r="N397" s="4">
        <v>0</v>
      </c>
      <c r="O397" s="4">
        <v>0</v>
      </c>
      <c r="P397" s="4" t="str">
        <f t="shared" si="6"/>
        <v>CAWP.USR_ID</v>
      </c>
      <c r="Q397" s="4" t="str">
        <f>VLOOKUP(Cobra8.6[[#This Row],[Table.Column]],ColumnMapping[Old Table.Column],1,)</f>
        <v>CAWP.USR_ID</v>
      </c>
    </row>
    <row r="398" spans="1:17" hidden="1" x14ac:dyDescent="0.2">
      <c r="A398" s="4" t="s">
        <v>849</v>
      </c>
      <c r="B398" s="4">
        <v>0</v>
      </c>
      <c r="C398" s="4" t="s">
        <v>849</v>
      </c>
      <c r="D398" s="4" t="s">
        <v>1398</v>
      </c>
      <c r="E398" s="4" t="s">
        <v>86</v>
      </c>
      <c r="F398" s="4">
        <v>59</v>
      </c>
      <c r="G398" s="4">
        <v>0</v>
      </c>
      <c r="H398" s="4">
        <v>0</v>
      </c>
      <c r="K398" s="4">
        <v>0</v>
      </c>
      <c r="N398" s="4">
        <v>0</v>
      </c>
      <c r="O398" s="4">
        <v>0</v>
      </c>
      <c r="P398" s="4" t="str">
        <f t="shared" si="6"/>
        <v>CAWP.WP</v>
      </c>
      <c r="Q398" s="4" t="str">
        <f>VLOOKUP(Cobra8.6[[#This Row],[Table.Column]],ColumnMapping[Old Table.Column],1,)</f>
        <v>CAWP.WP</v>
      </c>
    </row>
    <row r="399" spans="1:17" hidden="1" x14ac:dyDescent="0.2">
      <c r="A399" s="4" t="s">
        <v>1915</v>
      </c>
      <c r="B399" s="4">
        <v>0</v>
      </c>
      <c r="C399" s="4" t="s">
        <v>1915</v>
      </c>
      <c r="D399" s="4" t="s">
        <v>1916</v>
      </c>
      <c r="E399" s="4" t="s">
        <v>356</v>
      </c>
      <c r="F399" s="4">
        <v>-1</v>
      </c>
      <c r="G399" s="4">
        <v>0</v>
      </c>
      <c r="H399" s="4">
        <v>0</v>
      </c>
      <c r="K399" s="4">
        <v>0</v>
      </c>
      <c r="N399" s="4">
        <v>0</v>
      </c>
      <c r="O399" s="4">
        <v>0</v>
      </c>
      <c r="P399" s="4" t="str">
        <f t="shared" si="6"/>
        <v>CHNG_REQST.BFINISH</v>
      </c>
      <c r="Q399" s="4" t="str">
        <f>VLOOKUP(Cobra8.6[[#This Row],[Table.Column]],ColumnMapping[Old Table.Column],1,)</f>
        <v>CHNG_REQST.BFINISH</v>
      </c>
    </row>
    <row r="400" spans="1:17" hidden="1" x14ac:dyDescent="0.2">
      <c r="A400" s="4" t="s">
        <v>1915</v>
      </c>
      <c r="B400" s="4">
        <v>0</v>
      </c>
      <c r="C400" s="4" t="s">
        <v>1915</v>
      </c>
      <c r="D400" s="4" t="s">
        <v>1917</v>
      </c>
      <c r="E400" s="4" t="s">
        <v>356</v>
      </c>
      <c r="F400" s="4">
        <v>-1</v>
      </c>
      <c r="G400" s="4">
        <v>0</v>
      </c>
      <c r="H400" s="4">
        <v>0</v>
      </c>
      <c r="K400" s="4">
        <v>0</v>
      </c>
      <c r="N400" s="4">
        <v>0</v>
      </c>
      <c r="O400" s="4">
        <v>0</v>
      </c>
      <c r="P400" s="4" t="str">
        <f t="shared" si="6"/>
        <v>CHNG_REQST.BSTART</v>
      </c>
      <c r="Q400" s="4" t="str">
        <f>VLOOKUP(Cobra8.6[[#This Row],[Table.Column]],ColumnMapping[Old Table.Column],1,)</f>
        <v>CHNG_REQST.BSTART</v>
      </c>
    </row>
    <row r="401" spans="1:17" hidden="1" x14ac:dyDescent="0.2">
      <c r="A401" s="4" t="s">
        <v>1915</v>
      </c>
      <c r="B401" s="4">
        <v>0</v>
      </c>
      <c r="C401" s="4" t="s">
        <v>1915</v>
      </c>
      <c r="D401" s="4" t="s">
        <v>1918</v>
      </c>
      <c r="E401" s="4" t="s">
        <v>86</v>
      </c>
      <c r="F401" s="4">
        <v>22</v>
      </c>
      <c r="G401" s="4">
        <v>0</v>
      </c>
      <c r="H401" s="4">
        <v>0</v>
      </c>
      <c r="K401" s="4">
        <v>0</v>
      </c>
      <c r="N401" s="4">
        <v>0</v>
      </c>
      <c r="O401" s="4">
        <v>0</v>
      </c>
      <c r="P401" s="4" t="str">
        <f t="shared" si="6"/>
        <v>CHNG_REQST.CHNG_NUM</v>
      </c>
      <c r="Q401" s="4" t="str">
        <f>VLOOKUP(Cobra8.6[[#This Row],[Table.Column]],ColumnMapping[Old Table.Column],1,)</f>
        <v>CHNG_REQST.CHNG_NUM</v>
      </c>
    </row>
    <row r="402" spans="1:17" hidden="1" x14ac:dyDescent="0.2">
      <c r="A402" s="4" t="s">
        <v>1915</v>
      </c>
      <c r="B402" s="4">
        <v>0</v>
      </c>
      <c r="C402" s="4" t="s">
        <v>1915</v>
      </c>
      <c r="D402" s="4" t="s">
        <v>2111</v>
      </c>
      <c r="E402" s="4" t="s">
        <v>356</v>
      </c>
      <c r="F402" s="4">
        <v>-1</v>
      </c>
      <c r="G402" s="4">
        <v>0</v>
      </c>
      <c r="H402" s="4">
        <v>0</v>
      </c>
      <c r="K402" s="4">
        <v>0</v>
      </c>
      <c r="N402" s="4">
        <v>0</v>
      </c>
      <c r="O402" s="4">
        <v>0</v>
      </c>
      <c r="P402" s="4" t="str">
        <f t="shared" si="6"/>
        <v>CHNG_REQST.LASTUPDATE</v>
      </c>
      <c r="Q402" s="4" t="str">
        <f>VLOOKUP(Cobra8.6[[#This Row],[Table.Column]],ColumnMapping[Old Table.Column],1,)</f>
        <v>CHNG_REQST.LASTUPDATE</v>
      </c>
    </row>
    <row r="403" spans="1:17" hidden="1" x14ac:dyDescent="0.2">
      <c r="A403" s="4" t="s">
        <v>1915</v>
      </c>
      <c r="B403" s="4">
        <v>0</v>
      </c>
      <c r="C403" s="4" t="s">
        <v>1915</v>
      </c>
      <c r="D403" s="4" t="s">
        <v>1919</v>
      </c>
      <c r="E403" s="4" t="s">
        <v>356</v>
      </c>
      <c r="F403" s="4">
        <v>-1</v>
      </c>
      <c r="G403" s="4">
        <v>0</v>
      </c>
      <c r="H403" s="4">
        <v>0</v>
      </c>
      <c r="K403" s="4">
        <v>0</v>
      </c>
      <c r="N403" s="4">
        <v>0</v>
      </c>
      <c r="O403" s="4">
        <v>0</v>
      </c>
      <c r="P403" s="4" t="str">
        <f t="shared" si="6"/>
        <v>CHNG_REQST.PERIOD</v>
      </c>
      <c r="Q403" s="4" t="str">
        <f>VLOOKUP(Cobra8.6[[#This Row],[Table.Column]],ColumnMapping[Old Table.Column],1,)</f>
        <v>CHNG_REQST.PERIOD</v>
      </c>
    </row>
    <row r="404" spans="1:17" hidden="1" x14ac:dyDescent="0.2">
      <c r="A404" s="4" t="s">
        <v>1915</v>
      </c>
      <c r="B404" s="4">
        <v>0</v>
      </c>
      <c r="C404" s="4" t="s">
        <v>1915</v>
      </c>
      <c r="D404" s="4" t="s">
        <v>1920</v>
      </c>
      <c r="E404" s="4" t="s">
        <v>86</v>
      </c>
      <c r="F404" s="4">
        <v>2</v>
      </c>
      <c r="G404" s="4">
        <v>0</v>
      </c>
      <c r="H404" s="4">
        <v>0</v>
      </c>
      <c r="K404" s="4">
        <v>0</v>
      </c>
      <c r="N404" s="4">
        <v>0</v>
      </c>
      <c r="O404" s="4">
        <v>0</v>
      </c>
      <c r="P404" s="4" t="str">
        <f t="shared" si="6"/>
        <v>CHNG_REQST.REQST_TYPE</v>
      </c>
      <c r="Q404" s="4" t="str">
        <f>VLOOKUP(Cobra8.6[[#This Row],[Table.Column]],ColumnMapping[Old Table.Column],1,)</f>
        <v>CHNG_REQST.REQST_TYPE</v>
      </c>
    </row>
    <row r="405" spans="1:17" hidden="1" x14ac:dyDescent="0.2">
      <c r="A405" s="4" t="s">
        <v>1915</v>
      </c>
      <c r="B405" s="4">
        <v>0</v>
      </c>
      <c r="C405" s="4" t="s">
        <v>1915</v>
      </c>
      <c r="D405" s="4" t="s">
        <v>1921</v>
      </c>
      <c r="E405" s="4" t="s">
        <v>86</v>
      </c>
      <c r="F405" s="4">
        <v>22</v>
      </c>
      <c r="G405" s="4">
        <v>0</v>
      </c>
      <c r="H405" s="4">
        <v>0</v>
      </c>
      <c r="K405" s="4">
        <v>0</v>
      </c>
      <c r="N405" s="4">
        <v>0</v>
      </c>
      <c r="O405" s="4">
        <v>0</v>
      </c>
      <c r="P405" s="4" t="str">
        <f t="shared" si="6"/>
        <v>CHNG_REQST.SOURCE_PROGRAM</v>
      </c>
      <c r="Q405" s="4" t="str">
        <f>VLOOKUP(Cobra8.6[[#This Row],[Table.Column]],ColumnMapping[Old Table.Column],1,)</f>
        <v>CHNG_REQST.SOURCE_PROGRAM</v>
      </c>
    </row>
    <row r="406" spans="1:17" hidden="1" x14ac:dyDescent="0.2">
      <c r="A406" s="4" t="s">
        <v>1915</v>
      </c>
      <c r="B406" s="4">
        <v>0</v>
      </c>
      <c r="C406" s="4" t="s">
        <v>1915</v>
      </c>
      <c r="D406" s="4" t="s">
        <v>1922</v>
      </c>
      <c r="E406" s="4" t="s">
        <v>86</v>
      </c>
      <c r="F406" s="4">
        <v>2</v>
      </c>
      <c r="G406" s="4">
        <v>0</v>
      </c>
      <c r="H406" s="4">
        <v>0</v>
      </c>
      <c r="K406" s="4">
        <v>0</v>
      </c>
      <c r="N406" s="4">
        <v>0</v>
      </c>
      <c r="O406" s="4">
        <v>0</v>
      </c>
      <c r="P406" s="4" t="str">
        <f t="shared" si="6"/>
        <v>CHNG_REQST.STAGE</v>
      </c>
      <c r="Q406" s="4" t="str">
        <f>VLOOKUP(Cobra8.6[[#This Row],[Table.Column]],ColumnMapping[Old Table.Column],1,)</f>
        <v>CHNG_REQST.STAGE</v>
      </c>
    </row>
    <row r="407" spans="1:17" hidden="1" x14ac:dyDescent="0.2">
      <c r="A407" s="4" t="s">
        <v>1915</v>
      </c>
      <c r="B407" s="4">
        <v>0</v>
      </c>
      <c r="C407" s="4" t="s">
        <v>1915</v>
      </c>
      <c r="D407" s="4" t="s">
        <v>1923</v>
      </c>
      <c r="E407" s="4" t="s">
        <v>86</v>
      </c>
      <c r="F407" s="4">
        <v>120</v>
      </c>
      <c r="G407" s="4">
        <v>0</v>
      </c>
      <c r="H407" s="4">
        <v>0</v>
      </c>
      <c r="K407" s="4">
        <v>0</v>
      </c>
      <c r="N407" s="4">
        <v>0</v>
      </c>
      <c r="O407" s="4">
        <v>0</v>
      </c>
      <c r="P407" s="4" t="str">
        <f t="shared" si="6"/>
        <v>CHNG_REQST.TITLE</v>
      </c>
      <c r="Q407" s="4" t="str">
        <f>VLOOKUP(Cobra8.6[[#This Row],[Table.Column]],ColumnMapping[Old Table.Column],1,)</f>
        <v>CHNG_REQST.TITLE</v>
      </c>
    </row>
    <row r="408" spans="1:17" hidden="1" x14ac:dyDescent="0.2">
      <c r="A408" s="4" t="s">
        <v>1915</v>
      </c>
      <c r="B408" s="4">
        <v>0</v>
      </c>
      <c r="C408" s="4" t="s">
        <v>1915</v>
      </c>
      <c r="D408" s="4" t="s">
        <v>2112</v>
      </c>
      <c r="E408" s="4" t="s">
        <v>86</v>
      </c>
      <c r="F408" s="4">
        <v>20</v>
      </c>
      <c r="G408" s="4">
        <v>0</v>
      </c>
      <c r="H408" s="4">
        <v>0</v>
      </c>
      <c r="K408" s="4">
        <v>0</v>
      </c>
      <c r="N408" s="4">
        <v>0</v>
      </c>
      <c r="O408" s="4">
        <v>0</v>
      </c>
      <c r="P408" s="4" t="str">
        <f t="shared" si="6"/>
        <v>CHNG_REQST.USR_ID</v>
      </c>
      <c r="Q408" s="4" t="str">
        <f>VLOOKUP(Cobra8.6[[#This Row],[Table.Column]],ColumnMapping[Old Table.Column],1,)</f>
        <v>CHNG_REQST.USR_ID</v>
      </c>
    </row>
    <row r="409" spans="1:17" hidden="1" x14ac:dyDescent="0.2">
      <c r="A409" s="4" t="s">
        <v>1924</v>
      </c>
      <c r="B409" s="4">
        <v>0</v>
      </c>
      <c r="C409" s="4" t="s">
        <v>1924</v>
      </c>
      <c r="D409" s="4" t="s">
        <v>1918</v>
      </c>
      <c r="E409" s="4" t="s">
        <v>86</v>
      </c>
      <c r="F409" s="4">
        <v>22</v>
      </c>
      <c r="G409" s="4">
        <v>0</v>
      </c>
      <c r="H409" s="4">
        <v>0</v>
      </c>
      <c r="K409" s="4">
        <v>0</v>
      </c>
      <c r="N409" s="4">
        <v>0</v>
      </c>
      <c r="O409" s="4">
        <v>0</v>
      </c>
      <c r="P409" s="4" t="str">
        <f t="shared" si="6"/>
        <v>CHNG_REQST_PROGRAM.CHNG_NUM</v>
      </c>
      <c r="Q409" s="4" t="str">
        <f>VLOOKUP(Cobra8.6[[#This Row],[Table.Column]],ColumnMapping[Old Table.Column],1,)</f>
        <v>CHNG_REQST_PROGRAM.CHNG_NUM</v>
      </c>
    </row>
    <row r="410" spans="1:17" hidden="1" x14ac:dyDescent="0.2">
      <c r="A410" s="4" t="s">
        <v>1924</v>
      </c>
      <c r="B410" s="4">
        <v>0</v>
      </c>
      <c r="C410" s="4" t="s">
        <v>1924</v>
      </c>
      <c r="D410" s="4" t="s">
        <v>2111</v>
      </c>
      <c r="E410" s="4" t="s">
        <v>356</v>
      </c>
      <c r="F410" s="4">
        <v>-1</v>
      </c>
      <c r="G410" s="4">
        <v>0</v>
      </c>
      <c r="H410" s="4">
        <v>0</v>
      </c>
      <c r="K410" s="4">
        <v>0</v>
      </c>
      <c r="N410" s="4">
        <v>0</v>
      </c>
      <c r="O410" s="4">
        <v>0</v>
      </c>
      <c r="P410" s="4" t="str">
        <f t="shared" si="6"/>
        <v>CHNG_REQST_PROGRAM.LASTUPDATE</v>
      </c>
      <c r="Q410" s="4" t="str">
        <f>VLOOKUP(Cobra8.6[[#This Row],[Table.Column]],ColumnMapping[Old Table.Column],1,)</f>
        <v>CHNG_REQST_PROGRAM.LASTUPDATE</v>
      </c>
    </row>
    <row r="411" spans="1:17" hidden="1" x14ac:dyDescent="0.2">
      <c r="A411" s="4" t="s">
        <v>1924</v>
      </c>
      <c r="B411" s="4">
        <v>0</v>
      </c>
      <c r="C411" s="4" t="s">
        <v>1924</v>
      </c>
      <c r="D411" s="4" t="s">
        <v>1926</v>
      </c>
      <c r="E411" s="4" t="s">
        <v>86</v>
      </c>
      <c r="F411" s="4">
        <v>2</v>
      </c>
      <c r="G411" s="4">
        <v>0</v>
      </c>
      <c r="H411" s="4">
        <v>0</v>
      </c>
      <c r="K411" s="4">
        <v>0</v>
      </c>
      <c r="N411" s="4">
        <v>0</v>
      </c>
      <c r="O411" s="4">
        <v>0</v>
      </c>
      <c r="P411" s="4" t="str">
        <f t="shared" si="6"/>
        <v>CHNG_REQST_PROGRAM.PHASE</v>
      </c>
      <c r="Q411" s="4" t="str">
        <f>VLOOKUP(Cobra8.6[[#This Row],[Table.Column]],ColumnMapping[Old Table.Column],1,)</f>
        <v>CHNG_REQST_PROGRAM.PHASE</v>
      </c>
    </row>
    <row r="412" spans="1:17" hidden="1" x14ac:dyDescent="0.2">
      <c r="A412" s="4" t="s">
        <v>1924</v>
      </c>
      <c r="B412" s="4">
        <v>0</v>
      </c>
      <c r="C412" s="4" t="s">
        <v>1924</v>
      </c>
      <c r="D412" s="4" t="s">
        <v>744</v>
      </c>
      <c r="E412" s="4" t="s">
        <v>86</v>
      </c>
      <c r="F412" s="4">
        <v>22</v>
      </c>
      <c r="G412" s="4">
        <v>0</v>
      </c>
      <c r="H412" s="4">
        <v>0</v>
      </c>
      <c r="K412" s="4">
        <v>0</v>
      </c>
      <c r="N412" s="4">
        <v>0</v>
      </c>
      <c r="O412" s="4">
        <v>0</v>
      </c>
      <c r="P412" s="4" t="str">
        <f t="shared" si="6"/>
        <v>CHNG_REQST_PROGRAM.PROGRAM</v>
      </c>
      <c r="Q412" s="4" t="str">
        <f>VLOOKUP(Cobra8.6[[#This Row],[Table.Column]],ColumnMapping[Old Table.Column],1,)</f>
        <v>CHNG_REQST_PROGRAM.PROGRAM</v>
      </c>
    </row>
    <row r="413" spans="1:17" hidden="1" x14ac:dyDescent="0.2">
      <c r="A413" s="4" t="s">
        <v>1924</v>
      </c>
      <c r="B413" s="4">
        <v>0</v>
      </c>
      <c r="C413" s="4" t="s">
        <v>1924</v>
      </c>
      <c r="D413" s="4" t="s">
        <v>2112</v>
      </c>
      <c r="E413" s="4" t="s">
        <v>86</v>
      </c>
      <c r="F413" s="4">
        <v>20</v>
      </c>
      <c r="G413" s="4">
        <v>0</v>
      </c>
      <c r="H413" s="4">
        <v>0</v>
      </c>
      <c r="K413" s="4">
        <v>0</v>
      </c>
      <c r="N413" s="4">
        <v>0</v>
      </c>
      <c r="O413" s="4">
        <v>0</v>
      </c>
      <c r="P413" s="4" t="str">
        <f t="shared" si="6"/>
        <v>CHNG_REQST_PROGRAM.USR_ID</v>
      </c>
      <c r="Q413" s="4" t="str">
        <f>VLOOKUP(Cobra8.6[[#This Row],[Table.Column]],ColumnMapping[Old Table.Column],1,)</f>
        <v>CHNG_REQST_PROGRAM.USR_ID</v>
      </c>
    </row>
    <row r="414" spans="1:17" hidden="1" x14ac:dyDescent="0.2">
      <c r="A414" s="4" t="s">
        <v>2186</v>
      </c>
      <c r="B414" s="4">
        <v>0</v>
      </c>
      <c r="C414" s="4" t="s">
        <v>2186</v>
      </c>
      <c r="D414" s="4" t="s">
        <v>2187</v>
      </c>
      <c r="E414" s="4" t="s">
        <v>86</v>
      </c>
      <c r="F414" s="4">
        <v>1</v>
      </c>
      <c r="G414" s="4">
        <v>0</v>
      </c>
      <c r="H414" s="4">
        <v>0</v>
      </c>
      <c r="K414" s="4">
        <v>0</v>
      </c>
      <c r="N414" s="4">
        <v>0</v>
      </c>
      <c r="O414" s="4">
        <v>0</v>
      </c>
      <c r="P414" s="4" t="str">
        <f t="shared" si="6"/>
        <v>CLASSES.BUDDATESET</v>
      </c>
      <c r="Q414" s="4" t="str">
        <f>VLOOKUP(Cobra8.6[[#This Row],[Table.Column]],ColumnMapping[Old Table.Column],1,)</f>
        <v>CLASSES.BUDDATESET</v>
      </c>
    </row>
    <row r="415" spans="1:17" hidden="1" x14ac:dyDescent="0.2">
      <c r="A415" s="4" t="s">
        <v>2186</v>
      </c>
      <c r="B415" s="4">
        <v>0</v>
      </c>
      <c r="C415" s="4" t="s">
        <v>2186</v>
      </c>
      <c r="D415" s="4" t="s">
        <v>1100</v>
      </c>
      <c r="E415" s="4" t="s">
        <v>86</v>
      </c>
      <c r="F415" s="4">
        <v>20</v>
      </c>
      <c r="G415" s="4">
        <v>0</v>
      </c>
      <c r="H415" s="4">
        <v>0</v>
      </c>
      <c r="K415" s="4">
        <v>0</v>
      </c>
      <c r="N415" s="4">
        <v>0</v>
      </c>
      <c r="O415" s="4">
        <v>0</v>
      </c>
      <c r="P415" s="4" t="str">
        <f t="shared" si="6"/>
        <v>CLASSES.CLASS</v>
      </c>
      <c r="Q415" s="4" t="str">
        <f>VLOOKUP(Cobra8.6[[#This Row],[Table.Column]],ColumnMapping[Old Table.Column],1,)</f>
        <v>CLASSES.CLASS</v>
      </c>
    </row>
    <row r="416" spans="1:17" hidden="1" x14ac:dyDescent="0.2">
      <c r="A416" s="4" t="s">
        <v>2186</v>
      </c>
      <c r="B416" s="4">
        <v>0</v>
      </c>
      <c r="C416" s="4" t="s">
        <v>2186</v>
      </c>
      <c r="D416" s="4" t="s">
        <v>1328</v>
      </c>
      <c r="E416" s="4" t="s">
        <v>86</v>
      </c>
      <c r="F416" s="4">
        <v>2</v>
      </c>
      <c r="G416" s="4">
        <v>0</v>
      </c>
      <c r="H416" s="4">
        <v>0</v>
      </c>
      <c r="K416" s="4">
        <v>0</v>
      </c>
      <c r="N416" s="4">
        <v>0</v>
      </c>
      <c r="O416" s="4">
        <v>0</v>
      </c>
      <c r="P416" s="4" t="str">
        <f t="shared" si="6"/>
        <v>CLASSES.CLASSCAL</v>
      </c>
      <c r="Q416" s="4" t="str">
        <f>VLOOKUP(Cobra8.6[[#This Row],[Table.Column]],ColumnMapping[Old Table.Column],1,)</f>
        <v>CLASSES.CLASSCAL</v>
      </c>
    </row>
    <row r="417" spans="1:17" hidden="1" x14ac:dyDescent="0.2">
      <c r="A417" s="4" t="s">
        <v>2186</v>
      </c>
      <c r="B417" s="4">
        <v>0</v>
      </c>
      <c r="C417" s="4" t="s">
        <v>2186</v>
      </c>
      <c r="D417" s="4" t="s">
        <v>2188</v>
      </c>
      <c r="E417" s="4" t="s">
        <v>86</v>
      </c>
      <c r="F417" s="4">
        <v>254</v>
      </c>
      <c r="G417" s="4">
        <v>0</v>
      </c>
      <c r="H417" s="4">
        <v>0</v>
      </c>
      <c r="K417" s="4">
        <v>0</v>
      </c>
      <c r="N417" s="4">
        <v>0</v>
      </c>
      <c r="O417" s="4">
        <v>0</v>
      </c>
      <c r="P417" s="4" t="str">
        <f t="shared" si="6"/>
        <v>CLASSES.CLASSDESC</v>
      </c>
      <c r="Q417" s="4" t="str">
        <f>VLOOKUP(Cobra8.6[[#This Row],[Table.Column]],ColumnMapping[Old Table.Column],1,)</f>
        <v>CLASSES.CLASSDESC</v>
      </c>
    </row>
    <row r="418" spans="1:17" hidden="1" x14ac:dyDescent="0.2">
      <c r="A418" s="4" t="s">
        <v>2186</v>
      </c>
      <c r="B418" s="4">
        <v>0</v>
      </c>
      <c r="C418" s="4" t="s">
        <v>2186</v>
      </c>
      <c r="D418" s="4" t="s">
        <v>2189</v>
      </c>
      <c r="E418" s="4" t="s">
        <v>86</v>
      </c>
      <c r="F418" s="4">
        <v>1</v>
      </c>
      <c r="G418" s="4">
        <v>0</v>
      </c>
      <c r="H418" s="4">
        <v>0</v>
      </c>
      <c r="K418" s="4">
        <v>0</v>
      </c>
      <c r="N418" s="4">
        <v>0</v>
      </c>
      <c r="O418" s="4">
        <v>0</v>
      </c>
      <c r="P418" s="4" t="str">
        <f t="shared" si="6"/>
        <v>CLASSES.CLASSLVL</v>
      </c>
      <c r="Q418" s="4" t="str">
        <f>VLOOKUP(Cobra8.6[[#This Row],[Table.Column]],ColumnMapping[Old Table.Column],1,)</f>
        <v>CLASSES.CLASSLVL</v>
      </c>
    </row>
    <row r="419" spans="1:17" hidden="1" x14ac:dyDescent="0.2">
      <c r="A419" s="4" t="s">
        <v>2186</v>
      </c>
      <c r="B419" s="4">
        <v>0</v>
      </c>
      <c r="C419" s="4" t="s">
        <v>2186</v>
      </c>
      <c r="D419" s="4" t="s">
        <v>1330</v>
      </c>
      <c r="E419" s="4" t="s">
        <v>86</v>
      </c>
      <c r="F419" s="4">
        <v>22</v>
      </c>
      <c r="G419" s="4">
        <v>0</v>
      </c>
      <c r="H419" s="4">
        <v>0</v>
      </c>
      <c r="K419" s="4">
        <v>0</v>
      </c>
      <c r="N419" s="4">
        <v>0</v>
      </c>
      <c r="O419" s="4">
        <v>0</v>
      </c>
      <c r="P419" s="4" t="str">
        <f t="shared" si="6"/>
        <v>CLASSES.CLASSRATE</v>
      </c>
      <c r="Q419" s="4" t="str">
        <f>VLOOKUP(Cobra8.6[[#This Row],[Table.Column]],ColumnMapping[Old Table.Column],1,)</f>
        <v>CLASSES.CLASSRATE</v>
      </c>
    </row>
    <row r="420" spans="1:17" hidden="1" x14ac:dyDescent="0.2">
      <c r="A420" s="4" t="s">
        <v>2186</v>
      </c>
      <c r="B420" s="4">
        <v>0</v>
      </c>
      <c r="C420" s="4" t="s">
        <v>2186</v>
      </c>
      <c r="D420" s="4" t="s">
        <v>2190</v>
      </c>
      <c r="E420" s="4" t="s">
        <v>86</v>
      </c>
      <c r="F420" s="4">
        <v>1</v>
      </c>
      <c r="G420" s="4">
        <v>0</v>
      </c>
      <c r="H420" s="4">
        <v>0</v>
      </c>
      <c r="K420" s="4">
        <v>0</v>
      </c>
      <c r="N420" s="4">
        <v>0</v>
      </c>
      <c r="O420" s="4">
        <v>0</v>
      </c>
      <c r="P420" s="4" t="str">
        <f t="shared" si="6"/>
        <v>CLASSES.CLASSTYPE</v>
      </c>
      <c r="Q420" s="4" t="str">
        <f>VLOOKUP(Cobra8.6[[#This Row],[Table.Column]],ColumnMapping[Old Table.Column],1,)</f>
        <v>CLASSES.CLASSTYPE</v>
      </c>
    </row>
    <row r="421" spans="1:17" hidden="1" x14ac:dyDescent="0.2">
      <c r="A421" s="4" t="s">
        <v>2186</v>
      </c>
      <c r="B421" s="4">
        <v>0</v>
      </c>
      <c r="C421" s="4" t="s">
        <v>2186</v>
      </c>
      <c r="D421" s="4" t="s">
        <v>2191</v>
      </c>
      <c r="E421" s="4" t="s">
        <v>2124</v>
      </c>
      <c r="F421" s="4">
        <v>21</v>
      </c>
      <c r="G421" s="4">
        <v>6</v>
      </c>
      <c r="H421" s="4">
        <v>0</v>
      </c>
      <c r="K421" s="4">
        <v>0</v>
      </c>
      <c r="N421" s="4">
        <v>0</v>
      </c>
      <c r="O421" s="4">
        <v>0</v>
      </c>
      <c r="P421" s="4" t="str">
        <f t="shared" si="6"/>
        <v>CLASSES.FACTA</v>
      </c>
      <c r="Q421" s="4" t="str">
        <f>VLOOKUP(Cobra8.6[[#This Row],[Table.Column]],ColumnMapping[Old Table.Column],1,)</f>
        <v>CLASSES.FACTA</v>
      </c>
    </row>
    <row r="422" spans="1:17" hidden="1" x14ac:dyDescent="0.2">
      <c r="A422" s="4" t="s">
        <v>2186</v>
      </c>
      <c r="B422" s="4">
        <v>0</v>
      </c>
      <c r="C422" s="4" t="s">
        <v>2186</v>
      </c>
      <c r="D422" s="4" t="s">
        <v>2192</v>
      </c>
      <c r="E422" s="4" t="s">
        <v>2124</v>
      </c>
      <c r="F422" s="4">
        <v>21</v>
      </c>
      <c r="G422" s="4">
        <v>6</v>
      </c>
      <c r="H422" s="4">
        <v>0</v>
      </c>
      <c r="K422" s="4">
        <v>0</v>
      </c>
      <c r="N422" s="4">
        <v>0</v>
      </c>
      <c r="O422" s="4">
        <v>0</v>
      </c>
      <c r="P422" s="4" t="str">
        <f t="shared" si="6"/>
        <v>CLASSES.FACTB</v>
      </c>
      <c r="Q422" s="4" t="str">
        <f>VLOOKUP(Cobra8.6[[#This Row],[Table.Column]],ColumnMapping[Old Table.Column],1,)</f>
        <v>CLASSES.FACTB</v>
      </c>
    </row>
    <row r="423" spans="1:17" hidden="1" x14ac:dyDescent="0.2">
      <c r="A423" s="4" t="s">
        <v>2186</v>
      </c>
      <c r="B423" s="4">
        <v>0</v>
      </c>
      <c r="C423" s="4" t="s">
        <v>2186</v>
      </c>
      <c r="D423" s="4" t="s">
        <v>1320</v>
      </c>
      <c r="E423" s="4" t="s">
        <v>86</v>
      </c>
      <c r="F423" s="4">
        <v>1</v>
      </c>
      <c r="G423" s="4">
        <v>0</v>
      </c>
      <c r="H423" s="4">
        <v>0</v>
      </c>
      <c r="K423" s="4">
        <v>0</v>
      </c>
      <c r="N423" s="4">
        <v>0</v>
      </c>
      <c r="O423" s="4">
        <v>0</v>
      </c>
      <c r="P423" s="4" t="str">
        <f t="shared" si="6"/>
        <v>CLASSES.FC_DATESET</v>
      </c>
      <c r="Q423" s="4" t="str">
        <f>VLOOKUP(Cobra8.6[[#This Row],[Table.Column]],ColumnMapping[Old Table.Column],1,)</f>
        <v>CLASSES.FC_DATESET</v>
      </c>
    </row>
    <row r="424" spans="1:17" hidden="1" x14ac:dyDescent="0.2">
      <c r="A424" s="4" t="s">
        <v>2186</v>
      </c>
      <c r="B424" s="4">
        <v>0</v>
      </c>
      <c r="C424" s="4" t="s">
        <v>2186</v>
      </c>
      <c r="D424" s="4" t="s">
        <v>2193</v>
      </c>
      <c r="E424" s="4" t="s">
        <v>86</v>
      </c>
      <c r="F424" s="4">
        <v>1</v>
      </c>
      <c r="G424" s="4">
        <v>0</v>
      </c>
      <c r="H424" s="4">
        <v>0</v>
      </c>
      <c r="K424" s="4">
        <v>0</v>
      </c>
      <c r="N424" s="4">
        <v>0</v>
      </c>
      <c r="O424" s="4">
        <v>0</v>
      </c>
      <c r="P424" s="4" t="str">
        <f t="shared" si="6"/>
        <v>CLASSES.FC_TYPE</v>
      </c>
      <c r="Q424" s="4" t="str">
        <f>VLOOKUP(Cobra8.6[[#This Row],[Table.Column]],ColumnMapping[Old Table.Column],1,)</f>
        <v>CLASSES.FC_TYPE</v>
      </c>
    </row>
    <row r="425" spans="1:17" hidden="1" x14ac:dyDescent="0.2">
      <c r="A425" s="4" t="s">
        <v>2186</v>
      </c>
      <c r="B425" s="4">
        <v>0</v>
      </c>
      <c r="C425" s="4" t="s">
        <v>2186</v>
      </c>
      <c r="D425" s="4" t="s">
        <v>2194</v>
      </c>
      <c r="E425" s="4" t="s">
        <v>2108</v>
      </c>
      <c r="F425" s="4">
        <v>-1</v>
      </c>
      <c r="G425" s="4">
        <v>0</v>
      </c>
      <c r="H425" s="4">
        <v>0</v>
      </c>
      <c r="K425" s="4">
        <v>0</v>
      </c>
      <c r="N425" s="4">
        <v>0</v>
      </c>
      <c r="O425" s="4">
        <v>0</v>
      </c>
      <c r="P425" s="4" t="str">
        <f t="shared" si="6"/>
        <v>CLASSES.FORWRDONLY</v>
      </c>
      <c r="Q425" s="4" t="e">
        <f>VLOOKUP(Cobra8.6[[#This Row],[Table.Column]],ColumnMapping[Old Table.Column],1,)</f>
        <v>#N/A</v>
      </c>
    </row>
    <row r="426" spans="1:17" hidden="1" x14ac:dyDescent="0.2">
      <c r="A426" s="4" t="s">
        <v>2186</v>
      </c>
      <c r="B426" s="4">
        <v>0</v>
      </c>
      <c r="C426" s="4" t="s">
        <v>2186</v>
      </c>
      <c r="D426" s="4" t="s">
        <v>1318</v>
      </c>
      <c r="E426" s="4" t="s">
        <v>2108</v>
      </c>
      <c r="F426" s="4">
        <v>-1</v>
      </c>
      <c r="G426" s="4">
        <v>0</v>
      </c>
      <c r="H426" s="4">
        <v>0</v>
      </c>
      <c r="K426" s="4">
        <v>0</v>
      </c>
      <c r="N426" s="4">
        <v>0</v>
      </c>
      <c r="O426" s="4">
        <v>0</v>
      </c>
      <c r="P426" s="4" t="str">
        <f t="shared" si="6"/>
        <v>CLASSES.IS_ACWP</v>
      </c>
      <c r="Q426" s="4" t="str">
        <f>VLOOKUP(Cobra8.6[[#This Row],[Table.Column]],ColumnMapping[Old Table.Column],1,)</f>
        <v>CLASSES.IS_ACWP</v>
      </c>
    </row>
    <row r="427" spans="1:17" hidden="1" x14ac:dyDescent="0.2">
      <c r="A427" s="4" t="s">
        <v>2186</v>
      </c>
      <c r="B427" s="4">
        <v>0</v>
      </c>
      <c r="C427" s="4" t="s">
        <v>2186</v>
      </c>
      <c r="D427" s="4" t="s">
        <v>1316</v>
      </c>
      <c r="E427" s="4" t="s">
        <v>2108</v>
      </c>
      <c r="F427" s="4">
        <v>-1</v>
      </c>
      <c r="G427" s="4">
        <v>0</v>
      </c>
      <c r="H427" s="4">
        <v>0</v>
      </c>
      <c r="K427" s="4">
        <v>0</v>
      </c>
      <c r="N427" s="4">
        <v>0</v>
      </c>
      <c r="O427" s="4">
        <v>0</v>
      </c>
      <c r="P427" s="4" t="str">
        <f t="shared" si="6"/>
        <v>CLASSES.IS_BCWS</v>
      </c>
      <c r="Q427" s="4" t="str">
        <f>VLOOKUP(Cobra8.6[[#This Row],[Table.Column]],ColumnMapping[Old Table.Column],1,)</f>
        <v>CLASSES.IS_BCWS</v>
      </c>
    </row>
    <row r="428" spans="1:17" hidden="1" x14ac:dyDescent="0.2">
      <c r="A428" s="4" t="s">
        <v>2186</v>
      </c>
      <c r="B428" s="4">
        <v>0</v>
      </c>
      <c r="C428" s="4" t="s">
        <v>2186</v>
      </c>
      <c r="D428" s="4" t="s">
        <v>2111</v>
      </c>
      <c r="E428" s="4" t="s">
        <v>356</v>
      </c>
      <c r="F428" s="4">
        <v>-1</v>
      </c>
      <c r="G428" s="4">
        <v>0</v>
      </c>
      <c r="H428" s="4">
        <v>0</v>
      </c>
      <c r="K428" s="4">
        <v>0</v>
      </c>
      <c r="N428" s="4">
        <v>0</v>
      </c>
      <c r="O428" s="4">
        <v>0</v>
      </c>
      <c r="P428" s="4" t="str">
        <f t="shared" si="6"/>
        <v>CLASSES.LASTUPDATE</v>
      </c>
      <c r="Q428" s="4" t="str">
        <f>VLOOKUP(Cobra8.6[[#This Row],[Table.Column]],ColumnMapping[Old Table.Column],1,)</f>
        <v>CLASSES.LASTUPDATE</v>
      </c>
    </row>
    <row r="429" spans="1:17" hidden="1" x14ac:dyDescent="0.2">
      <c r="A429" s="4" t="s">
        <v>2186</v>
      </c>
      <c r="B429" s="4">
        <v>0</v>
      </c>
      <c r="C429" s="4" t="s">
        <v>2186</v>
      </c>
      <c r="D429" s="4" t="s">
        <v>1326</v>
      </c>
      <c r="E429" s="4" t="s">
        <v>86</v>
      </c>
      <c r="F429" s="4">
        <v>3</v>
      </c>
      <c r="G429" s="4">
        <v>0</v>
      </c>
      <c r="H429" s="4">
        <v>0</v>
      </c>
      <c r="K429" s="4">
        <v>0</v>
      </c>
      <c r="N429" s="4">
        <v>0</v>
      </c>
      <c r="O429" s="4">
        <v>0</v>
      </c>
      <c r="P429" s="4" t="str">
        <f t="shared" si="6"/>
        <v>CLASSES.MINUSMINUS</v>
      </c>
      <c r="Q429" s="4" t="str">
        <f>VLOOKUP(Cobra8.6[[#This Row],[Table.Column]],ColumnMapping[Old Table.Column],1,)</f>
        <v>CLASSES.MINUSMINUS</v>
      </c>
    </row>
    <row r="430" spans="1:17" hidden="1" x14ac:dyDescent="0.2">
      <c r="A430" s="4" t="s">
        <v>2186</v>
      </c>
      <c r="B430" s="4">
        <v>0</v>
      </c>
      <c r="C430" s="4" t="s">
        <v>2186</v>
      </c>
      <c r="D430" s="4" t="s">
        <v>1324</v>
      </c>
      <c r="E430" s="4" t="s">
        <v>86</v>
      </c>
      <c r="F430" s="4">
        <v>3</v>
      </c>
      <c r="G430" s="4">
        <v>0</v>
      </c>
      <c r="H430" s="4">
        <v>0</v>
      </c>
      <c r="K430" s="4">
        <v>0</v>
      </c>
      <c r="N430" s="4">
        <v>0</v>
      </c>
      <c r="O430" s="4">
        <v>0</v>
      </c>
      <c r="P430" s="4" t="str">
        <f t="shared" si="6"/>
        <v>CLASSES.MINUSPLUS</v>
      </c>
      <c r="Q430" s="4" t="str">
        <f>VLOOKUP(Cobra8.6[[#This Row],[Table.Column]],ColumnMapping[Old Table.Column],1,)</f>
        <v>CLASSES.MINUSPLUS</v>
      </c>
    </row>
    <row r="431" spans="1:17" hidden="1" x14ac:dyDescent="0.2">
      <c r="A431" s="4" t="s">
        <v>2186</v>
      </c>
      <c r="B431" s="4">
        <v>0</v>
      </c>
      <c r="C431" s="4" t="s">
        <v>2186</v>
      </c>
      <c r="D431" s="4" t="s">
        <v>2195</v>
      </c>
      <c r="E431" s="4" t="s">
        <v>86</v>
      </c>
      <c r="F431" s="4">
        <v>22</v>
      </c>
      <c r="G431" s="4">
        <v>0</v>
      </c>
      <c r="H431" s="4">
        <v>0</v>
      </c>
      <c r="K431" s="4">
        <v>0</v>
      </c>
      <c r="N431" s="4">
        <v>0</v>
      </c>
      <c r="O431" s="4">
        <v>0</v>
      </c>
      <c r="P431" s="4" t="str">
        <f t="shared" si="6"/>
        <v>CLASSES.PF_BDN</v>
      </c>
      <c r="Q431" s="4" t="str">
        <f>VLOOKUP(Cobra8.6[[#This Row],[Table.Column]],ColumnMapping[Old Table.Column],1,)</f>
        <v>CLASSES.PF_BDN</v>
      </c>
    </row>
    <row r="432" spans="1:17" hidden="1" x14ac:dyDescent="0.2">
      <c r="A432" s="4" t="s">
        <v>2186</v>
      </c>
      <c r="B432" s="4">
        <v>0</v>
      </c>
      <c r="C432" s="4" t="s">
        <v>2186</v>
      </c>
      <c r="D432" s="4" t="s">
        <v>2196</v>
      </c>
      <c r="E432" s="4" t="s">
        <v>86</v>
      </c>
      <c r="F432" s="4">
        <v>2</v>
      </c>
      <c r="G432" s="4">
        <v>0</v>
      </c>
      <c r="H432" s="4">
        <v>0</v>
      </c>
      <c r="K432" s="4">
        <v>0</v>
      </c>
      <c r="N432" s="4">
        <v>0</v>
      </c>
      <c r="O432" s="4">
        <v>0</v>
      </c>
      <c r="P432" s="4" t="str">
        <f t="shared" si="6"/>
        <v>CLASSES.PF_LEVEL</v>
      </c>
      <c r="Q432" s="4" t="str">
        <f>VLOOKUP(Cobra8.6[[#This Row],[Table.Column]],ColumnMapping[Old Table.Column],1,)</f>
        <v>CLASSES.PF_LEVEL</v>
      </c>
    </row>
    <row r="433" spans="1:17" hidden="1" x14ac:dyDescent="0.2">
      <c r="A433" s="4" t="s">
        <v>2186</v>
      </c>
      <c r="B433" s="4">
        <v>0</v>
      </c>
      <c r="C433" s="4" t="s">
        <v>2186</v>
      </c>
      <c r="D433" s="4" t="s">
        <v>2197</v>
      </c>
      <c r="E433" s="4" t="s">
        <v>86</v>
      </c>
      <c r="F433" s="4">
        <v>3</v>
      </c>
      <c r="G433" s="4">
        <v>0</v>
      </c>
      <c r="H433" s="4">
        <v>0</v>
      </c>
      <c r="K433" s="4">
        <v>0</v>
      </c>
      <c r="N433" s="4">
        <v>0</v>
      </c>
      <c r="O433" s="4">
        <v>0</v>
      </c>
      <c r="P433" s="4" t="str">
        <f t="shared" si="6"/>
        <v>CLASSES.PLUSMINUS</v>
      </c>
      <c r="Q433" s="4" t="str">
        <f>VLOOKUP(Cobra8.6[[#This Row],[Table.Column]],ColumnMapping[Old Table.Column],1,)</f>
        <v>CLASSES.PLUSMINUS</v>
      </c>
    </row>
    <row r="434" spans="1:17" hidden="1" x14ac:dyDescent="0.2">
      <c r="A434" s="4" t="s">
        <v>2186</v>
      </c>
      <c r="B434" s="4">
        <v>0</v>
      </c>
      <c r="C434" s="4" t="s">
        <v>2186</v>
      </c>
      <c r="D434" s="4" t="s">
        <v>1322</v>
      </c>
      <c r="E434" s="4" t="s">
        <v>86</v>
      </c>
      <c r="F434" s="4">
        <v>3</v>
      </c>
      <c r="G434" s="4">
        <v>0</v>
      </c>
      <c r="H434" s="4">
        <v>0</v>
      </c>
      <c r="K434" s="4">
        <v>0</v>
      </c>
      <c r="N434" s="4">
        <v>0</v>
      </c>
      <c r="O434" s="4">
        <v>0</v>
      </c>
      <c r="P434" s="4" t="str">
        <f t="shared" si="6"/>
        <v>CLASSES.PLUSPLUS</v>
      </c>
      <c r="Q434" s="4" t="str">
        <f>VLOOKUP(Cobra8.6[[#This Row],[Table.Column]],ColumnMapping[Old Table.Column],1,)</f>
        <v>CLASSES.PLUSPLUS</v>
      </c>
    </row>
    <row r="435" spans="1:17" hidden="1" x14ac:dyDescent="0.2">
      <c r="A435" s="4" t="s">
        <v>2186</v>
      </c>
      <c r="B435" s="4">
        <v>0</v>
      </c>
      <c r="C435" s="4" t="s">
        <v>2186</v>
      </c>
      <c r="D435" s="4" t="s">
        <v>744</v>
      </c>
      <c r="E435" s="4" t="s">
        <v>86</v>
      </c>
      <c r="F435" s="4">
        <v>22</v>
      </c>
      <c r="G435" s="4">
        <v>0</v>
      </c>
      <c r="H435" s="4">
        <v>0</v>
      </c>
      <c r="K435" s="4">
        <v>0</v>
      </c>
      <c r="N435" s="4">
        <v>0</v>
      </c>
      <c r="O435" s="4">
        <v>0</v>
      </c>
      <c r="P435" s="4" t="str">
        <f t="shared" si="6"/>
        <v>CLASSES.PROGRAM</v>
      </c>
      <c r="Q435" s="4" t="str">
        <f>VLOOKUP(Cobra8.6[[#This Row],[Table.Column]],ColumnMapping[Old Table.Column],1,)</f>
        <v>CLASSES.PROGRAM</v>
      </c>
    </row>
    <row r="436" spans="1:17" hidden="1" x14ac:dyDescent="0.2">
      <c r="A436" s="4" t="s">
        <v>2186</v>
      </c>
      <c r="B436" s="4">
        <v>0</v>
      </c>
      <c r="C436" s="4" t="s">
        <v>2186</v>
      </c>
      <c r="D436" s="4" t="s">
        <v>1314</v>
      </c>
      <c r="E436" s="4" t="s">
        <v>86</v>
      </c>
      <c r="F436" s="4">
        <v>30</v>
      </c>
      <c r="G436" s="4">
        <v>0</v>
      </c>
      <c r="H436" s="4">
        <v>0</v>
      </c>
      <c r="K436" s="4">
        <v>0</v>
      </c>
      <c r="N436" s="4">
        <v>0</v>
      </c>
      <c r="O436" s="4">
        <v>0</v>
      </c>
      <c r="P436" s="4" t="str">
        <f t="shared" si="6"/>
        <v>CLASSES.RANGE_FIELDID</v>
      </c>
      <c r="Q436" s="4" t="str">
        <f>VLOOKUP(Cobra8.6[[#This Row],[Table.Column]],ColumnMapping[Old Table.Column],1,)</f>
        <v>CLASSES.RANGE_FIELDID</v>
      </c>
    </row>
    <row r="437" spans="1:17" hidden="1" x14ac:dyDescent="0.2">
      <c r="A437" s="4" t="s">
        <v>2186</v>
      </c>
      <c r="B437" s="4">
        <v>0</v>
      </c>
      <c r="C437" s="4" t="s">
        <v>2186</v>
      </c>
      <c r="D437" s="4" t="s">
        <v>1312</v>
      </c>
      <c r="E437" s="4" t="s">
        <v>2108</v>
      </c>
      <c r="F437" s="4">
        <v>-1</v>
      </c>
      <c r="G437" s="4">
        <v>0</v>
      </c>
      <c r="H437" s="4">
        <v>0</v>
      </c>
      <c r="K437" s="4">
        <v>0</v>
      </c>
      <c r="N437" s="4">
        <v>0</v>
      </c>
      <c r="O437" s="4">
        <v>0</v>
      </c>
      <c r="P437" s="4" t="str">
        <f t="shared" si="6"/>
        <v>CLASSES.READONLY</v>
      </c>
      <c r="Q437" s="4" t="str">
        <f>VLOOKUP(Cobra8.6[[#This Row],[Table.Column]],ColumnMapping[Old Table.Column],1,)</f>
        <v>CLASSES.READONLY</v>
      </c>
    </row>
    <row r="438" spans="1:17" hidden="1" x14ac:dyDescent="0.2">
      <c r="A438" s="4" t="s">
        <v>2186</v>
      </c>
      <c r="B438" s="4">
        <v>0</v>
      </c>
      <c r="C438" s="4" t="s">
        <v>2186</v>
      </c>
      <c r="D438" s="4" t="s">
        <v>1256</v>
      </c>
      <c r="E438" s="4" t="s">
        <v>2108</v>
      </c>
      <c r="F438" s="4">
        <v>-1</v>
      </c>
      <c r="G438" s="4">
        <v>0</v>
      </c>
      <c r="H438" s="4">
        <v>0</v>
      </c>
      <c r="K438" s="4">
        <v>0</v>
      </c>
      <c r="N438" s="4">
        <v>0</v>
      </c>
      <c r="O438" s="4">
        <v>0</v>
      </c>
      <c r="P438" s="4" t="str">
        <f t="shared" si="6"/>
        <v>CLASSES.REQUIRED</v>
      </c>
      <c r="Q438" s="4" t="str">
        <f>VLOOKUP(Cobra8.6[[#This Row],[Table.Column]],ColumnMapping[Old Table.Column],1,)</f>
        <v>CLASSES.REQUIRED</v>
      </c>
    </row>
    <row r="439" spans="1:17" hidden="1" x14ac:dyDescent="0.2">
      <c r="A439" s="4" t="s">
        <v>2186</v>
      </c>
      <c r="B439" s="4">
        <v>0</v>
      </c>
      <c r="C439" s="4" t="s">
        <v>2186</v>
      </c>
      <c r="D439" s="4" t="s">
        <v>35</v>
      </c>
      <c r="E439" s="4" t="s">
        <v>2108</v>
      </c>
      <c r="F439" s="4">
        <v>-1</v>
      </c>
      <c r="G439" s="4">
        <v>0</v>
      </c>
      <c r="H439" s="4">
        <v>0</v>
      </c>
      <c r="K439" s="4">
        <v>0</v>
      </c>
      <c r="N439" s="4">
        <v>0</v>
      </c>
      <c r="O439" s="4">
        <v>0</v>
      </c>
      <c r="P439" s="4" t="str">
        <f t="shared" si="6"/>
        <v>CLASSES.SEQUENCE</v>
      </c>
      <c r="Q439" s="4" t="str">
        <f>VLOOKUP(Cobra8.6[[#This Row],[Table.Column]],ColumnMapping[Old Table.Column],1,)</f>
        <v>CLASSES.SEQUENCE</v>
      </c>
    </row>
    <row r="440" spans="1:17" hidden="1" x14ac:dyDescent="0.2">
      <c r="A440" s="4" t="s">
        <v>2186</v>
      </c>
      <c r="B440" s="4">
        <v>0</v>
      </c>
      <c r="C440" s="4" t="s">
        <v>2186</v>
      </c>
      <c r="D440" s="4" t="s">
        <v>2112</v>
      </c>
      <c r="E440" s="4" t="s">
        <v>86</v>
      </c>
      <c r="F440" s="4">
        <v>20</v>
      </c>
      <c r="G440" s="4">
        <v>0</v>
      </c>
      <c r="H440" s="4">
        <v>0</v>
      </c>
      <c r="K440" s="4">
        <v>0</v>
      </c>
      <c r="N440" s="4">
        <v>0</v>
      </c>
      <c r="O440" s="4">
        <v>0</v>
      </c>
      <c r="P440" s="4" t="str">
        <f t="shared" si="6"/>
        <v>CLASSES.USR_ID</v>
      </c>
      <c r="Q440" s="4" t="str">
        <f>VLOOKUP(Cobra8.6[[#This Row],[Table.Column]],ColumnMapping[Old Table.Column],1,)</f>
        <v>CLASSES.USR_ID</v>
      </c>
    </row>
    <row r="441" spans="1:17" hidden="1" x14ac:dyDescent="0.2">
      <c r="A441" s="4" t="s">
        <v>2198</v>
      </c>
      <c r="B441" s="4">
        <v>0</v>
      </c>
      <c r="C441" s="4" t="s">
        <v>2198</v>
      </c>
      <c r="D441" s="4" t="s">
        <v>1100</v>
      </c>
      <c r="E441" s="4" t="s">
        <v>86</v>
      </c>
      <c r="F441" s="4">
        <v>20</v>
      </c>
      <c r="G441" s="4">
        <v>0</v>
      </c>
      <c r="H441" s="4">
        <v>0</v>
      </c>
      <c r="K441" s="4">
        <v>0</v>
      </c>
      <c r="N441" s="4">
        <v>0</v>
      </c>
      <c r="O441" s="4">
        <v>0</v>
      </c>
      <c r="P441" s="4" t="str">
        <f t="shared" si="6"/>
        <v>CLASSESLINK.CLASS</v>
      </c>
      <c r="Q441" s="4" t="str">
        <f>VLOOKUP(Cobra8.6[[#This Row],[Table.Column]],ColumnMapping[Old Table.Column],1,)</f>
        <v>CLASSESLINK.CLASS</v>
      </c>
    </row>
    <row r="442" spans="1:17" hidden="1" x14ac:dyDescent="0.2">
      <c r="A442" s="4" t="s">
        <v>2198</v>
      </c>
      <c r="B442" s="4">
        <v>0</v>
      </c>
      <c r="C442" s="4" t="s">
        <v>2198</v>
      </c>
      <c r="D442" s="4" t="s">
        <v>1344</v>
      </c>
      <c r="E442" s="4" t="s">
        <v>86</v>
      </c>
      <c r="F442" s="4">
        <v>20</v>
      </c>
      <c r="G442" s="4">
        <v>0</v>
      </c>
      <c r="H442" s="4">
        <v>0</v>
      </c>
      <c r="K442" s="4">
        <v>0</v>
      </c>
      <c r="N442" s="4">
        <v>0</v>
      </c>
      <c r="O442" s="4">
        <v>0</v>
      </c>
      <c r="P442" s="4" t="str">
        <f t="shared" si="6"/>
        <v>CLASSESLINK.CONTAINEDCLASS</v>
      </c>
      <c r="Q442" s="4" t="str">
        <f>VLOOKUP(Cobra8.6[[#This Row],[Table.Column]],ColumnMapping[Old Table.Column],1,)</f>
        <v>CLASSESLINK.CONTAINEDCLASS</v>
      </c>
    </row>
    <row r="443" spans="1:17" hidden="1" x14ac:dyDescent="0.2">
      <c r="A443" s="4" t="s">
        <v>2198</v>
      </c>
      <c r="B443" s="4">
        <v>0</v>
      </c>
      <c r="C443" s="4" t="s">
        <v>2198</v>
      </c>
      <c r="D443" s="4" t="s">
        <v>744</v>
      </c>
      <c r="E443" s="4" t="s">
        <v>86</v>
      </c>
      <c r="F443" s="4">
        <v>22</v>
      </c>
      <c r="G443" s="4">
        <v>0</v>
      </c>
      <c r="H443" s="4">
        <v>0</v>
      </c>
      <c r="K443" s="4">
        <v>0</v>
      </c>
      <c r="N443" s="4">
        <v>0</v>
      </c>
      <c r="O443" s="4">
        <v>0</v>
      </c>
      <c r="P443" s="4" t="str">
        <f t="shared" si="6"/>
        <v>CLASSESLINK.PROGRAM</v>
      </c>
      <c r="Q443" s="4" t="str">
        <f>VLOOKUP(Cobra8.6[[#This Row],[Table.Column]],ColumnMapping[Old Table.Column],1,)</f>
        <v>CLASSESLINK.PROGRAM</v>
      </c>
    </row>
    <row r="444" spans="1:17" hidden="1" x14ac:dyDescent="0.2">
      <c r="A444" s="4" t="s">
        <v>1927</v>
      </c>
      <c r="B444" s="4">
        <v>0</v>
      </c>
      <c r="C444" s="4" t="s">
        <v>1927</v>
      </c>
      <c r="D444" s="4" t="s">
        <v>1100</v>
      </c>
      <c r="E444" s="4" t="s">
        <v>86</v>
      </c>
      <c r="F444" s="4">
        <v>20</v>
      </c>
      <c r="G444" s="4">
        <v>0</v>
      </c>
      <c r="H444" s="4">
        <v>0</v>
      </c>
      <c r="K444" s="4">
        <v>0</v>
      </c>
      <c r="N444" s="4">
        <v>0</v>
      </c>
      <c r="O444" s="4">
        <v>0</v>
      </c>
      <c r="P444" s="4" t="str">
        <f t="shared" si="6"/>
        <v>CLASSRANGES.CLASS</v>
      </c>
      <c r="Q444" s="4" t="str">
        <f>VLOOKUP(Cobra8.6[[#This Row],[Table.Column]],ColumnMapping[Old Table.Column],1,)</f>
        <v>CLASSRANGES.CLASS</v>
      </c>
    </row>
    <row r="445" spans="1:17" hidden="1" x14ac:dyDescent="0.2">
      <c r="A445" s="4" t="s">
        <v>1927</v>
      </c>
      <c r="B445" s="4">
        <v>0</v>
      </c>
      <c r="C445" s="4" t="s">
        <v>1927</v>
      </c>
      <c r="D445" s="4" t="s">
        <v>1928</v>
      </c>
      <c r="E445" s="4" t="s">
        <v>2108</v>
      </c>
      <c r="F445" s="4">
        <v>-1</v>
      </c>
      <c r="G445" s="4">
        <v>0</v>
      </c>
      <c r="H445" s="4">
        <v>0</v>
      </c>
      <c r="K445" s="4">
        <v>0</v>
      </c>
      <c r="N445" s="4">
        <v>0</v>
      </c>
      <c r="O445" s="4">
        <v>0</v>
      </c>
      <c r="P445" s="4" t="str">
        <f t="shared" si="6"/>
        <v>CLASSRANGES.FIELDNUM</v>
      </c>
      <c r="Q445" s="4" t="str">
        <f>VLOOKUP(Cobra8.6[[#This Row],[Table.Column]],ColumnMapping[Old Table.Column],1,)</f>
        <v>CLASSRANGES.FIELDNUM</v>
      </c>
    </row>
    <row r="446" spans="1:17" hidden="1" x14ac:dyDescent="0.2">
      <c r="A446" s="4" t="s">
        <v>1927</v>
      </c>
      <c r="B446" s="4">
        <v>0</v>
      </c>
      <c r="C446" s="4" t="s">
        <v>1927</v>
      </c>
      <c r="D446" s="4" t="s">
        <v>744</v>
      </c>
      <c r="E446" s="4" t="s">
        <v>86</v>
      </c>
      <c r="F446" s="4">
        <v>22</v>
      </c>
      <c r="G446" s="4">
        <v>0</v>
      </c>
      <c r="H446" s="4">
        <v>0</v>
      </c>
      <c r="K446" s="4">
        <v>0</v>
      </c>
      <c r="N446" s="4">
        <v>0</v>
      </c>
      <c r="O446" s="4">
        <v>0</v>
      </c>
      <c r="P446" s="4" t="str">
        <f t="shared" si="6"/>
        <v>CLASSRANGES.PROGRAM</v>
      </c>
      <c r="Q446" s="4" t="str">
        <f>VLOOKUP(Cobra8.6[[#This Row],[Table.Column]],ColumnMapping[Old Table.Column],1,)</f>
        <v>CLASSRANGES.PROGRAM</v>
      </c>
    </row>
    <row r="447" spans="1:17" hidden="1" x14ac:dyDescent="0.2">
      <c r="A447" s="4" t="s">
        <v>1927</v>
      </c>
      <c r="B447" s="4">
        <v>0</v>
      </c>
      <c r="C447" s="4" t="s">
        <v>1927</v>
      </c>
      <c r="D447" s="4" t="s">
        <v>1929</v>
      </c>
      <c r="E447" s="4" t="s">
        <v>86</v>
      </c>
      <c r="F447" s="4">
        <v>59</v>
      </c>
      <c r="G447" s="4">
        <v>0</v>
      </c>
      <c r="H447" s="4">
        <v>0</v>
      </c>
      <c r="K447" s="4">
        <v>0</v>
      </c>
      <c r="N447" s="4">
        <v>0</v>
      </c>
      <c r="O447" s="4">
        <v>0</v>
      </c>
      <c r="P447" s="4" t="str">
        <f t="shared" si="6"/>
        <v>CLASSRANGES.RANGE_KEY</v>
      </c>
      <c r="Q447" s="4" t="str">
        <f>VLOOKUP(Cobra8.6[[#This Row],[Table.Column]],ColumnMapping[Old Table.Column],1,)</f>
        <v>CLASSRANGES.RANGE_KEY</v>
      </c>
    </row>
    <row r="448" spans="1:17" hidden="1" x14ac:dyDescent="0.2">
      <c r="A448" s="4" t="s">
        <v>1927</v>
      </c>
      <c r="B448" s="4">
        <v>0</v>
      </c>
      <c r="C448" s="4" t="s">
        <v>1927</v>
      </c>
      <c r="D448" s="4" t="s">
        <v>1930</v>
      </c>
      <c r="E448" s="4" t="s">
        <v>86</v>
      </c>
      <c r="F448" s="4">
        <v>100</v>
      </c>
      <c r="G448" s="4">
        <v>0</v>
      </c>
      <c r="H448" s="4">
        <v>0</v>
      </c>
      <c r="K448" s="4">
        <v>0</v>
      </c>
      <c r="N448" s="4">
        <v>0</v>
      </c>
      <c r="O448" s="4">
        <v>0</v>
      </c>
      <c r="P448" s="4" t="str">
        <f t="shared" si="6"/>
        <v>CLASSRANGES.RANGE_VALUE</v>
      </c>
      <c r="Q448" s="4" t="str">
        <f>VLOOKUP(Cobra8.6[[#This Row],[Table.Column]],ColumnMapping[Old Table.Column],1,)</f>
        <v>CLASSRANGES.RANGE_VALUE</v>
      </c>
    </row>
    <row r="449" spans="1:17" hidden="1" x14ac:dyDescent="0.2">
      <c r="A449" s="4" t="s">
        <v>2199</v>
      </c>
      <c r="B449" s="4">
        <v>0</v>
      </c>
      <c r="C449" s="4" t="s">
        <v>2199</v>
      </c>
      <c r="D449" s="4" t="s">
        <v>2200</v>
      </c>
      <c r="E449" s="4" t="s">
        <v>86</v>
      </c>
      <c r="F449" s="4">
        <v>59</v>
      </c>
      <c r="G449" s="4">
        <v>0</v>
      </c>
      <c r="H449" s="4">
        <v>0</v>
      </c>
      <c r="K449" s="4">
        <v>0</v>
      </c>
      <c r="N449" s="4">
        <v>0</v>
      </c>
      <c r="O449" s="4">
        <v>0</v>
      </c>
      <c r="P449" s="4" t="str">
        <f t="shared" si="6"/>
        <v>COB_CAT.CAT_ID</v>
      </c>
      <c r="Q449" s="4" t="str">
        <f>VLOOKUP(Cobra8.6[[#This Row],[Table.Column]],ColumnMapping[Old Table.Column],1,)</f>
        <v>COB_CAT.CAT_ID</v>
      </c>
    </row>
    <row r="450" spans="1:17" hidden="1" x14ac:dyDescent="0.2">
      <c r="A450" s="4" t="s">
        <v>2199</v>
      </c>
      <c r="B450" s="4">
        <v>0</v>
      </c>
      <c r="C450" s="4" t="s">
        <v>2199</v>
      </c>
      <c r="D450" s="4" t="s">
        <v>1961</v>
      </c>
      <c r="E450" s="4" t="s">
        <v>86</v>
      </c>
      <c r="F450" s="4">
        <v>30</v>
      </c>
      <c r="G450" s="4">
        <v>0</v>
      </c>
      <c r="H450" s="4">
        <v>0</v>
      </c>
      <c r="K450" s="4">
        <v>0</v>
      </c>
      <c r="N450" s="4">
        <v>0</v>
      </c>
      <c r="O450" s="4">
        <v>0</v>
      </c>
      <c r="P450" s="4" t="str">
        <f t="shared" ref="P450:P513" si="7">_xlfn.CONCAT(A450,".",D450)</f>
        <v>COB_CAT.CONTEXT</v>
      </c>
      <c r="Q450" s="4" t="str">
        <f>VLOOKUP(Cobra8.6[[#This Row],[Table.Column]],ColumnMapping[Old Table.Column],1,)</f>
        <v>COB_CAT.CONTEXT</v>
      </c>
    </row>
    <row r="451" spans="1:17" hidden="1" x14ac:dyDescent="0.2">
      <c r="A451" s="4" t="s">
        <v>2199</v>
      </c>
      <c r="B451" s="4">
        <v>0</v>
      </c>
      <c r="C451" s="4" t="s">
        <v>2199</v>
      </c>
      <c r="D451" s="4" t="s">
        <v>2111</v>
      </c>
      <c r="E451" s="4" t="s">
        <v>356</v>
      </c>
      <c r="F451" s="4">
        <v>-1</v>
      </c>
      <c r="G451" s="4">
        <v>0</v>
      </c>
      <c r="H451" s="4">
        <v>0</v>
      </c>
      <c r="K451" s="4">
        <v>0</v>
      </c>
      <c r="N451" s="4">
        <v>0</v>
      </c>
      <c r="O451" s="4">
        <v>0</v>
      </c>
      <c r="P451" s="4" t="str">
        <f t="shared" si="7"/>
        <v>COB_CAT.LASTUPDATE</v>
      </c>
      <c r="Q451" s="4" t="e">
        <f>VLOOKUP(Cobra8.6[[#This Row],[Table.Column]],ColumnMapping[Old Table.Column],1,)</f>
        <v>#N/A</v>
      </c>
    </row>
    <row r="452" spans="1:17" hidden="1" x14ac:dyDescent="0.2">
      <c r="A452" s="4" t="s">
        <v>2199</v>
      </c>
      <c r="B452" s="4">
        <v>0</v>
      </c>
      <c r="C452" s="4" t="s">
        <v>2199</v>
      </c>
      <c r="D452" s="4" t="s">
        <v>2201</v>
      </c>
      <c r="E452" s="4" t="s">
        <v>2108</v>
      </c>
      <c r="F452" s="4">
        <v>-1</v>
      </c>
      <c r="G452" s="4">
        <v>0</v>
      </c>
      <c r="H452" s="4">
        <v>0</v>
      </c>
      <c r="K452" s="4">
        <v>0</v>
      </c>
      <c r="N452" s="4">
        <v>0</v>
      </c>
      <c r="O452" s="4">
        <v>0</v>
      </c>
      <c r="P452" s="4" t="str">
        <f t="shared" si="7"/>
        <v>COB_CAT.ROW_ID</v>
      </c>
      <c r="Q452" s="4" t="e">
        <f>VLOOKUP(Cobra8.6[[#This Row],[Table.Column]],ColumnMapping[Old Table.Column],1,)</f>
        <v>#N/A</v>
      </c>
    </row>
    <row r="453" spans="1:17" hidden="1" x14ac:dyDescent="0.2">
      <c r="A453" s="4" t="s">
        <v>2199</v>
      </c>
      <c r="B453" s="4">
        <v>0</v>
      </c>
      <c r="C453" s="4" t="s">
        <v>2199</v>
      </c>
      <c r="D453" s="4" t="s">
        <v>35</v>
      </c>
      <c r="E453" s="4" t="s">
        <v>2108</v>
      </c>
      <c r="F453" s="4">
        <v>-1</v>
      </c>
      <c r="G453" s="4">
        <v>0</v>
      </c>
      <c r="H453" s="4">
        <v>0</v>
      </c>
      <c r="K453" s="4">
        <v>0</v>
      </c>
      <c r="N453" s="4">
        <v>0</v>
      </c>
      <c r="O453" s="4">
        <v>0</v>
      </c>
      <c r="P453" s="4" t="str">
        <f t="shared" si="7"/>
        <v>COB_CAT.SEQUENCE</v>
      </c>
      <c r="Q453" s="4" t="e">
        <f>VLOOKUP(Cobra8.6[[#This Row],[Table.Column]],ColumnMapping[Old Table.Column],1,)</f>
        <v>#N/A</v>
      </c>
    </row>
    <row r="454" spans="1:17" hidden="1" x14ac:dyDescent="0.2">
      <c r="A454" s="4" t="s">
        <v>2199</v>
      </c>
      <c r="B454" s="4">
        <v>0</v>
      </c>
      <c r="C454" s="4" t="s">
        <v>2199</v>
      </c>
      <c r="D454" s="4" t="s">
        <v>2112</v>
      </c>
      <c r="E454" s="4" t="s">
        <v>86</v>
      </c>
      <c r="F454" s="4">
        <v>20</v>
      </c>
      <c r="G454" s="4">
        <v>0</v>
      </c>
      <c r="H454" s="4">
        <v>0</v>
      </c>
      <c r="K454" s="4">
        <v>0</v>
      </c>
      <c r="N454" s="4">
        <v>0</v>
      </c>
      <c r="O454" s="4">
        <v>0</v>
      </c>
      <c r="P454" s="4" t="str">
        <f t="shared" si="7"/>
        <v>COB_CAT.USR_ID</v>
      </c>
      <c r="Q454" s="4" t="e">
        <f>VLOOKUP(Cobra8.6[[#This Row],[Table.Column]],ColumnMapping[Old Table.Column],1,)</f>
        <v>#N/A</v>
      </c>
    </row>
    <row r="455" spans="1:17" hidden="1" x14ac:dyDescent="0.2">
      <c r="A455" s="4" t="s">
        <v>2202</v>
      </c>
      <c r="B455" s="4">
        <v>0</v>
      </c>
      <c r="C455" s="4" t="s">
        <v>2202</v>
      </c>
      <c r="D455" s="4" t="s">
        <v>2203</v>
      </c>
      <c r="E455" s="4" t="s">
        <v>2108</v>
      </c>
      <c r="F455" s="4">
        <v>-1</v>
      </c>
      <c r="G455" s="4">
        <v>0</v>
      </c>
      <c r="H455" s="4">
        <v>0</v>
      </c>
      <c r="K455" s="4">
        <v>0</v>
      </c>
      <c r="N455" s="4">
        <v>0</v>
      </c>
      <c r="O455" s="4">
        <v>0</v>
      </c>
      <c r="P455" s="4" t="str">
        <f t="shared" si="7"/>
        <v>COB_NTX.CAT_UID</v>
      </c>
      <c r="Q455" s="4" t="e">
        <f>VLOOKUP(Cobra8.6[[#This Row],[Table.Column]],ColumnMapping[Old Table.Column],1,)</f>
        <v>#N/A</v>
      </c>
    </row>
    <row r="456" spans="1:17" hidden="1" x14ac:dyDescent="0.2">
      <c r="A456" s="4" t="s">
        <v>2202</v>
      </c>
      <c r="B456" s="4">
        <v>0</v>
      </c>
      <c r="C456" s="4" t="s">
        <v>2202</v>
      </c>
      <c r="D456" s="4" t="s">
        <v>1962</v>
      </c>
      <c r="E456" s="4" t="s">
        <v>86</v>
      </c>
      <c r="F456" s="4">
        <v>22</v>
      </c>
      <c r="G456" s="4">
        <v>0</v>
      </c>
      <c r="H456" s="4">
        <v>0</v>
      </c>
      <c r="K456" s="4">
        <v>0</v>
      </c>
      <c r="N456" s="4">
        <v>0</v>
      </c>
      <c r="O456" s="4">
        <v>0</v>
      </c>
      <c r="P456" s="4" t="str">
        <f t="shared" si="7"/>
        <v>COB_NTX.DIR_ID</v>
      </c>
      <c r="Q456" s="4" t="e">
        <f>VLOOKUP(Cobra8.6[[#This Row],[Table.Column]],ColumnMapping[Old Table.Column],1,)</f>
        <v>#N/A</v>
      </c>
    </row>
    <row r="457" spans="1:17" hidden="1" x14ac:dyDescent="0.2">
      <c r="A457" s="4" t="s">
        <v>2202</v>
      </c>
      <c r="B457" s="4">
        <v>0</v>
      </c>
      <c r="C457" s="4" t="s">
        <v>2202</v>
      </c>
      <c r="D457" s="4" t="s">
        <v>2204</v>
      </c>
      <c r="E457" s="4" t="s">
        <v>2108</v>
      </c>
      <c r="F457" s="4">
        <v>-1</v>
      </c>
      <c r="G457" s="4">
        <v>0</v>
      </c>
      <c r="H457" s="4">
        <v>0</v>
      </c>
      <c r="K457" s="4">
        <v>0</v>
      </c>
      <c r="N457" s="4">
        <v>0</v>
      </c>
      <c r="O457" s="4">
        <v>0</v>
      </c>
      <c r="P457" s="4" t="str">
        <f t="shared" si="7"/>
        <v>COB_NTX.FK_ID</v>
      </c>
      <c r="Q457" s="4" t="e">
        <f>VLOOKUP(Cobra8.6[[#This Row],[Table.Column]],ColumnMapping[Old Table.Column],1,)</f>
        <v>#N/A</v>
      </c>
    </row>
    <row r="458" spans="1:17" hidden="1" x14ac:dyDescent="0.2">
      <c r="A458" s="4" t="s">
        <v>2202</v>
      </c>
      <c r="B458" s="4">
        <v>0</v>
      </c>
      <c r="C458" s="4" t="s">
        <v>2202</v>
      </c>
      <c r="D458" s="4" t="s">
        <v>2205</v>
      </c>
      <c r="E458" s="4" t="s">
        <v>86</v>
      </c>
      <c r="F458" s="4">
        <v>59</v>
      </c>
      <c r="G458" s="4">
        <v>0</v>
      </c>
      <c r="H458" s="4">
        <v>0</v>
      </c>
      <c r="K458" s="4">
        <v>0</v>
      </c>
      <c r="N458" s="4">
        <v>0</v>
      </c>
      <c r="O458" s="4">
        <v>0</v>
      </c>
      <c r="P458" s="4" t="str">
        <f t="shared" si="7"/>
        <v>COB_NTX.FK_ID_CHAR</v>
      </c>
      <c r="Q458" s="4" t="e">
        <f>VLOOKUP(Cobra8.6[[#This Row],[Table.Column]],ColumnMapping[Old Table.Column],1,)</f>
        <v>#N/A</v>
      </c>
    </row>
    <row r="459" spans="1:17" hidden="1" x14ac:dyDescent="0.2">
      <c r="A459" s="4" t="s">
        <v>2202</v>
      </c>
      <c r="B459" s="4">
        <v>0</v>
      </c>
      <c r="C459" s="4" t="s">
        <v>2202</v>
      </c>
      <c r="D459" s="4" t="s">
        <v>2111</v>
      </c>
      <c r="E459" s="4" t="s">
        <v>356</v>
      </c>
      <c r="F459" s="4">
        <v>-1</v>
      </c>
      <c r="G459" s="4">
        <v>0</v>
      </c>
      <c r="H459" s="4">
        <v>0</v>
      </c>
      <c r="K459" s="4">
        <v>0</v>
      </c>
      <c r="N459" s="4">
        <v>0</v>
      </c>
      <c r="O459" s="4">
        <v>0</v>
      </c>
      <c r="P459" s="4" t="str">
        <f t="shared" si="7"/>
        <v>COB_NTX.LASTUPDATE</v>
      </c>
      <c r="Q459" s="4" t="e">
        <f>VLOOKUP(Cobra8.6[[#This Row],[Table.Column]],ColumnMapping[Old Table.Column],1,)</f>
        <v>#N/A</v>
      </c>
    </row>
    <row r="460" spans="1:17" hidden="1" x14ac:dyDescent="0.2">
      <c r="A460" s="4" t="s">
        <v>2202</v>
      </c>
      <c r="B460" s="4">
        <v>0</v>
      </c>
      <c r="C460" s="4" t="s">
        <v>2202</v>
      </c>
      <c r="D460" s="4" t="s">
        <v>2206</v>
      </c>
      <c r="E460" s="4" t="s">
        <v>271</v>
      </c>
      <c r="F460" s="4">
        <v>-1</v>
      </c>
      <c r="G460" s="4">
        <v>0</v>
      </c>
      <c r="H460" s="4">
        <v>0</v>
      </c>
      <c r="K460" s="4">
        <v>0</v>
      </c>
      <c r="N460" s="4">
        <v>0</v>
      </c>
      <c r="O460" s="4">
        <v>0</v>
      </c>
      <c r="P460" s="4" t="str">
        <f t="shared" si="7"/>
        <v>COB_NTX.NOTE_TEXT</v>
      </c>
      <c r="Q460" s="4" t="e">
        <f>VLOOKUP(Cobra8.6[[#This Row],[Table.Column]],ColumnMapping[Old Table.Column],1,)</f>
        <v>#N/A</v>
      </c>
    </row>
    <row r="461" spans="1:17" hidden="1" x14ac:dyDescent="0.2">
      <c r="A461" s="4" t="s">
        <v>2202</v>
      </c>
      <c r="B461" s="4">
        <v>0</v>
      </c>
      <c r="C461" s="4" t="s">
        <v>2202</v>
      </c>
      <c r="D461" s="4" t="s">
        <v>35</v>
      </c>
      <c r="E461" s="4" t="s">
        <v>2108</v>
      </c>
      <c r="F461" s="4">
        <v>-1</v>
      </c>
      <c r="G461" s="4">
        <v>0</v>
      </c>
      <c r="H461" s="4">
        <v>0</v>
      </c>
      <c r="K461" s="4">
        <v>0</v>
      </c>
      <c r="N461" s="4">
        <v>0</v>
      </c>
      <c r="O461" s="4">
        <v>0</v>
      </c>
      <c r="P461" s="4" t="str">
        <f t="shared" si="7"/>
        <v>COB_NTX.SEQUENCE</v>
      </c>
      <c r="Q461" s="4" t="e">
        <f>VLOOKUP(Cobra8.6[[#This Row],[Table.Column]],ColumnMapping[Old Table.Column],1,)</f>
        <v>#N/A</v>
      </c>
    </row>
    <row r="462" spans="1:17" hidden="1" x14ac:dyDescent="0.2">
      <c r="A462" s="4" t="s">
        <v>2202</v>
      </c>
      <c r="B462" s="4">
        <v>0</v>
      </c>
      <c r="C462" s="4" t="s">
        <v>2202</v>
      </c>
      <c r="D462" s="4" t="s">
        <v>2005</v>
      </c>
      <c r="E462" s="4" t="s">
        <v>86</v>
      </c>
      <c r="F462" s="4">
        <v>30</v>
      </c>
      <c r="G462" s="4">
        <v>0</v>
      </c>
      <c r="H462" s="4">
        <v>0</v>
      </c>
      <c r="K462" s="4">
        <v>0</v>
      </c>
      <c r="N462" s="4">
        <v>0</v>
      </c>
      <c r="O462" s="4">
        <v>0</v>
      </c>
      <c r="P462" s="4" t="str">
        <f t="shared" si="7"/>
        <v>COB_NTX.TABLE_TYPE</v>
      </c>
      <c r="Q462" s="4" t="e">
        <f>VLOOKUP(Cobra8.6[[#This Row],[Table.Column]],ColumnMapping[Old Table.Column],1,)</f>
        <v>#N/A</v>
      </c>
    </row>
    <row r="463" spans="1:17" hidden="1" x14ac:dyDescent="0.2">
      <c r="A463" s="4" t="s">
        <v>2202</v>
      </c>
      <c r="B463" s="4">
        <v>0</v>
      </c>
      <c r="C463" s="4" t="s">
        <v>2202</v>
      </c>
      <c r="D463" s="4" t="s">
        <v>2112</v>
      </c>
      <c r="E463" s="4" t="s">
        <v>86</v>
      </c>
      <c r="F463" s="4">
        <v>20</v>
      </c>
      <c r="G463" s="4">
        <v>0</v>
      </c>
      <c r="H463" s="4">
        <v>0</v>
      </c>
      <c r="K463" s="4">
        <v>0</v>
      </c>
      <c r="N463" s="4">
        <v>0</v>
      </c>
      <c r="O463" s="4">
        <v>0</v>
      </c>
      <c r="P463" s="4" t="str">
        <f t="shared" si="7"/>
        <v>COB_NTX.USR_ID</v>
      </c>
      <c r="Q463" s="4" t="e">
        <f>VLOOKUP(Cobra8.6[[#This Row],[Table.Column]],ColumnMapping[Old Table.Column],1,)</f>
        <v>#N/A</v>
      </c>
    </row>
    <row r="464" spans="1:17" hidden="1" x14ac:dyDescent="0.2">
      <c r="A464" s="4" t="s">
        <v>2207</v>
      </c>
      <c r="B464" s="4">
        <v>0</v>
      </c>
      <c r="C464" s="4" t="s">
        <v>2207</v>
      </c>
      <c r="D464" s="4" t="s">
        <v>2208</v>
      </c>
      <c r="E464" s="4" t="s">
        <v>86</v>
      </c>
      <c r="F464" s="4">
        <v>22</v>
      </c>
      <c r="G464" s="4">
        <v>0</v>
      </c>
      <c r="H464" s="4">
        <v>0</v>
      </c>
      <c r="K464" s="4">
        <v>0</v>
      </c>
      <c r="N464" s="4">
        <v>0</v>
      </c>
      <c r="O464" s="4">
        <v>0</v>
      </c>
      <c r="P464" s="4" t="str">
        <f t="shared" si="7"/>
        <v>CODEFIELD.CODEFILE</v>
      </c>
      <c r="Q464" s="4" t="str">
        <f>VLOOKUP(Cobra8.6[[#This Row],[Table.Column]],ColumnMapping[Old Table.Column],1,)</f>
        <v>CODEFIELD.CODEFILE</v>
      </c>
    </row>
    <row r="465" spans="1:17" hidden="1" x14ac:dyDescent="0.2">
      <c r="A465" s="4" t="s">
        <v>2207</v>
      </c>
      <c r="B465" s="4">
        <v>0</v>
      </c>
      <c r="C465" s="4" t="s">
        <v>2207</v>
      </c>
      <c r="D465" s="4" t="s">
        <v>2209</v>
      </c>
      <c r="E465" s="4" t="s">
        <v>86</v>
      </c>
      <c r="F465" s="4">
        <v>1</v>
      </c>
      <c r="G465" s="4">
        <v>0</v>
      </c>
      <c r="H465" s="4">
        <v>0</v>
      </c>
      <c r="K465" s="4">
        <v>0</v>
      </c>
      <c r="N465" s="4">
        <v>0</v>
      </c>
      <c r="O465" s="4">
        <v>0</v>
      </c>
      <c r="P465" s="4" t="str">
        <f t="shared" si="7"/>
        <v>CODEFIELD.CODELEVEL</v>
      </c>
      <c r="Q465" s="4" t="str">
        <f>VLOOKUP(Cobra8.6[[#This Row],[Table.Column]],ColumnMapping[Old Table.Column],1,)</f>
        <v>CODEFIELD.CODELEVEL</v>
      </c>
    </row>
    <row r="466" spans="1:17" hidden="1" x14ac:dyDescent="0.2">
      <c r="A466" s="4" t="s">
        <v>2207</v>
      </c>
      <c r="B466" s="4">
        <v>0</v>
      </c>
      <c r="C466" s="4" t="s">
        <v>2207</v>
      </c>
      <c r="D466" s="4" t="s">
        <v>2210</v>
      </c>
      <c r="E466" s="4" t="s">
        <v>86</v>
      </c>
      <c r="F466" s="4">
        <v>15</v>
      </c>
      <c r="G466" s="4">
        <v>0</v>
      </c>
      <c r="H466" s="4">
        <v>0</v>
      </c>
      <c r="K466" s="4">
        <v>0</v>
      </c>
      <c r="N466" s="4">
        <v>0</v>
      </c>
      <c r="O466" s="4">
        <v>0</v>
      </c>
      <c r="P466" s="4" t="str">
        <f t="shared" si="7"/>
        <v>CODEFIELD.CODEPROMPT</v>
      </c>
      <c r="Q466" s="4" t="e">
        <f>VLOOKUP(Cobra8.6[[#This Row],[Table.Column]],ColumnMapping[Old Table.Column],1,)</f>
        <v>#N/A</v>
      </c>
    </row>
    <row r="467" spans="1:17" hidden="1" x14ac:dyDescent="0.2">
      <c r="A467" s="4" t="s">
        <v>2207</v>
      </c>
      <c r="B467" s="4">
        <v>0</v>
      </c>
      <c r="C467" s="4" t="s">
        <v>2207</v>
      </c>
      <c r="D467" s="4" t="s">
        <v>2211</v>
      </c>
      <c r="E467" s="4" t="s">
        <v>86</v>
      </c>
      <c r="F467" s="4">
        <v>1</v>
      </c>
      <c r="G467" s="4">
        <v>0</v>
      </c>
      <c r="H467" s="4">
        <v>0</v>
      </c>
      <c r="K467" s="4">
        <v>0</v>
      </c>
      <c r="N467" s="4">
        <v>0</v>
      </c>
      <c r="O467" s="4">
        <v>0</v>
      </c>
      <c r="P467" s="4" t="str">
        <f t="shared" si="7"/>
        <v>CODEFIELD.CODEVALID</v>
      </c>
      <c r="Q467" s="4" t="e">
        <f>VLOOKUP(Cobra8.6[[#This Row],[Table.Column]],ColumnMapping[Old Table.Column],1,)</f>
        <v>#N/A</v>
      </c>
    </row>
    <row r="468" spans="1:17" hidden="1" x14ac:dyDescent="0.2">
      <c r="A468" s="4" t="s">
        <v>2207</v>
      </c>
      <c r="B468" s="4">
        <v>0</v>
      </c>
      <c r="C468" s="4" t="s">
        <v>2207</v>
      </c>
      <c r="D468" s="4" t="s">
        <v>1962</v>
      </c>
      <c r="E468" s="4" t="s">
        <v>86</v>
      </c>
      <c r="F468" s="4">
        <v>22</v>
      </c>
      <c r="G468" s="4">
        <v>0</v>
      </c>
      <c r="H468" s="4">
        <v>0</v>
      </c>
      <c r="K468" s="4">
        <v>0</v>
      </c>
      <c r="N468" s="4">
        <v>0</v>
      </c>
      <c r="O468" s="4">
        <v>0</v>
      </c>
      <c r="P468" s="4" t="str">
        <f t="shared" si="7"/>
        <v>CODEFIELD.DIR_ID</v>
      </c>
      <c r="Q468" s="4" t="e">
        <f>VLOOKUP(Cobra8.6[[#This Row],[Table.Column]],ColumnMapping[Old Table.Column],1,)</f>
        <v>#N/A</v>
      </c>
    </row>
    <row r="469" spans="1:17" hidden="1" x14ac:dyDescent="0.2">
      <c r="A469" s="4" t="s">
        <v>2207</v>
      </c>
      <c r="B469" s="4">
        <v>0</v>
      </c>
      <c r="C469" s="4" t="s">
        <v>2207</v>
      </c>
      <c r="D469" s="4" t="s">
        <v>2212</v>
      </c>
      <c r="E469" s="4" t="s">
        <v>86</v>
      </c>
      <c r="F469" s="4">
        <v>30</v>
      </c>
      <c r="G469" s="4">
        <v>0</v>
      </c>
      <c r="H469" s="4">
        <v>0</v>
      </c>
      <c r="K469" s="4">
        <v>0</v>
      </c>
      <c r="N469" s="4">
        <v>0</v>
      </c>
      <c r="O469" s="4">
        <v>0</v>
      </c>
      <c r="P469" s="4" t="str">
        <f t="shared" si="7"/>
        <v>CODEFIELD.FIELDID</v>
      </c>
      <c r="Q469" s="4" t="e">
        <f>VLOOKUP(Cobra8.6[[#This Row],[Table.Column]],ColumnMapping[Old Table.Column],1,)</f>
        <v>#N/A</v>
      </c>
    </row>
    <row r="470" spans="1:17" hidden="1" x14ac:dyDescent="0.2">
      <c r="A470" s="4" t="s">
        <v>2207</v>
      </c>
      <c r="B470" s="4">
        <v>0</v>
      </c>
      <c r="C470" s="4" t="s">
        <v>2207</v>
      </c>
      <c r="D470" s="4" t="s">
        <v>2111</v>
      </c>
      <c r="E470" s="4" t="s">
        <v>356</v>
      </c>
      <c r="F470" s="4">
        <v>-1</v>
      </c>
      <c r="G470" s="4">
        <v>0</v>
      </c>
      <c r="H470" s="4">
        <v>0</v>
      </c>
      <c r="K470" s="4">
        <v>0</v>
      </c>
      <c r="N470" s="4">
        <v>0</v>
      </c>
      <c r="O470" s="4">
        <v>0</v>
      </c>
      <c r="P470" s="4" t="str">
        <f t="shared" si="7"/>
        <v>CODEFIELD.LASTUPDATE</v>
      </c>
      <c r="Q470" s="4" t="e">
        <f>VLOOKUP(Cobra8.6[[#This Row],[Table.Column]],ColumnMapping[Old Table.Column],1,)</f>
        <v>#N/A</v>
      </c>
    </row>
    <row r="471" spans="1:17" hidden="1" x14ac:dyDescent="0.2">
      <c r="A471" s="4" t="s">
        <v>2207</v>
      </c>
      <c r="B471" s="4">
        <v>0</v>
      </c>
      <c r="C471" s="4" t="s">
        <v>2207</v>
      </c>
      <c r="D471" s="4" t="s">
        <v>35</v>
      </c>
      <c r="E471" s="4" t="s">
        <v>2108</v>
      </c>
      <c r="F471" s="4">
        <v>-1</v>
      </c>
      <c r="G471" s="4">
        <v>0</v>
      </c>
      <c r="H471" s="4">
        <v>0</v>
      </c>
      <c r="K471" s="4">
        <v>0</v>
      </c>
      <c r="N471" s="4">
        <v>0</v>
      </c>
      <c r="O471" s="4">
        <v>0</v>
      </c>
      <c r="P471" s="4" t="str">
        <f t="shared" si="7"/>
        <v>CODEFIELD.SEQUENCE</v>
      </c>
      <c r="Q471" s="4" t="e">
        <f>VLOOKUP(Cobra8.6[[#This Row],[Table.Column]],ColumnMapping[Old Table.Column],1,)</f>
        <v>#N/A</v>
      </c>
    </row>
    <row r="472" spans="1:17" hidden="1" x14ac:dyDescent="0.2">
      <c r="A472" s="4" t="s">
        <v>2207</v>
      </c>
      <c r="B472" s="4">
        <v>0</v>
      </c>
      <c r="C472" s="4" t="s">
        <v>2207</v>
      </c>
      <c r="D472" s="4" t="s">
        <v>2005</v>
      </c>
      <c r="E472" s="4" t="s">
        <v>86</v>
      </c>
      <c r="F472" s="4">
        <v>30</v>
      </c>
      <c r="G472" s="4">
        <v>0</v>
      </c>
      <c r="H472" s="4">
        <v>0</v>
      </c>
      <c r="K472" s="4">
        <v>0</v>
      </c>
      <c r="N472" s="4">
        <v>0</v>
      </c>
      <c r="O472" s="4">
        <v>0</v>
      </c>
      <c r="P472" s="4" t="str">
        <f t="shared" si="7"/>
        <v>CODEFIELD.TABLE_TYPE</v>
      </c>
      <c r="Q472" s="4" t="e">
        <f>VLOOKUP(Cobra8.6[[#This Row],[Table.Column]],ColumnMapping[Old Table.Column],1,)</f>
        <v>#N/A</v>
      </c>
    </row>
    <row r="473" spans="1:17" hidden="1" x14ac:dyDescent="0.2">
      <c r="A473" s="4" t="s">
        <v>2207</v>
      </c>
      <c r="B473" s="4">
        <v>0</v>
      </c>
      <c r="C473" s="4" t="s">
        <v>2207</v>
      </c>
      <c r="D473" s="4" t="s">
        <v>2112</v>
      </c>
      <c r="E473" s="4" t="s">
        <v>86</v>
      </c>
      <c r="F473" s="4">
        <v>20</v>
      </c>
      <c r="G473" s="4">
        <v>0</v>
      </c>
      <c r="H473" s="4">
        <v>0</v>
      </c>
      <c r="K473" s="4">
        <v>0</v>
      </c>
      <c r="N473" s="4">
        <v>0</v>
      </c>
      <c r="O473" s="4">
        <v>0</v>
      </c>
      <c r="P473" s="4" t="str">
        <f t="shared" si="7"/>
        <v>CODEFIELD.USR_ID</v>
      </c>
      <c r="Q473" s="4" t="e">
        <f>VLOOKUP(Cobra8.6[[#This Row],[Table.Column]],ColumnMapping[Old Table.Column],1,)</f>
        <v>#N/A</v>
      </c>
    </row>
    <row r="474" spans="1:17" hidden="1" x14ac:dyDescent="0.2">
      <c r="A474" s="4" t="s">
        <v>2213</v>
      </c>
      <c r="B474" s="4">
        <v>0</v>
      </c>
      <c r="C474" s="4" t="s">
        <v>2213</v>
      </c>
      <c r="D474" s="4" t="s">
        <v>2214</v>
      </c>
      <c r="E474" s="4" t="s">
        <v>86</v>
      </c>
      <c r="F474" s="4">
        <v>59</v>
      </c>
      <c r="G474" s="4">
        <v>0</v>
      </c>
      <c r="H474" s="4">
        <v>0</v>
      </c>
      <c r="K474" s="4">
        <v>0</v>
      </c>
      <c r="N474" s="4">
        <v>0</v>
      </c>
      <c r="O474" s="4">
        <v>0</v>
      </c>
      <c r="P474" s="4" t="str">
        <f t="shared" si="7"/>
        <v>CONFIG.CONFIG_ID</v>
      </c>
      <c r="Q474" s="4" t="str">
        <f>VLOOKUP(Cobra8.6[[#This Row],[Table.Column]],ColumnMapping[Old Table.Column],1,)</f>
        <v>CONFIG.CONFIG_ID</v>
      </c>
    </row>
    <row r="475" spans="1:17" hidden="1" x14ac:dyDescent="0.2">
      <c r="A475" s="4" t="s">
        <v>2213</v>
      </c>
      <c r="B475" s="4">
        <v>0</v>
      </c>
      <c r="C475" s="4" t="s">
        <v>2213</v>
      </c>
      <c r="D475" s="4" t="s">
        <v>2215</v>
      </c>
      <c r="E475" s="4" t="s">
        <v>86</v>
      </c>
      <c r="F475" s="4">
        <v>10</v>
      </c>
      <c r="G475" s="4">
        <v>0</v>
      </c>
      <c r="H475" s="4">
        <v>0</v>
      </c>
      <c r="K475" s="4">
        <v>0</v>
      </c>
      <c r="N475" s="4">
        <v>0</v>
      </c>
      <c r="O475" s="4">
        <v>0</v>
      </c>
      <c r="P475" s="4" t="str">
        <f t="shared" si="7"/>
        <v>CONFIG.CONFIG_TYPE</v>
      </c>
      <c r="Q475" s="4" t="str">
        <f>VLOOKUP(Cobra8.6[[#This Row],[Table.Column]],ColumnMapping[Old Table.Column],1,)</f>
        <v>CONFIG.CONFIG_TYPE</v>
      </c>
    </row>
    <row r="476" spans="1:17" hidden="1" x14ac:dyDescent="0.2">
      <c r="A476" s="4" t="s">
        <v>2213</v>
      </c>
      <c r="B476" s="4">
        <v>0</v>
      </c>
      <c r="C476" s="4" t="s">
        <v>2213</v>
      </c>
      <c r="D476" s="4" t="s">
        <v>2216</v>
      </c>
      <c r="E476" s="4" t="s">
        <v>31</v>
      </c>
      <c r="F476" s="4">
        <v>22</v>
      </c>
      <c r="G476" s="4">
        <v>0</v>
      </c>
      <c r="H476" s="4">
        <v>0</v>
      </c>
      <c r="K476" s="4">
        <v>0</v>
      </c>
      <c r="N476" s="4">
        <v>0</v>
      </c>
      <c r="O476" s="4">
        <v>0</v>
      </c>
      <c r="P476" s="4" t="str">
        <f t="shared" si="7"/>
        <v>CONFIG.CONFIG_UID</v>
      </c>
      <c r="Q476" s="4" t="str">
        <f>VLOOKUP(Cobra8.6[[#This Row],[Table.Column]],ColumnMapping[Old Table.Column],1,)</f>
        <v>CONFIG.CONFIG_UID</v>
      </c>
    </row>
    <row r="477" spans="1:17" hidden="1" x14ac:dyDescent="0.2">
      <c r="A477" s="4" t="s">
        <v>2213</v>
      </c>
      <c r="B477" s="4">
        <v>0</v>
      </c>
      <c r="C477" s="4" t="s">
        <v>2213</v>
      </c>
      <c r="D477" s="4" t="s">
        <v>270</v>
      </c>
      <c r="E477" s="4" t="s">
        <v>86</v>
      </c>
      <c r="F477" s="4">
        <v>-1</v>
      </c>
      <c r="G477" s="4">
        <v>0</v>
      </c>
      <c r="H477" s="4">
        <v>0</v>
      </c>
      <c r="K477" s="4">
        <v>0</v>
      </c>
      <c r="N477" s="4">
        <v>0</v>
      </c>
      <c r="O477" s="4">
        <v>0</v>
      </c>
      <c r="P477" s="4" t="str">
        <f t="shared" si="7"/>
        <v>CONFIG.DATA</v>
      </c>
      <c r="Q477" s="4" t="str">
        <f>VLOOKUP(Cobra8.6[[#This Row],[Table.Column]],ColumnMapping[Old Table.Column],1,)</f>
        <v>CONFIG.DATA</v>
      </c>
    </row>
    <row r="478" spans="1:17" hidden="1" x14ac:dyDescent="0.2">
      <c r="A478" s="4" t="s">
        <v>2213</v>
      </c>
      <c r="B478" s="4">
        <v>0</v>
      </c>
      <c r="C478" s="4" t="s">
        <v>2213</v>
      </c>
      <c r="D478" s="4" t="s">
        <v>2141</v>
      </c>
      <c r="E478" s="4" t="s">
        <v>86</v>
      </c>
      <c r="F478" s="4">
        <v>254</v>
      </c>
      <c r="G478" s="4">
        <v>0</v>
      </c>
      <c r="H478" s="4">
        <v>0</v>
      </c>
      <c r="K478" s="4">
        <v>0</v>
      </c>
      <c r="N478" s="4">
        <v>0</v>
      </c>
      <c r="O478" s="4">
        <v>0</v>
      </c>
      <c r="P478" s="4" t="str">
        <f t="shared" si="7"/>
        <v>CONFIG.DESCRIP</v>
      </c>
      <c r="Q478" s="4" t="str">
        <f>VLOOKUP(Cobra8.6[[#This Row],[Table.Column]],ColumnMapping[Old Table.Column],1,)</f>
        <v>CONFIG.DESCRIP</v>
      </c>
    </row>
    <row r="479" spans="1:17" hidden="1" x14ac:dyDescent="0.2">
      <c r="A479" s="4" t="s">
        <v>2213</v>
      </c>
      <c r="B479" s="4">
        <v>0</v>
      </c>
      <c r="C479" s="4" t="s">
        <v>2213</v>
      </c>
      <c r="D479" s="4" t="s">
        <v>2111</v>
      </c>
      <c r="E479" s="4" t="s">
        <v>356</v>
      </c>
      <c r="F479" s="4">
        <v>-1</v>
      </c>
      <c r="G479" s="4">
        <v>0</v>
      </c>
      <c r="H479" s="4">
        <v>0</v>
      </c>
      <c r="K479" s="4">
        <v>0</v>
      </c>
      <c r="N479" s="4">
        <v>0</v>
      </c>
      <c r="O479" s="4">
        <v>0</v>
      </c>
      <c r="P479" s="4" t="str">
        <f t="shared" si="7"/>
        <v>CONFIG.LASTUPDATE</v>
      </c>
      <c r="Q479" s="4" t="str">
        <f>VLOOKUP(Cobra8.6[[#This Row],[Table.Column]],ColumnMapping[Old Table.Column],1,)</f>
        <v>CONFIG.LASTUPDATE</v>
      </c>
    </row>
    <row r="480" spans="1:17" hidden="1" x14ac:dyDescent="0.2">
      <c r="A480" s="4" t="s">
        <v>2213</v>
      </c>
      <c r="B480" s="4">
        <v>0</v>
      </c>
      <c r="C480" s="4" t="s">
        <v>2213</v>
      </c>
      <c r="D480" s="4" t="s">
        <v>1936</v>
      </c>
      <c r="E480" s="4" t="s">
        <v>86</v>
      </c>
      <c r="F480" s="4">
        <v>20</v>
      </c>
      <c r="G480" s="4">
        <v>0</v>
      </c>
      <c r="H480" s="4">
        <v>0</v>
      </c>
      <c r="K480" s="4">
        <v>0</v>
      </c>
      <c r="N480" s="4">
        <v>0</v>
      </c>
      <c r="O480" s="4">
        <v>0</v>
      </c>
      <c r="P480" s="4" t="str">
        <f t="shared" si="7"/>
        <v>CONFIG.OWNER_ID</v>
      </c>
      <c r="Q480" s="4" t="str">
        <f>VLOOKUP(Cobra8.6[[#This Row],[Table.Column]],ColumnMapping[Old Table.Column],1,)</f>
        <v>CONFIG.OWNER_ID</v>
      </c>
    </row>
    <row r="481" spans="1:17" hidden="1" x14ac:dyDescent="0.2">
      <c r="A481" s="4" t="s">
        <v>2213</v>
      </c>
      <c r="B481" s="4">
        <v>0</v>
      </c>
      <c r="C481" s="4" t="s">
        <v>2213</v>
      </c>
      <c r="D481" s="4" t="s">
        <v>35</v>
      </c>
      <c r="E481" s="4" t="s">
        <v>2108</v>
      </c>
      <c r="F481" s="4">
        <v>-1</v>
      </c>
      <c r="G481" s="4">
        <v>0</v>
      </c>
      <c r="H481" s="4">
        <v>0</v>
      </c>
      <c r="K481" s="4">
        <v>0</v>
      </c>
      <c r="N481" s="4">
        <v>0</v>
      </c>
      <c r="O481" s="4">
        <v>0</v>
      </c>
      <c r="P481" s="4" t="str">
        <f t="shared" si="7"/>
        <v>CONFIG.SEQUENCE</v>
      </c>
      <c r="Q481" s="4" t="str">
        <f>VLOOKUP(Cobra8.6[[#This Row],[Table.Column]],ColumnMapping[Old Table.Column],1,)</f>
        <v>CONFIG.SEQUENCE</v>
      </c>
    </row>
    <row r="482" spans="1:17" hidden="1" x14ac:dyDescent="0.2">
      <c r="A482" s="4" t="s">
        <v>2213</v>
      </c>
      <c r="B482" s="4">
        <v>0</v>
      </c>
      <c r="C482" s="4" t="s">
        <v>2213</v>
      </c>
      <c r="D482" s="4" t="s">
        <v>2112</v>
      </c>
      <c r="E482" s="4" t="s">
        <v>86</v>
      </c>
      <c r="F482" s="4">
        <v>20</v>
      </c>
      <c r="G482" s="4">
        <v>0</v>
      </c>
      <c r="H482" s="4">
        <v>0</v>
      </c>
      <c r="K482" s="4">
        <v>0</v>
      </c>
      <c r="N482" s="4">
        <v>0</v>
      </c>
      <c r="O482" s="4">
        <v>0</v>
      </c>
      <c r="P482" s="4" t="str">
        <f t="shared" si="7"/>
        <v>CONFIG.USR_ID</v>
      </c>
      <c r="Q482" s="4" t="str">
        <f>VLOOKUP(Cobra8.6[[#This Row],[Table.Column]],ColumnMapping[Old Table.Column],1,)</f>
        <v>CONFIG.USR_ID</v>
      </c>
    </row>
    <row r="483" spans="1:17" hidden="1" x14ac:dyDescent="0.2">
      <c r="A483" s="4" t="s">
        <v>1931</v>
      </c>
      <c r="B483" s="4">
        <v>0</v>
      </c>
      <c r="C483" s="4" t="s">
        <v>1931</v>
      </c>
      <c r="D483" s="4" t="s">
        <v>1932</v>
      </c>
      <c r="E483" s="4" t="s">
        <v>86</v>
      </c>
      <c r="F483" s="4">
        <v>59</v>
      </c>
      <c r="G483" s="4">
        <v>0</v>
      </c>
      <c r="H483" s="4">
        <v>0</v>
      </c>
      <c r="K483" s="4">
        <v>0</v>
      </c>
      <c r="N483" s="4">
        <v>0</v>
      </c>
      <c r="O483" s="4">
        <v>0</v>
      </c>
      <c r="P483" s="4" t="str">
        <f t="shared" si="7"/>
        <v>CONNECTION.CONN_ID</v>
      </c>
      <c r="Q483" s="4" t="str">
        <f>VLOOKUP(Cobra8.6[[#This Row],[Table.Column]],ColumnMapping[Old Table.Column],1,)</f>
        <v>CONNECTION.CONN_ID</v>
      </c>
    </row>
    <row r="484" spans="1:17" hidden="1" x14ac:dyDescent="0.2">
      <c r="A484" s="4" t="s">
        <v>1931</v>
      </c>
      <c r="B484" s="4">
        <v>0</v>
      </c>
      <c r="C484" s="4" t="s">
        <v>1931</v>
      </c>
      <c r="D484" s="4" t="s">
        <v>1933</v>
      </c>
      <c r="E484" s="4" t="s">
        <v>86</v>
      </c>
      <c r="F484" s="4">
        <v>10</v>
      </c>
      <c r="G484" s="4">
        <v>0</v>
      </c>
      <c r="H484" s="4">
        <v>0</v>
      </c>
      <c r="K484" s="4">
        <v>0</v>
      </c>
      <c r="N484" s="4">
        <v>0</v>
      </c>
      <c r="O484" s="4">
        <v>0</v>
      </c>
      <c r="P484" s="4" t="str">
        <f t="shared" si="7"/>
        <v>CONNECTION.CONN_TYPE</v>
      </c>
      <c r="Q484" s="4" t="str">
        <f>VLOOKUP(Cobra8.6[[#This Row],[Table.Column]],ColumnMapping[Old Table.Column],1,)</f>
        <v>CONNECTION.CONN_TYPE</v>
      </c>
    </row>
    <row r="485" spans="1:17" hidden="1" x14ac:dyDescent="0.2">
      <c r="A485" s="4" t="s">
        <v>1931</v>
      </c>
      <c r="B485" s="4">
        <v>0</v>
      </c>
      <c r="C485" s="4" t="s">
        <v>1931</v>
      </c>
      <c r="D485" s="4" t="s">
        <v>270</v>
      </c>
      <c r="E485" s="4" t="s">
        <v>86</v>
      </c>
      <c r="F485" s="4">
        <v>-1</v>
      </c>
      <c r="G485" s="4">
        <v>0</v>
      </c>
      <c r="H485" s="4">
        <v>0</v>
      </c>
      <c r="K485" s="4">
        <v>0</v>
      </c>
      <c r="N485" s="4">
        <v>0</v>
      </c>
      <c r="O485" s="4">
        <v>0</v>
      </c>
      <c r="P485" s="4" t="str">
        <f t="shared" si="7"/>
        <v>CONNECTION.DATA</v>
      </c>
      <c r="Q485" s="4" t="str">
        <f>VLOOKUP(Cobra8.6[[#This Row],[Table.Column]],ColumnMapping[Old Table.Column],1,)</f>
        <v>CONNECTION.DATA</v>
      </c>
    </row>
    <row r="486" spans="1:17" hidden="1" x14ac:dyDescent="0.2">
      <c r="A486" s="4" t="s">
        <v>1931</v>
      </c>
      <c r="B486" s="4">
        <v>0</v>
      </c>
      <c r="C486" s="4" t="s">
        <v>1931</v>
      </c>
      <c r="D486" s="4" t="s">
        <v>2141</v>
      </c>
      <c r="E486" s="4" t="s">
        <v>86</v>
      </c>
      <c r="F486" s="4">
        <v>254</v>
      </c>
      <c r="G486" s="4">
        <v>0</v>
      </c>
      <c r="H486" s="4">
        <v>0</v>
      </c>
      <c r="K486" s="4">
        <v>0</v>
      </c>
      <c r="N486" s="4">
        <v>0</v>
      </c>
      <c r="O486" s="4">
        <v>0</v>
      </c>
      <c r="P486" s="4" t="str">
        <f t="shared" si="7"/>
        <v>CONNECTION.DESCRIP</v>
      </c>
      <c r="Q486" s="4" t="str">
        <f>VLOOKUP(Cobra8.6[[#This Row],[Table.Column]],ColumnMapping[Old Table.Column],1,)</f>
        <v>CONNECTION.DESCRIP</v>
      </c>
    </row>
    <row r="487" spans="1:17" hidden="1" x14ac:dyDescent="0.2">
      <c r="A487" s="4" t="s">
        <v>1931</v>
      </c>
      <c r="B487" s="4">
        <v>0</v>
      </c>
      <c r="C487" s="4" t="s">
        <v>1931</v>
      </c>
      <c r="D487" s="4" t="s">
        <v>1935</v>
      </c>
      <c r="E487" s="4" t="s">
        <v>86</v>
      </c>
      <c r="F487" s="4">
        <v>20</v>
      </c>
      <c r="G487" s="4">
        <v>0</v>
      </c>
      <c r="H487" s="4">
        <v>0</v>
      </c>
      <c r="K487" s="4">
        <v>0</v>
      </c>
      <c r="N487" s="4">
        <v>0</v>
      </c>
      <c r="O487" s="4">
        <v>0</v>
      </c>
      <c r="P487" s="4" t="str">
        <f t="shared" si="7"/>
        <v>CONNECTION.GRP_ID</v>
      </c>
      <c r="Q487" s="4" t="str">
        <f>VLOOKUP(Cobra8.6[[#This Row],[Table.Column]],ColumnMapping[Old Table.Column],1,)</f>
        <v>CONNECTION.GRP_ID</v>
      </c>
    </row>
    <row r="488" spans="1:17" hidden="1" x14ac:dyDescent="0.2">
      <c r="A488" s="4" t="s">
        <v>1931</v>
      </c>
      <c r="B488" s="4">
        <v>0</v>
      </c>
      <c r="C488" s="4" t="s">
        <v>1931</v>
      </c>
      <c r="D488" s="4" t="s">
        <v>2111</v>
      </c>
      <c r="E488" s="4" t="s">
        <v>356</v>
      </c>
      <c r="F488" s="4">
        <v>-1</v>
      </c>
      <c r="G488" s="4">
        <v>0</v>
      </c>
      <c r="H488" s="4">
        <v>0</v>
      </c>
      <c r="K488" s="4">
        <v>0</v>
      </c>
      <c r="N488" s="4">
        <v>0</v>
      </c>
      <c r="O488" s="4">
        <v>0</v>
      </c>
      <c r="P488" s="4" t="str">
        <f t="shared" si="7"/>
        <v>CONNECTION.LASTUPDATE</v>
      </c>
      <c r="Q488" s="4" t="str">
        <f>VLOOKUP(Cobra8.6[[#This Row],[Table.Column]],ColumnMapping[Old Table.Column],1,)</f>
        <v>CONNECTION.LASTUPDATE</v>
      </c>
    </row>
    <row r="489" spans="1:17" hidden="1" x14ac:dyDescent="0.2">
      <c r="A489" s="4" t="s">
        <v>1931</v>
      </c>
      <c r="B489" s="4">
        <v>0</v>
      </c>
      <c r="C489" s="4" t="s">
        <v>1931</v>
      </c>
      <c r="D489" s="4" t="s">
        <v>1936</v>
      </c>
      <c r="E489" s="4" t="s">
        <v>86</v>
      </c>
      <c r="F489" s="4">
        <v>20</v>
      </c>
      <c r="G489" s="4">
        <v>0</v>
      </c>
      <c r="H489" s="4">
        <v>0</v>
      </c>
      <c r="K489" s="4">
        <v>0</v>
      </c>
      <c r="N489" s="4">
        <v>0</v>
      </c>
      <c r="O489" s="4">
        <v>0</v>
      </c>
      <c r="P489" s="4" t="str">
        <f t="shared" si="7"/>
        <v>CONNECTION.OWNER_ID</v>
      </c>
      <c r="Q489" s="4" t="str">
        <f>VLOOKUP(Cobra8.6[[#This Row],[Table.Column]],ColumnMapping[Old Table.Column],1,)</f>
        <v>CONNECTION.OWNER_ID</v>
      </c>
    </row>
    <row r="490" spans="1:17" hidden="1" x14ac:dyDescent="0.2">
      <c r="A490" s="4" t="s">
        <v>1931</v>
      </c>
      <c r="B490" s="4">
        <v>0</v>
      </c>
      <c r="C490" s="4" t="s">
        <v>1931</v>
      </c>
      <c r="D490" s="4" t="s">
        <v>1312</v>
      </c>
      <c r="E490" s="4" t="s">
        <v>2108</v>
      </c>
      <c r="F490" s="4">
        <v>-1</v>
      </c>
      <c r="G490" s="4">
        <v>0</v>
      </c>
      <c r="H490" s="4">
        <v>0</v>
      </c>
      <c r="K490" s="4">
        <v>0</v>
      </c>
      <c r="N490" s="4">
        <v>0</v>
      </c>
      <c r="O490" s="4">
        <v>0</v>
      </c>
      <c r="P490" s="4" t="str">
        <f t="shared" si="7"/>
        <v>CONNECTION.READONLY</v>
      </c>
      <c r="Q490" s="4" t="str">
        <f>VLOOKUP(Cobra8.6[[#This Row],[Table.Column]],ColumnMapping[Old Table.Column],1,)</f>
        <v>CONNECTION.READONLY</v>
      </c>
    </row>
    <row r="491" spans="1:17" hidden="1" x14ac:dyDescent="0.2">
      <c r="A491" s="4" t="s">
        <v>1931</v>
      </c>
      <c r="B491" s="4">
        <v>0</v>
      </c>
      <c r="C491" s="4" t="s">
        <v>1931</v>
      </c>
      <c r="D491" s="4" t="s">
        <v>35</v>
      </c>
      <c r="E491" s="4" t="s">
        <v>2108</v>
      </c>
      <c r="F491" s="4">
        <v>-1</v>
      </c>
      <c r="G491" s="4">
        <v>0</v>
      </c>
      <c r="H491" s="4">
        <v>0</v>
      </c>
      <c r="K491" s="4">
        <v>0</v>
      </c>
      <c r="N491" s="4">
        <v>0</v>
      </c>
      <c r="O491" s="4">
        <v>0</v>
      </c>
      <c r="P491" s="4" t="str">
        <f t="shared" si="7"/>
        <v>CONNECTION.SEQUENCE</v>
      </c>
      <c r="Q491" s="4" t="str">
        <f>VLOOKUP(Cobra8.6[[#This Row],[Table.Column]],ColumnMapping[Old Table.Column],1,)</f>
        <v>CONNECTION.SEQUENCE</v>
      </c>
    </row>
    <row r="492" spans="1:17" hidden="1" x14ac:dyDescent="0.2">
      <c r="A492" s="4" t="s">
        <v>1931</v>
      </c>
      <c r="B492" s="4">
        <v>0</v>
      </c>
      <c r="C492" s="4" t="s">
        <v>1931</v>
      </c>
      <c r="D492" s="4" t="s">
        <v>1939</v>
      </c>
      <c r="E492" s="4" t="s">
        <v>2108</v>
      </c>
      <c r="F492" s="4">
        <v>-1</v>
      </c>
      <c r="G492" s="4">
        <v>0</v>
      </c>
      <c r="H492" s="4">
        <v>0</v>
      </c>
      <c r="K492" s="4">
        <v>0</v>
      </c>
      <c r="N492" s="4">
        <v>0</v>
      </c>
      <c r="O492" s="4">
        <v>0</v>
      </c>
      <c r="P492" s="4" t="str">
        <f t="shared" si="7"/>
        <v>CONNECTION.SHARED</v>
      </c>
      <c r="Q492" s="4" t="str">
        <f>VLOOKUP(Cobra8.6[[#This Row],[Table.Column]],ColumnMapping[Old Table.Column],1,)</f>
        <v>CONNECTION.SHARED</v>
      </c>
    </row>
    <row r="493" spans="1:17" hidden="1" x14ac:dyDescent="0.2">
      <c r="A493" s="4" t="s">
        <v>1931</v>
      </c>
      <c r="B493" s="4">
        <v>0</v>
      </c>
      <c r="C493" s="4" t="s">
        <v>1931</v>
      </c>
      <c r="D493" s="4" t="s">
        <v>2112</v>
      </c>
      <c r="E493" s="4" t="s">
        <v>86</v>
      </c>
      <c r="F493" s="4">
        <v>20</v>
      </c>
      <c r="G493" s="4">
        <v>0</v>
      </c>
      <c r="H493" s="4">
        <v>0</v>
      </c>
      <c r="K493" s="4">
        <v>0</v>
      </c>
      <c r="N493" s="4">
        <v>0</v>
      </c>
      <c r="O493" s="4">
        <v>0</v>
      </c>
      <c r="P493" s="4" t="str">
        <f t="shared" si="7"/>
        <v>CONNECTION.USR_ID</v>
      </c>
      <c r="Q493" s="4" t="str">
        <f>VLOOKUP(Cobra8.6[[#This Row],[Table.Column]],ColumnMapping[Old Table.Column],1,)</f>
        <v>CONNECTION.USR_ID</v>
      </c>
    </row>
    <row r="494" spans="1:17" hidden="1" x14ac:dyDescent="0.2">
      <c r="A494" s="4" t="s">
        <v>1941</v>
      </c>
      <c r="B494" s="4">
        <v>0</v>
      </c>
      <c r="C494" s="4" t="s">
        <v>1941</v>
      </c>
      <c r="D494" s="4" t="s">
        <v>1100</v>
      </c>
      <c r="E494" s="4" t="s">
        <v>86</v>
      </c>
      <c r="F494" s="4">
        <v>20</v>
      </c>
      <c r="G494" s="4">
        <v>0</v>
      </c>
      <c r="H494" s="4">
        <v>0</v>
      </c>
      <c r="K494" s="4">
        <v>0</v>
      </c>
      <c r="N494" s="4">
        <v>0</v>
      </c>
      <c r="O494" s="4">
        <v>0</v>
      </c>
      <c r="P494" s="4" t="str">
        <f t="shared" si="7"/>
        <v>COSTDETL.CLASS</v>
      </c>
      <c r="Q494" s="4" t="str">
        <f>VLOOKUP(Cobra8.6[[#This Row],[Table.Column]],ColumnMapping[Old Table.Column],1,)</f>
        <v>COSTDETL.CLASS</v>
      </c>
    </row>
    <row r="495" spans="1:17" hidden="1" x14ac:dyDescent="0.2">
      <c r="A495" s="4" t="s">
        <v>1941</v>
      </c>
      <c r="B495" s="4">
        <v>0</v>
      </c>
      <c r="C495" s="4" t="s">
        <v>1941</v>
      </c>
      <c r="D495" s="4" t="s">
        <v>1942</v>
      </c>
      <c r="E495" s="4" t="s">
        <v>86</v>
      </c>
      <c r="F495" s="4">
        <v>20</v>
      </c>
      <c r="G495" s="4">
        <v>0</v>
      </c>
      <c r="H495" s="4">
        <v>0</v>
      </c>
      <c r="K495" s="4">
        <v>0</v>
      </c>
      <c r="N495" s="4">
        <v>0</v>
      </c>
      <c r="O495" s="4">
        <v>0</v>
      </c>
      <c r="P495" s="4" t="str">
        <f t="shared" si="7"/>
        <v>COSTDETL.COSTSET</v>
      </c>
      <c r="Q495" s="4" t="str">
        <f>VLOOKUP(Cobra8.6[[#This Row],[Table.Column]],ColumnMapping[Old Table.Column],1,)</f>
        <v>COSTDETL.COSTSET</v>
      </c>
    </row>
    <row r="496" spans="1:17" hidden="1" x14ac:dyDescent="0.2">
      <c r="A496" s="4" t="s">
        <v>1941</v>
      </c>
      <c r="B496" s="4">
        <v>0</v>
      </c>
      <c r="C496" s="4" t="s">
        <v>1941</v>
      </c>
      <c r="D496" s="4" t="s">
        <v>1943</v>
      </c>
      <c r="E496" s="4" t="s">
        <v>86</v>
      </c>
      <c r="F496" s="4">
        <v>22</v>
      </c>
      <c r="G496" s="4">
        <v>0</v>
      </c>
      <c r="H496" s="4">
        <v>0</v>
      </c>
      <c r="K496" s="4">
        <v>0</v>
      </c>
      <c r="N496" s="4">
        <v>0</v>
      </c>
      <c r="O496" s="4">
        <v>0</v>
      </c>
      <c r="P496" s="4" t="str">
        <f t="shared" si="7"/>
        <v>COSTDETL.INSTANCE</v>
      </c>
      <c r="Q496" s="4" t="str">
        <f>VLOOKUP(Cobra8.6[[#This Row],[Table.Column]],ColumnMapping[Old Table.Column],1,)</f>
        <v>COSTDETL.INSTANCE</v>
      </c>
    </row>
    <row r="497" spans="1:17" hidden="1" x14ac:dyDescent="0.2">
      <c r="A497" s="4" t="s">
        <v>1941</v>
      </c>
      <c r="B497" s="4">
        <v>0</v>
      </c>
      <c r="C497" s="4" t="s">
        <v>1941</v>
      </c>
      <c r="D497" s="4" t="s">
        <v>1944</v>
      </c>
      <c r="E497" s="4" t="s">
        <v>2108</v>
      </c>
      <c r="F497" s="4">
        <v>-1</v>
      </c>
      <c r="G497" s="4">
        <v>0</v>
      </c>
      <c r="H497" s="4">
        <v>0</v>
      </c>
      <c r="K497" s="4">
        <v>0</v>
      </c>
      <c r="N497" s="4">
        <v>0</v>
      </c>
      <c r="O497" s="4">
        <v>0</v>
      </c>
      <c r="P497" s="4" t="str">
        <f t="shared" si="7"/>
        <v>COSTDETL.ORD</v>
      </c>
      <c r="Q497" s="4" t="str">
        <f>VLOOKUP(Cobra8.6[[#This Row],[Table.Column]],ColumnMapping[Old Table.Column],1,)</f>
        <v>COSTDETL.ORD</v>
      </c>
    </row>
    <row r="498" spans="1:17" hidden="1" x14ac:dyDescent="0.2">
      <c r="A498" s="4" t="s">
        <v>1941</v>
      </c>
      <c r="B498" s="4">
        <v>0</v>
      </c>
      <c r="C498" s="4" t="s">
        <v>1941</v>
      </c>
      <c r="D498" s="4" t="s">
        <v>65</v>
      </c>
      <c r="E498" s="4" t="s">
        <v>356</v>
      </c>
      <c r="F498" s="4">
        <v>-1</v>
      </c>
      <c r="G498" s="4">
        <v>0</v>
      </c>
      <c r="H498" s="4">
        <v>0</v>
      </c>
      <c r="K498" s="4">
        <v>0</v>
      </c>
      <c r="N498" s="4">
        <v>0</v>
      </c>
      <c r="O498" s="4">
        <v>0</v>
      </c>
      <c r="P498" s="4" t="str">
        <f t="shared" si="7"/>
        <v>COSTDETL.TIMESTAMP</v>
      </c>
      <c r="Q498" s="4" t="str">
        <f>VLOOKUP(Cobra8.6[[#This Row],[Table.Column]],ColumnMapping[Old Table.Column],1,)</f>
        <v>COSTDETL.TIMESTAMP</v>
      </c>
    </row>
    <row r="499" spans="1:17" x14ac:dyDescent="0.2">
      <c r="A499" s="4" t="s">
        <v>2217</v>
      </c>
      <c r="B499" s="4">
        <v>0</v>
      </c>
      <c r="C499" s="4" t="s">
        <v>2217</v>
      </c>
      <c r="D499" s="4" t="s">
        <v>607</v>
      </c>
      <c r="E499" s="4" t="s">
        <v>2124</v>
      </c>
      <c r="F499" s="4">
        <v>21</v>
      </c>
      <c r="G499" s="4">
        <v>6</v>
      </c>
      <c r="H499" s="4">
        <v>0</v>
      </c>
      <c r="K499" s="4">
        <v>0</v>
      </c>
      <c r="N499" s="4">
        <v>0</v>
      </c>
      <c r="O499" s="4">
        <v>0</v>
      </c>
      <c r="P499" s="4" t="str">
        <f t="shared" si="7"/>
        <v>COSTELEM.BAC</v>
      </c>
      <c r="Q499" s="4" t="str">
        <f>VLOOKUP(Cobra8.6[[#This Row],[Table.Column]],ColumnMapping[Old Table.Column],1,)</f>
        <v>COSTELEM.BAC</v>
      </c>
    </row>
    <row r="500" spans="1:17" x14ac:dyDescent="0.2">
      <c r="A500" s="4" t="s">
        <v>2217</v>
      </c>
      <c r="B500" s="4">
        <v>0</v>
      </c>
      <c r="C500" s="4" t="s">
        <v>2217</v>
      </c>
      <c r="D500" s="4" t="s">
        <v>963</v>
      </c>
      <c r="E500" s="4" t="s">
        <v>86</v>
      </c>
      <c r="F500" s="4">
        <v>59</v>
      </c>
      <c r="G500" s="4">
        <v>0</v>
      </c>
      <c r="H500" s="4">
        <v>0</v>
      </c>
      <c r="K500" s="4">
        <v>0</v>
      </c>
      <c r="N500" s="4">
        <v>0</v>
      </c>
      <c r="O500" s="4">
        <v>0</v>
      </c>
      <c r="P500" s="4" t="str">
        <f t="shared" si="7"/>
        <v>COSTELEM.C1</v>
      </c>
      <c r="Q500" s="4" t="str">
        <f>VLOOKUP(Cobra8.6[[#This Row],[Table.Column]],ColumnMapping[Old Table.Column],1,)</f>
        <v>COSTELEM.C1</v>
      </c>
    </row>
    <row r="501" spans="1:17" x14ac:dyDescent="0.2">
      <c r="A501" s="4" t="s">
        <v>2217</v>
      </c>
      <c r="B501" s="4">
        <v>0</v>
      </c>
      <c r="C501" s="4" t="s">
        <v>2217</v>
      </c>
      <c r="D501" s="4" t="s">
        <v>985</v>
      </c>
      <c r="E501" s="4" t="s">
        <v>86</v>
      </c>
      <c r="F501" s="4">
        <v>59</v>
      </c>
      <c r="G501" s="4">
        <v>0</v>
      </c>
      <c r="H501" s="4">
        <v>0</v>
      </c>
      <c r="K501" s="4">
        <v>0</v>
      </c>
      <c r="N501" s="4">
        <v>0</v>
      </c>
      <c r="O501" s="4">
        <v>0</v>
      </c>
      <c r="P501" s="4" t="str">
        <f t="shared" si="7"/>
        <v>COSTELEM.C2</v>
      </c>
      <c r="Q501" s="4" t="str">
        <f>VLOOKUP(Cobra8.6[[#This Row],[Table.Column]],ColumnMapping[Old Table.Column],1,)</f>
        <v>COSTELEM.C2</v>
      </c>
    </row>
    <row r="502" spans="1:17" x14ac:dyDescent="0.2">
      <c r="A502" s="4" t="s">
        <v>2217</v>
      </c>
      <c r="B502" s="4">
        <v>0</v>
      </c>
      <c r="C502" s="4" t="s">
        <v>2217</v>
      </c>
      <c r="D502" s="4" t="s">
        <v>989</v>
      </c>
      <c r="E502" s="4" t="s">
        <v>86</v>
      </c>
      <c r="F502" s="4">
        <v>59</v>
      </c>
      <c r="G502" s="4">
        <v>0</v>
      </c>
      <c r="H502" s="4">
        <v>0</v>
      </c>
      <c r="K502" s="4">
        <v>0</v>
      </c>
      <c r="N502" s="4">
        <v>0</v>
      </c>
      <c r="O502" s="4">
        <v>0</v>
      </c>
      <c r="P502" s="4" t="str">
        <f t="shared" si="7"/>
        <v>COSTELEM.C3</v>
      </c>
      <c r="Q502" s="4" t="str">
        <f>VLOOKUP(Cobra8.6[[#This Row],[Table.Column]],ColumnMapping[Old Table.Column],1,)</f>
        <v>COSTELEM.C3</v>
      </c>
    </row>
    <row r="503" spans="1:17" x14ac:dyDescent="0.2">
      <c r="A503" s="4" t="s">
        <v>2217</v>
      </c>
      <c r="B503" s="4">
        <v>0</v>
      </c>
      <c r="C503" s="4" t="s">
        <v>2217</v>
      </c>
      <c r="D503" s="4" t="s">
        <v>991</v>
      </c>
      <c r="E503" s="4" t="s">
        <v>86</v>
      </c>
      <c r="F503" s="4">
        <v>59</v>
      </c>
      <c r="G503" s="4">
        <v>0</v>
      </c>
      <c r="H503" s="4">
        <v>0</v>
      </c>
      <c r="K503" s="4">
        <v>0</v>
      </c>
      <c r="N503" s="4">
        <v>0</v>
      </c>
      <c r="O503" s="4">
        <v>0</v>
      </c>
      <c r="P503" s="4" t="str">
        <f t="shared" si="7"/>
        <v>COSTELEM.C4</v>
      </c>
      <c r="Q503" s="4" t="str">
        <f>VLOOKUP(Cobra8.6[[#This Row],[Table.Column]],ColumnMapping[Old Table.Column],1,)</f>
        <v>COSTELEM.C4</v>
      </c>
    </row>
    <row r="504" spans="1:17" x14ac:dyDescent="0.2">
      <c r="A504" s="4" t="s">
        <v>2217</v>
      </c>
      <c r="B504" s="4">
        <v>0</v>
      </c>
      <c r="C504" s="4" t="s">
        <v>2217</v>
      </c>
      <c r="D504" s="4" t="s">
        <v>993</v>
      </c>
      <c r="E504" s="4" t="s">
        <v>86</v>
      </c>
      <c r="F504" s="4">
        <v>59</v>
      </c>
      <c r="G504" s="4">
        <v>0</v>
      </c>
      <c r="H504" s="4">
        <v>0</v>
      </c>
      <c r="K504" s="4">
        <v>0</v>
      </c>
      <c r="N504" s="4">
        <v>0</v>
      </c>
      <c r="O504" s="4">
        <v>0</v>
      </c>
      <c r="P504" s="4" t="str">
        <f t="shared" si="7"/>
        <v>COSTELEM.C5</v>
      </c>
      <c r="Q504" s="4" t="str">
        <f>VLOOKUP(Cobra8.6[[#This Row],[Table.Column]],ColumnMapping[Old Table.Column],1,)</f>
        <v>COSTELEM.C5</v>
      </c>
    </row>
    <row r="505" spans="1:17" x14ac:dyDescent="0.2">
      <c r="A505" s="4" t="s">
        <v>2217</v>
      </c>
      <c r="B505" s="4">
        <v>0</v>
      </c>
      <c r="C505" s="4" t="s">
        <v>2217</v>
      </c>
      <c r="D505" s="4" t="s">
        <v>995</v>
      </c>
      <c r="E505" s="4" t="s">
        <v>86</v>
      </c>
      <c r="F505" s="4">
        <v>59</v>
      </c>
      <c r="G505" s="4">
        <v>0</v>
      </c>
      <c r="H505" s="4">
        <v>0</v>
      </c>
      <c r="K505" s="4">
        <v>0</v>
      </c>
      <c r="N505" s="4">
        <v>0</v>
      </c>
      <c r="O505" s="4">
        <v>0</v>
      </c>
      <c r="P505" s="4" t="str">
        <f t="shared" si="7"/>
        <v>COSTELEM.C6</v>
      </c>
      <c r="Q505" s="4" t="str">
        <f>VLOOKUP(Cobra8.6[[#This Row],[Table.Column]],ColumnMapping[Old Table.Column],1,)</f>
        <v>COSTELEM.C6</v>
      </c>
    </row>
    <row r="506" spans="1:17" x14ac:dyDescent="0.2">
      <c r="A506" s="4" t="s">
        <v>2217</v>
      </c>
      <c r="B506" s="4">
        <v>0</v>
      </c>
      <c r="C506" s="4" t="s">
        <v>2217</v>
      </c>
      <c r="D506" s="4" t="s">
        <v>997</v>
      </c>
      <c r="E506" s="4" t="s">
        <v>86</v>
      </c>
      <c r="F506" s="4">
        <v>59</v>
      </c>
      <c r="G506" s="4">
        <v>0</v>
      </c>
      <c r="H506" s="4">
        <v>0</v>
      </c>
      <c r="K506" s="4">
        <v>0</v>
      </c>
      <c r="N506" s="4">
        <v>0</v>
      </c>
      <c r="O506" s="4">
        <v>0</v>
      </c>
      <c r="P506" s="4" t="str">
        <f t="shared" si="7"/>
        <v>COSTELEM.C7</v>
      </c>
      <c r="Q506" s="4" t="str">
        <f>VLOOKUP(Cobra8.6[[#This Row],[Table.Column]],ColumnMapping[Old Table.Column],1,)</f>
        <v>COSTELEM.C7</v>
      </c>
    </row>
    <row r="507" spans="1:17" x14ac:dyDescent="0.2">
      <c r="A507" s="4" t="s">
        <v>2217</v>
      </c>
      <c r="B507" s="4">
        <v>0</v>
      </c>
      <c r="C507" s="4" t="s">
        <v>2217</v>
      </c>
      <c r="D507" s="4" t="s">
        <v>999</v>
      </c>
      <c r="E507" s="4" t="s">
        <v>86</v>
      </c>
      <c r="F507" s="4">
        <v>59</v>
      </c>
      <c r="G507" s="4">
        <v>0</v>
      </c>
      <c r="H507" s="4">
        <v>0</v>
      </c>
      <c r="K507" s="4">
        <v>0</v>
      </c>
      <c r="N507" s="4">
        <v>0</v>
      </c>
      <c r="O507" s="4">
        <v>0</v>
      </c>
      <c r="P507" s="4" t="str">
        <f t="shared" si="7"/>
        <v>COSTELEM.C8</v>
      </c>
      <c r="Q507" s="4" t="str">
        <f>VLOOKUP(Cobra8.6[[#This Row],[Table.Column]],ColumnMapping[Old Table.Column],1,)</f>
        <v>COSTELEM.C8</v>
      </c>
    </row>
    <row r="508" spans="1:17" x14ac:dyDescent="0.2">
      <c r="A508" s="4" t="s">
        <v>2217</v>
      </c>
      <c r="B508" s="4">
        <v>0</v>
      </c>
      <c r="C508" s="4" t="s">
        <v>2217</v>
      </c>
      <c r="D508" s="4" t="s">
        <v>1001</v>
      </c>
      <c r="E508" s="4" t="s">
        <v>86</v>
      </c>
      <c r="F508" s="4">
        <v>59</v>
      </c>
      <c r="G508" s="4">
        <v>0</v>
      </c>
      <c r="H508" s="4">
        <v>0</v>
      </c>
      <c r="K508" s="4">
        <v>0</v>
      </c>
      <c r="N508" s="4">
        <v>0</v>
      </c>
      <c r="O508" s="4">
        <v>0</v>
      </c>
      <c r="P508" s="4" t="str">
        <f t="shared" si="7"/>
        <v>COSTELEM.C9</v>
      </c>
      <c r="Q508" s="4" t="str">
        <f>VLOOKUP(Cobra8.6[[#This Row],[Table.Column]],ColumnMapping[Old Table.Column],1,)</f>
        <v>COSTELEM.C9</v>
      </c>
    </row>
    <row r="509" spans="1:17" x14ac:dyDescent="0.2">
      <c r="A509" s="4" t="s">
        <v>2217</v>
      </c>
      <c r="B509" s="4">
        <v>0</v>
      </c>
      <c r="C509" s="4" t="s">
        <v>2217</v>
      </c>
      <c r="D509" s="4" t="s">
        <v>1009</v>
      </c>
      <c r="E509" s="4" t="s">
        <v>2108</v>
      </c>
      <c r="F509" s="4">
        <v>-1</v>
      </c>
      <c r="G509" s="4">
        <v>0</v>
      </c>
      <c r="H509" s="4">
        <v>0</v>
      </c>
      <c r="K509" s="4">
        <v>0</v>
      </c>
      <c r="N509" s="4">
        <v>0</v>
      </c>
      <c r="O509" s="4">
        <v>0</v>
      </c>
      <c r="P509" s="4" t="str">
        <f t="shared" si="7"/>
        <v>COSTELEM.CAWPID</v>
      </c>
      <c r="Q509" s="4" t="str">
        <f>VLOOKUP(Cobra8.6[[#This Row],[Table.Column]],ColumnMapping[Old Table.Column],1,)</f>
        <v>COSTELEM.CAWPID</v>
      </c>
    </row>
    <row r="510" spans="1:17" x14ac:dyDescent="0.2">
      <c r="A510" s="4" t="s">
        <v>2217</v>
      </c>
      <c r="B510" s="4">
        <v>0</v>
      </c>
      <c r="C510" s="4" t="s">
        <v>2217</v>
      </c>
      <c r="D510" s="4" t="s">
        <v>1098</v>
      </c>
      <c r="E510" s="4" t="s">
        <v>86</v>
      </c>
      <c r="F510" s="4">
        <v>59</v>
      </c>
      <c r="G510" s="4">
        <v>0</v>
      </c>
      <c r="H510" s="4">
        <v>0</v>
      </c>
      <c r="K510" s="4">
        <v>0</v>
      </c>
      <c r="N510" s="4">
        <v>0</v>
      </c>
      <c r="O510" s="4">
        <v>0</v>
      </c>
      <c r="P510" s="4" t="str">
        <f t="shared" si="7"/>
        <v>COSTELEM.CECODE</v>
      </c>
      <c r="Q510" s="4" t="str">
        <f>VLOOKUP(Cobra8.6[[#This Row],[Table.Column]],ColumnMapping[Old Table.Column],1,)</f>
        <v>COSTELEM.CECODE</v>
      </c>
    </row>
    <row r="511" spans="1:17" x14ac:dyDescent="0.2">
      <c r="A511" s="4" t="s">
        <v>2217</v>
      </c>
      <c r="B511" s="4">
        <v>0</v>
      </c>
      <c r="C511" s="4" t="s">
        <v>2217</v>
      </c>
      <c r="D511" s="4" t="s">
        <v>1100</v>
      </c>
      <c r="E511" s="4" t="s">
        <v>86</v>
      </c>
      <c r="F511" s="4">
        <v>20</v>
      </c>
      <c r="G511" s="4">
        <v>0</v>
      </c>
      <c r="H511" s="4">
        <v>0</v>
      </c>
      <c r="K511" s="4">
        <v>0</v>
      </c>
      <c r="N511" s="4">
        <v>0</v>
      </c>
      <c r="O511" s="4">
        <v>0</v>
      </c>
      <c r="P511" s="4" t="str">
        <f t="shared" si="7"/>
        <v>COSTELEM.CLASS</v>
      </c>
      <c r="Q511" s="4" t="str">
        <f>VLOOKUP(Cobra8.6[[#This Row],[Table.Column]],ColumnMapping[Old Table.Column],1,)</f>
        <v>COSTELEM.CLASS</v>
      </c>
    </row>
    <row r="512" spans="1:17" x14ac:dyDescent="0.2">
      <c r="A512" s="4" t="s">
        <v>2217</v>
      </c>
      <c r="B512" s="4">
        <v>0</v>
      </c>
      <c r="C512" s="4" t="s">
        <v>2217</v>
      </c>
      <c r="D512" s="4" t="s">
        <v>1015</v>
      </c>
      <c r="E512" s="4" t="s">
        <v>86</v>
      </c>
      <c r="F512" s="4">
        <v>59</v>
      </c>
      <c r="G512" s="4">
        <v>0</v>
      </c>
      <c r="H512" s="4">
        <v>0</v>
      </c>
      <c r="K512" s="4">
        <v>0</v>
      </c>
      <c r="N512" s="4">
        <v>0</v>
      </c>
      <c r="O512" s="4">
        <v>0</v>
      </c>
      <c r="P512" s="4" t="str">
        <f t="shared" si="7"/>
        <v>COSTELEM.EOC</v>
      </c>
      <c r="Q512" s="4" t="str">
        <f>VLOOKUP(Cobra8.6[[#This Row],[Table.Column]],ColumnMapping[Old Table.Column],1,)</f>
        <v>COSTELEM.EOC</v>
      </c>
    </row>
    <row r="513" spans="1:17" x14ac:dyDescent="0.2">
      <c r="A513" s="4" t="s">
        <v>2217</v>
      </c>
      <c r="B513" s="4">
        <v>0</v>
      </c>
      <c r="C513" s="4" t="s">
        <v>2217</v>
      </c>
      <c r="D513" s="4" t="s">
        <v>2218</v>
      </c>
      <c r="E513" s="4" t="s">
        <v>2124</v>
      </c>
      <c r="F513" s="4">
        <v>11</v>
      </c>
      <c r="G513" s="4">
        <v>6</v>
      </c>
      <c r="H513" s="4">
        <v>0</v>
      </c>
      <c r="K513" s="4">
        <v>0</v>
      </c>
      <c r="N513" s="4">
        <v>0</v>
      </c>
      <c r="O513" s="4">
        <v>0</v>
      </c>
      <c r="P513" s="4" t="str">
        <f t="shared" si="7"/>
        <v>COSTELEM.FC_PC</v>
      </c>
      <c r="Q513" s="4" t="str">
        <f>VLOOKUP(Cobra8.6[[#This Row],[Table.Column]],ColumnMapping[Old Table.Column],1,)</f>
        <v>COSTELEM.FC_PC</v>
      </c>
    </row>
    <row r="514" spans="1:17" x14ac:dyDescent="0.2">
      <c r="A514" s="4" t="s">
        <v>2217</v>
      </c>
      <c r="B514" s="4">
        <v>0</v>
      </c>
      <c r="C514" s="4" t="s">
        <v>2217</v>
      </c>
      <c r="D514" s="4" t="s">
        <v>1091</v>
      </c>
      <c r="E514" s="4" t="s">
        <v>2124</v>
      </c>
      <c r="F514" s="4">
        <v>21</v>
      </c>
      <c r="G514" s="4">
        <v>6</v>
      </c>
      <c r="H514" s="4">
        <v>0</v>
      </c>
      <c r="K514" s="4">
        <v>0</v>
      </c>
      <c r="N514" s="4">
        <v>0</v>
      </c>
      <c r="O514" s="4">
        <v>0</v>
      </c>
      <c r="P514" s="4" t="str">
        <f t="shared" ref="P514:P577" si="8">_xlfn.CONCAT(A514,".",D514)</f>
        <v>COSTELEM.GA_PF</v>
      </c>
      <c r="Q514" s="4" t="str">
        <f>VLOOKUP(Cobra8.6[[#This Row],[Table.Column]],ColumnMapping[Old Table.Column],1,)</f>
        <v>COSTELEM.GA_PF</v>
      </c>
    </row>
    <row r="515" spans="1:17" x14ac:dyDescent="0.2">
      <c r="A515" s="4" t="s">
        <v>2217</v>
      </c>
      <c r="B515" s="4">
        <v>0</v>
      </c>
      <c r="C515" s="4" t="s">
        <v>2217</v>
      </c>
      <c r="D515" s="4" t="s">
        <v>2111</v>
      </c>
      <c r="E515" s="4" t="s">
        <v>356</v>
      </c>
      <c r="F515" s="4">
        <v>-1</v>
      </c>
      <c r="G515" s="4">
        <v>0</v>
      </c>
      <c r="H515" s="4">
        <v>0</v>
      </c>
      <c r="K515" s="4">
        <v>0</v>
      </c>
      <c r="N515" s="4">
        <v>0</v>
      </c>
      <c r="O515" s="4">
        <v>0</v>
      </c>
      <c r="P515" s="4" t="str">
        <f t="shared" si="8"/>
        <v>COSTELEM.LASTUPDATE</v>
      </c>
      <c r="Q515" s="4" t="str">
        <f>VLOOKUP(Cobra8.6[[#This Row],[Table.Column]],ColumnMapping[Old Table.Column],1,)</f>
        <v>COSTELEM.LASTUPDATE</v>
      </c>
    </row>
    <row r="516" spans="1:17" x14ac:dyDescent="0.2">
      <c r="A516" s="4" t="s">
        <v>2217</v>
      </c>
      <c r="B516" s="4">
        <v>0</v>
      </c>
      <c r="C516" s="4" t="s">
        <v>2217</v>
      </c>
      <c r="D516" s="4" t="s">
        <v>1088</v>
      </c>
      <c r="E516" s="4" t="s">
        <v>2124</v>
      </c>
      <c r="F516" s="4">
        <v>21</v>
      </c>
      <c r="G516" s="4">
        <v>6</v>
      </c>
      <c r="H516" s="4">
        <v>0</v>
      </c>
      <c r="K516" s="4">
        <v>0</v>
      </c>
      <c r="N516" s="4">
        <v>0</v>
      </c>
      <c r="O516" s="4">
        <v>0</v>
      </c>
      <c r="P516" s="4" t="str">
        <f t="shared" si="8"/>
        <v>COSTELEM.PF</v>
      </c>
      <c r="Q516" s="4" t="str">
        <f>VLOOKUP(Cobra8.6[[#This Row],[Table.Column]],ColumnMapping[Old Table.Column],1,)</f>
        <v>COSTELEM.PF</v>
      </c>
    </row>
    <row r="517" spans="1:17" x14ac:dyDescent="0.2">
      <c r="A517" s="4" t="s">
        <v>2217</v>
      </c>
      <c r="B517" s="4">
        <v>0</v>
      </c>
      <c r="C517" s="4" t="s">
        <v>2217</v>
      </c>
      <c r="D517" s="4" t="s">
        <v>744</v>
      </c>
      <c r="E517" s="4" t="s">
        <v>86</v>
      </c>
      <c r="F517" s="4">
        <v>22</v>
      </c>
      <c r="G517" s="4">
        <v>0</v>
      </c>
      <c r="H517" s="4">
        <v>0</v>
      </c>
      <c r="K517" s="4">
        <v>0</v>
      </c>
      <c r="N517" s="4">
        <v>0</v>
      </c>
      <c r="O517" s="4">
        <v>0</v>
      </c>
      <c r="P517" s="4" t="str">
        <f t="shared" si="8"/>
        <v>COSTELEM.PROGRAM</v>
      </c>
      <c r="Q517" s="4" t="str">
        <f>VLOOKUP(Cobra8.6[[#This Row],[Table.Column]],ColumnMapping[Old Table.Column],1,)</f>
        <v>COSTELEM.PROGRAM</v>
      </c>
    </row>
    <row r="518" spans="1:17" x14ac:dyDescent="0.2">
      <c r="A518" s="4" t="s">
        <v>2217</v>
      </c>
      <c r="B518" s="4">
        <v>0</v>
      </c>
      <c r="C518" s="4" t="s">
        <v>2217</v>
      </c>
      <c r="D518" s="4" t="s">
        <v>35</v>
      </c>
      <c r="E518" s="4" t="s">
        <v>2108</v>
      </c>
      <c r="F518" s="4">
        <v>-1</v>
      </c>
      <c r="G518" s="4">
        <v>0</v>
      </c>
      <c r="H518" s="4">
        <v>0</v>
      </c>
      <c r="K518" s="4">
        <v>0</v>
      </c>
      <c r="N518" s="4">
        <v>0</v>
      </c>
      <c r="O518" s="4">
        <v>0</v>
      </c>
      <c r="P518" s="4" t="str">
        <f t="shared" si="8"/>
        <v>COSTELEM.SEQUENCE</v>
      </c>
      <c r="Q518" s="4" t="str">
        <f>VLOOKUP(Cobra8.6[[#This Row],[Table.Column]],ColumnMapping[Old Table.Column],1,)</f>
        <v>COSTELEM.SEQUENCE</v>
      </c>
    </row>
    <row r="519" spans="1:17" x14ac:dyDescent="0.2">
      <c r="A519" s="4" t="s">
        <v>2217</v>
      </c>
      <c r="B519" s="4">
        <v>0</v>
      </c>
      <c r="C519" s="4" t="s">
        <v>2217</v>
      </c>
      <c r="D519" s="4" t="s">
        <v>1102</v>
      </c>
      <c r="E519" s="4" t="s">
        <v>86</v>
      </c>
      <c r="F519" s="4">
        <v>16</v>
      </c>
      <c r="G519" s="4">
        <v>0</v>
      </c>
      <c r="H519" s="4">
        <v>0</v>
      </c>
      <c r="K519" s="4">
        <v>0</v>
      </c>
      <c r="N519" s="4">
        <v>0</v>
      </c>
      <c r="O519" s="4">
        <v>0</v>
      </c>
      <c r="P519" s="4" t="str">
        <f t="shared" si="8"/>
        <v>COSTELEM.SPREADNAME</v>
      </c>
      <c r="Q519" s="4" t="str">
        <f>VLOOKUP(Cobra8.6[[#This Row],[Table.Column]],ColumnMapping[Old Table.Column],1,)</f>
        <v>COSTELEM.SPREADNAME</v>
      </c>
    </row>
    <row r="520" spans="1:17" x14ac:dyDescent="0.2">
      <c r="A520" s="4" t="s">
        <v>2217</v>
      </c>
      <c r="B520" s="4">
        <v>0</v>
      </c>
      <c r="C520" s="4" t="s">
        <v>2217</v>
      </c>
      <c r="D520" s="4" t="s">
        <v>2112</v>
      </c>
      <c r="E520" s="4" t="s">
        <v>86</v>
      </c>
      <c r="F520" s="4">
        <v>20</v>
      </c>
      <c r="G520" s="4">
        <v>0</v>
      </c>
      <c r="H520" s="4">
        <v>0</v>
      </c>
      <c r="K520" s="4">
        <v>0</v>
      </c>
      <c r="N520" s="4">
        <v>0</v>
      </c>
      <c r="O520" s="4">
        <v>0</v>
      </c>
      <c r="P520" s="4" t="str">
        <f t="shared" si="8"/>
        <v>COSTELEM.USR_ID</v>
      </c>
      <c r="Q520" s="4" t="str">
        <f>VLOOKUP(Cobra8.6[[#This Row],[Table.Column]],ColumnMapping[Old Table.Column],1,)</f>
        <v>COSTELEM.USR_ID</v>
      </c>
    </row>
    <row r="521" spans="1:17" hidden="1" x14ac:dyDescent="0.2">
      <c r="A521" s="4" t="s">
        <v>2219</v>
      </c>
      <c r="B521" s="4">
        <v>0</v>
      </c>
      <c r="C521" s="4" t="s">
        <v>2219</v>
      </c>
      <c r="D521" s="4" t="s">
        <v>1369</v>
      </c>
      <c r="E521" s="4" t="s">
        <v>86</v>
      </c>
      <c r="F521" s="4">
        <v>20</v>
      </c>
      <c r="G521" s="4">
        <v>0</v>
      </c>
      <c r="H521" s="4">
        <v>0</v>
      </c>
      <c r="K521" s="4">
        <v>0</v>
      </c>
      <c r="N521" s="4">
        <v>0</v>
      </c>
      <c r="O521" s="4">
        <v>0</v>
      </c>
      <c r="P521" s="4" t="str">
        <f t="shared" si="8"/>
        <v>COSTREP.COST</v>
      </c>
      <c r="Q521" s="4" t="str">
        <f>VLOOKUP(Cobra8.6[[#This Row],[Table.Column]],ColumnMapping[Old Table.Column],1,)</f>
        <v>COSTREP.COST</v>
      </c>
    </row>
    <row r="522" spans="1:17" hidden="1" x14ac:dyDescent="0.2">
      <c r="A522" s="4" t="s">
        <v>2219</v>
      </c>
      <c r="B522" s="4">
        <v>0</v>
      </c>
      <c r="C522" s="4" t="s">
        <v>2219</v>
      </c>
      <c r="D522" s="4" t="s">
        <v>2220</v>
      </c>
      <c r="E522" s="4" t="s">
        <v>86</v>
      </c>
      <c r="F522" s="4">
        <v>254</v>
      </c>
      <c r="G522" s="4">
        <v>0</v>
      </c>
      <c r="H522" s="4">
        <v>0</v>
      </c>
      <c r="K522" s="4">
        <v>0</v>
      </c>
      <c r="N522" s="4">
        <v>0</v>
      </c>
      <c r="O522" s="4">
        <v>0</v>
      </c>
      <c r="P522" s="4" t="str">
        <f t="shared" si="8"/>
        <v>COSTREP.COSTDESC</v>
      </c>
      <c r="Q522" s="4" t="str">
        <f>VLOOKUP(Cobra8.6[[#This Row],[Table.Column]],ColumnMapping[Old Table.Column],1,)</f>
        <v>COSTREP.COSTDESC</v>
      </c>
    </row>
    <row r="523" spans="1:17" hidden="1" x14ac:dyDescent="0.2">
      <c r="A523" s="4" t="s">
        <v>2219</v>
      </c>
      <c r="B523" s="4">
        <v>0</v>
      </c>
      <c r="C523" s="4" t="s">
        <v>2219</v>
      </c>
      <c r="D523" s="4" t="s">
        <v>2111</v>
      </c>
      <c r="E523" s="4" t="s">
        <v>356</v>
      </c>
      <c r="F523" s="4">
        <v>-1</v>
      </c>
      <c r="G523" s="4">
        <v>0</v>
      </c>
      <c r="H523" s="4">
        <v>0</v>
      </c>
      <c r="K523" s="4">
        <v>0</v>
      </c>
      <c r="N523" s="4">
        <v>0</v>
      </c>
      <c r="O523" s="4">
        <v>0</v>
      </c>
      <c r="P523" s="4" t="str">
        <f t="shared" si="8"/>
        <v>COSTREP.LASTUPDATE</v>
      </c>
      <c r="Q523" s="4" t="str">
        <f>VLOOKUP(Cobra8.6[[#This Row],[Table.Column]],ColumnMapping[Old Table.Column],1,)</f>
        <v>COSTREP.LASTUPDATE</v>
      </c>
    </row>
    <row r="524" spans="1:17" hidden="1" x14ac:dyDescent="0.2">
      <c r="A524" s="4" t="s">
        <v>2219</v>
      </c>
      <c r="B524" s="4">
        <v>0</v>
      </c>
      <c r="C524" s="4" t="s">
        <v>2219</v>
      </c>
      <c r="D524" s="4" t="s">
        <v>744</v>
      </c>
      <c r="E524" s="4" t="s">
        <v>86</v>
      </c>
      <c r="F524" s="4">
        <v>22</v>
      </c>
      <c r="G524" s="4">
        <v>0</v>
      </c>
      <c r="H524" s="4">
        <v>0</v>
      </c>
      <c r="K524" s="4">
        <v>0</v>
      </c>
      <c r="N524" s="4">
        <v>0</v>
      </c>
      <c r="O524" s="4">
        <v>0</v>
      </c>
      <c r="P524" s="4" t="str">
        <f t="shared" si="8"/>
        <v>COSTREP.PROGRAM</v>
      </c>
      <c r="Q524" s="4" t="str">
        <f>VLOOKUP(Cobra8.6[[#This Row],[Table.Column]],ColumnMapping[Old Table.Column],1,)</f>
        <v>COSTREP.PROGRAM</v>
      </c>
    </row>
    <row r="525" spans="1:17" hidden="1" x14ac:dyDescent="0.2">
      <c r="A525" s="4" t="s">
        <v>2219</v>
      </c>
      <c r="B525" s="4">
        <v>0</v>
      </c>
      <c r="C525" s="4" t="s">
        <v>2219</v>
      </c>
      <c r="D525" s="4" t="s">
        <v>1256</v>
      </c>
      <c r="E525" s="4" t="s">
        <v>2108</v>
      </c>
      <c r="F525" s="4">
        <v>-1</v>
      </c>
      <c r="G525" s="4">
        <v>0</v>
      </c>
      <c r="H525" s="4">
        <v>0</v>
      </c>
      <c r="K525" s="4">
        <v>0</v>
      </c>
      <c r="N525" s="4">
        <v>0</v>
      </c>
      <c r="O525" s="4">
        <v>0</v>
      </c>
      <c r="P525" s="4" t="str">
        <f t="shared" si="8"/>
        <v>COSTREP.REQUIRED</v>
      </c>
      <c r="Q525" s="4" t="str">
        <f>VLOOKUP(Cobra8.6[[#This Row],[Table.Column]],ColumnMapping[Old Table.Column],1,)</f>
        <v>COSTREP.REQUIRED</v>
      </c>
    </row>
    <row r="526" spans="1:17" hidden="1" x14ac:dyDescent="0.2">
      <c r="A526" s="4" t="s">
        <v>2219</v>
      </c>
      <c r="B526" s="4">
        <v>0</v>
      </c>
      <c r="C526" s="4" t="s">
        <v>2219</v>
      </c>
      <c r="D526" s="4" t="s">
        <v>35</v>
      </c>
      <c r="E526" s="4" t="s">
        <v>2108</v>
      </c>
      <c r="F526" s="4">
        <v>-1</v>
      </c>
      <c r="G526" s="4">
        <v>0</v>
      </c>
      <c r="H526" s="4">
        <v>0</v>
      </c>
      <c r="K526" s="4">
        <v>0</v>
      </c>
      <c r="N526" s="4">
        <v>0</v>
      </c>
      <c r="O526" s="4">
        <v>0</v>
      </c>
      <c r="P526" s="4" t="str">
        <f t="shared" si="8"/>
        <v>COSTREP.SEQUENCE</v>
      </c>
      <c r="Q526" s="4" t="str">
        <f>VLOOKUP(Cobra8.6[[#This Row],[Table.Column]],ColumnMapping[Old Table.Column],1,)</f>
        <v>COSTREP.SEQUENCE</v>
      </c>
    </row>
    <row r="527" spans="1:17" hidden="1" x14ac:dyDescent="0.2">
      <c r="A527" s="4" t="s">
        <v>2219</v>
      </c>
      <c r="B527" s="4">
        <v>0</v>
      </c>
      <c r="C527" s="4" t="s">
        <v>2219</v>
      </c>
      <c r="D527" s="4" t="s">
        <v>2112</v>
      </c>
      <c r="E527" s="4" t="s">
        <v>86</v>
      </c>
      <c r="F527" s="4">
        <v>20</v>
      </c>
      <c r="G527" s="4">
        <v>0</v>
      </c>
      <c r="H527" s="4">
        <v>0</v>
      </c>
      <c r="K527" s="4">
        <v>0</v>
      </c>
      <c r="N527" s="4">
        <v>0</v>
      </c>
      <c r="O527" s="4">
        <v>0</v>
      </c>
      <c r="P527" s="4" t="str">
        <f t="shared" si="8"/>
        <v>COSTREP.USR_ID</v>
      </c>
      <c r="Q527" s="4" t="str">
        <f>VLOOKUP(Cobra8.6[[#This Row],[Table.Column]],ColumnMapping[Old Table.Column],1,)</f>
        <v>COSTREP.USR_ID</v>
      </c>
    </row>
    <row r="528" spans="1:17" hidden="1" x14ac:dyDescent="0.2">
      <c r="A528" s="4" t="s">
        <v>2221</v>
      </c>
      <c r="B528" s="4">
        <v>0</v>
      </c>
      <c r="C528" s="4" t="s">
        <v>2221</v>
      </c>
      <c r="D528" s="4" t="s">
        <v>1100</v>
      </c>
      <c r="E528" s="4" t="s">
        <v>86</v>
      </c>
      <c r="F528" s="4">
        <v>20</v>
      </c>
      <c r="G528" s="4">
        <v>0</v>
      </c>
      <c r="H528" s="4">
        <v>0</v>
      </c>
      <c r="K528" s="4">
        <v>0</v>
      </c>
      <c r="N528" s="4">
        <v>0</v>
      </c>
      <c r="O528" s="4">
        <v>0</v>
      </c>
      <c r="P528" s="4" t="str">
        <f t="shared" si="8"/>
        <v>COSTREPCLASS.CLASS</v>
      </c>
      <c r="Q528" s="4" t="str">
        <f>VLOOKUP(Cobra8.6[[#This Row],[Table.Column]],ColumnMapping[Old Table.Column],1,)</f>
        <v>COSTREPCLASS.CLASS</v>
      </c>
    </row>
    <row r="529" spans="1:17" hidden="1" x14ac:dyDescent="0.2">
      <c r="A529" s="4" t="s">
        <v>2221</v>
      </c>
      <c r="B529" s="4">
        <v>0</v>
      </c>
      <c r="C529" s="4" t="s">
        <v>2221</v>
      </c>
      <c r="D529" s="4" t="s">
        <v>1369</v>
      </c>
      <c r="E529" s="4" t="s">
        <v>86</v>
      </c>
      <c r="F529" s="4">
        <v>20</v>
      </c>
      <c r="G529" s="4">
        <v>0</v>
      </c>
      <c r="H529" s="4">
        <v>0</v>
      </c>
      <c r="K529" s="4">
        <v>0</v>
      </c>
      <c r="N529" s="4">
        <v>0</v>
      </c>
      <c r="O529" s="4">
        <v>0</v>
      </c>
      <c r="P529" s="4" t="str">
        <f t="shared" si="8"/>
        <v>COSTREPCLASS.COST</v>
      </c>
      <c r="Q529" s="4" t="str">
        <f>VLOOKUP(Cobra8.6[[#This Row],[Table.Column]],ColumnMapping[Old Table.Column],1,)</f>
        <v>COSTREPCLASS.COST</v>
      </c>
    </row>
    <row r="530" spans="1:17" hidden="1" x14ac:dyDescent="0.2">
      <c r="A530" s="4" t="s">
        <v>2221</v>
      </c>
      <c r="B530" s="4">
        <v>0</v>
      </c>
      <c r="C530" s="4" t="s">
        <v>2221</v>
      </c>
      <c r="D530" s="4" t="s">
        <v>744</v>
      </c>
      <c r="E530" s="4" t="s">
        <v>86</v>
      </c>
      <c r="F530" s="4">
        <v>22</v>
      </c>
      <c r="G530" s="4">
        <v>0</v>
      </c>
      <c r="H530" s="4">
        <v>0</v>
      </c>
      <c r="K530" s="4">
        <v>0</v>
      </c>
      <c r="N530" s="4">
        <v>0</v>
      </c>
      <c r="O530" s="4">
        <v>0</v>
      </c>
      <c r="P530" s="4" t="str">
        <f t="shared" si="8"/>
        <v>COSTREPCLASS.PROGRAM</v>
      </c>
      <c r="Q530" s="4" t="str">
        <f>VLOOKUP(Cobra8.6[[#This Row],[Table.Column]],ColumnMapping[Old Table.Column],1,)</f>
        <v>COSTREPCLASS.PROGRAM</v>
      </c>
    </row>
    <row r="531" spans="1:17" hidden="1" x14ac:dyDescent="0.2">
      <c r="A531" s="4" t="s">
        <v>2222</v>
      </c>
      <c r="B531" s="4">
        <v>0</v>
      </c>
      <c r="C531" s="4" t="s">
        <v>2222</v>
      </c>
      <c r="D531" s="4" t="s">
        <v>1961</v>
      </c>
      <c r="E531" s="4" t="s">
        <v>86</v>
      </c>
      <c r="F531" s="4">
        <v>50</v>
      </c>
      <c r="G531" s="4">
        <v>0</v>
      </c>
      <c r="H531" s="4">
        <v>0</v>
      </c>
      <c r="K531" s="4">
        <v>0</v>
      </c>
      <c r="N531" s="4">
        <v>0</v>
      </c>
      <c r="O531" s="4">
        <v>0</v>
      </c>
      <c r="P531" s="4" t="str">
        <f t="shared" si="8"/>
        <v>ENUMS.CONTEXT</v>
      </c>
      <c r="Q531" s="4" t="e">
        <f>VLOOKUP(Cobra8.6[[#This Row],[Table.Column]],ColumnMapping[Old Table.Column],1,)</f>
        <v>#N/A</v>
      </c>
    </row>
    <row r="532" spans="1:17" hidden="1" x14ac:dyDescent="0.2">
      <c r="A532" s="4" t="s">
        <v>2222</v>
      </c>
      <c r="B532" s="4">
        <v>0</v>
      </c>
      <c r="C532" s="4" t="s">
        <v>2222</v>
      </c>
      <c r="D532" s="4" t="s">
        <v>270</v>
      </c>
      <c r="E532" s="4" t="s">
        <v>86</v>
      </c>
      <c r="F532" s="4">
        <v>250</v>
      </c>
      <c r="G532" s="4">
        <v>0</v>
      </c>
      <c r="H532" s="4">
        <v>0</v>
      </c>
      <c r="K532" s="4">
        <v>0</v>
      </c>
      <c r="N532" s="4">
        <v>0</v>
      </c>
      <c r="O532" s="4">
        <v>0</v>
      </c>
      <c r="P532" s="4" t="str">
        <f t="shared" si="8"/>
        <v>ENUMS.DATA</v>
      </c>
      <c r="Q532" s="4" t="e">
        <f>VLOOKUP(Cobra8.6[[#This Row],[Table.Column]],ColumnMapping[Old Table.Column],1,)</f>
        <v>#N/A</v>
      </c>
    </row>
    <row r="533" spans="1:17" hidden="1" x14ac:dyDescent="0.2">
      <c r="A533" s="4" t="s">
        <v>2222</v>
      </c>
      <c r="B533" s="4">
        <v>0</v>
      </c>
      <c r="C533" s="4" t="s">
        <v>2222</v>
      </c>
      <c r="D533" s="4" t="s">
        <v>2223</v>
      </c>
      <c r="E533" s="4" t="s">
        <v>86</v>
      </c>
      <c r="F533" s="4">
        <v>30</v>
      </c>
      <c r="G533" s="4">
        <v>0</v>
      </c>
      <c r="H533" s="4">
        <v>0</v>
      </c>
      <c r="K533" s="4">
        <v>0</v>
      </c>
      <c r="N533" s="4">
        <v>0</v>
      </c>
      <c r="O533" s="4">
        <v>0</v>
      </c>
      <c r="P533" s="4" t="str">
        <f t="shared" si="8"/>
        <v>ENUMS.ID</v>
      </c>
      <c r="Q533" s="4" t="e">
        <f>VLOOKUP(Cobra8.6[[#This Row],[Table.Column]],ColumnMapping[Old Table.Column],1,)</f>
        <v>#N/A</v>
      </c>
    </row>
    <row r="534" spans="1:17" hidden="1" x14ac:dyDescent="0.2">
      <c r="A534" s="4" t="s">
        <v>2222</v>
      </c>
      <c r="B534" s="4">
        <v>0</v>
      </c>
      <c r="C534" s="4" t="s">
        <v>2222</v>
      </c>
      <c r="D534" s="4" t="s">
        <v>47</v>
      </c>
      <c r="E534" s="4" t="s">
        <v>86</v>
      </c>
      <c r="F534" s="4">
        <v>50</v>
      </c>
      <c r="G534" s="4">
        <v>0</v>
      </c>
      <c r="H534" s="4">
        <v>0</v>
      </c>
      <c r="K534" s="4">
        <v>0</v>
      </c>
      <c r="N534" s="4">
        <v>0</v>
      </c>
      <c r="O534" s="4">
        <v>0</v>
      </c>
      <c r="P534" s="4" t="str">
        <f t="shared" si="8"/>
        <v>ENUMS.NAME</v>
      </c>
      <c r="Q534" s="4" t="e">
        <f>VLOOKUP(Cobra8.6[[#This Row],[Table.Column]],ColumnMapping[Old Table.Column],1,)</f>
        <v>#N/A</v>
      </c>
    </row>
    <row r="535" spans="1:17" hidden="1" x14ac:dyDescent="0.2">
      <c r="A535" s="4" t="s">
        <v>2224</v>
      </c>
      <c r="B535" s="4">
        <v>0</v>
      </c>
      <c r="C535" s="4" t="s">
        <v>2224</v>
      </c>
      <c r="D535" s="4" t="s">
        <v>270</v>
      </c>
      <c r="E535" s="4" t="s">
        <v>86</v>
      </c>
      <c r="F535" s="4">
        <v>-1</v>
      </c>
      <c r="G535" s="4">
        <v>0</v>
      </c>
      <c r="H535" s="4">
        <v>0</v>
      </c>
      <c r="K535" s="4">
        <v>0</v>
      </c>
      <c r="N535" s="4">
        <v>0</v>
      </c>
      <c r="O535" s="4">
        <v>0</v>
      </c>
      <c r="P535" s="4" t="str">
        <f t="shared" si="8"/>
        <v>FILTER.DATA</v>
      </c>
      <c r="Q535" s="4" t="e">
        <f>VLOOKUP(Cobra8.6[[#This Row],[Table.Column]],ColumnMapping[Old Table.Column],1,)</f>
        <v>#N/A</v>
      </c>
    </row>
    <row r="536" spans="1:17" hidden="1" x14ac:dyDescent="0.2">
      <c r="A536" s="4" t="s">
        <v>2224</v>
      </c>
      <c r="B536" s="4">
        <v>0</v>
      </c>
      <c r="C536" s="4" t="s">
        <v>2224</v>
      </c>
      <c r="D536" s="4" t="s">
        <v>2018</v>
      </c>
      <c r="E536" s="4" t="s">
        <v>86</v>
      </c>
      <c r="F536" s="4">
        <v>59</v>
      </c>
      <c r="G536" s="4">
        <v>0</v>
      </c>
      <c r="H536" s="4">
        <v>0</v>
      </c>
      <c r="K536" s="4">
        <v>0</v>
      </c>
      <c r="N536" s="4">
        <v>0</v>
      </c>
      <c r="O536" s="4">
        <v>0</v>
      </c>
      <c r="P536" s="4" t="str">
        <f t="shared" si="8"/>
        <v>FILTER.FILTER_ID</v>
      </c>
      <c r="Q536" s="4" t="e">
        <f>VLOOKUP(Cobra8.6[[#This Row],[Table.Column]],ColumnMapping[Old Table.Column],1,)</f>
        <v>#N/A</v>
      </c>
    </row>
    <row r="537" spans="1:17" hidden="1" x14ac:dyDescent="0.2">
      <c r="A537" s="4" t="s">
        <v>2224</v>
      </c>
      <c r="B537" s="4">
        <v>0</v>
      </c>
      <c r="C537" s="4" t="s">
        <v>2224</v>
      </c>
      <c r="D537" s="4" t="s">
        <v>1935</v>
      </c>
      <c r="E537" s="4" t="s">
        <v>86</v>
      </c>
      <c r="F537" s="4">
        <v>20</v>
      </c>
      <c r="G537" s="4">
        <v>0</v>
      </c>
      <c r="H537" s="4">
        <v>0</v>
      </c>
      <c r="K537" s="4">
        <v>0</v>
      </c>
      <c r="N537" s="4">
        <v>0</v>
      </c>
      <c r="O537" s="4">
        <v>0</v>
      </c>
      <c r="P537" s="4" t="str">
        <f t="shared" si="8"/>
        <v>FILTER.GRP_ID</v>
      </c>
      <c r="Q537" s="4" t="e">
        <f>VLOOKUP(Cobra8.6[[#This Row],[Table.Column]],ColumnMapping[Old Table.Column],1,)</f>
        <v>#N/A</v>
      </c>
    </row>
    <row r="538" spans="1:17" hidden="1" x14ac:dyDescent="0.2">
      <c r="A538" s="4" t="s">
        <v>2224</v>
      </c>
      <c r="B538" s="4">
        <v>0</v>
      </c>
      <c r="C538" s="4" t="s">
        <v>2224</v>
      </c>
      <c r="D538" s="4" t="s">
        <v>2111</v>
      </c>
      <c r="E538" s="4" t="s">
        <v>356</v>
      </c>
      <c r="F538" s="4">
        <v>-1</v>
      </c>
      <c r="G538" s="4">
        <v>0</v>
      </c>
      <c r="H538" s="4">
        <v>0</v>
      </c>
      <c r="K538" s="4">
        <v>0</v>
      </c>
      <c r="N538" s="4">
        <v>0</v>
      </c>
      <c r="O538" s="4">
        <v>0</v>
      </c>
      <c r="P538" s="4" t="str">
        <f t="shared" si="8"/>
        <v>FILTER.LASTUPDATE</v>
      </c>
      <c r="Q538" s="4" t="e">
        <f>VLOOKUP(Cobra8.6[[#This Row],[Table.Column]],ColumnMapping[Old Table.Column],1,)</f>
        <v>#N/A</v>
      </c>
    </row>
    <row r="539" spans="1:17" hidden="1" x14ac:dyDescent="0.2">
      <c r="A539" s="4" t="s">
        <v>2224</v>
      </c>
      <c r="B539" s="4">
        <v>0</v>
      </c>
      <c r="C539" s="4" t="s">
        <v>2224</v>
      </c>
      <c r="D539" s="4" t="s">
        <v>1936</v>
      </c>
      <c r="E539" s="4" t="s">
        <v>86</v>
      </c>
      <c r="F539" s="4">
        <v>20</v>
      </c>
      <c r="G539" s="4">
        <v>0</v>
      </c>
      <c r="H539" s="4">
        <v>0</v>
      </c>
      <c r="K539" s="4">
        <v>0</v>
      </c>
      <c r="N539" s="4">
        <v>0</v>
      </c>
      <c r="O539" s="4">
        <v>0</v>
      </c>
      <c r="P539" s="4" t="str">
        <f t="shared" si="8"/>
        <v>FILTER.OWNER_ID</v>
      </c>
      <c r="Q539" s="4" t="e">
        <f>VLOOKUP(Cobra8.6[[#This Row],[Table.Column]],ColumnMapping[Old Table.Column],1,)</f>
        <v>#N/A</v>
      </c>
    </row>
    <row r="540" spans="1:17" hidden="1" x14ac:dyDescent="0.2">
      <c r="A540" s="4" t="s">
        <v>2224</v>
      </c>
      <c r="B540" s="4">
        <v>0</v>
      </c>
      <c r="C540" s="4" t="s">
        <v>2224</v>
      </c>
      <c r="D540" s="4" t="s">
        <v>35</v>
      </c>
      <c r="E540" s="4" t="s">
        <v>2108</v>
      </c>
      <c r="F540" s="4">
        <v>-1</v>
      </c>
      <c r="G540" s="4">
        <v>0</v>
      </c>
      <c r="H540" s="4">
        <v>0</v>
      </c>
      <c r="K540" s="4">
        <v>0</v>
      </c>
      <c r="N540" s="4">
        <v>0</v>
      </c>
      <c r="O540" s="4">
        <v>0</v>
      </c>
      <c r="P540" s="4" t="str">
        <f t="shared" si="8"/>
        <v>FILTER.SEQUENCE</v>
      </c>
      <c r="Q540" s="4" t="e">
        <f>VLOOKUP(Cobra8.6[[#This Row],[Table.Column]],ColumnMapping[Old Table.Column],1,)</f>
        <v>#N/A</v>
      </c>
    </row>
    <row r="541" spans="1:17" hidden="1" x14ac:dyDescent="0.2">
      <c r="A541" s="4" t="s">
        <v>2224</v>
      </c>
      <c r="B541" s="4">
        <v>0</v>
      </c>
      <c r="C541" s="4" t="s">
        <v>2224</v>
      </c>
      <c r="D541" s="4" t="s">
        <v>1939</v>
      </c>
      <c r="E541" s="4" t="s">
        <v>2108</v>
      </c>
      <c r="F541" s="4">
        <v>-1</v>
      </c>
      <c r="G541" s="4">
        <v>0</v>
      </c>
      <c r="H541" s="4">
        <v>0</v>
      </c>
      <c r="K541" s="4">
        <v>0</v>
      </c>
      <c r="N541" s="4">
        <v>0</v>
      </c>
      <c r="O541" s="4">
        <v>0</v>
      </c>
      <c r="P541" s="4" t="str">
        <f t="shared" si="8"/>
        <v>FILTER.SHARED</v>
      </c>
      <c r="Q541" s="4" t="e">
        <f>VLOOKUP(Cobra8.6[[#This Row],[Table.Column]],ColumnMapping[Old Table.Column],1,)</f>
        <v>#N/A</v>
      </c>
    </row>
    <row r="542" spans="1:17" hidden="1" x14ac:dyDescent="0.2">
      <c r="A542" s="4" t="s">
        <v>2224</v>
      </c>
      <c r="B542" s="4">
        <v>0</v>
      </c>
      <c r="C542" s="4" t="s">
        <v>2224</v>
      </c>
      <c r="D542" s="4" t="s">
        <v>2005</v>
      </c>
      <c r="E542" s="4" t="s">
        <v>86</v>
      </c>
      <c r="F542" s="4">
        <v>30</v>
      </c>
      <c r="G542" s="4">
        <v>0</v>
      </c>
      <c r="H542" s="4">
        <v>0</v>
      </c>
      <c r="K542" s="4">
        <v>0</v>
      </c>
      <c r="N542" s="4">
        <v>0</v>
      </c>
      <c r="O542" s="4">
        <v>0</v>
      </c>
      <c r="P542" s="4" t="str">
        <f t="shared" si="8"/>
        <v>FILTER.TABLE_TYPE</v>
      </c>
      <c r="Q542" s="4" t="e">
        <f>VLOOKUP(Cobra8.6[[#This Row],[Table.Column]],ColumnMapping[Old Table.Column],1,)</f>
        <v>#N/A</v>
      </c>
    </row>
    <row r="543" spans="1:17" hidden="1" x14ac:dyDescent="0.2">
      <c r="A543" s="4" t="s">
        <v>2224</v>
      </c>
      <c r="B543" s="4">
        <v>0</v>
      </c>
      <c r="C543" s="4" t="s">
        <v>2224</v>
      </c>
      <c r="D543" s="4" t="s">
        <v>2112</v>
      </c>
      <c r="E543" s="4" t="s">
        <v>86</v>
      </c>
      <c r="F543" s="4">
        <v>20</v>
      </c>
      <c r="G543" s="4">
        <v>0</v>
      </c>
      <c r="H543" s="4">
        <v>0</v>
      </c>
      <c r="K543" s="4">
        <v>0</v>
      </c>
      <c r="N543" s="4">
        <v>0</v>
      </c>
      <c r="O543" s="4">
        <v>0</v>
      </c>
      <c r="P543" s="4" t="str">
        <f t="shared" si="8"/>
        <v>FILTER.USR_ID</v>
      </c>
      <c r="Q543" s="4" t="e">
        <f>VLOOKUP(Cobra8.6[[#This Row],[Table.Column]],ColumnMapping[Old Table.Column],1,)</f>
        <v>#N/A</v>
      </c>
    </row>
    <row r="544" spans="1:17" hidden="1" x14ac:dyDescent="0.2">
      <c r="A544" s="4" t="s">
        <v>2225</v>
      </c>
      <c r="B544" s="4">
        <v>0</v>
      </c>
      <c r="C544" s="4" t="s">
        <v>2225</v>
      </c>
      <c r="D544" s="4" t="s">
        <v>329</v>
      </c>
      <c r="E544" s="4" t="s">
        <v>86</v>
      </c>
      <c r="F544" s="4">
        <v>254</v>
      </c>
      <c r="G544" s="4">
        <v>0</v>
      </c>
      <c r="H544" s="4">
        <v>0</v>
      </c>
      <c r="K544" s="4">
        <v>0</v>
      </c>
      <c r="N544" s="4">
        <v>0</v>
      </c>
      <c r="O544" s="4">
        <v>0</v>
      </c>
      <c r="P544" s="4" t="str">
        <f t="shared" si="8"/>
        <v>FISCAL.DESC00</v>
      </c>
      <c r="Q544" s="4" t="str">
        <f>VLOOKUP(Cobra8.6[[#This Row],[Table.Column]],ColumnMapping[Old Table.Column],1,)</f>
        <v>FISCAL.DESC00</v>
      </c>
    </row>
    <row r="545" spans="1:17" hidden="1" x14ac:dyDescent="0.2">
      <c r="A545" s="4" t="s">
        <v>2225</v>
      </c>
      <c r="B545" s="4">
        <v>0</v>
      </c>
      <c r="C545" s="4" t="s">
        <v>2225</v>
      </c>
      <c r="D545" s="4" t="s">
        <v>330</v>
      </c>
      <c r="E545" s="4" t="s">
        <v>86</v>
      </c>
      <c r="F545" s="4">
        <v>254</v>
      </c>
      <c r="G545" s="4">
        <v>0</v>
      </c>
      <c r="H545" s="4">
        <v>0</v>
      </c>
      <c r="K545" s="4">
        <v>0</v>
      </c>
      <c r="N545" s="4">
        <v>0</v>
      </c>
      <c r="O545" s="4">
        <v>0</v>
      </c>
      <c r="P545" s="4" t="str">
        <f t="shared" si="8"/>
        <v>FISCAL.DESC01</v>
      </c>
      <c r="Q545" s="4" t="str">
        <f>VLOOKUP(Cobra8.6[[#This Row],[Table.Column]],ColumnMapping[Old Table.Column],1,)</f>
        <v>FISCAL.DESC01</v>
      </c>
    </row>
    <row r="546" spans="1:17" hidden="1" x14ac:dyDescent="0.2">
      <c r="A546" s="4" t="s">
        <v>2225</v>
      </c>
      <c r="B546" s="4">
        <v>0</v>
      </c>
      <c r="C546" s="4" t="s">
        <v>2225</v>
      </c>
      <c r="D546" s="4" t="s">
        <v>331</v>
      </c>
      <c r="E546" s="4" t="s">
        <v>86</v>
      </c>
      <c r="F546" s="4">
        <v>254</v>
      </c>
      <c r="G546" s="4">
        <v>0</v>
      </c>
      <c r="H546" s="4">
        <v>0</v>
      </c>
      <c r="K546" s="4">
        <v>0</v>
      </c>
      <c r="N546" s="4">
        <v>0</v>
      </c>
      <c r="O546" s="4">
        <v>0</v>
      </c>
      <c r="P546" s="4" t="str">
        <f t="shared" si="8"/>
        <v>FISCAL.DESC02</v>
      </c>
      <c r="Q546" s="4" t="str">
        <f>VLOOKUP(Cobra8.6[[#This Row],[Table.Column]],ColumnMapping[Old Table.Column],1,)</f>
        <v>FISCAL.DESC02</v>
      </c>
    </row>
    <row r="547" spans="1:17" hidden="1" x14ac:dyDescent="0.2">
      <c r="A547" s="4" t="s">
        <v>2225</v>
      </c>
      <c r="B547" s="4">
        <v>0</v>
      </c>
      <c r="C547" s="4" t="s">
        <v>2225</v>
      </c>
      <c r="D547" s="4" t="s">
        <v>332</v>
      </c>
      <c r="E547" s="4" t="s">
        <v>86</v>
      </c>
      <c r="F547" s="4">
        <v>254</v>
      </c>
      <c r="G547" s="4">
        <v>0</v>
      </c>
      <c r="H547" s="4">
        <v>0</v>
      </c>
      <c r="K547" s="4">
        <v>0</v>
      </c>
      <c r="N547" s="4">
        <v>0</v>
      </c>
      <c r="O547" s="4">
        <v>0</v>
      </c>
      <c r="P547" s="4" t="str">
        <f t="shared" si="8"/>
        <v>FISCAL.DESC03</v>
      </c>
      <c r="Q547" s="4" t="str">
        <f>VLOOKUP(Cobra8.6[[#This Row],[Table.Column]],ColumnMapping[Old Table.Column],1,)</f>
        <v>FISCAL.DESC03</v>
      </c>
    </row>
    <row r="548" spans="1:17" hidden="1" x14ac:dyDescent="0.2">
      <c r="A548" s="4" t="s">
        <v>2225</v>
      </c>
      <c r="B548" s="4">
        <v>0</v>
      </c>
      <c r="C548" s="4" t="s">
        <v>2225</v>
      </c>
      <c r="D548" s="4" t="s">
        <v>333</v>
      </c>
      <c r="E548" s="4" t="s">
        <v>86</v>
      </c>
      <c r="F548" s="4">
        <v>254</v>
      </c>
      <c r="G548" s="4">
        <v>0</v>
      </c>
      <c r="H548" s="4">
        <v>0</v>
      </c>
      <c r="K548" s="4">
        <v>0</v>
      </c>
      <c r="N548" s="4">
        <v>0</v>
      </c>
      <c r="O548" s="4">
        <v>0</v>
      </c>
      <c r="P548" s="4" t="str">
        <f t="shared" si="8"/>
        <v>FISCAL.DESC04</v>
      </c>
      <c r="Q548" s="4" t="str">
        <f>VLOOKUP(Cobra8.6[[#This Row],[Table.Column]],ColumnMapping[Old Table.Column],1,)</f>
        <v>FISCAL.DESC04</v>
      </c>
    </row>
    <row r="549" spans="1:17" hidden="1" x14ac:dyDescent="0.2">
      <c r="A549" s="4" t="s">
        <v>2225</v>
      </c>
      <c r="B549" s="4">
        <v>0</v>
      </c>
      <c r="C549" s="4" t="s">
        <v>2225</v>
      </c>
      <c r="D549" s="4" t="s">
        <v>334</v>
      </c>
      <c r="E549" s="4" t="s">
        <v>86</v>
      </c>
      <c r="F549" s="4">
        <v>254</v>
      </c>
      <c r="G549" s="4">
        <v>0</v>
      </c>
      <c r="H549" s="4">
        <v>0</v>
      </c>
      <c r="K549" s="4">
        <v>0</v>
      </c>
      <c r="N549" s="4">
        <v>0</v>
      </c>
      <c r="O549" s="4">
        <v>0</v>
      </c>
      <c r="P549" s="4" t="str">
        <f t="shared" si="8"/>
        <v>FISCAL.DESC05</v>
      </c>
      <c r="Q549" s="4" t="str">
        <f>VLOOKUP(Cobra8.6[[#This Row],[Table.Column]],ColumnMapping[Old Table.Column],1,)</f>
        <v>FISCAL.DESC05</v>
      </c>
    </row>
    <row r="550" spans="1:17" hidden="1" x14ac:dyDescent="0.2">
      <c r="A550" s="4" t="s">
        <v>2225</v>
      </c>
      <c r="B550" s="4">
        <v>0</v>
      </c>
      <c r="C550" s="4" t="s">
        <v>2225</v>
      </c>
      <c r="D550" s="4" t="s">
        <v>335</v>
      </c>
      <c r="E550" s="4" t="s">
        <v>86</v>
      </c>
      <c r="F550" s="4">
        <v>254</v>
      </c>
      <c r="G550" s="4">
        <v>0</v>
      </c>
      <c r="H550" s="4">
        <v>0</v>
      </c>
      <c r="K550" s="4">
        <v>0</v>
      </c>
      <c r="N550" s="4">
        <v>0</v>
      </c>
      <c r="O550" s="4">
        <v>0</v>
      </c>
      <c r="P550" s="4" t="str">
        <f t="shared" si="8"/>
        <v>FISCAL.DESC06</v>
      </c>
      <c r="Q550" s="4" t="str">
        <f>VLOOKUP(Cobra8.6[[#This Row],[Table.Column]],ColumnMapping[Old Table.Column],1,)</f>
        <v>FISCAL.DESC06</v>
      </c>
    </row>
    <row r="551" spans="1:17" hidden="1" x14ac:dyDescent="0.2">
      <c r="A551" s="4" t="s">
        <v>2225</v>
      </c>
      <c r="B551" s="4">
        <v>0</v>
      </c>
      <c r="C551" s="4" t="s">
        <v>2225</v>
      </c>
      <c r="D551" s="4" t="s">
        <v>336</v>
      </c>
      <c r="E551" s="4" t="s">
        <v>86</v>
      </c>
      <c r="F551" s="4">
        <v>254</v>
      </c>
      <c r="G551" s="4">
        <v>0</v>
      </c>
      <c r="H551" s="4">
        <v>0</v>
      </c>
      <c r="K551" s="4">
        <v>0</v>
      </c>
      <c r="N551" s="4">
        <v>0</v>
      </c>
      <c r="O551" s="4">
        <v>0</v>
      </c>
      <c r="P551" s="4" t="str">
        <f t="shared" si="8"/>
        <v>FISCAL.DESC07</v>
      </c>
      <c r="Q551" s="4" t="str">
        <f>VLOOKUP(Cobra8.6[[#This Row],[Table.Column]],ColumnMapping[Old Table.Column],1,)</f>
        <v>FISCAL.DESC07</v>
      </c>
    </row>
    <row r="552" spans="1:17" hidden="1" x14ac:dyDescent="0.2">
      <c r="A552" s="4" t="s">
        <v>2225</v>
      </c>
      <c r="B552" s="4">
        <v>0</v>
      </c>
      <c r="C552" s="4" t="s">
        <v>2225</v>
      </c>
      <c r="D552" s="4" t="s">
        <v>337</v>
      </c>
      <c r="E552" s="4" t="s">
        <v>86</v>
      </c>
      <c r="F552" s="4">
        <v>254</v>
      </c>
      <c r="G552" s="4">
        <v>0</v>
      </c>
      <c r="H552" s="4">
        <v>0</v>
      </c>
      <c r="K552" s="4">
        <v>0</v>
      </c>
      <c r="N552" s="4">
        <v>0</v>
      </c>
      <c r="O552" s="4">
        <v>0</v>
      </c>
      <c r="P552" s="4" t="str">
        <f t="shared" si="8"/>
        <v>FISCAL.DESC08</v>
      </c>
      <c r="Q552" s="4" t="str">
        <f>VLOOKUP(Cobra8.6[[#This Row],[Table.Column]],ColumnMapping[Old Table.Column],1,)</f>
        <v>FISCAL.DESC08</v>
      </c>
    </row>
    <row r="553" spans="1:17" hidden="1" x14ac:dyDescent="0.2">
      <c r="A553" s="4" t="s">
        <v>2225</v>
      </c>
      <c r="B553" s="4">
        <v>0</v>
      </c>
      <c r="C553" s="4" t="s">
        <v>2225</v>
      </c>
      <c r="D553" s="4" t="s">
        <v>338</v>
      </c>
      <c r="E553" s="4" t="s">
        <v>86</v>
      </c>
      <c r="F553" s="4">
        <v>254</v>
      </c>
      <c r="G553" s="4">
        <v>0</v>
      </c>
      <c r="H553" s="4">
        <v>0</v>
      </c>
      <c r="K553" s="4">
        <v>0</v>
      </c>
      <c r="N553" s="4">
        <v>0</v>
      </c>
      <c r="O553" s="4">
        <v>0</v>
      </c>
      <c r="P553" s="4" t="str">
        <f t="shared" si="8"/>
        <v>FISCAL.DESC09</v>
      </c>
      <c r="Q553" s="4" t="str">
        <f>VLOOKUP(Cobra8.6[[#This Row],[Table.Column]],ColumnMapping[Old Table.Column],1,)</f>
        <v>FISCAL.DESC09</v>
      </c>
    </row>
    <row r="554" spans="1:17" hidden="1" x14ac:dyDescent="0.2">
      <c r="A554" s="4" t="s">
        <v>2225</v>
      </c>
      <c r="B554" s="4">
        <v>0</v>
      </c>
      <c r="C554" s="4" t="s">
        <v>2225</v>
      </c>
      <c r="D554" s="4" t="s">
        <v>339</v>
      </c>
      <c r="E554" s="4" t="s">
        <v>86</v>
      </c>
      <c r="F554" s="4">
        <v>254</v>
      </c>
      <c r="G554" s="4">
        <v>0</v>
      </c>
      <c r="H554" s="4">
        <v>0</v>
      </c>
      <c r="K554" s="4">
        <v>0</v>
      </c>
      <c r="N554" s="4">
        <v>0</v>
      </c>
      <c r="O554" s="4">
        <v>0</v>
      </c>
      <c r="P554" s="4" t="str">
        <f t="shared" si="8"/>
        <v>FISCAL.DESC10</v>
      </c>
      <c r="Q554" s="4" t="str">
        <f>VLOOKUP(Cobra8.6[[#This Row],[Table.Column]],ColumnMapping[Old Table.Column],1,)</f>
        <v>FISCAL.DESC10</v>
      </c>
    </row>
    <row r="555" spans="1:17" hidden="1" x14ac:dyDescent="0.2">
      <c r="A555" s="4" t="s">
        <v>2225</v>
      </c>
      <c r="B555" s="4">
        <v>0</v>
      </c>
      <c r="C555" s="4" t="s">
        <v>2225</v>
      </c>
      <c r="D555" s="4" t="s">
        <v>340</v>
      </c>
      <c r="E555" s="4" t="s">
        <v>86</v>
      </c>
      <c r="F555" s="4">
        <v>254</v>
      </c>
      <c r="G555" s="4">
        <v>0</v>
      </c>
      <c r="H555" s="4">
        <v>0</v>
      </c>
      <c r="K555" s="4">
        <v>0</v>
      </c>
      <c r="N555" s="4">
        <v>0</v>
      </c>
      <c r="O555" s="4">
        <v>0</v>
      </c>
      <c r="P555" s="4" t="str">
        <f t="shared" si="8"/>
        <v>FISCAL.DESC11</v>
      </c>
      <c r="Q555" s="4" t="str">
        <f>VLOOKUP(Cobra8.6[[#This Row],[Table.Column]],ColumnMapping[Old Table.Column],1,)</f>
        <v>FISCAL.DESC11</v>
      </c>
    </row>
    <row r="556" spans="1:17" hidden="1" x14ac:dyDescent="0.2">
      <c r="A556" s="4" t="s">
        <v>2225</v>
      </c>
      <c r="B556" s="4">
        <v>0</v>
      </c>
      <c r="C556" s="4" t="s">
        <v>2225</v>
      </c>
      <c r="D556" s="4" t="s">
        <v>341</v>
      </c>
      <c r="E556" s="4" t="s">
        <v>86</v>
      </c>
      <c r="F556" s="4">
        <v>254</v>
      </c>
      <c r="G556" s="4">
        <v>0</v>
      </c>
      <c r="H556" s="4">
        <v>0</v>
      </c>
      <c r="K556" s="4">
        <v>0</v>
      </c>
      <c r="N556" s="4">
        <v>0</v>
      </c>
      <c r="O556" s="4">
        <v>0</v>
      </c>
      <c r="P556" s="4" t="str">
        <f t="shared" si="8"/>
        <v>FISCAL.DESC12</v>
      </c>
      <c r="Q556" s="4" t="str">
        <f>VLOOKUP(Cobra8.6[[#This Row],[Table.Column]],ColumnMapping[Old Table.Column],1,)</f>
        <v>FISCAL.DESC12</v>
      </c>
    </row>
    <row r="557" spans="1:17" hidden="1" x14ac:dyDescent="0.2">
      <c r="A557" s="4" t="s">
        <v>2225</v>
      </c>
      <c r="B557" s="4">
        <v>0</v>
      </c>
      <c r="C557" s="4" t="s">
        <v>2225</v>
      </c>
      <c r="D557" s="4" t="s">
        <v>342</v>
      </c>
      <c r="E557" s="4" t="s">
        <v>86</v>
      </c>
      <c r="F557" s="4">
        <v>254</v>
      </c>
      <c r="G557" s="4">
        <v>0</v>
      </c>
      <c r="H557" s="4">
        <v>0</v>
      </c>
      <c r="K557" s="4">
        <v>0</v>
      </c>
      <c r="N557" s="4">
        <v>0</v>
      </c>
      <c r="O557" s="4">
        <v>0</v>
      </c>
      <c r="P557" s="4" t="str">
        <f t="shared" si="8"/>
        <v>FISCAL.DESC13</v>
      </c>
      <c r="Q557" s="4" t="str">
        <f>VLOOKUP(Cobra8.6[[#This Row],[Table.Column]],ColumnMapping[Old Table.Column],1,)</f>
        <v>FISCAL.DESC13</v>
      </c>
    </row>
    <row r="558" spans="1:17" hidden="1" x14ac:dyDescent="0.2">
      <c r="A558" s="4" t="s">
        <v>2225</v>
      </c>
      <c r="B558" s="4">
        <v>0</v>
      </c>
      <c r="C558" s="4" t="s">
        <v>2225</v>
      </c>
      <c r="D558" s="4" t="s">
        <v>343</v>
      </c>
      <c r="E558" s="4" t="s">
        <v>86</v>
      </c>
      <c r="F558" s="4">
        <v>254</v>
      </c>
      <c r="G558" s="4">
        <v>0</v>
      </c>
      <c r="H558" s="4">
        <v>0</v>
      </c>
      <c r="K558" s="4">
        <v>0</v>
      </c>
      <c r="N558" s="4">
        <v>0</v>
      </c>
      <c r="O558" s="4">
        <v>0</v>
      </c>
      <c r="P558" s="4" t="str">
        <f t="shared" si="8"/>
        <v>FISCAL.DESC14</v>
      </c>
      <c r="Q558" s="4" t="str">
        <f>VLOOKUP(Cobra8.6[[#This Row],[Table.Column]],ColumnMapping[Old Table.Column],1,)</f>
        <v>FISCAL.DESC14</v>
      </c>
    </row>
    <row r="559" spans="1:17" hidden="1" x14ac:dyDescent="0.2">
      <c r="A559" s="4" t="s">
        <v>2225</v>
      </c>
      <c r="B559" s="4">
        <v>0</v>
      </c>
      <c r="C559" s="4" t="s">
        <v>2225</v>
      </c>
      <c r="D559" s="4" t="s">
        <v>344</v>
      </c>
      <c r="E559" s="4" t="s">
        <v>86</v>
      </c>
      <c r="F559" s="4">
        <v>254</v>
      </c>
      <c r="G559" s="4">
        <v>0</v>
      </c>
      <c r="H559" s="4">
        <v>0</v>
      </c>
      <c r="K559" s="4">
        <v>0</v>
      </c>
      <c r="N559" s="4">
        <v>0</v>
      </c>
      <c r="O559" s="4">
        <v>0</v>
      </c>
      <c r="P559" s="4" t="str">
        <f t="shared" si="8"/>
        <v>FISCAL.DESC15</v>
      </c>
      <c r="Q559" s="4" t="str">
        <f>VLOOKUP(Cobra8.6[[#This Row],[Table.Column]],ColumnMapping[Old Table.Column],1,)</f>
        <v>FISCAL.DESC15</v>
      </c>
    </row>
    <row r="560" spans="1:17" hidden="1" x14ac:dyDescent="0.2">
      <c r="A560" s="4" t="s">
        <v>2225</v>
      </c>
      <c r="B560" s="4">
        <v>0</v>
      </c>
      <c r="C560" s="4" t="s">
        <v>2225</v>
      </c>
      <c r="D560" s="4" t="s">
        <v>345</v>
      </c>
      <c r="E560" s="4" t="s">
        <v>86</v>
      </c>
      <c r="F560" s="4">
        <v>254</v>
      </c>
      <c r="G560" s="4">
        <v>0</v>
      </c>
      <c r="H560" s="4">
        <v>0</v>
      </c>
      <c r="K560" s="4">
        <v>0</v>
      </c>
      <c r="N560" s="4">
        <v>0</v>
      </c>
      <c r="O560" s="4">
        <v>0</v>
      </c>
      <c r="P560" s="4" t="str">
        <f t="shared" si="8"/>
        <v>FISCAL.DESC16</v>
      </c>
      <c r="Q560" s="4" t="str">
        <f>VLOOKUP(Cobra8.6[[#This Row],[Table.Column]],ColumnMapping[Old Table.Column],1,)</f>
        <v>FISCAL.DESC16</v>
      </c>
    </row>
    <row r="561" spans="1:17" hidden="1" x14ac:dyDescent="0.2">
      <c r="A561" s="4" t="s">
        <v>2225</v>
      </c>
      <c r="B561" s="4">
        <v>0</v>
      </c>
      <c r="C561" s="4" t="s">
        <v>2225</v>
      </c>
      <c r="D561" s="4" t="s">
        <v>346</v>
      </c>
      <c r="E561" s="4" t="s">
        <v>86</v>
      </c>
      <c r="F561" s="4">
        <v>254</v>
      </c>
      <c r="G561" s="4">
        <v>0</v>
      </c>
      <c r="H561" s="4">
        <v>0</v>
      </c>
      <c r="K561" s="4">
        <v>0</v>
      </c>
      <c r="N561" s="4">
        <v>0</v>
      </c>
      <c r="O561" s="4">
        <v>0</v>
      </c>
      <c r="P561" s="4" t="str">
        <f t="shared" si="8"/>
        <v>FISCAL.DESC17</v>
      </c>
      <c r="Q561" s="4" t="str">
        <f>VLOOKUP(Cobra8.6[[#This Row],[Table.Column]],ColumnMapping[Old Table.Column],1,)</f>
        <v>FISCAL.DESC17</v>
      </c>
    </row>
    <row r="562" spans="1:17" hidden="1" x14ac:dyDescent="0.2">
      <c r="A562" s="4" t="s">
        <v>2225</v>
      </c>
      <c r="B562" s="4">
        <v>0</v>
      </c>
      <c r="C562" s="4" t="s">
        <v>2225</v>
      </c>
      <c r="D562" s="4" t="s">
        <v>347</v>
      </c>
      <c r="E562" s="4" t="s">
        <v>86</v>
      </c>
      <c r="F562" s="4">
        <v>254</v>
      </c>
      <c r="G562" s="4">
        <v>0</v>
      </c>
      <c r="H562" s="4">
        <v>0</v>
      </c>
      <c r="K562" s="4">
        <v>0</v>
      </c>
      <c r="N562" s="4">
        <v>0</v>
      </c>
      <c r="O562" s="4">
        <v>0</v>
      </c>
      <c r="P562" s="4" t="str">
        <f t="shared" si="8"/>
        <v>FISCAL.DESC18</v>
      </c>
      <c r="Q562" s="4" t="str">
        <f>VLOOKUP(Cobra8.6[[#This Row],[Table.Column]],ColumnMapping[Old Table.Column],1,)</f>
        <v>FISCAL.DESC18</v>
      </c>
    </row>
    <row r="563" spans="1:17" hidden="1" x14ac:dyDescent="0.2">
      <c r="A563" s="4" t="s">
        <v>2225</v>
      </c>
      <c r="B563" s="4">
        <v>0</v>
      </c>
      <c r="C563" s="4" t="s">
        <v>2225</v>
      </c>
      <c r="D563" s="4" t="s">
        <v>348</v>
      </c>
      <c r="E563" s="4" t="s">
        <v>86</v>
      </c>
      <c r="F563" s="4">
        <v>254</v>
      </c>
      <c r="G563" s="4">
        <v>0</v>
      </c>
      <c r="H563" s="4">
        <v>0</v>
      </c>
      <c r="K563" s="4">
        <v>0</v>
      </c>
      <c r="N563" s="4">
        <v>0</v>
      </c>
      <c r="O563" s="4">
        <v>0</v>
      </c>
      <c r="P563" s="4" t="str">
        <f t="shared" si="8"/>
        <v>FISCAL.DESC19</v>
      </c>
      <c r="Q563" s="4" t="str">
        <f>VLOOKUP(Cobra8.6[[#This Row],[Table.Column]],ColumnMapping[Old Table.Column],1,)</f>
        <v>FISCAL.DESC19</v>
      </c>
    </row>
    <row r="564" spans="1:17" hidden="1" x14ac:dyDescent="0.2">
      <c r="A564" s="4" t="s">
        <v>2225</v>
      </c>
      <c r="B564" s="4">
        <v>0</v>
      </c>
      <c r="C564" s="4" t="s">
        <v>2225</v>
      </c>
      <c r="D564" s="4" t="s">
        <v>328</v>
      </c>
      <c r="E564" s="4" t="s">
        <v>86</v>
      </c>
      <c r="F564" s="4">
        <v>60</v>
      </c>
      <c r="G564" s="4">
        <v>0</v>
      </c>
      <c r="H564" s="4">
        <v>0</v>
      </c>
      <c r="K564" s="4">
        <v>0</v>
      </c>
      <c r="N564" s="4">
        <v>0</v>
      </c>
      <c r="O564" s="4">
        <v>0</v>
      </c>
      <c r="P564" s="4" t="str">
        <f t="shared" si="8"/>
        <v>FISCAL.DOW_HOURS</v>
      </c>
      <c r="Q564" s="4" t="str">
        <f>VLOOKUP(Cobra8.6[[#This Row],[Table.Column]],ColumnMapping[Old Table.Column],1,)</f>
        <v>FISCAL.DOW_HOURS</v>
      </c>
    </row>
    <row r="565" spans="1:17" hidden="1" x14ac:dyDescent="0.2">
      <c r="A565" s="4" t="s">
        <v>2225</v>
      </c>
      <c r="B565" s="4">
        <v>0</v>
      </c>
      <c r="C565" s="4" t="s">
        <v>2225</v>
      </c>
      <c r="D565" s="4" t="s">
        <v>375</v>
      </c>
      <c r="E565" s="4" t="s">
        <v>86</v>
      </c>
      <c r="F565" s="4">
        <v>22</v>
      </c>
      <c r="G565" s="4">
        <v>0</v>
      </c>
      <c r="H565" s="4">
        <v>0</v>
      </c>
      <c r="K565" s="4">
        <v>0</v>
      </c>
      <c r="N565" s="4">
        <v>0</v>
      </c>
      <c r="O565" s="4">
        <v>0</v>
      </c>
      <c r="P565" s="4" t="str">
        <f t="shared" si="8"/>
        <v>FISCAL.FISCFILE</v>
      </c>
      <c r="Q565" s="4" t="str">
        <f>VLOOKUP(Cobra8.6[[#This Row],[Table.Column]],ColumnMapping[Old Table.Column],1,)</f>
        <v>FISCAL.FISCFILE</v>
      </c>
    </row>
    <row r="566" spans="1:17" hidden="1" x14ac:dyDescent="0.2">
      <c r="A566" s="4" t="s">
        <v>2225</v>
      </c>
      <c r="B566" s="4">
        <v>0</v>
      </c>
      <c r="C566" s="4" t="s">
        <v>2225</v>
      </c>
      <c r="D566" s="4" t="s">
        <v>2111</v>
      </c>
      <c r="E566" s="4" t="s">
        <v>356</v>
      </c>
      <c r="F566" s="4">
        <v>-1</v>
      </c>
      <c r="G566" s="4">
        <v>0</v>
      </c>
      <c r="H566" s="4">
        <v>0</v>
      </c>
      <c r="K566" s="4">
        <v>0</v>
      </c>
      <c r="N566" s="4">
        <v>0</v>
      </c>
      <c r="O566" s="4">
        <v>0</v>
      </c>
      <c r="P566" s="4" t="str">
        <f t="shared" si="8"/>
        <v>FISCAL.LASTUPDATE</v>
      </c>
      <c r="Q566" s="4" t="str">
        <f>VLOOKUP(Cobra8.6[[#This Row],[Table.Column]],ColumnMapping[Old Table.Column],1,)</f>
        <v>FISCAL.LASTUPDATE</v>
      </c>
    </row>
    <row r="567" spans="1:17" hidden="1" x14ac:dyDescent="0.2">
      <c r="A567" s="4" t="s">
        <v>2225</v>
      </c>
      <c r="B567" s="4">
        <v>0</v>
      </c>
      <c r="C567" s="4" t="s">
        <v>2225</v>
      </c>
      <c r="D567" s="4" t="s">
        <v>320</v>
      </c>
      <c r="E567" s="4" t="s">
        <v>86</v>
      </c>
      <c r="F567" s="4">
        <v>254</v>
      </c>
      <c r="G567" s="4">
        <v>0</v>
      </c>
      <c r="H567" s="4">
        <v>0</v>
      </c>
      <c r="K567" s="4">
        <v>0</v>
      </c>
      <c r="N567" s="4">
        <v>0</v>
      </c>
      <c r="O567" s="4">
        <v>0</v>
      </c>
      <c r="P567" s="4" t="str">
        <f t="shared" si="8"/>
        <v>FISCAL.PATTERN</v>
      </c>
      <c r="Q567" s="4" t="str">
        <f>VLOOKUP(Cobra8.6[[#This Row],[Table.Column]],ColumnMapping[Old Table.Column],1,)</f>
        <v>FISCAL.PATTERN</v>
      </c>
    </row>
    <row r="568" spans="1:17" hidden="1" x14ac:dyDescent="0.2">
      <c r="A568" s="4" t="s">
        <v>2225</v>
      </c>
      <c r="B568" s="4">
        <v>0</v>
      </c>
      <c r="C568" s="4" t="s">
        <v>2225</v>
      </c>
      <c r="D568" s="4" t="s">
        <v>35</v>
      </c>
      <c r="E568" s="4" t="s">
        <v>2108</v>
      </c>
      <c r="F568" s="4">
        <v>-1</v>
      </c>
      <c r="G568" s="4">
        <v>0</v>
      </c>
      <c r="H568" s="4">
        <v>0</v>
      </c>
      <c r="K568" s="4">
        <v>0</v>
      </c>
      <c r="N568" s="4">
        <v>0</v>
      </c>
      <c r="O568" s="4">
        <v>0</v>
      </c>
      <c r="P568" s="4" t="str">
        <f t="shared" si="8"/>
        <v>FISCAL.SEQUENCE</v>
      </c>
      <c r="Q568" s="4" t="str">
        <f>VLOOKUP(Cobra8.6[[#This Row],[Table.Column]],ColumnMapping[Old Table.Column],1,)</f>
        <v>FISCAL.SEQUENCE</v>
      </c>
    </row>
    <row r="569" spans="1:17" hidden="1" x14ac:dyDescent="0.2">
      <c r="A569" s="4" t="s">
        <v>2225</v>
      </c>
      <c r="B569" s="4">
        <v>0</v>
      </c>
      <c r="C569" s="4" t="s">
        <v>2225</v>
      </c>
      <c r="D569" s="4" t="s">
        <v>2112</v>
      </c>
      <c r="E569" s="4" t="s">
        <v>86</v>
      </c>
      <c r="F569" s="4">
        <v>20</v>
      </c>
      <c r="G569" s="4">
        <v>0</v>
      </c>
      <c r="H569" s="4">
        <v>0</v>
      </c>
      <c r="K569" s="4">
        <v>0</v>
      </c>
      <c r="N569" s="4">
        <v>0</v>
      </c>
      <c r="O569" s="4">
        <v>0</v>
      </c>
      <c r="P569" s="4" t="str">
        <f t="shared" si="8"/>
        <v>FISCAL.USR_ID</v>
      </c>
      <c r="Q569" s="4" t="str">
        <f>VLOOKUP(Cobra8.6[[#This Row],[Table.Column]],ColumnMapping[Old Table.Column],1,)</f>
        <v>FISCAL.USR_ID</v>
      </c>
    </row>
    <row r="570" spans="1:17" hidden="1" x14ac:dyDescent="0.2">
      <c r="A570" s="4" t="s">
        <v>2226</v>
      </c>
      <c r="B570" s="4">
        <v>0</v>
      </c>
      <c r="C570" s="4" t="s">
        <v>2226</v>
      </c>
      <c r="D570" s="4" t="s">
        <v>376</v>
      </c>
      <c r="E570" s="4" t="s">
        <v>86</v>
      </c>
      <c r="F570" s="4">
        <v>20</v>
      </c>
      <c r="G570" s="4">
        <v>0</v>
      </c>
      <c r="H570" s="4">
        <v>0</v>
      </c>
      <c r="K570" s="4">
        <v>0</v>
      </c>
      <c r="N570" s="4">
        <v>0</v>
      </c>
      <c r="O570" s="4">
        <v>0</v>
      </c>
      <c r="P570" s="4" t="str">
        <f t="shared" si="8"/>
        <v>FISCDETL.FIELD00</v>
      </c>
      <c r="Q570" s="4" t="str">
        <f>VLOOKUP(Cobra8.6[[#This Row],[Table.Column]],ColumnMapping[Old Table.Column],1,)</f>
        <v>FISCDETL.FIELD00</v>
      </c>
    </row>
    <row r="571" spans="1:17" hidden="1" x14ac:dyDescent="0.2">
      <c r="A571" s="4" t="s">
        <v>2226</v>
      </c>
      <c r="B571" s="4">
        <v>0</v>
      </c>
      <c r="C571" s="4" t="s">
        <v>2226</v>
      </c>
      <c r="D571" s="4" t="s">
        <v>377</v>
      </c>
      <c r="E571" s="4" t="s">
        <v>86</v>
      </c>
      <c r="F571" s="4">
        <v>20</v>
      </c>
      <c r="G571" s="4">
        <v>0</v>
      </c>
      <c r="H571" s="4">
        <v>0</v>
      </c>
      <c r="K571" s="4">
        <v>0</v>
      </c>
      <c r="N571" s="4">
        <v>0</v>
      </c>
      <c r="O571" s="4">
        <v>0</v>
      </c>
      <c r="P571" s="4" t="str">
        <f t="shared" si="8"/>
        <v>FISCDETL.FIELD01</v>
      </c>
      <c r="Q571" s="4" t="str">
        <f>VLOOKUP(Cobra8.6[[#This Row],[Table.Column]],ColumnMapping[Old Table.Column],1,)</f>
        <v>FISCDETL.FIELD01</v>
      </c>
    </row>
    <row r="572" spans="1:17" hidden="1" x14ac:dyDescent="0.2">
      <c r="A572" s="4" t="s">
        <v>2226</v>
      </c>
      <c r="B572" s="4">
        <v>0</v>
      </c>
      <c r="C572" s="4" t="s">
        <v>2226</v>
      </c>
      <c r="D572" s="4" t="s">
        <v>378</v>
      </c>
      <c r="E572" s="4" t="s">
        <v>86</v>
      </c>
      <c r="F572" s="4">
        <v>20</v>
      </c>
      <c r="G572" s="4">
        <v>0</v>
      </c>
      <c r="H572" s="4">
        <v>0</v>
      </c>
      <c r="K572" s="4">
        <v>0</v>
      </c>
      <c r="N572" s="4">
        <v>0</v>
      </c>
      <c r="O572" s="4">
        <v>0</v>
      </c>
      <c r="P572" s="4" t="str">
        <f t="shared" si="8"/>
        <v>FISCDETL.FIELD02</v>
      </c>
      <c r="Q572" s="4" t="str">
        <f>VLOOKUP(Cobra8.6[[#This Row],[Table.Column]],ColumnMapping[Old Table.Column],1,)</f>
        <v>FISCDETL.FIELD02</v>
      </c>
    </row>
    <row r="573" spans="1:17" hidden="1" x14ac:dyDescent="0.2">
      <c r="A573" s="4" t="s">
        <v>2226</v>
      </c>
      <c r="B573" s="4">
        <v>0</v>
      </c>
      <c r="C573" s="4" t="s">
        <v>2226</v>
      </c>
      <c r="D573" s="4" t="s">
        <v>379</v>
      </c>
      <c r="E573" s="4" t="s">
        <v>86</v>
      </c>
      <c r="F573" s="4">
        <v>20</v>
      </c>
      <c r="G573" s="4">
        <v>0</v>
      </c>
      <c r="H573" s="4">
        <v>0</v>
      </c>
      <c r="K573" s="4">
        <v>0</v>
      </c>
      <c r="N573" s="4">
        <v>0</v>
      </c>
      <c r="O573" s="4">
        <v>0</v>
      </c>
      <c r="P573" s="4" t="str">
        <f t="shared" si="8"/>
        <v>FISCDETL.FIELD03</v>
      </c>
      <c r="Q573" s="4" t="str">
        <f>VLOOKUP(Cobra8.6[[#This Row],[Table.Column]],ColumnMapping[Old Table.Column],1,)</f>
        <v>FISCDETL.FIELD03</v>
      </c>
    </row>
    <row r="574" spans="1:17" hidden="1" x14ac:dyDescent="0.2">
      <c r="A574" s="4" t="s">
        <v>2226</v>
      </c>
      <c r="B574" s="4">
        <v>0</v>
      </c>
      <c r="C574" s="4" t="s">
        <v>2226</v>
      </c>
      <c r="D574" s="4" t="s">
        <v>380</v>
      </c>
      <c r="E574" s="4" t="s">
        <v>86</v>
      </c>
      <c r="F574" s="4">
        <v>20</v>
      </c>
      <c r="G574" s="4">
        <v>0</v>
      </c>
      <c r="H574" s="4">
        <v>0</v>
      </c>
      <c r="K574" s="4">
        <v>0</v>
      </c>
      <c r="N574" s="4">
        <v>0</v>
      </c>
      <c r="O574" s="4">
        <v>0</v>
      </c>
      <c r="P574" s="4" t="str">
        <f t="shared" si="8"/>
        <v>FISCDETL.FIELD04</v>
      </c>
      <c r="Q574" s="4" t="str">
        <f>VLOOKUP(Cobra8.6[[#This Row],[Table.Column]],ColumnMapping[Old Table.Column],1,)</f>
        <v>FISCDETL.FIELD04</v>
      </c>
    </row>
    <row r="575" spans="1:17" hidden="1" x14ac:dyDescent="0.2">
      <c r="A575" s="4" t="s">
        <v>2226</v>
      </c>
      <c r="B575" s="4">
        <v>0</v>
      </c>
      <c r="C575" s="4" t="s">
        <v>2226</v>
      </c>
      <c r="D575" s="4" t="s">
        <v>381</v>
      </c>
      <c r="E575" s="4" t="s">
        <v>86</v>
      </c>
      <c r="F575" s="4">
        <v>20</v>
      </c>
      <c r="G575" s="4">
        <v>0</v>
      </c>
      <c r="H575" s="4">
        <v>0</v>
      </c>
      <c r="K575" s="4">
        <v>0</v>
      </c>
      <c r="N575" s="4">
        <v>0</v>
      </c>
      <c r="O575" s="4">
        <v>0</v>
      </c>
      <c r="P575" s="4" t="str">
        <f t="shared" si="8"/>
        <v>FISCDETL.FIELD05</v>
      </c>
      <c r="Q575" s="4" t="str">
        <f>VLOOKUP(Cobra8.6[[#This Row],[Table.Column]],ColumnMapping[Old Table.Column],1,)</f>
        <v>FISCDETL.FIELD05</v>
      </c>
    </row>
    <row r="576" spans="1:17" hidden="1" x14ac:dyDescent="0.2">
      <c r="A576" s="4" t="s">
        <v>2226</v>
      </c>
      <c r="B576" s="4">
        <v>0</v>
      </c>
      <c r="C576" s="4" t="s">
        <v>2226</v>
      </c>
      <c r="D576" s="4" t="s">
        <v>382</v>
      </c>
      <c r="E576" s="4" t="s">
        <v>86</v>
      </c>
      <c r="F576" s="4">
        <v>20</v>
      </c>
      <c r="G576" s="4">
        <v>0</v>
      </c>
      <c r="H576" s="4">
        <v>0</v>
      </c>
      <c r="K576" s="4">
        <v>0</v>
      </c>
      <c r="N576" s="4">
        <v>0</v>
      </c>
      <c r="O576" s="4">
        <v>0</v>
      </c>
      <c r="P576" s="4" t="str">
        <f t="shared" si="8"/>
        <v>FISCDETL.FIELD06</v>
      </c>
      <c r="Q576" s="4" t="str">
        <f>VLOOKUP(Cobra8.6[[#This Row],[Table.Column]],ColumnMapping[Old Table.Column],1,)</f>
        <v>FISCDETL.FIELD06</v>
      </c>
    </row>
    <row r="577" spans="1:17" hidden="1" x14ac:dyDescent="0.2">
      <c r="A577" s="4" t="s">
        <v>2226</v>
      </c>
      <c r="B577" s="4">
        <v>0</v>
      </c>
      <c r="C577" s="4" t="s">
        <v>2226</v>
      </c>
      <c r="D577" s="4" t="s">
        <v>383</v>
      </c>
      <c r="E577" s="4" t="s">
        <v>86</v>
      </c>
      <c r="F577" s="4">
        <v>20</v>
      </c>
      <c r="G577" s="4">
        <v>0</v>
      </c>
      <c r="H577" s="4">
        <v>0</v>
      </c>
      <c r="K577" s="4">
        <v>0</v>
      </c>
      <c r="N577" s="4">
        <v>0</v>
      </c>
      <c r="O577" s="4">
        <v>0</v>
      </c>
      <c r="P577" s="4" t="str">
        <f t="shared" si="8"/>
        <v>FISCDETL.FIELD07</v>
      </c>
      <c r="Q577" s="4" t="str">
        <f>VLOOKUP(Cobra8.6[[#This Row],[Table.Column]],ColumnMapping[Old Table.Column],1,)</f>
        <v>FISCDETL.FIELD07</v>
      </c>
    </row>
    <row r="578" spans="1:17" hidden="1" x14ac:dyDescent="0.2">
      <c r="A578" s="4" t="s">
        <v>2226</v>
      </c>
      <c r="B578" s="4">
        <v>0</v>
      </c>
      <c r="C578" s="4" t="s">
        <v>2226</v>
      </c>
      <c r="D578" s="4" t="s">
        <v>384</v>
      </c>
      <c r="E578" s="4" t="s">
        <v>86</v>
      </c>
      <c r="F578" s="4">
        <v>20</v>
      </c>
      <c r="G578" s="4">
        <v>0</v>
      </c>
      <c r="H578" s="4">
        <v>0</v>
      </c>
      <c r="K578" s="4">
        <v>0</v>
      </c>
      <c r="N578" s="4">
        <v>0</v>
      </c>
      <c r="O578" s="4">
        <v>0</v>
      </c>
      <c r="P578" s="4" t="str">
        <f t="shared" ref="P578:P641" si="9">_xlfn.CONCAT(A578,".",D578)</f>
        <v>FISCDETL.FIELD08</v>
      </c>
      <c r="Q578" s="4" t="str">
        <f>VLOOKUP(Cobra8.6[[#This Row],[Table.Column]],ColumnMapping[Old Table.Column],1,)</f>
        <v>FISCDETL.FIELD08</v>
      </c>
    </row>
    <row r="579" spans="1:17" hidden="1" x14ac:dyDescent="0.2">
      <c r="A579" s="4" t="s">
        <v>2226</v>
      </c>
      <c r="B579" s="4">
        <v>0</v>
      </c>
      <c r="C579" s="4" t="s">
        <v>2226</v>
      </c>
      <c r="D579" s="4" t="s">
        <v>385</v>
      </c>
      <c r="E579" s="4" t="s">
        <v>86</v>
      </c>
      <c r="F579" s="4">
        <v>20</v>
      </c>
      <c r="G579" s="4">
        <v>0</v>
      </c>
      <c r="H579" s="4">
        <v>0</v>
      </c>
      <c r="K579" s="4">
        <v>0</v>
      </c>
      <c r="N579" s="4">
        <v>0</v>
      </c>
      <c r="O579" s="4">
        <v>0</v>
      </c>
      <c r="P579" s="4" t="str">
        <f t="shared" si="9"/>
        <v>FISCDETL.FIELD09</v>
      </c>
      <c r="Q579" s="4" t="str">
        <f>VLOOKUP(Cobra8.6[[#This Row],[Table.Column]],ColumnMapping[Old Table.Column],1,)</f>
        <v>FISCDETL.FIELD09</v>
      </c>
    </row>
    <row r="580" spans="1:17" hidden="1" x14ac:dyDescent="0.2">
      <c r="A580" s="4" t="s">
        <v>2226</v>
      </c>
      <c r="B580" s="4">
        <v>0</v>
      </c>
      <c r="C580" s="4" t="s">
        <v>2226</v>
      </c>
      <c r="D580" s="4" t="s">
        <v>386</v>
      </c>
      <c r="E580" s="4" t="s">
        <v>86</v>
      </c>
      <c r="F580" s="4">
        <v>20</v>
      </c>
      <c r="G580" s="4">
        <v>0</v>
      </c>
      <c r="H580" s="4">
        <v>0</v>
      </c>
      <c r="K580" s="4">
        <v>0</v>
      </c>
      <c r="N580" s="4">
        <v>0</v>
      </c>
      <c r="O580" s="4">
        <v>0</v>
      </c>
      <c r="P580" s="4" t="str">
        <f t="shared" si="9"/>
        <v>FISCDETL.FIELD10</v>
      </c>
      <c r="Q580" s="4" t="str">
        <f>VLOOKUP(Cobra8.6[[#This Row],[Table.Column]],ColumnMapping[Old Table.Column],1,)</f>
        <v>FISCDETL.FIELD10</v>
      </c>
    </row>
    <row r="581" spans="1:17" hidden="1" x14ac:dyDescent="0.2">
      <c r="A581" s="4" t="s">
        <v>2226</v>
      </c>
      <c r="B581" s="4">
        <v>0</v>
      </c>
      <c r="C581" s="4" t="s">
        <v>2226</v>
      </c>
      <c r="D581" s="4" t="s">
        <v>387</v>
      </c>
      <c r="E581" s="4" t="s">
        <v>86</v>
      </c>
      <c r="F581" s="4">
        <v>20</v>
      </c>
      <c r="G581" s="4">
        <v>0</v>
      </c>
      <c r="H581" s="4">
        <v>0</v>
      </c>
      <c r="K581" s="4">
        <v>0</v>
      </c>
      <c r="N581" s="4">
        <v>0</v>
      </c>
      <c r="O581" s="4">
        <v>0</v>
      </c>
      <c r="P581" s="4" t="str">
        <f t="shared" si="9"/>
        <v>FISCDETL.FIELD11</v>
      </c>
      <c r="Q581" s="4" t="str">
        <f>VLOOKUP(Cobra8.6[[#This Row],[Table.Column]],ColumnMapping[Old Table.Column],1,)</f>
        <v>FISCDETL.FIELD11</v>
      </c>
    </row>
    <row r="582" spans="1:17" hidden="1" x14ac:dyDescent="0.2">
      <c r="A582" s="4" t="s">
        <v>2226</v>
      </c>
      <c r="B582" s="4">
        <v>0</v>
      </c>
      <c r="C582" s="4" t="s">
        <v>2226</v>
      </c>
      <c r="D582" s="4" t="s">
        <v>388</v>
      </c>
      <c r="E582" s="4" t="s">
        <v>86</v>
      </c>
      <c r="F582" s="4">
        <v>20</v>
      </c>
      <c r="G582" s="4">
        <v>0</v>
      </c>
      <c r="H582" s="4">
        <v>0</v>
      </c>
      <c r="K582" s="4">
        <v>0</v>
      </c>
      <c r="N582" s="4">
        <v>0</v>
      </c>
      <c r="O582" s="4">
        <v>0</v>
      </c>
      <c r="P582" s="4" t="str">
        <f t="shared" si="9"/>
        <v>FISCDETL.FIELD12</v>
      </c>
      <c r="Q582" s="4" t="str">
        <f>VLOOKUP(Cobra8.6[[#This Row],[Table.Column]],ColumnMapping[Old Table.Column],1,)</f>
        <v>FISCDETL.FIELD12</v>
      </c>
    </row>
    <row r="583" spans="1:17" hidden="1" x14ac:dyDescent="0.2">
      <c r="A583" s="4" t="s">
        <v>2226</v>
      </c>
      <c r="B583" s="4">
        <v>0</v>
      </c>
      <c r="C583" s="4" t="s">
        <v>2226</v>
      </c>
      <c r="D583" s="4" t="s">
        <v>389</v>
      </c>
      <c r="E583" s="4" t="s">
        <v>86</v>
      </c>
      <c r="F583" s="4">
        <v>20</v>
      </c>
      <c r="G583" s="4">
        <v>0</v>
      </c>
      <c r="H583" s="4">
        <v>0</v>
      </c>
      <c r="K583" s="4">
        <v>0</v>
      </c>
      <c r="N583" s="4">
        <v>0</v>
      </c>
      <c r="O583" s="4">
        <v>0</v>
      </c>
      <c r="P583" s="4" t="str">
        <f t="shared" si="9"/>
        <v>FISCDETL.FIELD13</v>
      </c>
      <c r="Q583" s="4" t="str">
        <f>VLOOKUP(Cobra8.6[[#This Row],[Table.Column]],ColumnMapping[Old Table.Column],1,)</f>
        <v>FISCDETL.FIELD13</v>
      </c>
    </row>
    <row r="584" spans="1:17" hidden="1" x14ac:dyDescent="0.2">
      <c r="A584" s="4" t="s">
        <v>2226</v>
      </c>
      <c r="B584" s="4">
        <v>0</v>
      </c>
      <c r="C584" s="4" t="s">
        <v>2226</v>
      </c>
      <c r="D584" s="4" t="s">
        <v>390</v>
      </c>
      <c r="E584" s="4" t="s">
        <v>86</v>
      </c>
      <c r="F584" s="4">
        <v>20</v>
      </c>
      <c r="G584" s="4">
        <v>0</v>
      </c>
      <c r="H584" s="4">
        <v>0</v>
      </c>
      <c r="K584" s="4">
        <v>0</v>
      </c>
      <c r="N584" s="4">
        <v>0</v>
      </c>
      <c r="O584" s="4">
        <v>0</v>
      </c>
      <c r="P584" s="4" t="str">
        <f t="shared" si="9"/>
        <v>FISCDETL.FIELD14</v>
      </c>
      <c r="Q584" s="4" t="str">
        <f>VLOOKUP(Cobra8.6[[#This Row],[Table.Column]],ColumnMapping[Old Table.Column],1,)</f>
        <v>FISCDETL.FIELD14</v>
      </c>
    </row>
    <row r="585" spans="1:17" hidden="1" x14ac:dyDescent="0.2">
      <c r="A585" s="4" t="s">
        <v>2226</v>
      </c>
      <c r="B585" s="4">
        <v>0</v>
      </c>
      <c r="C585" s="4" t="s">
        <v>2226</v>
      </c>
      <c r="D585" s="4" t="s">
        <v>391</v>
      </c>
      <c r="E585" s="4" t="s">
        <v>86</v>
      </c>
      <c r="F585" s="4">
        <v>20</v>
      </c>
      <c r="G585" s="4">
        <v>0</v>
      </c>
      <c r="H585" s="4">
        <v>0</v>
      </c>
      <c r="K585" s="4">
        <v>0</v>
      </c>
      <c r="N585" s="4">
        <v>0</v>
      </c>
      <c r="O585" s="4">
        <v>0</v>
      </c>
      <c r="P585" s="4" t="str">
        <f t="shared" si="9"/>
        <v>FISCDETL.FIELD15</v>
      </c>
      <c r="Q585" s="4" t="str">
        <f>VLOOKUP(Cobra8.6[[#This Row],[Table.Column]],ColumnMapping[Old Table.Column],1,)</f>
        <v>FISCDETL.FIELD15</v>
      </c>
    </row>
    <row r="586" spans="1:17" hidden="1" x14ac:dyDescent="0.2">
      <c r="A586" s="4" t="s">
        <v>2226</v>
      </c>
      <c r="B586" s="4">
        <v>0</v>
      </c>
      <c r="C586" s="4" t="s">
        <v>2226</v>
      </c>
      <c r="D586" s="4" t="s">
        <v>392</v>
      </c>
      <c r="E586" s="4" t="s">
        <v>86</v>
      </c>
      <c r="F586" s="4">
        <v>20</v>
      </c>
      <c r="G586" s="4">
        <v>0</v>
      </c>
      <c r="H586" s="4">
        <v>0</v>
      </c>
      <c r="K586" s="4">
        <v>0</v>
      </c>
      <c r="N586" s="4">
        <v>0</v>
      </c>
      <c r="O586" s="4">
        <v>0</v>
      </c>
      <c r="P586" s="4" t="str">
        <f t="shared" si="9"/>
        <v>FISCDETL.FIELD16</v>
      </c>
      <c r="Q586" s="4" t="str">
        <f>VLOOKUP(Cobra8.6[[#This Row],[Table.Column]],ColumnMapping[Old Table.Column],1,)</f>
        <v>FISCDETL.FIELD16</v>
      </c>
    </row>
    <row r="587" spans="1:17" hidden="1" x14ac:dyDescent="0.2">
      <c r="A587" s="4" t="s">
        <v>2226</v>
      </c>
      <c r="B587" s="4">
        <v>0</v>
      </c>
      <c r="C587" s="4" t="s">
        <v>2226</v>
      </c>
      <c r="D587" s="4" t="s">
        <v>393</v>
      </c>
      <c r="E587" s="4" t="s">
        <v>86</v>
      </c>
      <c r="F587" s="4">
        <v>20</v>
      </c>
      <c r="G587" s="4">
        <v>0</v>
      </c>
      <c r="H587" s="4">
        <v>0</v>
      </c>
      <c r="K587" s="4">
        <v>0</v>
      </c>
      <c r="N587" s="4">
        <v>0</v>
      </c>
      <c r="O587" s="4">
        <v>0</v>
      </c>
      <c r="P587" s="4" t="str">
        <f t="shared" si="9"/>
        <v>FISCDETL.FIELD17</v>
      </c>
      <c r="Q587" s="4" t="str">
        <f>VLOOKUP(Cobra8.6[[#This Row],[Table.Column]],ColumnMapping[Old Table.Column],1,)</f>
        <v>FISCDETL.FIELD17</v>
      </c>
    </row>
    <row r="588" spans="1:17" hidden="1" x14ac:dyDescent="0.2">
      <c r="A588" s="4" t="s">
        <v>2226</v>
      </c>
      <c r="B588" s="4">
        <v>0</v>
      </c>
      <c r="C588" s="4" t="s">
        <v>2226</v>
      </c>
      <c r="D588" s="4" t="s">
        <v>394</v>
      </c>
      <c r="E588" s="4" t="s">
        <v>86</v>
      </c>
      <c r="F588" s="4">
        <v>20</v>
      </c>
      <c r="G588" s="4">
        <v>0</v>
      </c>
      <c r="H588" s="4">
        <v>0</v>
      </c>
      <c r="K588" s="4">
        <v>0</v>
      </c>
      <c r="N588" s="4">
        <v>0</v>
      </c>
      <c r="O588" s="4">
        <v>0</v>
      </c>
      <c r="P588" s="4" t="str">
        <f t="shared" si="9"/>
        <v>FISCDETL.FIELD18</v>
      </c>
      <c r="Q588" s="4" t="str">
        <f>VLOOKUP(Cobra8.6[[#This Row],[Table.Column]],ColumnMapping[Old Table.Column],1,)</f>
        <v>FISCDETL.FIELD18</v>
      </c>
    </row>
    <row r="589" spans="1:17" hidden="1" x14ac:dyDescent="0.2">
      <c r="A589" s="4" t="s">
        <v>2226</v>
      </c>
      <c r="B589" s="4">
        <v>0</v>
      </c>
      <c r="C589" s="4" t="s">
        <v>2226</v>
      </c>
      <c r="D589" s="4" t="s">
        <v>395</v>
      </c>
      <c r="E589" s="4" t="s">
        <v>86</v>
      </c>
      <c r="F589" s="4">
        <v>20</v>
      </c>
      <c r="G589" s="4">
        <v>0</v>
      </c>
      <c r="H589" s="4">
        <v>0</v>
      </c>
      <c r="K589" s="4">
        <v>0</v>
      </c>
      <c r="N589" s="4">
        <v>0</v>
      </c>
      <c r="O589" s="4">
        <v>0</v>
      </c>
      <c r="P589" s="4" t="str">
        <f t="shared" si="9"/>
        <v>FISCDETL.FIELD19</v>
      </c>
      <c r="Q589" s="4" t="str">
        <f>VLOOKUP(Cobra8.6[[#This Row],[Table.Column]],ColumnMapping[Old Table.Column],1,)</f>
        <v>FISCDETL.FIELD19</v>
      </c>
    </row>
    <row r="590" spans="1:17" hidden="1" x14ac:dyDescent="0.2">
      <c r="A590" s="4" t="s">
        <v>2226</v>
      </c>
      <c r="B590" s="4">
        <v>0</v>
      </c>
      <c r="C590" s="4" t="s">
        <v>2226</v>
      </c>
      <c r="D590" s="4" t="s">
        <v>2227</v>
      </c>
      <c r="E590" s="4" t="s">
        <v>86</v>
      </c>
      <c r="F590" s="4">
        <v>1</v>
      </c>
      <c r="G590" s="4">
        <v>0</v>
      </c>
      <c r="H590" s="4">
        <v>0</v>
      </c>
      <c r="K590" s="4">
        <v>0</v>
      </c>
      <c r="N590" s="4">
        <v>0</v>
      </c>
      <c r="O590" s="4">
        <v>0</v>
      </c>
      <c r="P590" s="4" t="str">
        <f t="shared" si="9"/>
        <v>FISCDETL.FLAG00</v>
      </c>
      <c r="Q590" s="4" t="e">
        <f>VLOOKUP(Cobra8.6[[#This Row],[Table.Column]],ColumnMapping[Old Table.Column],1,)</f>
        <v>#N/A</v>
      </c>
    </row>
    <row r="591" spans="1:17" hidden="1" x14ac:dyDescent="0.2">
      <c r="A591" s="4" t="s">
        <v>2226</v>
      </c>
      <c r="B591" s="4">
        <v>0</v>
      </c>
      <c r="C591" s="4" t="s">
        <v>2226</v>
      </c>
      <c r="D591" s="4" t="s">
        <v>396</v>
      </c>
      <c r="E591" s="4" t="s">
        <v>86</v>
      </c>
      <c r="F591" s="4">
        <v>1</v>
      </c>
      <c r="G591" s="4">
        <v>0</v>
      </c>
      <c r="H591" s="4">
        <v>0</v>
      </c>
      <c r="K591" s="4">
        <v>0</v>
      </c>
      <c r="N591" s="4">
        <v>0</v>
      </c>
      <c r="O591" s="4">
        <v>0</v>
      </c>
      <c r="P591" s="4" t="str">
        <f t="shared" si="9"/>
        <v>FISCDETL.FLAG01</v>
      </c>
      <c r="Q591" s="4" t="str">
        <f>VLOOKUP(Cobra8.6[[#This Row],[Table.Column]],ColumnMapping[Old Table.Column],1,)</f>
        <v>FISCDETL.FLAG01</v>
      </c>
    </row>
    <row r="592" spans="1:17" hidden="1" x14ac:dyDescent="0.2">
      <c r="A592" s="4" t="s">
        <v>2226</v>
      </c>
      <c r="B592" s="4">
        <v>0</v>
      </c>
      <c r="C592" s="4" t="s">
        <v>2226</v>
      </c>
      <c r="D592" s="4" t="s">
        <v>397</v>
      </c>
      <c r="E592" s="4" t="s">
        <v>86</v>
      </c>
      <c r="F592" s="4">
        <v>1</v>
      </c>
      <c r="G592" s="4">
        <v>0</v>
      </c>
      <c r="H592" s="4">
        <v>0</v>
      </c>
      <c r="K592" s="4">
        <v>0</v>
      </c>
      <c r="N592" s="4">
        <v>0</v>
      </c>
      <c r="O592" s="4">
        <v>0</v>
      </c>
      <c r="P592" s="4" t="str">
        <f t="shared" si="9"/>
        <v>FISCDETL.FLAG02</v>
      </c>
      <c r="Q592" s="4" t="str">
        <f>VLOOKUP(Cobra8.6[[#This Row],[Table.Column]],ColumnMapping[Old Table.Column],1,)</f>
        <v>FISCDETL.FLAG02</v>
      </c>
    </row>
    <row r="593" spans="1:17" hidden="1" x14ac:dyDescent="0.2">
      <c r="A593" s="4" t="s">
        <v>2226</v>
      </c>
      <c r="B593" s="4">
        <v>0</v>
      </c>
      <c r="C593" s="4" t="s">
        <v>2226</v>
      </c>
      <c r="D593" s="4" t="s">
        <v>398</v>
      </c>
      <c r="E593" s="4" t="s">
        <v>86</v>
      </c>
      <c r="F593" s="4">
        <v>1</v>
      </c>
      <c r="G593" s="4">
        <v>0</v>
      </c>
      <c r="H593" s="4">
        <v>0</v>
      </c>
      <c r="K593" s="4">
        <v>0</v>
      </c>
      <c r="N593" s="4">
        <v>0</v>
      </c>
      <c r="O593" s="4">
        <v>0</v>
      </c>
      <c r="P593" s="4" t="str">
        <f t="shared" si="9"/>
        <v>FISCDETL.FLAG03</v>
      </c>
      <c r="Q593" s="4" t="str">
        <f>VLOOKUP(Cobra8.6[[#This Row],[Table.Column]],ColumnMapping[Old Table.Column],1,)</f>
        <v>FISCDETL.FLAG03</v>
      </c>
    </row>
    <row r="594" spans="1:17" hidden="1" x14ac:dyDescent="0.2">
      <c r="A594" s="4" t="s">
        <v>2226</v>
      </c>
      <c r="B594" s="4">
        <v>0</v>
      </c>
      <c r="C594" s="4" t="s">
        <v>2226</v>
      </c>
      <c r="D594" s="4" t="s">
        <v>399</v>
      </c>
      <c r="E594" s="4" t="s">
        <v>86</v>
      </c>
      <c r="F594" s="4">
        <v>1</v>
      </c>
      <c r="G594" s="4">
        <v>0</v>
      </c>
      <c r="H594" s="4">
        <v>0</v>
      </c>
      <c r="K594" s="4">
        <v>0</v>
      </c>
      <c r="N594" s="4">
        <v>0</v>
      </c>
      <c r="O594" s="4">
        <v>0</v>
      </c>
      <c r="P594" s="4" t="str">
        <f t="shared" si="9"/>
        <v>FISCDETL.FLAG04</v>
      </c>
      <c r="Q594" s="4" t="str">
        <f>VLOOKUP(Cobra8.6[[#This Row],[Table.Column]],ColumnMapping[Old Table.Column],1,)</f>
        <v>FISCDETL.FLAG04</v>
      </c>
    </row>
    <row r="595" spans="1:17" hidden="1" x14ac:dyDescent="0.2">
      <c r="A595" s="4" t="s">
        <v>2226</v>
      </c>
      <c r="B595" s="4">
        <v>0</v>
      </c>
      <c r="C595" s="4" t="s">
        <v>2226</v>
      </c>
      <c r="D595" s="4" t="s">
        <v>400</v>
      </c>
      <c r="E595" s="4" t="s">
        <v>86</v>
      </c>
      <c r="F595" s="4">
        <v>1</v>
      </c>
      <c r="G595" s="4">
        <v>0</v>
      </c>
      <c r="H595" s="4">
        <v>0</v>
      </c>
      <c r="K595" s="4">
        <v>0</v>
      </c>
      <c r="N595" s="4">
        <v>0</v>
      </c>
      <c r="O595" s="4">
        <v>0</v>
      </c>
      <c r="P595" s="4" t="str">
        <f t="shared" si="9"/>
        <v>FISCDETL.FLAG05</v>
      </c>
      <c r="Q595" s="4" t="str">
        <f>VLOOKUP(Cobra8.6[[#This Row],[Table.Column]],ColumnMapping[Old Table.Column],1,)</f>
        <v>FISCDETL.FLAG05</v>
      </c>
    </row>
    <row r="596" spans="1:17" hidden="1" x14ac:dyDescent="0.2">
      <c r="A596" s="4" t="s">
        <v>2226</v>
      </c>
      <c r="B596" s="4">
        <v>0</v>
      </c>
      <c r="C596" s="4" t="s">
        <v>2226</v>
      </c>
      <c r="D596" s="4" t="s">
        <v>401</v>
      </c>
      <c r="E596" s="4" t="s">
        <v>86</v>
      </c>
      <c r="F596" s="4">
        <v>1</v>
      </c>
      <c r="G596" s="4">
        <v>0</v>
      </c>
      <c r="H596" s="4">
        <v>0</v>
      </c>
      <c r="K596" s="4">
        <v>0</v>
      </c>
      <c r="N596" s="4">
        <v>0</v>
      </c>
      <c r="O596" s="4">
        <v>0</v>
      </c>
      <c r="P596" s="4" t="str">
        <f t="shared" si="9"/>
        <v>FISCDETL.FLAG06</v>
      </c>
      <c r="Q596" s="4" t="str">
        <f>VLOOKUP(Cobra8.6[[#This Row],[Table.Column]],ColumnMapping[Old Table.Column],1,)</f>
        <v>FISCDETL.FLAG06</v>
      </c>
    </row>
    <row r="597" spans="1:17" hidden="1" x14ac:dyDescent="0.2">
      <c r="A597" s="4" t="s">
        <v>2226</v>
      </c>
      <c r="B597" s="4">
        <v>0</v>
      </c>
      <c r="C597" s="4" t="s">
        <v>2226</v>
      </c>
      <c r="D597" s="4" t="s">
        <v>402</v>
      </c>
      <c r="E597" s="4" t="s">
        <v>86</v>
      </c>
      <c r="F597" s="4">
        <v>1</v>
      </c>
      <c r="G597" s="4">
        <v>0</v>
      </c>
      <c r="H597" s="4">
        <v>0</v>
      </c>
      <c r="K597" s="4">
        <v>0</v>
      </c>
      <c r="N597" s="4">
        <v>0</v>
      </c>
      <c r="O597" s="4">
        <v>0</v>
      </c>
      <c r="P597" s="4" t="str">
        <f t="shared" si="9"/>
        <v>FISCDETL.FLAG07</v>
      </c>
      <c r="Q597" s="4" t="str">
        <f>VLOOKUP(Cobra8.6[[#This Row],[Table.Column]],ColumnMapping[Old Table.Column],1,)</f>
        <v>FISCDETL.FLAG07</v>
      </c>
    </row>
    <row r="598" spans="1:17" hidden="1" x14ac:dyDescent="0.2">
      <c r="A598" s="4" t="s">
        <v>2226</v>
      </c>
      <c r="B598" s="4">
        <v>0</v>
      </c>
      <c r="C598" s="4" t="s">
        <v>2226</v>
      </c>
      <c r="D598" s="4" t="s">
        <v>403</v>
      </c>
      <c r="E598" s="4" t="s">
        <v>86</v>
      </c>
      <c r="F598" s="4">
        <v>1</v>
      </c>
      <c r="G598" s="4">
        <v>0</v>
      </c>
      <c r="H598" s="4">
        <v>0</v>
      </c>
      <c r="K598" s="4">
        <v>0</v>
      </c>
      <c r="N598" s="4">
        <v>0</v>
      </c>
      <c r="O598" s="4">
        <v>0</v>
      </c>
      <c r="P598" s="4" t="str">
        <f t="shared" si="9"/>
        <v>FISCDETL.FLAG08</v>
      </c>
      <c r="Q598" s="4" t="str">
        <f>VLOOKUP(Cobra8.6[[#This Row],[Table.Column]],ColumnMapping[Old Table.Column],1,)</f>
        <v>FISCDETL.FLAG08</v>
      </c>
    </row>
    <row r="599" spans="1:17" hidden="1" x14ac:dyDescent="0.2">
      <c r="A599" s="4" t="s">
        <v>2226</v>
      </c>
      <c r="B599" s="4">
        <v>0</v>
      </c>
      <c r="C599" s="4" t="s">
        <v>2226</v>
      </c>
      <c r="D599" s="4" t="s">
        <v>404</v>
      </c>
      <c r="E599" s="4" t="s">
        <v>86</v>
      </c>
      <c r="F599" s="4">
        <v>1</v>
      </c>
      <c r="G599" s="4">
        <v>0</v>
      </c>
      <c r="H599" s="4">
        <v>0</v>
      </c>
      <c r="K599" s="4">
        <v>0</v>
      </c>
      <c r="N599" s="4">
        <v>0</v>
      </c>
      <c r="O599" s="4">
        <v>0</v>
      </c>
      <c r="P599" s="4" t="str">
        <f t="shared" si="9"/>
        <v>FISCDETL.FLAG09</v>
      </c>
      <c r="Q599" s="4" t="str">
        <f>VLOOKUP(Cobra8.6[[#This Row],[Table.Column]],ColumnMapping[Old Table.Column],1,)</f>
        <v>FISCDETL.FLAG09</v>
      </c>
    </row>
    <row r="600" spans="1:17" hidden="1" x14ac:dyDescent="0.2">
      <c r="A600" s="4" t="s">
        <v>2226</v>
      </c>
      <c r="B600" s="4">
        <v>0</v>
      </c>
      <c r="C600" s="4" t="s">
        <v>2226</v>
      </c>
      <c r="D600" s="4" t="s">
        <v>405</v>
      </c>
      <c r="E600" s="4" t="s">
        <v>86</v>
      </c>
      <c r="F600" s="4">
        <v>1</v>
      </c>
      <c r="G600" s="4">
        <v>0</v>
      </c>
      <c r="H600" s="4">
        <v>0</v>
      </c>
      <c r="K600" s="4">
        <v>0</v>
      </c>
      <c r="N600" s="4">
        <v>0</v>
      </c>
      <c r="O600" s="4">
        <v>0</v>
      </c>
      <c r="P600" s="4" t="str">
        <f t="shared" si="9"/>
        <v>FISCDETL.FLAG10</v>
      </c>
      <c r="Q600" s="4" t="str">
        <f>VLOOKUP(Cobra8.6[[#This Row],[Table.Column]],ColumnMapping[Old Table.Column],1,)</f>
        <v>FISCDETL.FLAG10</v>
      </c>
    </row>
    <row r="601" spans="1:17" hidden="1" x14ac:dyDescent="0.2">
      <c r="A601" s="4" t="s">
        <v>2226</v>
      </c>
      <c r="B601" s="4">
        <v>0</v>
      </c>
      <c r="C601" s="4" t="s">
        <v>2226</v>
      </c>
      <c r="D601" s="4" t="s">
        <v>406</v>
      </c>
      <c r="E601" s="4" t="s">
        <v>86</v>
      </c>
      <c r="F601" s="4">
        <v>1</v>
      </c>
      <c r="G601" s="4">
        <v>0</v>
      </c>
      <c r="H601" s="4">
        <v>0</v>
      </c>
      <c r="K601" s="4">
        <v>0</v>
      </c>
      <c r="N601" s="4">
        <v>0</v>
      </c>
      <c r="O601" s="4">
        <v>0</v>
      </c>
      <c r="P601" s="4" t="str">
        <f t="shared" si="9"/>
        <v>FISCDETL.FLAG11</v>
      </c>
      <c r="Q601" s="4" t="str">
        <f>VLOOKUP(Cobra8.6[[#This Row],[Table.Column]],ColumnMapping[Old Table.Column],1,)</f>
        <v>FISCDETL.FLAG11</v>
      </c>
    </row>
    <row r="602" spans="1:17" hidden="1" x14ac:dyDescent="0.2">
      <c r="A602" s="4" t="s">
        <v>2226</v>
      </c>
      <c r="B602" s="4">
        <v>0</v>
      </c>
      <c r="C602" s="4" t="s">
        <v>2226</v>
      </c>
      <c r="D602" s="4" t="s">
        <v>407</v>
      </c>
      <c r="E602" s="4" t="s">
        <v>86</v>
      </c>
      <c r="F602" s="4">
        <v>1</v>
      </c>
      <c r="G602" s="4">
        <v>0</v>
      </c>
      <c r="H602" s="4">
        <v>0</v>
      </c>
      <c r="K602" s="4">
        <v>0</v>
      </c>
      <c r="N602" s="4">
        <v>0</v>
      </c>
      <c r="O602" s="4">
        <v>0</v>
      </c>
      <c r="P602" s="4" t="str">
        <f t="shared" si="9"/>
        <v>FISCDETL.FLAG12</v>
      </c>
      <c r="Q602" s="4" t="str">
        <f>VLOOKUP(Cobra8.6[[#This Row],[Table.Column]],ColumnMapping[Old Table.Column],1,)</f>
        <v>FISCDETL.FLAG12</v>
      </c>
    </row>
    <row r="603" spans="1:17" hidden="1" x14ac:dyDescent="0.2">
      <c r="A603" s="4" t="s">
        <v>2226</v>
      </c>
      <c r="B603" s="4">
        <v>0</v>
      </c>
      <c r="C603" s="4" t="s">
        <v>2226</v>
      </c>
      <c r="D603" s="4" t="s">
        <v>408</v>
      </c>
      <c r="E603" s="4" t="s">
        <v>86</v>
      </c>
      <c r="F603" s="4">
        <v>1</v>
      </c>
      <c r="G603" s="4">
        <v>0</v>
      </c>
      <c r="H603" s="4">
        <v>0</v>
      </c>
      <c r="K603" s="4">
        <v>0</v>
      </c>
      <c r="N603" s="4">
        <v>0</v>
      </c>
      <c r="O603" s="4">
        <v>0</v>
      </c>
      <c r="P603" s="4" t="str">
        <f t="shared" si="9"/>
        <v>FISCDETL.FLAG13</v>
      </c>
      <c r="Q603" s="4" t="str">
        <f>VLOOKUP(Cobra8.6[[#This Row],[Table.Column]],ColumnMapping[Old Table.Column],1,)</f>
        <v>FISCDETL.FLAG13</v>
      </c>
    </row>
    <row r="604" spans="1:17" hidden="1" x14ac:dyDescent="0.2">
      <c r="A604" s="4" t="s">
        <v>2226</v>
      </c>
      <c r="B604" s="4">
        <v>0</v>
      </c>
      <c r="C604" s="4" t="s">
        <v>2226</v>
      </c>
      <c r="D604" s="4" t="s">
        <v>409</v>
      </c>
      <c r="E604" s="4" t="s">
        <v>86</v>
      </c>
      <c r="F604" s="4">
        <v>1</v>
      </c>
      <c r="G604" s="4">
        <v>0</v>
      </c>
      <c r="H604" s="4">
        <v>0</v>
      </c>
      <c r="K604" s="4">
        <v>0</v>
      </c>
      <c r="N604" s="4">
        <v>0</v>
      </c>
      <c r="O604" s="4">
        <v>0</v>
      </c>
      <c r="P604" s="4" t="str">
        <f t="shared" si="9"/>
        <v>FISCDETL.FLAG14</v>
      </c>
      <c r="Q604" s="4" t="str">
        <f>VLOOKUP(Cobra8.6[[#This Row],[Table.Column]],ColumnMapping[Old Table.Column],1,)</f>
        <v>FISCDETL.FLAG14</v>
      </c>
    </row>
    <row r="605" spans="1:17" hidden="1" x14ac:dyDescent="0.2">
      <c r="A605" s="4" t="s">
        <v>2226</v>
      </c>
      <c r="B605" s="4">
        <v>0</v>
      </c>
      <c r="C605" s="4" t="s">
        <v>2226</v>
      </c>
      <c r="D605" s="4" t="s">
        <v>410</v>
      </c>
      <c r="E605" s="4" t="s">
        <v>86</v>
      </c>
      <c r="F605" s="4">
        <v>1</v>
      </c>
      <c r="G605" s="4">
        <v>0</v>
      </c>
      <c r="H605" s="4">
        <v>0</v>
      </c>
      <c r="K605" s="4">
        <v>0</v>
      </c>
      <c r="N605" s="4">
        <v>0</v>
      </c>
      <c r="O605" s="4">
        <v>0</v>
      </c>
      <c r="P605" s="4" t="str">
        <f t="shared" si="9"/>
        <v>FISCDETL.FLAG15</v>
      </c>
      <c r="Q605" s="4" t="str">
        <f>VLOOKUP(Cobra8.6[[#This Row],[Table.Column]],ColumnMapping[Old Table.Column],1,)</f>
        <v>FISCDETL.FLAG15</v>
      </c>
    </row>
    <row r="606" spans="1:17" hidden="1" x14ac:dyDescent="0.2">
      <c r="A606" s="4" t="s">
        <v>2226</v>
      </c>
      <c r="B606" s="4">
        <v>0</v>
      </c>
      <c r="C606" s="4" t="s">
        <v>2226</v>
      </c>
      <c r="D606" s="4" t="s">
        <v>411</v>
      </c>
      <c r="E606" s="4" t="s">
        <v>86</v>
      </c>
      <c r="F606" s="4">
        <v>1</v>
      </c>
      <c r="G606" s="4">
        <v>0</v>
      </c>
      <c r="H606" s="4">
        <v>0</v>
      </c>
      <c r="K606" s="4">
        <v>0</v>
      </c>
      <c r="N606" s="4">
        <v>0</v>
      </c>
      <c r="O606" s="4">
        <v>0</v>
      </c>
      <c r="P606" s="4" t="str">
        <f t="shared" si="9"/>
        <v>FISCDETL.FLAG16</v>
      </c>
      <c r="Q606" s="4" t="str">
        <f>VLOOKUP(Cobra8.6[[#This Row],[Table.Column]],ColumnMapping[Old Table.Column],1,)</f>
        <v>FISCDETL.FLAG16</v>
      </c>
    </row>
    <row r="607" spans="1:17" hidden="1" x14ac:dyDescent="0.2">
      <c r="A607" s="4" t="s">
        <v>2226</v>
      </c>
      <c r="B607" s="4">
        <v>0</v>
      </c>
      <c r="C607" s="4" t="s">
        <v>2226</v>
      </c>
      <c r="D607" s="4" t="s">
        <v>412</v>
      </c>
      <c r="E607" s="4" t="s">
        <v>86</v>
      </c>
      <c r="F607" s="4">
        <v>1</v>
      </c>
      <c r="G607" s="4">
        <v>0</v>
      </c>
      <c r="H607" s="4">
        <v>0</v>
      </c>
      <c r="K607" s="4">
        <v>0</v>
      </c>
      <c r="N607" s="4">
        <v>0</v>
      </c>
      <c r="O607" s="4">
        <v>0</v>
      </c>
      <c r="P607" s="4" t="str">
        <f t="shared" si="9"/>
        <v>FISCDETL.FLAG17</v>
      </c>
      <c r="Q607" s="4" t="str">
        <f>VLOOKUP(Cobra8.6[[#This Row],[Table.Column]],ColumnMapping[Old Table.Column],1,)</f>
        <v>FISCDETL.FLAG17</v>
      </c>
    </row>
    <row r="608" spans="1:17" hidden="1" x14ac:dyDescent="0.2">
      <c r="A608" s="4" t="s">
        <v>2226</v>
      </c>
      <c r="B608" s="4">
        <v>0</v>
      </c>
      <c r="C608" s="4" t="s">
        <v>2226</v>
      </c>
      <c r="D608" s="4" t="s">
        <v>413</v>
      </c>
      <c r="E608" s="4" t="s">
        <v>86</v>
      </c>
      <c r="F608" s="4">
        <v>1</v>
      </c>
      <c r="G608" s="4">
        <v>0</v>
      </c>
      <c r="H608" s="4">
        <v>0</v>
      </c>
      <c r="K608" s="4">
        <v>0</v>
      </c>
      <c r="N608" s="4">
        <v>0</v>
      </c>
      <c r="O608" s="4">
        <v>0</v>
      </c>
      <c r="P608" s="4" t="str">
        <f t="shared" si="9"/>
        <v>FISCDETL.FLAG18</v>
      </c>
      <c r="Q608" s="4" t="str">
        <f>VLOOKUP(Cobra8.6[[#This Row],[Table.Column]],ColumnMapping[Old Table.Column],1,)</f>
        <v>FISCDETL.FLAG18</v>
      </c>
    </row>
    <row r="609" spans="1:17" hidden="1" x14ac:dyDescent="0.2">
      <c r="A609" s="4" t="s">
        <v>2226</v>
      </c>
      <c r="B609" s="4">
        <v>0</v>
      </c>
      <c r="C609" s="4" t="s">
        <v>2226</v>
      </c>
      <c r="D609" s="4" t="s">
        <v>414</v>
      </c>
      <c r="E609" s="4" t="s">
        <v>86</v>
      </c>
      <c r="F609" s="4">
        <v>1</v>
      </c>
      <c r="G609" s="4">
        <v>0</v>
      </c>
      <c r="H609" s="4">
        <v>0</v>
      </c>
      <c r="K609" s="4">
        <v>0</v>
      </c>
      <c r="N609" s="4">
        <v>0</v>
      </c>
      <c r="O609" s="4">
        <v>0</v>
      </c>
      <c r="P609" s="4" t="str">
        <f t="shared" si="9"/>
        <v>FISCDETL.FLAG19</v>
      </c>
      <c r="Q609" s="4" t="str">
        <f>VLOOKUP(Cobra8.6[[#This Row],[Table.Column]],ColumnMapping[Old Table.Column],1,)</f>
        <v>FISCDETL.FLAG19</v>
      </c>
    </row>
    <row r="610" spans="1:17" hidden="1" x14ac:dyDescent="0.2">
      <c r="A610" s="4" t="s">
        <v>2226</v>
      </c>
      <c r="B610" s="4">
        <v>0</v>
      </c>
      <c r="C610" s="4" t="s">
        <v>2226</v>
      </c>
      <c r="D610" s="4" t="s">
        <v>375</v>
      </c>
      <c r="E610" s="4" t="s">
        <v>86</v>
      </c>
      <c r="F610" s="4">
        <v>22</v>
      </c>
      <c r="G610" s="4">
        <v>0</v>
      </c>
      <c r="H610" s="4">
        <v>0</v>
      </c>
      <c r="K610" s="4">
        <v>0</v>
      </c>
      <c r="N610" s="4">
        <v>0</v>
      </c>
      <c r="O610" s="4">
        <v>0</v>
      </c>
      <c r="P610" s="4" t="str">
        <f t="shared" si="9"/>
        <v>FISCDETL.FISCFILE</v>
      </c>
      <c r="Q610" s="4" t="str">
        <f>VLOOKUP(Cobra8.6[[#This Row],[Table.Column]],ColumnMapping[Old Table.Column],1,)</f>
        <v>FISCDETL.FISCFILE</v>
      </c>
    </row>
    <row r="611" spans="1:17" hidden="1" x14ac:dyDescent="0.2">
      <c r="A611" s="4" t="s">
        <v>2226</v>
      </c>
      <c r="B611" s="4">
        <v>0</v>
      </c>
      <c r="C611" s="4" t="s">
        <v>2226</v>
      </c>
      <c r="D611" s="4" t="s">
        <v>2125</v>
      </c>
      <c r="E611" s="4" t="s">
        <v>356</v>
      </c>
      <c r="F611" s="4">
        <v>-1</v>
      </c>
      <c r="G611" s="4">
        <v>0</v>
      </c>
      <c r="H611" s="4">
        <v>0</v>
      </c>
      <c r="K611" s="4">
        <v>0</v>
      </c>
      <c r="N611" s="4">
        <v>0</v>
      </c>
      <c r="O611" s="4">
        <v>0</v>
      </c>
      <c r="P611" s="4" t="str">
        <f t="shared" si="9"/>
        <v>FISCDETL.FSC_DATE</v>
      </c>
      <c r="Q611" s="4" t="e">
        <f>VLOOKUP(Cobra8.6[[#This Row],[Table.Column]],ColumnMapping[Old Table.Column],1,)</f>
        <v>#N/A</v>
      </c>
    </row>
    <row r="612" spans="1:17" hidden="1" x14ac:dyDescent="0.2">
      <c r="A612" s="4" t="s">
        <v>2226</v>
      </c>
      <c r="B612" s="4">
        <v>0</v>
      </c>
      <c r="C612" s="4" t="s">
        <v>2226</v>
      </c>
      <c r="D612" s="4" t="s">
        <v>299</v>
      </c>
      <c r="E612" s="4" t="s">
        <v>2124</v>
      </c>
      <c r="F612" s="4">
        <v>6</v>
      </c>
      <c r="G612" s="4">
        <v>2</v>
      </c>
      <c r="H612" s="4">
        <v>0</v>
      </c>
      <c r="K612" s="4">
        <v>0</v>
      </c>
      <c r="N612" s="4">
        <v>0</v>
      </c>
      <c r="O612" s="4">
        <v>0</v>
      </c>
      <c r="P612" s="4" t="str">
        <f t="shared" si="9"/>
        <v>FISCDETL.HOURS</v>
      </c>
      <c r="Q612" s="4" t="str">
        <f>VLOOKUP(Cobra8.6[[#This Row],[Table.Column]],ColumnMapping[Old Table.Column],1,)</f>
        <v>FISCDETL.HOURS</v>
      </c>
    </row>
    <row r="613" spans="1:17" hidden="1" x14ac:dyDescent="0.2">
      <c r="A613" s="4" t="s">
        <v>2226</v>
      </c>
      <c r="B613" s="4">
        <v>0</v>
      </c>
      <c r="C613" s="4" t="s">
        <v>2226</v>
      </c>
      <c r="D613" s="4" t="s">
        <v>2111</v>
      </c>
      <c r="E613" s="4" t="s">
        <v>356</v>
      </c>
      <c r="F613" s="4">
        <v>-1</v>
      </c>
      <c r="G613" s="4">
        <v>0</v>
      </c>
      <c r="H613" s="4">
        <v>0</v>
      </c>
      <c r="K613" s="4">
        <v>0</v>
      </c>
      <c r="N613" s="4">
        <v>0</v>
      </c>
      <c r="O613" s="4">
        <v>0</v>
      </c>
      <c r="P613" s="4" t="str">
        <f t="shared" si="9"/>
        <v>FISCDETL.LASTUPDATE</v>
      </c>
      <c r="Q613" s="4" t="str">
        <f>VLOOKUP(Cobra8.6[[#This Row],[Table.Column]],ColumnMapping[Old Table.Column],1,)</f>
        <v>FISCDETL.LASTUPDATE</v>
      </c>
    </row>
    <row r="614" spans="1:17" hidden="1" x14ac:dyDescent="0.2">
      <c r="A614" s="4" t="s">
        <v>2226</v>
      </c>
      <c r="B614" s="4">
        <v>0</v>
      </c>
      <c r="C614" s="4" t="s">
        <v>2226</v>
      </c>
      <c r="D614" s="4" t="s">
        <v>35</v>
      </c>
      <c r="E614" s="4" t="s">
        <v>2108</v>
      </c>
      <c r="F614" s="4">
        <v>-1</v>
      </c>
      <c r="G614" s="4">
        <v>0</v>
      </c>
      <c r="H614" s="4">
        <v>0</v>
      </c>
      <c r="K614" s="4">
        <v>0</v>
      </c>
      <c r="N614" s="4">
        <v>0</v>
      </c>
      <c r="O614" s="4">
        <v>0</v>
      </c>
      <c r="P614" s="4" t="str">
        <f t="shared" si="9"/>
        <v>FISCDETL.SEQUENCE</v>
      </c>
      <c r="Q614" s="4" t="str">
        <f>VLOOKUP(Cobra8.6[[#This Row],[Table.Column]],ColumnMapping[Old Table.Column],1,)</f>
        <v>FISCDETL.SEQUENCE</v>
      </c>
    </row>
    <row r="615" spans="1:17" hidden="1" x14ac:dyDescent="0.2">
      <c r="A615" s="4" t="s">
        <v>2226</v>
      </c>
      <c r="B615" s="4">
        <v>0</v>
      </c>
      <c r="C615" s="4" t="s">
        <v>2226</v>
      </c>
      <c r="D615" s="4" t="s">
        <v>2112</v>
      </c>
      <c r="E615" s="4" t="s">
        <v>86</v>
      </c>
      <c r="F615" s="4">
        <v>20</v>
      </c>
      <c r="G615" s="4">
        <v>0</v>
      </c>
      <c r="H615" s="4">
        <v>0</v>
      </c>
      <c r="K615" s="4">
        <v>0</v>
      </c>
      <c r="N615" s="4">
        <v>0</v>
      </c>
      <c r="O615" s="4">
        <v>0</v>
      </c>
      <c r="P615" s="4" t="str">
        <f t="shared" si="9"/>
        <v>FISCDETL.USR_ID</v>
      </c>
      <c r="Q615" s="4" t="str">
        <f>VLOOKUP(Cobra8.6[[#This Row],[Table.Column]],ColumnMapping[Old Table.Column],1,)</f>
        <v>FISCDETL.USR_ID</v>
      </c>
    </row>
    <row r="616" spans="1:17" hidden="1" x14ac:dyDescent="0.2">
      <c r="A616" s="4" t="s">
        <v>2228</v>
      </c>
      <c r="B616" s="4">
        <v>0</v>
      </c>
      <c r="C616" s="4" t="s">
        <v>2228</v>
      </c>
      <c r="D616" s="4" t="s">
        <v>375</v>
      </c>
      <c r="E616" s="4" t="s">
        <v>86</v>
      </c>
      <c r="F616" s="4">
        <v>22</v>
      </c>
      <c r="G616" s="4">
        <v>0</v>
      </c>
      <c r="H616" s="4">
        <v>0</v>
      </c>
      <c r="K616" s="4">
        <v>0</v>
      </c>
      <c r="N616" s="4">
        <v>0</v>
      </c>
      <c r="O616" s="4">
        <v>0</v>
      </c>
      <c r="P616" s="4" t="str">
        <f t="shared" si="9"/>
        <v>FISCHOL.FISCFILE</v>
      </c>
      <c r="Q616" s="4" t="str">
        <f>VLOOKUP(Cobra8.6[[#This Row],[Table.Column]],ColumnMapping[Old Table.Column],1,)</f>
        <v>FISCHOL.FISCFILE</v>
      </c>
    </row>
    <row r="617" spans="1:17" hidden="1" x14ac:dyDescent="0.2">
      <c r="A617" s="4" t="s">
        <v>2228</v>
      </c>
      <c r="B617" s="4">
        <v>0</v>
      </c>
      <c r="C617" s="4" t="s">
        <v>2228</v>
      </c>
      <c r="D617" s="4" t="s">
        <v>2229</v>
      </c>
      <c r="E617" s="4" t="s">
        <v>356</v>
      </c>
      <c r="F617" s="4">
        <v>-1</v>
      </c>
      <c r="G617" s="4">
        <v>0</v>
      </c>
      <c r="H617" s="4">
        <v>0</v>
      </c>
      <c r="K617" s="4">
        <v>0</v>
      </c>
      <c r="N617" s="4">
        <v>0</v>
      </c>
      <c r="O617" s="4">
        <v>0</v>
      </c>
      <c r="P617" s="4" t="str">
        <f t="shared" si="9"/>
        <v>FISCHOL.HOLIDAY</v>
      </c>
      <c r="Q617" s="4" t="str">
        <f>VLOOKUP(Cobra8.6[[#This Row],[Table.Column]],ColumnMapping[Old Table.Column],1,)</f>
        <v>FISCHOL.HOLIDAY</v>
      </c>
    </row>
    <row r="618" spans="1:17" hidden="1" x14ac:dyDescent="0.2">
      <c r="A618" s="4" t="s">
        <v>1945</v>
      </c>
      <c r="B618" s="4">
        <v>0</v>
      </c>
      <c r="C618" s="4" t="s">
        <v>1945</v>
      </c>
      <c r="D618" s="4" t="s">
        <v>1916</v>
      </c>
      <c r="E618" s="4" t="s">
        <v>356</v>
      </c>
      <c r="F618" s="4">
        <v>-1</v>
      </c>
      <c r="G618" s="4">
        <v>0</v>
      </c>
      <c r="H618" s="4">
        <v>0</v>
      </c>
      <c r="K618" s="4">
        <v>0</v>
      </c>
      <c r="N618" s="4">
        <v>0</v>
      </c>
      <c r="O618" s="4">
        <v>0</v>
      </c>
      <c r="P618" s="4" t="str">
        <f t="shared" si="9"/>
        <v>LINK.BFINISH</v>
      </c>
      <c r="Q618" s="4" t="str">
        <f>VLOOKUP(Cobra8.6[[#This Row],[Table.Column]],ColumnMapping[Old Table.Column],1,)</f>
        <v>LINK.BFINISH</v>
      </c>
    </row>
    <row r="619" spans="1:17" hidden="1" x14ac:dyDescent="0.2">
      <c r="A619" s="4" t="s">
        <v>1945</v>
      </c>
      <c r="B619" s="4">
        <v>0</v>
      </c>
      <c r="C619" s="4" t="s">
        <v>1945</v>
      </c>
      <c r="D619" s="4" t="s">
        <v>1917</v>
      </c>
      <c r="E619" s="4" t="s">
        <v>356</v>
      </c>
      <c r="F619" s="4">
        <v>-1</v>
      </c>
      <c r="G619" s="4">
        <v>0</v>
      </c>
      <c r="H619" s="4">
        <v>0</v>
      </c>
      <c r="K619" s="4">
        <v>0</v>
      </c>
      <c r="N619" s="4">
        <v>0</v>
      </c>
      <c r="O619" s="4">
        <v>0</v>
      </c>
      <c r="P619" s="4" t="str">
        <f t="shared" si="9"/>
        <v>LINK.BSTART</v>
      </c>
      <c r="Q619" s="4" t="str">
        <f>VLOOKUP(Cobra8.6[[#This Row],[Table.Column]],ColumnMapping[Old Table.Column],1,)</f>
        <v>LINK.BSTART</v>
      </c>
    </row>
    <row r="620" spans="1:17" hidden="1" x14ac:dyDescent="0.2">
      <c r="A620" s="4" t="s">
        <v>1945</v>
      </c>
      <c r="B620" s="4">
        <v>0</v>
      </c>
      <c r="C620" s="4" t="s">
        <v>1945</v>
      </c>
      <c r="D620" s="4" t="s">
        <v>1003</v>
      </c>
      <c r="E620" s="4" t="s">
        <v>86</v>
      </c>
      <c r="F620" s="4">
        <v>59</v>
      </c>
      <c r="G620" s="4">
        <v>0</v>
      </c>
      <c r="H620" s="4">
        <v>0</v>
      </c>
      <c r="K620" s="4">
        <v>0</v>
      </c>
      <c r="N620" s="4">
        <v>0</v>
      </c>
      <c r="O620" s="4">
        <v>0</v>
      </c>
      <c r="P620" s="4" t="str">
        <f t="shared" si="9"/>
        <v>LINK.CA1</v>
      </c>
      <c r="Q620" s="4" t="str">
        <f>VLOOKUP(Cobra8.6[[#This Row],[Table.Column]],ColumnMapping[Old Table.Column],1,)</f>
        <v>LINK.CA1</v>
      </c>
    </row>
    <row r="621" spans="1:17" hidden="1" x14ac:dyDescent="0.2">
      <c r="A621" s="4" t="s">
        <v>1945</v>
      </c>
      <c r="B621" s="4">
        <v>0</v>
      </c>
      <c r="C621" s="4" t="s">
        <v>1945</v>
      </c>
      <c r="D621" s="4" t="s">
        <v>1005</v>
      </c>
      <c r="E621" s="4" t="s">
        <v>86</v>
      </c>
      <c r="F621" s="4">
        <v>59</v>
      </c>
      <c r="G621" s="4">
        <v>0</v>
      </c>
      <c r="H621" s="4">
        <v>0</v>
      </c>
      <c r="K621" s="4">
        <v>0</v>
      </c>
      <c r="N621" s="4">
        <v>0</v>
      </c>
      <c r="O621" s="4">
        <v>0</v>
      </c>
      <c r="P621" s="4" t="str">
        <f t="shared" si="9"/>
        <v>LINK.CA2</v>
      </c>
      <c r="Q621" s="4" t="str">
        <f>VLOOKUP(Cobra8.6[[#This Row],[Table.Column]],ColumnMapping[Old Table.Column],1,)</f>
        <v>LINK.CA2</v>
      </c>
    </row>
    <row r="622" spans="1:17" hidden="1" x14ac:dyDescent="0.2">
      <c r="A622" s="4" t="s">
        <v>1945</v>
      </c>
      <c r="B622" s="4">
        <v>0</v>
      </c>
      <c r="C622" s="4" t="s">
        <v>1945</v>
      </c>
      <c r="D622" s="4" t="s">
        <v>1007</v>
      </c>
      <c r="E622" s="4" t="s">
        <v>86</v>
      </c>
      <c r="F622" s="4">
        <v>59</v>
      </c>
      <c r="G622" s="4">
        <v>0</v>
      </c>
      <c r="H622" s="4">
        <v>0</v>
      </c>
      <c r="K622" s="4">
        <v>0</v>
      </c>
      <c r="N622" s="4">
        <v>0</v>
      </c>
      <c r="O622" s="4">
        <v>0</v>
      </c>
      <c r="P622" s="4" t="str">
        <f t="shared" si="9"/>
        <v>LINK.CA3</v>
      </c>
      <c r="Q622" s="4" t="str">
        <f>VLOOKUP(Cobra8.6[[#This Row],[Table.Column]],ColumnMapping[Old Table.Column],1,)</f>
        <v>LINK.CA3</v>
      </c>
    </row>
    <row r="623" spans="1:17" hidden="1" x14ac:dyDescent="0.2">
      <c r="A623" s="4" t="s">
        <v>1945</v>
      </c>
      <c r="B623" s="4">
        <v>0</v>
      </c>
      <c r="C623" s="4" t="s">
        <v>1945</v>
      </c>
      <c r="D623" s="4" t="s">
        <v>1009</v>
      </c>
      <c r="E623" s="4" t="s">
        <v>2108</v>
      </c>
      <c r="F623" s="4">
        <v>-1</v>
      </c>
      <c r="G623" s="4">
        <v>0</v>
      </c>
      <c r="H623" s="4">
        <v>0</v>
      </c>
      <c r="K623" s="4">
        <v>0</v>
      </c>
      <c r="N623" s="4">
        <v>0</v>
      </c>
      <c r="O623" s="4">
        <v>0</v>
      </c>
      <c r="P623" s="4" t="str">
        <f t="shared" si="9"/>
        <v>LINK.CAWPID</v>
      </c>
      <c r="Q623" s="4" t="str">
        <f>VLOOKUP(Cobra8.6[[#This Row],[Table.Column]],ColumnMapping[Old Table.Column],1,)</f>
        <v>LINK.CAWPID</v>
      </c>
    </row>
    <row r="624" spans="1:17" hidden="1" x14ac:dyDescent="0.2">
      <c r="A624" s="4" t="s">
        <v>1945</v>
      </c>
      <c r="B624" s="4">
        <v>0</v>
      </c>
      <c r="C624" s="4" t="s">
        <v>1945</v>
      </c>
      <c r="D624" s="4" t="s">
        <v>1100</v>
      </c>
      <c r="E624" s="4" t="s">
        <v>86</v>
      </c>
      <c r="F624" s="4">
        <v>20</v>
      </c>
      <c r="G624" s="4">
        <v>0</v>
      </c>
      <c r="H624" s="4">
        <v>0</v>
      </c>
      <c r="K624" s="4">
        <v>0</v>
      </c>
      <c r="N624" s="4">
        <v>0</v>
      </c>
      <c r="O624" s="4">
        <v>0</v>
      </c>
      <c r="P624" s="4" t="str">
        <f t="shared" si="9"/>
        <v>LINK.CLASS</v>
      </c>
      <c r="Q624" s="4" t="str">
        <f>VLOOKUP(Cobra8.6[[#This Row],[Table.Column]],ColumnMapping[Old Table.Column],1,)</f>
        <v>LINK.CLASS</v>
      </c>
    </row>
    <row r="625" spans="1:17" hidden="1" x14ac:dyDescent="0.2">
      <c r="A625" s="4" t="s">
        <v>1945</v>
      </c>
      <c r="B625" s="4">
        <v>0</v>
      </c>
      <c r="C625" s="4" t="s">
        <v>1945</v>
      </c>
      <c r="D625" s="4" t="s">
        <v>2141</v>
      </c>
      <c r="E625" s="4" t="s">
        <v>86</v>
      </c>
      <c r="F625" s="4">
        <v>254</v>
      </c>
      <c r="G625" s="4">
        <v>0</v>
      </c>
      <c r="H625" s="4">
        <v>0</v>
      </c>
      <c r="K625" s="4">
        <v>0</v>
      </c>
      <c r="N625" s="4">
        <v>0</v>
      </c>
      <c r="O625" s="4">
        <v>0</v>
      </c>
      <c r="P625" s="4" t="str">
        <f t="shared" si="9"/>
        <v>LINK.DESCRIP</v>
      </c>
      <c r="Q625" s="4" t="str">
        <f>VLOOKUP(Cobra8.6[[#This Row],[Table.Column]],ColumnMapping[Old Table.Column],1,)</f>
        <v>LINK.DESCRIP</v>
      </c>
    </row>
    <row r="626" spans="1:17" hidden="1" x14ac:dyDescent="0.2">
      <c r="A626" s="4" t="s">
        <v>1945</v>
      </c>
      <c r="B626" s="4">
        <v>0</v>
      </c>
      <c r="C626" s="4" t="s">
        <v>1945</v>
      </c>
      <c r="D626" s="4" t="s">
        <v>1946</v>
      </c>
      <c r="E626" s="4" t="s">
        <v>356</v>
      </c>
      <c r="F626" s="4">
        <v>-1</v>
      </c>
      <c r="G626" s="4">
        <v>0</v>
      </c>
      <c r="H626" s="4">
        <v>0</v>
      </c>
      <c r="K626" s="4">
        <v>0</v>
      </c>
      <c r="N626" s="4">
        <v>0</v>
      </c>
      <c r="O626" s="4">
        <v>0</v>
      </c>
      <c r="P626" s="4" t="str">
        <f t="shared" si="9"/>
        <v>LINK.EFDATE</v>
      </c>
      <c r="Q626" s="4" t="str">
        <f>VLOOKUP(Cobra8.6[[#This Row],[Table.Column]],ColumnMapping[Old Table.Column],1,)</f>
        <v>LINK.EFDATE</v>
      </c>
    </row>
    <row r="627" spans="1:17" hidden="1" x14ac:dyDescent="0.2">
      <c r="A627" s="4" t="s">
        <v>1945</v>
      </c>
      <c r="B627" s="4">
        <v>0</v>
      </c>
      <c r="C627" s="4" t="s">
        <v>1945</v>
      </c>
      <c r="D627" s="4" t="s">
        <v>1947</v>
      </c>
      <c r="E627" s="4" t="s">
        <v>356</v>
      </c>
      <c r="F627" s="4">
        <v>-1</v>
      </c>
      <c r="G627" s="4">
        <v>0</v>
      </c>
      <c r="H627" s="4">
        <v>0</v>
      </c>
      <c r="K627" s="4">
        <v>0</v>
      </c>
      <c r="N627" s="4">
        <v>0</v>
      </c>
      <c r="O627" s="4">
        <v>0</v>
      </c>
      <c r="P627" s="4" t="str">
        <f t="shared" si="9"/>
        <v>LINK.ESDATE</v>
      </c>
      <c r="Q627" s="4" t="str">
        <f>VLOOKUP(Cobra8.6[[#This Row],[Table.Column]],ColumnMapping[Old Table.Column],1,)</f>
        <v>LINK.ESDATE</v>
      </c>
    </row>
    <row r="628" spans="1:17" hidden="1" x14ac:dyDescent="0.2">
      <c r="A628" s="4" t="s">
        <v>1945</v>
      </c>
      <c r="B628" s="4">
        <v>0</v>
      </c>
      <c r="C628" s="4" t="s">
        <v>1945</v>
      </c>
      <c r="D628" s="4" t="s">
        <v>1948</v>
      </c>
      <c r="E628" s="4" t="s">
        <v>86</v>
      </c>
      <c r="F628" s="4">
        <v>20</v>
      </c>
      <c r="G628" s="4">
        <v>0</v>
      </c>
      <c r="H628" s="4">
        <v>0</v>
      </c>
      <c r="K628" s="4">
        <v>0</v>
      </c>
      <c r="N628" s="4">
        <v>0</v>
      </c>
      <c r="O628" s="4">
        <v>0</v>
      </c>
      <c r="P628" s="4" t="str">
        <f t="shared" si="9"/>
        <v>LINK.FCSTCLASS</v>
      </c>
      <c r="Q628" s="4" t="str">
        <f>VLOOKUP(Cobra8.6[[#This Row],[Table.Column]],ColumnMapping[Old Table.Column],1,)</f>
        <v>LINK.FCSTCLASS</v>
      </c>
    </row>
    <row r="629" spans="1:17" hidden="1" x14ac:dyDescent="0.2">
      <c r="A629" s="4" t="s">
        <v>1945</v>
      </c>
      <c r="B629" s="4">
        <v>0</v>
      </c>
      <c r="C629" s="4" t="s">
        <v>1945</v>
      </c>
      <c r="D629" s="4" t="s">
        <v>1949</v>
      </c>
      <c r="E629" s="4" t="s">
        <v>86</v>
      </c>
      <c r="F629" s="4">
        <v>59</v>
      </c>
      <c r="G629" s="4">
        <v>0</v>
      </c>
      <c r="H629" s="4">
        <v>0</v>
      </c>
      <c r="K629" s="4">
        <v>0</v>
      </c>
      <c r="N629" s="4">
        <v>0</v>
      </c>
      <c r="O629" s="4">
        <v>0</v>
      </c>
      <c r="P629" s="4" t="str">
        <f t="shared" si="9"/>
        <v>LINK.FULLID</v>
      </c>
      <c r="Q629" s="4" t="str">
        <f>VLOOKUP(Cobra8.6[[#This Row],[Table.Column]],ColumnMapping[Old Table.Column],1,)</f>
        <v>LINK.FULLID</v>
      </c>
    </row>
    <row r="630" spans="1:17" hidden="1" x14ac:dyDescent="0.2">
      <c r="A630" s="4" t="s">
        <v>1945</v>
      </c>
      <c r="B630" s="4">
        <v>0</v>
      </c>
      <c r="C630" s="4" t="s">
        <v>1945</v>
      </c>
      <c r="D630" s="4" t="s">
        <v>2223</v>
      </c>
      <c r="E630" s="4" t="s">
        <v>86</v>
      </c>
      <c r="F630" s="4">
        <v>59</v>
      </c>
      <c r="G630" s="4">
        <v>0</v>
      </c>
      <c r="H630" s="4">
        <v>0</v>
      </c>
      <c r="K630" s="4">
        <v>0</v>
      </c>
      <c r="N630" s="4">
        <v>0</v>
      </c>
      <c r="O630" s="4">
        <v>0</v>
      </c>
      <c r="P630" s="4" t="str">
        <f t="shared" si="9"/>
        <v>LINK.ID</v>
      </c>
      <c r="Q630" s="4" t="str">
        <f>VLOOKUP(Cobra8.6[[#This Row],[Table.Column]],ColumnMapping[Old Table.Column],1,)</f>
        <v>LINK.ID</v>
      </c>
    </row>
    <row r="631" spans="1:17" hidden="1" x14ac:dyDescent="0.2">
      <c r="A631" s="4" t="s">
        <v>1945</v>
      </c>
      <c r="B631" s="4">
        <v>0</v>
      </c>
      <c r="C631" s="4" t="s">
        <v>1945</v>
      </c>
      <c r="D631" s="4" t="s">
        <v>1950</v>
      </c>
      <c r="E631" s="4" t="s">
        <v>356</v>
      </c>
      <c r="F631" s="4">
        <v>-1</v>
      </c>
      <c r="G631" s="4">
        <v>0</v>
      </c>
      <c r="H631" s="4">
        <v>0</v>
      </c>
      <c r="K631" s="4">
        <v>0</v>
      </c>
      <c r="N631" s="4">
        <v>0</v>
      </c>
      <c r="O631" s="4">
        <v>0</v>
      </c>
      <c r="P631" s="4" t="str">
        <f t="shared" si="9"/>
        <v>LINK.LFDATE</v>
      </c>
      <c r="Q631" s="4" t="str">
        <f>VLOOKUP(Cobra8.6[[#This Row],[Table.Column]],ColumnMapping[Old Table.Column],1,)</f>
        <v>LINK.LFDATE</v>
      </c>
    </row>
    <row r="632" spans="1:17" hidden="1" x14ac:dyDescent="0.2">
      <c r="A632" s="4" t="s">
        <v>1945</v>
      </c>
      <c r="B632" s="4">
        <v>0</v>
      </c>
      <c r="C632" s="4" t="s">
        <v>1945</v>
      </c>
      <c r="D632" s="4" t="s">
        <v>1951</v>
      </c>
      <c r="E632" s="4" t="s">
        <v>356</v>
      </c>
      <c r="F632" s="4">
        <v>-1</v>
      </c>
      <c r="G632" s="4">
        <v>0</v>
      </c>
      <c r="H632" s="4">
        <v>0</v>
      </c>
      <c r="K632" s="4">
        <v>0</v>
      </c>
      <c r="N632" s="4">
        <v>0</v>
      </c>
      <c r="O632" s="4">
        <v>0</v>
      </c>
      <c r="P632" s="4" t="str">
        <f t="shared" si="9"/>
        <v>LINK.LSDATE</v>
      </c>
      <c r="Q632" s="4" t="str">
        <f>VLOOKUP(Cobra8.6[[#This Row],[Table.Column]],ColumnMapping[Old Table.Column],1,)</f>
        <v>LINK.LSDATE</v>
      </c>
    </row>
    <row r="633" spans="1:17" hidden="1" x14ac:dyDescent="0.2">
      <c r="A633" s="4" t="s">
        <v>1945</v>
      </c>
      <c r="B633" s="4">
        <v>0</v>
      </c>
      <c r="C633" s="4" t="s">
        <v>1945</v>
      </c>
      <c r="D633" s="4" t="s">
        <v>1952</v>
      </c>
      <c r="E633" s="4" t="s">
        <v>86</v>
      </c>
      <c r="F633" s="4">
        <v>59</v>
      </c>
      <c r="G633" s="4">
        <v>0</v>
      </c>
      <c r="H633" s="4">
        <v>0</v>
      </c>
      <c r="K633" s="4">
        <v>0</v>
      </c>
      <c r="N633" s="4">
        <v>0</v>
      </c>
      <c r="O633" s="4">
        <v>0</v>
      </c>
      <c r="P633" s="4" t="str">
        <f t="shared" si="9"/>
        <v>LINK.MS_NO</v>
      </c>
      <c r="Q633" s="4" t="str">
        <f>VLOOKUP(Cobra8.6[[#This Row],[Table.Column]],ColumnMapping[Old Table.Column],1,)</f>
        <v>LINK.MS_NO</v>
      </c>
    </row>
    <row r="634" spans="1:17" hidden="1" x14ac:dyDescent="0.2">
      <c r="A634" s="4" t="s">
        <v>1945</v>
      </c>
      <c r="B634" s="4">
        <v>0</v>
      </c>
      <c r="C634" s="4" t="s">
        <v>1945</v>
      </c>
      <c r="D634" s="4" t="s">
        <v>1953</v>
      </c>
      <c r="E634" s="4" t="s">
        <v>2124</v>
      </c>
      <c r="F634" s="4">
        <v>21</v>
      </c>
      <c r="G634" s="4">
        <v>6</v>
      </c>
      <c r="H634" s="4">
        <v>0</v>
      </c>
      <c r="K634" s="4">
        <v>0</v>
      </c>
      <c r="N634" s="4">
        <v>0</v>
      </c>
      <c r="O634" s="4">
        <v>0</v>
      </c>
      <c r="P634" s="4" t="str">
        <f t="shared" si="9"/>
        <v>LINK.MSWEIGHT</v>
      </c>
      <c r="Q634" s="4" t="str">
        <f>VLOOKUP(Cobra8.6[[#This Row],[Table.Column]],ColumnMapping[Old Table.Column],1,)</f>
        <v>LINK.MSWEIGHT</v>
      </c>
    </row>
    <row r="635" spans="1:17" hidden="1" x14ac:dyDescent="0.2">
      <c r="A635" s="4" t="s">
        <v>1945</v>
      </c>
      <c r="B635" s="4">
        <v>0</v>
      </c>
      <c r="C635" s="4" t="s">
        <v>1945</v>
      </c>
      <c r="D635" s="4" t="s">
        <v>1954</v>
      </c>
      <c r="E635" s="4" t="s">
        <v>356</v>
      </c>
      <c r="F635" s="4">
        <v>-1</v>
      </c>
      <c r="G635" s="4">
        <v>0</v>
      </c>
      <c r="H635" s="4">
        <v>0</v>
      </c>
      <c r="K635" s="4">
        <v>0</v>
      </c>
      <c r="N635" s="4">
        <v>0</v>
      </c>
      <c r="O635" s="4">
        <v>0</v>
      </c>
      <c r="P635" s="4" t="str">
        <f t="shared" si="9"/>
        <v>LINK.PFINISH</v>
      </c>
      <c r="Q635" s="4" t="str">
        <f>VLOOKUP(Cobra8.6[[#This Row],[Table.Column]],ColumnMapping[Old Table.Column],1,)</f>
        <v>LINK.PFINISH</v>
      </c>
    </row>
    <row r="636" spans="1:17" hidden="1" x14ac:dyDescent="0.2">
      <c r="A636" s="4" t="s">
        <v>1945</v>
      </c>
      <c r="B636" s="4">
        <v>0</v>
      </c>
      <c r="C636" s="4" t="s">
        <v>1945</v>
      </c>
      <c r="D636" s="4" t="s">
        <v>1242</v>
      </c>
      <c r="E636" s="4" t="s">
        <v>86</v>
      </c>
      <c r="F636" s="4">
        <v>1</v>
      </c>
      <c r="G636" s="4">
        <v>0</v>
      </c>
      <c r="H636" s="4">
        <v>0</v>
      </c>
      <c r="K636" s="4">
        <v>0</v>
      </c>
      <c r="N636" s="4">
        <v>0</v>
      </c>
      <c r="O636" s="4">
        <v>0</v>
      </c>
      <c r="P636" s="4" t="str">
        <f t="shared" si="9"/>
        <v>LINK.PMT</v>
      </c>
      <c r="Q636" s="4" t="str">
        <f>VLOOKUP(Cobra8.6[[#This Row],[Table.Column]],ColumnMapping[Old Table.Column],1,)</f>
        <v>LINK.PMT</v>
      </c>
    </row>
    <row r="637" spans="1:17" hidden="1" x14ac:dyDescent="0.2">
      <c r="A637" s="4" t="s">
        <v>1945</v>
      </c>
      <c r="B637" s="4">
        <v>0</v>
      </c>
      <c r="C637" s="4" t="s">
        <v>1945</v>
      </c>
      <c r="D637" s="4" t="s">
        <v>1955</v>
      </c>
      <c r="E637" s="4" t="s">
        <v>86</v>
      </c>
      <c r="F637" s="4">
        <v>15</v>
      </c>
      <c r="G637" s="4">
        <v>0</v>
      </c>
      <c r="H637" s="4">
        <v>0</v>
      </c>
      <c r="K637" s="4">
        <v>0</v>
      </c>
      <c r="N637" s="4">
        <v>0</v>
      </c>
      <c r="O637" s="4">
        <v>0</v>
      </c>
      <c r="P637" s="4" t="str">
        <f t="shared" si="9"/>
        <v>LINK.PRJNAME</v>
      </c>
      <c r="Q637" s="4" t="str">
        <f>VLOOKUP(Cobra8.6[[#This Row],[Table.Column]],ColumnMapping[Old Table.Column],1,)</f>
        <v>LINK.PRJNAME</v>
      </c>
    </row>
    <row r="638" spans="1:17" hidden="1" x14ac:dyDescent="0.2">
      <c r="A638" s="4" t="s">
        <v>1945</v>
      </c>
      <c r="B638" s="4">
        <v>0</v>
      </c>
      <c r="C638" s="4" t="s">
        <v>1945</v>
      </c>
      <c r="D638" s="4" t="s">
        <v>744</v>
      </c>
      <c r="E638" s="4" t="s">
        <v>86</v>
      </c>
      <c r="F638" s="4">
        <v>22</v>
      </c>
      <c r="G638" s="4">
        <v>0</v>
      </c>
      <c r="H638" s="4">
        <v>0</v>
      </c>
      <c r="K638" s="4">
        <v>0</v>
      </c>
      <c r="N638" s="4">
        <v>0</v>
      </c>
      <c r="O638" s="4">
        <v>0</v>
      </c>
      <c r="P638" s="4" t="str">
        <f t="shared" si="9"/>
        <v>LINK.PROGRAM</v>
      </c>
      <c r="Q638" s="4" t="str">
        <f>VLOOKUP(Cobra8.6[[#This Row],[Table.Column]],ColumnMapping[Old Table.Column],1,)</f>
        <v>LINK.PROGRAM</v>
      </c>
    </row>
    <row r="639" spans="1:17" hidden="1" x14ac:dyDescent="0.2">
      <c r="A639" s="4" t="s">
        <v>1945</v>
      </c>
      <c r="B639" s="4">
        <v>0</v>
      </c>
      <c r="C639" s="4" t="s">
        <v>1945</v>
      </c>
      <c r="D639" s="4" t="s">
        <v>1956</v>
      </c>
      <c r="E639" s="4" t="s">
        <v>356</v>
      </c>
      <c r="F639" s="4">
        <v>-1</v>
      </c>
      <c r="G639" s="4">
        <v>0</v>
      </c>
      <c r="H639" s="4">
        <v>0</v>
      </c>
      <c r="K639" s="4">
        <v>0</v>
      </c>
      <c r="N639" s="4">
        <v>0</v>
      </c>
      <c r="O639" s="4">
        <v>0</v>
      </c>
      <c r="P639" s="4" t="str">
        <f t="shared" si="9"/>
        <v>LINK.PSTART</v>
      </c>
      <c r="Q639" s="4" t="str">
        <f>VLOOKUP(Cobra8.6[[#This Row],[Table.Column]],ColumnMapping[Old Table.Column],1,)</f>
        <v>LINK.PSTART</v>
      </c>
    </row>
    <row r="640" spans="1:17" hidden="1" x14ac:dyDescent="0.2">
      <c r="A640" s="4" t="s">
        <v>1945</v>
      </c>
      <c r="B640" s="4">
        <v>0</v>
      </c>
      <c r="C640" s="4" t="s">
        <v>1945</v>
      </c>
      <c r="D640" s="4" t="s">
        <v>1957</v>
      </c>
      <c r="E640" s="4" t="s">
        <v>356</v>
      </c>
      <c r="F640" s="4">
        <v>-1</v>
      </c>
      <c r="G640" s="4">
        <v>0</v>
      </c>
      <c r="H640" s="4">
        <v>0</v>
      </c>
      <c r="K640" s="4">
        <v>0</v>
      </c>
      <c r="N640" s="4">
        <v>0</v>
      </c>
      <c r="O640" s="4">
        <v>0</v>
      </c>
      <c r="P640" s="4" t="str">
        <f t="shared" si="9"/>
        <v>LINK.SFDATE</v>
      </c>
      <c r="Q640" s="4" t="str">
        <f>VLOOKUP(Cobra8.6[[#This Row],[Table.Column]],ColumnMapping[Old Table.Column],1,)</f>
        <v>LINK.SFDATE</v>
      </c>
    </row>
    <row r="641" spans="1:17" hidden="1" x14ac:dyDescent="0.2">
      <c r="A641" s="4" t="s">
        <v>1945</v>
      </c>
      <c r="B641" s="4">
        <v>0</v>
      </c>
      <c r="C641" s="4" t="s">
        <v>1945</v>
      </c>
      <c r="D641" s="4" t="s">
        <v>1958</v>
      </c>
      <c r="E641" s="4" t="s">
        <v>356</v>
      </c>
      <c r="F641" s="4">
        <v>-1</v>
      </c>
      <c r="G641" s="4">
        <v>0</v>
      </c>
      <c r="H641" s="4">
        <v>0</v>
      </c>
      <c r="K641" s="4">
        <v>0</v>
      </c>
      <c r="N641" s="4">
        <v>0</v>
      </c>
      <c r="O641" s="4">
        <v>0</v>
      </c>
      <c r="P641" s="4" t="str">
        <f t="shared" si="9"/>
        <v>LINK.SSDATE</v>
      </c>
      <c r="Q641" s="4" t="str">
        <f>VLOOKUP(Cobra8.6[[#This Row],[Table.Column]],ColumnMapping[Old Table.Column],1,)</f>
        <v>LINK.SSDATE</v>
      </c>
    </row>
    <row r="642" spans="1:17" hidden="1" x14ac:dyDescent="0.2">
      <c r="A642" s="4" t="s">
        <v>1945</v>
      </c>
      <c r="B642" s="4">
        <v>0</v>
      </c>
      <c r="C642" s="4" t="s">
        <v>1945</v>
      </c>
      <c r="D642" s="4" t="s">
        <v>1394</v>
      </c>
      <c r="E642" s="4" t="s">
        <v>2108</v>
      </c>
      <c r="F642" s="4">
        <v>-1</v>
      </c>
      <c r="G642" s="4">
        <v>0</v>
      </c>
      <c r="H642" s="4">
        <v>0</v>
      </c>
      <c r="K642" s="4">
        <v>0</v>
      </c>
      <c r="N642" s="4">
        <v>0</v>
      </c>
      <c r="O642" s="4">
        <v>0</v>
      </c>
      <c r="P642" s="4" t="str">
        <f t="shared" ref="P642:P705" si="10">_xlfn.CONCAT(A642,".",D642)</f>
        <v>LINK.STARTPC</v>
      </c>
      <c r="Q642" s="4" t="str">
        <f>VLOOKUP(Cobra8.6[[#This Row],[Table.Column]],ColumnMapping[Old Table.Column],1,)</f>
        <v>LINK.STARTPC</v>
      </c>
    </row>
    <row r="643" spans="1:17" hidden="1" x14ac:dyDescent="0.2">
      <c r="A643" s="4" t="s">
        <v>1945</v>
      </c>
      <c r="B643" s="4">
        <v>0</v>
      </c>
      <c r="C643" s="4" t="s">
        <v>1945</v>
      </c>
      <c r="D643" s="4" t="s">
        <v>1396</v>
      </c>
      <c r="E643" s="4" t="s">
        <v>2124</v>
      </c>
      <c r="F643" s="4">
        <v>21</v>
      </c>
      <c r="G643" s="4">
        <v>6</v>
      </c>
      <c r="H643" s="4">
        <v>0</v>
      </c>
      <c r="K643" s="4">
        <v>0</v>
      </c>
      <c r="N643" s="4">
        <v>0</v>
      </c>
      <c r="O643" s="4">
        <v>0</v>
      </c>
      <c r="P643" s="4" t="str">
        <f t="shared" si="10"/>
        <v>LINK.UNITSTODO</v>
      </c>
      <c r="Q643" s="4" t="str">
        <f>VLOOKUP(Cobra8.6[[#This Row],[Table.Column]],ColumnMapping[Old Table.Column],1,)</f>
        <v>LINK.UNITSTODO</v>
      </c>
    </row>
    <row r="644" spans="1:17" hidden="1" x14ac:dyDescent="0.2">
      <c r="A644" s="4" t="s">
        <v>1945</v>
      </c>
      <c r="B644" s="4">
        <v>0</v>
      </c>
      <c r="C644" s="4" t="s">
        <v>1945</v>
      </c>
      <c r="D644" s="4" t="s">
        <v>1959</v>
      </c>
      <c r="E644" s="4" t="s">
        <v>86</v>
      </c>
      <c r="F644" s="4">
        <v>1</v>
      </c>
      <c r="G644" s="4">
        <v>0</v>
      </c>
      <c r="H644" s="4">
        <v>0</v>
      </c>
      <c r="K644" s="4">
        <v>0</v>
      </c>
      <c r="N644" s="4">
        <v>0</v>
      </c>
      <c r="O644" s="4">
        <v>0</v>
      </c>
      <c r="P644" s="4" t="str">
        <f t="shared" si="10"/>
        <v>LINK.VALID</v>
      </c>
      <c r="Q644" s="4" t="str">
        <f>VLOOKUP(Cobra8.6[[#This Row],[Table.Column]],ColumnMapping[Old Table.Column],1,)</f>
        <v>LINK.VALID</v>
      </c>
    </row>
    <row r="645" spans="1:17" hidden="1" x14ac:dyDescent="0.2">
      <c r="A645" s="4" t="s">
        <v>1945</v>
      </c>
      <c r="B645" s="4">
        <v>0</v>
      </c>
      <c r="C645" s="4" t="s">
        <v>1945</v>
      </c>
      <c r="D645" s="4" t="s">
        <v>1398</v>
      </c>
      <c r="E645" s="4" t="s">
        <v>86</v>
      </c>
      <c r="F645" s="4">
        <v>59</v>
      </c>
      <c r="G645" s="4">
        <v>0</v>
      </c>
      <c r="H645" s="4">
        <v>0</v>
      </c>
      <c r="K645" s="4">
        <v>0</v>
      </c>
      <c r="N645" s="4">
        <v>0</v>
      </c>
      <c r="O645" s="4">
        <v>0</v>
      </c>
      <c r="P645" s="4" t="str">
        <f t="shared" si="10"/>
        <v>LINK.WP</v>
      </c>
      <c r="Q645" s="4" t="str">
        <f>VLOOKUP(Cobra8.6[[#This Row],[Table.Column]],ColumnMapping[Old Table.Column],1,)</f>
        <v>LINK.WP</v>
      </c>
    </row>
    <row r="646" spans="1:17" hidden="1" x14ac:dyDescent="0.2">
      <c r="A646" s="4" t="s">
        <v>2230</v>
      </c>
      <c r="B646" s="4">
        <v>0</v>
      </c>
      <c r="C646" s="4" t="s">
        <v>2230</v>
      </c>
      <c r="D646" s="4" t="s">
        <v>2175</v>
      </c>
      <c r="E646" s="4" t="s">
        <v>356</v>
      </c>
      <c r="F646" s="4">
        <v>-1</v>
      </c>
      <c r="G646" s="4">
        <v>0</v>
      </c>
      <c r="H646" s="4">
        <v>0</v>
      </c>
      <c r="K646" s="4">
        <v>0</v>
      </c>
      <c r="N646" s="4">
        <v>0</v>
      </c>
      <c r="O646" s="4">
        <v>0</v>
      </c>
      <c r="P646" s="4" t="str">
        <f t="shared" si="10"/>
        <v>MILESTN.AFD</v>
      </c>
      <c r="Q646" s="4" t="str">
        <f>VLOOKUP(Cobra8.6[[#This Row],[Table.Column]],ColumnMapping[Old Table.Column],1,)</f>
        <v>MILESTN.AFD</v>
      </c>
    </row>
    <row r="647" spans="1:17" hidden="1" x14ac:dyDescent="0.2">
      <c r="A647" s="4" t="s">
        <v>2230</v>
      </c>
      <c r="B647" s="4">
        <v>0</v>
      </c>
      <c r="C647" s="4" t="s">
        <v>2230</v>
      </c>
      <c r="D647" s="4" t="s">
        <v>1009</v>
      </c>
      <c r="E647" s="4" t="s">
        <v>2108</v>
      </c>
      <c r="F647" s="4">
        <v>-1</v>
      </c>
      <c r="G647" s="4">
        <v>0</v>
      </c>
      <c r="H647" s="4">
        <v>0</v>
      </c>
      <c r="K647" s="4">
        <v>0</v>
      </c>
      <c r="N647" s="4">
        <v>0</v>
      </c>
      <c r="O647" s="4">
        <v>0</v>
      </c>
      <c r="P647" s="4" t="str">
        <f t="shared" si="10"/>
        <v>MILESTN.CAWPID</v>
      </c>
      <c r="Q647" s="4" t="str">
        <f>VLOOKUP(Cobra8.6[[#This Row],[Table.Column]],ColumnMapping[Old Table.Column],1,)</f>
        <v>MILESTN.CAWPID</v>
      </c>
    </row>
    <row r="648" spans="1:17" hidden="1" x14ac:dyDescent="0.2">
      <c r="A648" s="4" t="s">
        <v>2230</v>
      </c>
      <c r="B648" s="4">
        <v>0</v>
      </c>
      <c r="C648" s="4" t="s">
        <v>2230</v>
      </c>
      <c r="D648" s="4" t="s">
        <v>1011</v>
      </c>
      <c r="E648" s="4" t="s">
        <v>2108</v>
      </c>
      <c r="F648" s="4">
        <v>-1</v>
      </c>
      <c r="G648" s="4">
        <v>0</v>
      </c>
      <c r="H648" s="4">
        <v>0</v>
      </c>
      <c r="K648" s="4">
        <v>0</v>
      </c>
      <c r="N648" s="4">
        <v>0</v>
      </c>
      <c r="O648" s="4">
        <v>0</v>
      </c>
      <c r="P648" s="4" t="str">
        <f t="shared" si="10"/>
        <v>MILESTN.CL_BATCH</v>
      </c>
      <c r="Q648" s="4" t="str">
        <f>VLOOKUP(Cobra8.6[[#This Row],[Table.Column]],ColumnMapping[Old Table.Column],1,)</f>
        <v>MILESTN.CL_BATCH</v>
      </c>
    </row>
    <row r="649" spans="1:17" hidden="1" x14ac:dyDescent="0.2">
      <c r="A649" s="4" t="s">
        <v>2230</v>
      </c>
      <c r="B649" s="4">
        <v>0</v>
      </c>
      <c r="C649" s="4" t="s">
        <v>2230</v>
      </c>
      <c r="D649" s="4" t="s">
        <v>2141</v>
      </c>
      <c r="E649" s="4" t="s">
        <v>86</v>
      </c>
      <c r="F649" s="4">
        <v>254</v>
      </c>
      <c r="G649" s="4">
        <v>0</v>
      </c>
      <c r="H649" s="4">
        <v>0</v>
      </c>
      <c r="K649" s="4">
        <v>0</v>
      </c>
      <c r="N649" s="4">
        <v>0</v>
      </c>
      <c r="O649" s="4">
        <v>0</v>
      </c>
      <c r="P649" s="4" t="str">
        <f t="shared" si="10"/>
        <v>MILESTN.DESCRIP</v>
      </c>
      <c r="Q649" s="4" t="str">
        <f>VLOOKUP(Cobra8.6[[#This Row],[Table.Column]],ColumnMapping[Old Table.Column],1,)</f>
        <v>MILESTN.DESCRIP</v>
      </c>
    </row>
    <row r="650" spans="1:17" hidden="1" x14ac:dyDescent="0.2">
      <c r="A650" s="4" t="s">
        <v>2230</v>
      </c>
      <c r="B650" s="4">
        <v>0</v>
      </c>
      <c r="C650" s="4" t="s">
        <v>2230</v>
      </c>
      <c r="D650" s="4" t="s">
        <v>443</v>
      </c>
      <c r="E650" s="4" t="s">
        <v>86</v>
      </c>
      <c r="F650" s="4">
        <v>1</v>
      </c>
      <c r="G650" s="4">
        <v>0</v>
      </c>
      <c r="H650" s="4">
        <v>0</v>
      </c>
      <c r="K650" s="4">
        <v>0</v>
      </c>
      <c r="N650" s="4">
        <v>0</v>
      </c>
      <c r="O650" s="4">
        <v>0</v>
      </c>
      <c r="P650" s="4" t="str">
        <f t="shared" si="10"/>
        <v>MILESTN.FLAG</v>
      </c>
      <c r="Q650" s="4" t="str">
        <f>VLOOKUP(Cobra8.6[[#This Row],[Table.Column]],ColumnMapping[Old Table.Column],1,)</f>
        <v>MILESTN.FLAG</v>
      </c>
    </row>
    <row r="651" spans="1:17" hidden="1" x14ac:dyDescent="0.2">
      <c r="A651" s="4" t="s">
        <v>2230</v>
      </c>
      <c r="B651" s="4">
        <v>0</v>
      </c>
      <c r="C651" s="4" t="s">
        <v>2230</v>
      </c>
      <c r="D651" s="4" t="s">
        <v>2111</v>
      </c>
      <c r="E651" s="4" t="s">
        <v>356</v>
      </c>
      <c r="F651" s="4">
        <v>-1</v>
      </c>
      <c r="G651" s="4">
        <v>0</v>
      </c>
      <c r="H651" s="4">
        <v>0</v>
      </c>
      <c r="K651" s="4">
        <v>0</v>
      </c>
      <c r="N651" s="4">
        <v>0</v>
      </c>
      <c r="O651" s="4">
        <v>0</v>
      </c>
      <c r="P651" s="4" t="str">
        <f t="shared" si="10"/>
        <v>MILESTN.LASTUPDATE</v>
      </c>
      <c r="Q651" s="4" t="str">
        <f>VLOOKUP(Cobra8.6[[#This Row],[Table.Column]],ColumnMapping[Old Table.Column],1,)</f>
        <v>MILESTN.LASTUPDATE</v>
      </c>
    </row>
    <row r="652" spans="1:17" hidden="1" x14ac:dyDescent="0.2">
      <c r="A652" s="4" t="s">
        <v>2230</v>
      </c>
      <c r="B652" s="4">
        <v>0</v>
      </c>
      <c r="C652" s="4" t="s">
        <v>2230</v>
      </c>
      <c r="D652" s="4" t="s">
        <v>1952</v>
      </c>
      <c r="E652" s="4" t="s">
        <v>86</v>
      </c>
      <c r="F652" s="4">
        <v>59</v>
      </c>
      <c r="G652" s="4">
        <v>0</v>
      </c>
      <c r="H652" s="4">
        <v>0</v>
      </c>
      <c r="K652" s="4">
        <v>0</v>
      </c>
      <c r="N652" s="4">
        <v>0</v>
      </c>
      <c r="O652" s="4">
        <v>0</v>
      </c>
      <c r="P652" s="4" t="str">
        <f t="shared" si="10"/>
        <v>MILESTN.MS_NO</v>
      </c>
      <c r="Q652" s="4" t="str">
        <f>VLOOKUP(Cobra8.6[[#This Row],[Table.Column]],ColumnMapping[Old Table.Column],1,)</f>
        <v>MILESTN.MS_NO</v>
      </c>
    </row>
    <row r="653" spans="1:17" hidden="1" x14ac:dyDescent="0.2">
      <c r="A653" s="4" t="s">
        <v>2230</v>
      </c>
      <c r="B653" s="4">
        <v>0</v>
      </c>
      <c r="C653" s="4" t="s">
        <v>2230</v>
      </c>
      <c r="D653" s="4" t="s">
        <v>1241</v>
      </c>
      <c r="E653" s="4" t="s">
        <v>2124</v>
      </c>
      <c r="F653" s="4">
        <v>11</v>
      </c>
      <c r="G653" s="4">
        <v>6</v>
      </c>
      <c r="H653" s="4">
        <v>0</v>
      </c>
      <c r="K653" s="4">
        <v>0</v>
      </c>
      <c r="N653" s="4">
        <v>0</v>
      </c>
      <c r="O653" s="4">
        <v>0</v>
      </c>
      <c r="P653" s="4" t="str">
        <f t="shared" si="10"/>
        <v>MILESTN.PC_COMP</v>
      </c>
      <c r="Q653" s="4" t="str">
        <f>VLOOKUP(Cobra8.6[[#This Row],[Table.Column]],ColumnMapping[Old Table.Column],1,)</f>
        <v>MILESTN.PC_COMP</v>
      </c>
    </row>
    <row r="654" spans="1:17" hidden="1" x14ac:dyDescent="0.2">
      <c r="A654" s="4" t="s">
        <v>2230</v>
      </c>
      <c r="B654" s="4">
        <v>0</v>
      </c>
      <c r="C654" s="4" t="s">
        <v>2230</v>
      </c>
      <c r="D654" s="4" t="s">
        <v>744</v>
      </c>
      <c r="E654" s="4" t="s">
        <v>86</v>
      </c>
      <c r="F654" s="4">
        <v>22</v>
      </c>
      <c r="G654" s="4">
        <v>0</v>
      </c>
      <c r="H654" s="4">
        <v>0</v>
      </c>
      <c r="K654" s="4">
        <v>0</v>
      </c>
      <c r="N654" s="4">
        <v>0</v>
      </c>
      <c r="O654" s="4">
        <v>0</v>
      </c>
      <c r="P654" s="4" t="str">
        <f t="shared" si="10"/>
        <v>MILESTN.PROGRAM</v>
      </c>
      <c r="Q654" s="4" t="str">
        <f>VLOOKUP(Cobra8.6[[#This Row],[Table.Column]],ColumnMapping[Old Table.Column],1,)</f>
        <v>MILESTN.PROGRAM</v>
      </c>
    </row>
    <row r="655" spans="1:17" hidden="1" x14ac:dyDescent="0.2">
      <c r="A655" s="4" t="s">
        <v>2230</v>
      </c>
      <c r="B655" s="4">
        <v>0</v>
      </c>
      <c r="C655" s="4" t="s">
        <v>2230</v>
      </c>
      <c r="D655" s="4" t="s">
        <v>35</v>
      </c>
      <c r="E655" s="4" t="s">
        <v>2108</v>
      </c>
      <c r="F655" s="4">
        <v>-1</v>
      </c>
      <c r="G655" s="4">
        <v>0</v>
      </c>
      <c r="H655" s="4">
        <v>0</v>
      </c>
      <c r="K655" s="4">
        <v>0</v>
      </c>
      <c r="N655" s="4">
        <v>0</v>
      </c>
      <c r="O655" s="4">
        <v>0</v>
      </c>
      <c r="P655" s="4" t="str">
        <f t="shared" si="10"/>
        <v>MILESTN.SEQUENCE</v>
      </c>
      <c r="Q655" s="4" t="str">
        <f>VLOOKUP(Cobra8.6[[#This Row],[Table.Column]],ColumnMapping[Old Table.Column],1,)</f>
        <v>MILESTN.SEQUENCE</v>
      </c>
    </row>
    <row r="656" spans="1:17" hidden="1" x14ac:dyDescent="0.2">
      <c r="A656" s="4" t="s">
        <v>2230</v>
      </c>
      <c r="B656" s="4">
        <v>0</v>
      </c>
      <c r="C656" s="4" t="s">
        <v>2230</v>
      </c>
      <c r="D656" s="4" t="s">
        <v>2184</v>
      </c>
      <c r="E656" s="4" t="s">
        <v>356</v>
      </c>
      <c r="F656" s="4">
        <v>-1</v>
      </c>
      <c r="G656" s="4">
        <v>0</v>
      </c>
      <c r="H656" s="4">
        <v>0</v>
      </c>
      <c r="K656" s="4">
        <v>0</v>
      </c>
      <c r="N656" s="4">
        <v>0</v>
      </c>
      <c r="O656" s="4">
        <v>0</v>
      </c>
      <c r="P656" s="4" t="str">
        <f t="shared" si="10"/>
        <v>MILESTN.SFD</v>
      </c>
      <c r="Q656" s="4" t="str">
        <f>VLOOKUP(Cobra8.6[[#This Row],[Table.Column]],ColumnMapping[Old Table.Column],1,)</f>
        <v>MILESTN.SFD</v>
      </c>
    </row>
    <row r="657" spans="1:17" hidden="1" x14ac:dyDescent="0.2">
      <c r="A657" s="4" t="s">
        <v>2230</v>
      </c>
      <c r="B657" s="4">
        <v>0</v>
      </c>
      <c r="C657" s="4" t="s">
        <v>2230</v>
      </c>
      <c r="D657" s="4" t="s">
        <v>2112</v>
      </c>
      <c r="E657" s="4" t="s">
        <v>86</v>
      </c>
      <c r="F657" s="4">
        <v>20</v>
      </c>
      <c r="G657" s="4">
        <v>0</v>
      </c>
      <c r="H657" s="4">
        <v>0</v>
      </c>
      <c r="K657" s="4">
        <v>0</v>
      </c>
      <c r="N657" s="4">
        <v>0</v>
      </c>
      <c r="O657" s="4">
        <v>0</v>
      </c>
      <c r="P657" s="4" t="str">
        <f t="shared" si="10"/>
        <v>MILESTN.USR_ID</v>
      </c>
      <c r="Q657" s="4" t="str">
        <f>VLOOKUP(Cobra8.6[[#This Row],[Table.Column]],ColumnMapping[Old Table.Column],1,)</f>
        <v>MILESTN.USR_ID</v>
      </c>
    </row>
    <row r="658" spans="1:17" hidden="1" x14ac:dyDescent="0.2">
      <c r="A658" s="4" t="s">
        <v>2230</v>
      </c>
      <c r="B658" s="4">
        <v>0</v>
      </c>
      <c r="C658" s="4" t="s">
        <v>2230</v>
      </c>
      <c r="D658" s="4" t="s">
        <v>1406</v>
      </c>
      <c r="E658" s="4" t="s">
        <v>2124</v>
      </c>
      <c r="F658" s="4">
        <v>21</v>
      </c>
      <c r="G658" s="4">
        <v>6</v>
      </c>
      <c r="H658" s="4">
        <v>0</v>
      </c>
      <c r="K658" s="4">
        <v>0</v>
      </c>
      <c r="N658" s="4">
        <v>0</v>
      </c>
      <c r="O658" s="4">
        <v>0</v>
      </c>
      <c r="P658" s="4" t="str">
        <f t="shared" si="10"/>
        <v>MILESTN.WEIGHT</v>
      </c>
      <c r="Q658" s="4" t="str">
        <f>VLOOKUP(Cobra8.6[[#This Row],[Table.Column]],ColumnMapping[Old Table.Column],1,)</f>
        <v>MILESTN.WEIGHT</v>
      </c>
    </row>
    <row r="659" spans="1:17" hidden="1" x14ac:dyDescent="0.2">
      <c r="A659" s="4" t="s">
        <v>2231</v>
      </c>
      <c r="B659" s="4">
        <v>0</v>
      </c>
      <c r="C659" s="4" t="s">
        <v>2231</v>
      </c>
      <c r="D659" s="4" t="s">
        <v>1390</v>
      </c>
      <c r="E659" s="4" t="s">
        <v>86</v>
      </c>
      <c r="F659" s="4">
        <v>22</v>
      </c>
      <c r="G659" s="4">
        <v>0</v>
      </c>
      <c r="H659" s="4">
        <v>0</v>
      </c>
      <c r="K659" s="4">
        <v>0</v>
      </c>
      <c r="N659" s="4">
        <v>0</v>
      </c>
      <c r="O659" s="4">
        <v>0</v>
      </c>
      <c r="P659" s="4" t="str">
        <f t="shared" si="10"/>
        <v>MULTPROG.MASTER</v>
      </c>
      <c r="Q659" s="4" t="str">
        <f>VLOOKUP(Cobra8.6[[#This Row],[Table.Column]],ColumnMapping[Old Table.Column],1,)</f>
        <v>MULTPROG.MASTER</v>
      </c>
    </row>
    <row r="660" spans="1:17" hidden="1" x14ac:dyDescent="0.2">
      <c r="A660" s="4" t="s">
        <v>2231</v>
      </c>
      <c r="B660" s="4">
        <v>0</v>
      </c>
      <c r="C660" s="4" t="s">
        <v>2231</v>
      </c>
      <c r="D660" s="4" t="s">
        <v>1391</v>
      </c>
      <c r="E660" s="4" t="s">
        <v>86</v>
      </c>
      <c r="F660" s="4">
        <v>22</v>
      </c>
      <c r="G660" s="4">
        <v>0</v>
      </c>
      <c r="H660" s="4">
        <v>0</v>
      </c>
      <c r="K660" s="4">
        <v>0</v>
      </c>
      <c r="N660" s="4">
        <v>0</v>
      </c>
      <c r="O660" s="4">
        <v>0</v>
      </c>
      <c r="P660" s="4" t="str">
        <f t="shared" si="10"/>
        <v>MULTPROG.SUBPROGRAM</v>
      </c>
      <c r="Q660" s="4" t="str">
        <f>VLOOKUP(Cobra8.6[[#This Row],[Table.Column]],ColumnMapping[Old Table.Column],1,)</f>
        <v>MULTPROG.SUBPROGRAM</v>
      </c>
    </row>
    <row r="661" spans="1:17" hidden="1" x14ac:dyDescent="0.2">
      <c r="A661" s="4" t="s">
        <v>2232</v>
      </c>
      <c r="B661" s="4">
        <v>0</v>
      </c>
      <c r="C661" s="4" t="s">
        <v>2232</v>
      </c>
      <c r="D661" s="4" t="s">
        <v>2203</v>
      </c>
      <c r="E661" s="4" t="s">
        <v>2108</v>
      </c>
      <c r="F661" s="4">
        <v>-1</v>
      </c>
      <c r="G661" s="4">
        <v>0</v>
      </c>
      <c r="H661" s="4">
        <v>0</v>
      </c>
      <c r="K661" s="4">
        <v>0</v>
      </c>
      <c r="N661" s="4">
        <v>0</v>
      </c>
      <c r="O661" s="4">
        <v>0</v>
      </c>
      <c r="P661" s="4" t="str">
        <f t="shared" si="10"/>
        <v>NARRTEXT.CAT_UID</v>
      </c>
      <c r="Q661" s="4" t="e">
        <f>VLOOKUP(Cobra8.6[[#This Row],[Table.Column]],ColumnMapping[Old Table.Column],1,)</f>
        <v>#N/A</v>
      </c>
    </row>
    <row r="662" spans="1:17" hidden="1" x14ac:dyDescent="0.2">
      <c r="A662" s="4" t="s">
        <v>2232</v>
      </c>
      <c r="B662" s="4">
        <v>0</v>
      </c>
      <c r="C662" s="4" t="s">
        <v>2232</v>
      </c>
      <c r="D662" s="4" t="s">
        <v>1009</v>
      </c>
      <c r="E662" s="4" t="s">
        <v>2108</v>
      </c>
      <c r="F662" s="4">
        <v>-1</v>
      </c>
      <c r="G662" s="4">
        <v>0</v>
      </c>
      <c r="H662" s="4">
        <v>0</v>
      </c>
      <c r="K662" s="4">
        <v>0</v>
      </c>
      <c r="N662" s="4">
        <v>0</v>
      </c>
      <c r="O662" s="4">
        <v>0</v>
      </c>
      <c r="P662" s="4" t="str">
        <f t="shared" si="10"/>
        <v>NARRTEXT.CAWPID</v>
      </c>
      <c r="Q662" s="4" t="e">
        <f>VLOOKUP(Cobra8.6[[#This Row],[Table.Column]],ColumnMapping[Old Table.Column],1,)</f>
        <v>#N/A</v>
      </c>
    </row>
    <row r="663" spans="1:17" hidden="1" x14ac:dyDescent="0.2">
      <c r="A663" s="4" t="s">
        <v>2232</v>
      </c>
      <c r="B663" s="4">
        <v>0</v>
      </c>
      <c r="C663" s="4" t="s">
        <v>2232</v>
      </c>
      <c r="D663" s="4" t="s">
        <v>29</v>
      </c>
      <c r="E663" s="4" t="s">
        <v>86</v>
      </c>
      <c r="F663" s="4">
        <v>59</v>
      </c>
      <c r="G663" s="4">
        <v>0</v>
      </c>
      <c r="H663" s="4">
        <v>0</v>
      </c>
      <c r="K663" s="4">
        <v>0</v>
      </c>
      <c r="N663" s="4">
        <v>0</v>
      </c>
      <c r="O663" s="4">
        <v>0</v>
      </c>
      <c r="P663" s="4" t="str">
        <f t="shared" si="10"/>
        <v>NARRTEXT.CODE</v>
      </c>
      <c r="Q663" s="4" t="e">
        <f>VLOOKUP(Cobra8.6[[#This Row],[Table.Column]],ColumnMapping[Old Table.Column],1,)</f>
        <v>#N/A</v>
      </c>
    </row>
    <row r="664" spans="1:17" hidden="1" x14ac:dyDescent="0.2">
      <c r="A664" s="4" t="s">
        <v>2232</v>
      </c>
      <c r="B664" s="4">
        <v>0</v>
      </c>
      <c r="C664" s="4" t="s">
        <v>2232</v>
      </c>
      <c r="D664" s="4" t="s">
        <v>2233</v>
      </c>
      <c r="E664" s="4" t="s">
        <v>86</v>
      </c>
      <c r="F664" s="4">
        <v>20</v>
      </c>
      <c r="G664" s="4">
        <v>0</v>
      </c>
      <c r="H664" s="4">
        <v>0</v>
      </c>
      <c r="K664" s="4">
        <v>0</v>
      </c>
      <c r="N664" s="4">
        <v>0</v>
      </c>
      <c r="O664" s="4">
        <v>0</v>
      </c>
      <c r="P664" s="4" t="str">
        <f t="shared" si="10"/>
        <v>NARRTEXT.KEY_TYPE</v>
      </c>
      <c r="Q664" s="4" t="e">
        <f>VLOOKUP(Cobra8.6[[#This Row],[Table.Column]],ColumnMapping[Old Table.Column],1,)</f>
        <v>#N/A</v>
      </c>
    </row>
    <row r="665" spans="1:17" hidden="1" x14ac:dyDescent="0.2">
      <c r="A665" s="4" t="s">
        <v>2232</v>
      </c>
      <c r="B665" s="4">
        <v>0</v>
      </c>
      <c r="C665" s="4" t="s">
        <v>2232</v>
      </c>
      <c r="D665" s="4" t="s">
        <v>2111</v>
      </c>
      <c r="E665" s="4" t="s">
        <v>356</v>
      </c>
      <c r="F665" s="4">
        <v>-1</v>
      </c>
      <c r="G665" s="4">
        <v>0</v>
      </c>
      <c r="H665" s="4">
        <v>0</v>
      </c>
      <c r="K665" s="4">
        <v>0</v>
      </c>
      <c r="N665" s="4">
        <v>0</v>
      </c>
      <c r="O665" s="4">
        <v>0</v>
      </c>
      <c r="P665" s="4" t="str">
        <f t="shared" si="10"/>
        <v>NARRTEXT.LASTUPDATE</v>
      </c>
      <c r="Q665" s="4" t="e">
        <f>VLOOKUP(Cobra8.6[[#This Row],[Table.Column]],ColumnMapping[Old Table.Column],1,)</f>
        <v>#N/A</v>
      </c>
    </row>
    <row r="666" spans="1:17" hidden="1" x14ac:dyDescent="0.2">
      <c r="A666" s="4" t="s">
        <v>2232</v>
      </c>
      <c r="B666" s="4">
        <v>0</v>
      </c>
      <c r="C666" s="4" t="s">
        <v>2232</v>
      </c>
      <c r="D666" s="4" t="s">
        <v>2234</v>
      </c>
      <c r="E666" s="4" t="s">
        <v>86</v>
      </c>
      <c r="F666" s="4">
        <v>-1</v>
      </c>
      <c r="G666" s="4">
        <v>0</v>
      </c>
      <c r="H666" s="4">
        <v>0</v>
      </c>
      <c r="K666" s="4">
        <v>0</v>
      </c>
      <c r="N666" s="4">
        <v>0</v>
      </c>
      <c r="O666" s="4">
        <v>0</v>
      </c>
      <c r="P666" s="4" t="str">
        <f t="shared" si="10"/>
        <v>NARRTEXT.NARR_TEXT</v>
      </c>
      <c r="Q666" s="4" t="e">
        <f>VLOOKUP(Cobra8.6[[#This Row],[Table.Column]],ColumnMapping[Old Table.Column],1,)</f>
        <v>#N/A</v>
      </c>
    </row>
    <row r="667" spans="1:17" hidden="1" x14ac:dyDescent="0.2">
      <c r="A667" s="4" t="s">
        <v>2232</v>
      </c>
      <c r="B667" s="4">
        <v>0</v>
      </c>
      <c r="C667" s="4" t="s">
        <v>2232</v>
      </c>
      <c r="D667" s="4" t="s">
        <v>744</v>
      </c>
      <c r="E667" s="4" t="s">
        <v>86</v>
      </c>
      <c r="F667" s="4">
        <v>22</v>
      </c>
      <c r="G667" s="4">
        <v>0</v>
      </c>
      <c r="H667" s="4">
        <v>0</v>
      </c>
      <c r="K667" s="4">
        <v>0</v>
      </c>
      <c r="N667" s="4">
        <v>0</v>
      </c>
      <c r="O667" s="4">
        <v>0</v>
      </c>
      <c r="P667" s="4" t="str">
        <f t="shared" si="10"/>
        <v>NARRTEXT.PROGRAM</v>
      </c>
      <c r="Q667" s="4" t="e">
        <f>VLOOKUP(Cobra8.6[[#This Row],[Table.Column]],ColumnMapping[Old Table.Column],1,)</f>
        <v>#N/A</v>
      </c>
    </row>
    <row r="668" spans="1:17" hidden="1" x14ac:dyDescent="0.2">
      <c r="A668" s="4" t="s">
        <v>2232</v>
      </c>
      <c r="B668" s="4">
        <v>0</v>
      </c>
      <c r="C668" s="4" t="s">
        <v>2232</v>
      </c>
      <c r="D668" s="4" t="s">
        <v>35</v>
      </c>
      <c r="E668" s="4" t="s">
        <v>2108</v>
      </c>
      <c r="F668" s="4">
        <v>-1</v>
      </c>
      <c r="G668" s="4">
        <v>0</v>
      </c>
      <c r="H668" s="4">
        <v>0</v>
      </c>
      <c r="K668" s="4">
        <v>0</v>
      </c>
      <c r="N668" s="4">
        <v>0</v>
      </c>
      <c r="O668" s="4">
        <v>0</v>
      </c>
      <c r="P668" s="4" t="str">
        <f t="shared" si="10"/>
        <v>NARRTEXT.SEQUENCE</v>
      </c>
      <c r="Q668" s="4" t="e">
        <f>VLOOKUP(Cobra8.6[[#This Row],[Table.Column]],ColumnMapping[Old Table.Column],1,)</f>
        <v>#N/A</v>
      </c>
    </row>
    <row r="669" spans="1:17" hidden="1" x14ac:dyDescent="0.2">
      <c r="A669" s="4" t="s">
        <v>2232</v>
      </c>
      <c r="B669" s="4">
        <v>0</v>
      </c>
      <c r="C669" s="4" t="s">
        <v>2232</v>
      </c>
      <c r="D669" s="4" t="s">
        <v>2139</v>
      </c>
      <c r="E669" s="4" t="s">
        <v>356</v>
      </c>
      <c r="F669" s="4">
        <v>-1</v>
      </c>
      <c r="G669" s="4">
        <v>0</v>
      </c>
      <c r="H669" s="4">
        <v>0</v>
      </c>
      <c r="K669" s="4">
        <v>0</v>
      </c>
      <c r="N669" s="4">
        <v>0</v>
      </c>
      <c r="O669" s="4">
        <v>0</v>
      </c>
      <c r="P669" s="4" t="str">
        <f t="shared" si="10"/>
        <v>NARRTEXT.STATUSDATE</v>
      </c>
      <c r="Q669" s="4" t="e">
        <f>VLOOKUP(Cobra8.6[[#This Row],[Table.Column]],ColumnMapping[Old Table.Column],1,)</f>
        <v>#N/A</v>
      </c>
    </row>
    <row r="670" spans="1:17" hidden="1" x14ac:dyDescent="0.2">
      <c r="A670" s="4" t="s">
        <v>2232</v>
      </c>
      <c r="B670" s="4">
        <v>0</v>
      </c>
      <c r="C670" s="4" t="s">
        <v>2232</v>
      </c>
      <c r="D670" s="4" t="s">
        <v>2112</v>
      </c>
      <c r="E670" s="4" t="s">
        <v>86</v>
      </c>
      <c r="F670" s="4">
        <v>20</v>
      </c>
      <c r="G670" s="4">
        <v>0</v>
      </c>
      <c r="H670" s="4">
        <v>0</v>
      </c>
      <c r="K670" s="4">
        <v>0</v>
      </c>
      <c r="N670" s="4">
        <v>0</v>
      </c>
      <c r="O670" s="4">
        <v>0</v>
      </c>
      <c r="P670" s="4" t="str">
        <f t="shared" si="10"/>
        <v>NARRTEXT.USR_ID</v>
      </c>
      <c r="Q670" s="4" t="e">
        <f>VLOOKUP(Cobra8.6[[#This Row],[Table.Column]],ColumnMapping[Old Table.Column],1,)</f>
        <v>#N/A</v>
      </c>
    </row>
    <row r="671" spans="1:17" hidden="1" x14ac:dyDescent="0.2">
      <c r="A671" s="4" t="s">
        <v>1960</v>
      </c>
      <c r="B671" s="4">
        <v>0</v>
      </c>
      <c r="C671" s="4" t="s">
        <v>1960</v>
      </c>
      <c r="D671" s="4" t="s">
        <v>1961</v>
      </c>
      <c r="E671" s="4" t="s">
        <v>86</v>
      </c>
      <c r="F671" s="4">
        <v>30</v>
      </c>
      <c r="G671" s="4">
        <v>0</v>
      </c>
      <c r="H671" s="4">
        <v>0</v>
      </c>
      <c r="K671" s="4">
        <v>0</v>
      </c>
      <c r="N671" s="4">
        <v>0</v>
      </c>
      <c r="O671" s="4">
        <v>0</v>
      </c>
      <c r="P671" s="4" t="str">
        <f t="shared" si="10"/>
        <v>PROCESSLOG.CONTEXT</v>
      </c>
      <c r="Q671" s="4" t="str">
        <f>VLOOKUP(Cobra8.6[[#This Row],[Table.Column]],ColumnMapping[Old Table.Column],1,)</f>
        <v>PROCESSLOG.CONTEXT</v>
      </c>
    </row>
    <row r="672" spans="1:17" hidden="1" x14ac:dyDescent="0.2">
      <c r="A672" s="4" t="s">
        <v>1960</v>
      </c>
      <c r="B672" s="4">
        <v>0</v>
      </c>
      <c r="C672" s="4" t="s">
        <v>1960</v>
      </c>
      <c r="D672" s="4" t="s">
        <v>270</v>
      </c>
      <c r="E672" s="4" t="s">
        <v>86</v>
      </c>
      <c r="F672" s="4">
        <v>-1</v>
      </c>
      <c r="G672" s="4">
        <v>0</v>
      </c>
      <c r="H672" s="4">
        <v>0</v>
      </c>
      <c r="K672" s="4">
        <v>0</v>
      </c>
      <c r="N672" s="4">
        <v>0</v>
      </c>
      <c r="O672" s="4">
        <v>0</v>
      </c>
      <c r="P672" s="4" t="str">
        <f t="shared" si="10"/>
        <v>PROCESSLOG.DATA</v>
      </c>
      <c r="Q672" s="4" t="str">
        <f>VLOOKUP(Cobra8.6[[#This Row],[Table.Column]],ColumnMapping[Old Table.Column],1,)</f>
        <v>PROCESSLOG.DATA</v>
      </c>
    </row>
    <row r="673" spans="1:17" hidden="1" x14ac:dyDescent="0.2">
      <c r="A673" s="4" t="s">
        <v>1960</v>
      </c>
      <c r="B673" s="4">
        <v>0</v>
      </c>
      <c r="C673" s="4" t="s">
        <v>1960</v>
      </c>
      <c r="D673" s="4" t="s">
        <v>1962</v>
      </c>
      <c r="E673" s="4" t="s">
        <v>86</v>
      </c>
      <c r="F673" s="4">
        <v>22</v>
      </c>
      <c r="G673" s="4">
        <v>0</v>
      </c>
      <c r="H673" s="4">
        <v>0</v>
      </c>
      <c r="K673" s="4">
        <v>0</v>
      </c>
      <c r="N673" s="4">
        <v>0</v>
      </c>
      <c r="O673" s="4">
        <v>0</v>
      </c>
      <c r="P673" s="4" t="str">
        <f t="shared" si="10"/>
        <v>PROCESSLOG.DIR_ID</v>
      </c>
      <c r="Q673" s="4" t="str">
        <f>VLOOKUP(Cobra8.6[[#This Row],[Table.Column]],ColumnMapping[Old Table.Column],1,)</f>
        <v>PROCESSLOG.DIR_ID</v>
      </c>
    </row>
    <row r="674" spans="1:17" hidden="1" x14ac:dyDescent="0.2">
      <c r="A674" s="4" t="s">
        <v>1960</v>
      </c>
      <c r="B674" s="4">
        <v>0</v>
      </c>
      <c r="C674" s="4" t="s">
        <v>1960</v>
      </c>
      <c r="D674" s="4" t="s">
        <v>1963</v>
      </c>
      <c r="E674" s="4" t="s">
        <v>2108</v>
      </c>
      <c r="F674" s="4">
        <v>-1</v>
      </c>
      <c r="G674" s="4">
        <v>0</v>
      </c>
      <c r="H674" s="4">
        <v>0</v>
      </c>
      <c r="K674" s="4">
        <v>0</v>
      </c>
      <c r="N674" s="4">
        <v>0</v>
      </c>
      <c r="O674" s="4">
        <v>0</v>
      </c>
      <c r="P674" s="4" t="str">
        <f t="shared" si="10"/>
        <v>PROCESSLOG.ERRORCOUNT</v>
      </c>
      <c r="Q674" s="4" t="str">
        <f>VLOOKUP(Cobra8.6[[#This Row],[Table.Column]],ColumnMapping[Old Table.Column],1,)</f>
        <v>PROCESSLOG.ERRORCOUNT</v>
      </c>
    </row>
    <row r="675" spans="1:17" hidden="1" x14ac:dyDescent="0.2">
      <c r="A675" s="4" t="s">
        <v>1960</v>
      </c>
      <c r="B675" s="4">
        <v>0</v>
      </c>
      <c r="C675" s="4" t="s">
        <v>1960</v>
      </c>
      <c r="D675" s="4" t="s">
        <v>1964</v>
      </c>
      <c r="E675" s="4" t="s">
        <v>356</v>
      </c>
      <c r="F675" s="4">
        <v>-1</v>
      </c>
      <c r="G675" s="4">
        <v>0</v>
      </c>
      <c r="H675" s="4">
        <v>0</v>
      </c>
      <c r="K675" s="4">
        <v>0</v>
      </c>
      <c r="N675" s="4">
        <v>0</v>
      </c>
      <c r="O675" s="4">
        <v>0</v>
      </c>
      <c r="P675" s="4" t="str">
        <f t="shared" si="10"/>
        <v>PROCESSLOG.FINISHTIME</v>
      </c>
      <c r="Q675" s="4" t="str">
        <f>VLOOKUP(Cobra8.6[[#This Row],[Table.Column]],ColumnMapping[Old Table.Column],1,)</f>
        <v>PROCESSLOG.FINISHTIME</v>
      </c>
    </row>
    <row r="676" spans="1:17" hidden="1" x14ac:dyDescent="0.2">
      <c r="A676" s="4" t="s">
        <v>1960</v>
      </c>
      <c r="B676" s="4">
        <v>0</v>
      </c>
      <c r="C676" s="4" t="s">
        <v>1960</v>
      </c>
      <c r="D676" s="4" t="s">
        <v>2111</v>
      </c>
      <c r="E676" s="4" t="s">
        <v>356</v>
      </c>
      <c r="F676" s="4">
        <v>-1</v>
      </c>
      <c r="G676" s="4">
        <v>0</v>
      </c>
      <c r="H676" s="4">
        <v>0</v>
      </c>
      <c r="K676" s="4">
        <v>0</v>
      </c>
      <c r="N676" s="4">
        <v>0</v>
      </c>
      <c r="O676" s="4">
        <v>0</v>
      </c>
      <c r="P676" s="4" t="str">
        <f t="shared" si="10"/>
        <v>PROCESSLOG.LASTUPDATE</v>
      </c>
      <c r="Q676" s="4" t="str">
        <f>VLOOKUP(Cobra8.6[[#This Row],[Table.Column]],ColumnMapping[Old Table.Column],1,)</f>
        <v>PROCESSLOG.LASTUPDATE</v>
      </c>
    </row>
    <row r="677" spans="1:17" hidden="1" x14ac:dyDescent="0.2">
      <c r="A677" s="4" t="s">
        <v>1960</v>
      </c>
      <c r="B677" s="4">
        <v>0</v>
      </c>
      <c r="C677" s="4" t="s">
        <v>1960</v>
      </c>
      <c r="D677" s="4" t="s">
        <v>1965</v>
      </c>
      <c r="E677" s="4" t="s">
        <v>86</v>
      </c>
      <c r="F677" s="4">
        <v>59</v>
      </c>
      <c r="G677" s="4">
        <v>0</v>
      </c>
      <c r="H677" s="4">
        <v>0</v>
      </c>
      <c r="K677" s="4">
        <v>0</v>
      </c>
      <c r="N677" s="4">
        <v>0</v>
      </c>
      <c r="O677" s="4">
        <v>0</v>
      </c>
      <c r="P677" s="4" t="str">
        <f t="shared" si="10"/>
        <v>PROCESSLOG.PROCESS_ID</v>
      </c>
      <c r="Q677" s="4" t="str">
        <f>VLOOKUP(Cobra8.6[[#This Row],[Table.Column]],ColumnMapping[Old Table.Column],1,)</f>
        <v>PROCESSLOG.PROCESS_ID</v>
      </c>
    </row>
    <row r="678" spans="1:17" hidden="1" x14ac:dyDescent="0.2">
      <c r="A678" s="4" t="s">
        <v>1960</v>
      </c>
      <c r="B678" s="4">
        <v>0</v>
      </c>
      <c r="C678" s="4" t="s">
        <v>1960</v>
      </c>
      <c r="D678" s="4" t="s">
        <v>1966</v>
      </c>
      <c r="E678" s="4" t="s">
        <v>2108</v>
      </c>
      <c r="F678" s="4">
        <v>-1</v>
      </c>
      <c r="G678" s="4">
        <v>0</v>
      </c>
      <c r="H678" s="4">
        <v>0</v>
      </c>
      <c r="K678" s="4">
        <v>0</v>
      </c>
      <c r="N678" s="4">
        <v>0</v>
      </c>
      <c r="O678" s="4">
        <v>0</v>
      </c>
      <c r="P678" s="4" t="str">
        <f t="shared" si="10"/>
        <v>PROCESSLOG.PROGRESS_PCT</v>
      </c>
      <c r="Q678" s="4" t="str">
        <f>VLOOKUP(Cobra8.6[[#This Row],[Table.Column]],ColumnMapping[Old Table.Column],1,)</f>
        <v>PROCESSLOG.PROGRESS_PCT</v>
      </c>
    </row>
    <row r="679" spans="1:17" hidden="1" x14ac:dyDescent="0.2">
      <c r="A679" s="4" t="s">
        <v>1960</v>
      </c>
      <c r="B679" s="4">
        <v>0</v>
      </c>
      <c r="C679" s="4" t="s">
        <v>1960</v>
      </c>
      <c r="D679" s="4" t="s">
        <v>1967</v>
      </c>
      <c r="E679" s="4" t="s">
        <v>86</v>
      </c>
      <c r="F679" s="4">
        <v>254</v>
      </c>
      <c r="G679" s="4">
        <v>0</v>
      </c>
      <c r="H679" s="4">
        <v>0</v>
      </c>
      <c r="K679" s="4">
        <v>0</v>
      </c>
      <c r="N679" s="4">
        <v>0</v>
      </c>
      <c r="O679" s="4">
        <v>0</v>
      </c>
      <c r="P679" s="4" t="str">
        <f t="shared" si="10"/>
        <v>PROCESSLOG.PROGRESS_TEXT</v>
      </c>
      <c r="Q679" s="4" t="str">
        <f>VLOOKUP(Cobra8.6[[#This Row],[Table.Column]],ColumnMapping[Old Table.Column],1,)</f>
        <v>PROCESSLOG.PROGRESS_TEXT</v>
      </c>
    </row>
    <row r="680" spans="1:17" hidden="1" x14ac:dyDescent="0.2">
      <c r="A680" s="4" t="s">
        <v>1960</v>
      </c>
      <c r="B680" s="4">
        <v>0</v>
      </c>
      <c r="C680" s="4" t="s">
        <v>1960</v>
      </c>
      <c r="D680" s="4" t="s">
        <v>30</v>
      </c>
      <c r="E680" s="4" t="s">
        <v>86</v>
      </c>
      <c r="F680" s="4">
        <v>22</v>
      </c>
      <c r="G680" s="4">
        <v>0</v>
      </c>
      <c r="H680" s="4">
        <v>0</v>
      </c>
      <c r="K680" s="4">
        <v>0</v>
      </c>
      <c r="N680" s="4">
        <v>0</v>
      </c>
      <c r="O680" s="4">
        <v>0</v>
      </c>
      <c r="P680" s="4" t="str">
        <f t="shared" si="10"/>
        <v>PROCESSLOG.ROW_UID</v>
      </c>
      <c r="Q680" s="4" t="str">
        <f>VLOOKUP(Cobra8.6[[#This Row],[Table.Column]],ColumnMapping[Old Table.Column],1,)</f>
        <v>PROCESSLOG.ROW_UID</v>
      </c>
    </row>
    <row r="681" spans="1:17" hidden="1" x14ac:dyDescent="0.2">
      <c r="A681" s="4" t="s">
        <v>1960</v>
      </c>
      <c r="B681" s="4">
        <v>0</v>
      </c>
      <c r="C681" s="4" t="s">
        <v>1960</v>
      </c>
      <c r="D681" s="4" t="s">
        <v>1968</v>
      </c>
      <c r="E681" s="4" t="s">
        <v>356</v>
      </c>
      <c r="F681" s="4">
        <v>-1</v>
      </c>
      <c r="G681" s="4">
        <v>0</v>
      </c>
      <c r="H681" s="4">
        <v>0</v>
      </c>
      <c r="K681" s="4">
        <v>0</v>
      </c>
      <c r="N681" s="4">
        <v>0</v>
      </c>
      <c r="O681" s="4">
        <v>0</v>
      </c>
      <c r="P681" s="4" t="str">
        <f t="shared" si="10"/>
        <v>PROCESSLOG.STARTTIME</v>
      </c>
      <c r="Q681" s="4" t="str">
        <f>VLOOKUP(Cobra8.6[[#This Row],[Table.Column]],ColumnMapping[Old Table.Column],1,)</f>
        <v>PROCESSLOG.STARTTIME</v>
      </c>
    </row>
    <row r="682" spans="1:17" hidden="1" x14ac:dyDescent="0.2">
      <c r="A682" s="4" t="s">
        <v>1960</v>
      </c>
      <c r="B682" s="4">
        <v>0</v>
      </c>
      <c r="C682" s="4" t="s">
        <v>1960</v>
      </c>
      <c r="D682" s="4" t="s">
        <v>1970</v>
      </c>
      <c r="E682" s="4" t="s">
        <v>2108</v>
      </c>
      <c r="F682" s="4">
        <v>-1</v>
      </c>
      <c r="G682" s="4">
        <v>0</v>
      </c>
      <c r="H682" s="4">
        <v>0</v>
      </c>
      <c r="K682" s="4">
        <v>0</v>
      </c>
      <c r="N682" s="4">
        <v>0</v>
      </c>
      <c r="O682" s="4">
        <v>0</v>
      </c>
      <c r="P682" s="4" t="str">
        <f t="shared" si="10"/>
        <v>PROCESSLOG.USR_ABORT</v>
      </c>
      <c r="Q682" s="4" t="str">
        <f>VLOOKUP(Cobra8.6[[#This Row],[Table.Column]],ColumnMapping[Old Table.Column],1,)</f>
        <v>PROCESSLOG.USR_ABORT</v>
      </c>
    </row>
    <row r="683" spans="1:17" hidden="1" x14ac:dyDescent="0.2">
      <c r="A683" s="4" t="s">
        <v>1960</v>
      </c>
      <c r="B683" s="4">
        <v>0</v>
      </c>
      <c r="C683" s="4" t="s">
        <v>1960</v>
      </c>
      <c r="D683" s="4" t="s">
        <v>2112</v>
      </c>
      <c r="E683" s="4" t="s">
        <v>86</v>
      </c>
      <c r="F683" s="4">
        <v>20</v>
      </c>
      <c r="G683" s="4">
        <v>0</v>
      </c>
      <c r="H683" s="4">
        <v>0</v>
      </c>
      <c r="K683" s="4">
        <v>0</v>
      </c>
      <c r="N683" s="4">
        <v>0</v>
      </c>
      <c r="O683" s="4">
        <v>0</v>
      </c>
      <c r="P683" s="4" t="str">
        <f t="shared" si="10"/>
        <v>PROCESSLOG.USR_ID</v>
      </c>
      <c r="Q683" s="4" t="str">
        <f>VLOOKUP(Cobra8.6[[#This Row],[Table.Column]],ColumnMapping[Old Table.Column],1,)</f>
        <v>PROCESSLOG.USR_ID</v>
      </c>
    </row>
    <row r="684" spans="1:17" hidden="1" x14ac:dyDescent="0.2">
      <c r="A684" s="4" t="s">
        <v>1960</v>
      </c>
      <c r="B684" s="4">
        <v>0</v>
      </c>
      <c r="C684" s="4" t="s">
        <v>1960</v>
      </c>
      <c r="D684" s="4" t="s">
        <v>1972</v>
      </c>
      <c r="E684" s="4" t="s">
        <v>2108</v>
      </c>
      <c r="F684" s="4">
        <v>-1</v>
      </c>
      <c r="G684" s="4">
        <v>0</v>
      </c>
      <c r="H684" s="4">
        <v>0</v>
      </c>
      <c r="K684" s="4">
        <v>0</v>
      </c>
      <c r="N684" s="4">
        <v>0</v>
      </c>
      <c r="O684" s="4">
        <v>0</v>
      </c>
      <c r="P684" s="4" t="str">
        <f t="shared" si="10"/>
        <v>PROCESSLOG.WARNINGCOUNT</v>
      </c>
      <c r="Q684" s="4" t="str">
        <f>VLOOKUP(Cobra8.6[[#This Row],[Table.Column]],ColumnMapping[Old Table.Column],1,)</f>
        <v>PROCESSLOG.WARNINGCOUNT</v>
      </c>
    </row>
    <row r="685" spans="1:17" hidden="1" x14ac:dyDescent="0.2">
      <c r="A685" s="4" t="s">
        <v>1974</v>
      </c>
      <c r="B685" s="4">
        <v>0</v>
      </c>
      <c r="C685" s="4" t="s">
        <v>1974</v>
      </c>
      <c r="D685" s="4" t="s">
        <v>1975</v>
      </c>
      <c r="E685" s="4" t="s">
        <v>86</v>
      </c>
      <c r="F685" s="4">
        <v>22</v>
      </c>
      <c r="G685" s="4">
        <v>0</v>
      </c>
      <c r="H685" s="4">
        <v>0</v>
      </c>
      <c r="K685" s="4">
        <v>0</v>
      </c>
      <c r="N685" s="4">
        <v>0</v>
      </c>
      <c r="O685" s="4">
        <v>0</v>
      </c>
      <c r="P685" s="4" t="str">
        <f t="shared" si="10"/>
        <v>PROCESSLOGLINK.BATCH_UID</v>
      </c>
      <c r="Q685" s="4" t="str">
        <f>VLOOKUP(Cobra8.6[[#This Row],[Table.Column]],ColumnMapping[Old Table.Column],1,)</f>
        <v>PROCESSLOGLINK.BATCH_UID</v>
      </c>
    </row>
    <row r="686" spans="1:17" hidden="1" x14ac:dyDescent="0.2">
      <c r="A686" s="4" t="s">
        <v>1974</v>
      </c>
      <c r="B686" s="4">
        <v>0</v>
      </c>
      <c r="C686" s="4" t="s">
        <v>1974</v>
      </c>
      <c r="D686" s="4" t="s">
        <v>1977</v>
      </c>
      <c r="E686" s="4" t="s">
        <v>86</v>
      </c>
      <c r="F686" s="4">
        <v>22</v>
      </c>
      <c r="G686" s="4">
        <v>0</v>
      </c>
      <c r="H686" s="4">
        <v>0</v>
      </c>
      <c r="K686" s="4">
        <v>0</v>
      </c>
      <c r="N686" s="4">
        <v>0</v>
      </c>
      <c r="O686" s="4">
        <v>0</v>
      </c>
      <c r="P686" s="4" t="str">
        <f t="shared" si="10"/>
        <v>PROCESSLOGLINK.PROCESSLOG_UID</v>
      </c>
      <c r="Q686" s="4" t="str">
        <f>VLOOKUP(Cobra8.6[[#This Row],[Table.Column]],ColumnMapping[Old Table.Column],1,)</f>
        <v>PROCESSLOGLINK.PROCESSLOG_UID</v>
      </c>
    </row>
    <row r="687" spans="1:17" hidden="1" x14ac:dyDescent="0.2">
      <c r="A687" s="4" t="s">
        <v>744</v>
      </c>
      <c r="B687" s="4">
        <v>0</v>
      </c>
      <c r="C687" s="4" t="s">
        <v>744</v>
      </c>
      <c r="D687" s="4" t="s">
        <v>600</v>
      </c>
      <c r="E687" s="4" t="s">
        <v>2124</v>
      </c>
      <c r="F687" s="4">
        <v>21</v>
      </c>
      <c r="G687" s="4">
        <v>6</v>
      </c>
      <c r="H687" s="4">
        <v>0</v>
      </c>
      <c r="K687" s="4">
        <v>0</v>
      </c>
      <c r="N687" s="4">
        <v>0</v>
      </c>
      <c r="O687" s="4">
        <v>0</v>
      </c>
      <c r="P687" s="4" t="str">
        <f t="shared" si="10"/>
        <v>PROGRAM.ACWP</v>
      </c>
      <c r="Q687" s="4" t="str">
        <f>VLOOKUP(Cobra8.6[[#This Row],[Table.Column]],ColumnMapping[Old Table.Column],1,)</f>
        <v>PROGRAM.ACWP</v>
      </c>
    </row>
    <row r="688" spans="1:17" hidden="1" x14ac:dyDescent="0.2">
      <c r="A688" s="4" t="s">
        <v>744</v>
      </c>
      <c r="B688" s="4">
        <v>0</v>
      </c>
      <c r="C688" s="4" t="s">
        <v>744</v>
      </c>
      <c r="D688" s="4" t="s">
        <v>602</v>
      </c>
      <c r="E688" s="4" t="s">
        <v>2124</v>
      </c>
      <c r="F688" s="4">
        <v>21</v>
      </c>
      <c r="G688" s="4">
        <v>6</v>
      </c>
      <c r="H688" s="4">
        <v>0</v>
      </c>
      <c r="K688" s="4">
        <v>0</v>
      </c>
      <c r="N688" s="4">
        <v>0</v>
      </c>
      <c r="O688" s="4">
        <v>0</v>
      </c>
      <c r="P688" s="4" t="str">
        <f t="shared" si="10"/>
        <v>PROGRAM.ACWP_HRS</v>
      </c>
      <c r="Q688" s="4" t="str">
        <f>VLOOKUP(Cobra8.6[[#This Row],[Table.Column]],ColumnMapping[Old Table.Column],1,)</f>
        <v>PROGRAM.ACWP_HRS</v>
      </c>
    </row>
    <row r="689" spans="1:17" hidden="1" x14ac:dyDescent="0.2">
      <c r="A689" s="4" t="s">
        <v>744</v>
      </c>
      <c r="B689" s="4">
        <v>0</v>
      </c>
      <c r="C689" s="4" t="s">
        <v>744</v>
      </c>
      <c r="D689" s="4" t="s">
        <v>604</v>
      </c>
      <c r="E689" s="4" t="s">
        <v>86</v>
      </c>
      <c r="F689" s="4">
        <v>70</v>
      </c>
      <c r="G689" s="4">
        <v>0</v>
      </c>
      <c r="H689" s="4">
        <v>0</v>
      </c>
      <c r="K689" s="4">
        <v>0</v>
      </c>
      <c r="N689" s="4">
        <v>0</v>
      </c>
      <c r="O689" s="4">
        <v>0</v>
      </c>
      <c r="P689" s="4" t="str">
        <f t="shared" si="10"/>
        <v>PROGRAM.ADDRESS</v>
      </c>
      <c r="Q689" s="4" t="str">
        <f>VLOOKUP(Cobra8.6[[#This Row],[Table.Column]],ColumnMapping[Old Table.Column],1,)</f>
        <v>PROGRAM.ADDRESS</v>
      </c>
    </row>
    <row r="690" spans="1:17" hidden="1" x14ac:dyDescent="0.2">
      <c r="A690" s="4" t="s">
        <v>744</v>
      </c>
      <c r="B690" s="4">
        <v>0</v>
      </c>
      <c r="C690" s="4" t="s">
        <v>744</v>
      </c>
      <c r="D690" s="4" t="s">
        <v>2175</v>
      </c>
      <c r="E690" s="4" t="s">
        <v>356</v>
      </c>
      <c r="F690" s="4">
        <v>-1</v>
      </c>
      <c r="G690" s="4">
        <v>0</v>
      </c>
      <c r="H690" s="4">
        <v>0</v>
      </c>
      <c r="K690" s="4">
        <v>0</v>
      </c>
      <c r="N690" s="4">
        <v>0</v>
      </c>
      <c r="O690" s="4">
        <v>0</v>
      </c>
      <c r="P690" s="4" t="str">
        <f t="shared" si="10"/>
        <v>PROGRAM.AFD</v>
      </c>
      <c r="Q690" s="4" t="str">
        <f>VLOOKUP(Cobra8.6[[#This Row],[Table.Column]],ColumnMapping[Old Table.Column],1,)</f>
        <v>PROGRAM.AFD</v>
      </c>
    </row>
    <row r="691" spans="1:17" hidden="1" x14ac:dyDescent="0.2">
      <c r="A691" s="4" t="s">
        <v>744</v>
      </c>
      <c r="B691" s="4">
        <v>0</v>
      </c>
      <c r="C691" s="4" t="s">
        <v>744</v>
      </c>
      <c r="D691" s="4" t="s">
        <v>516</v>
      </c>
      <c r="E691" s="4" t="s">
        <v>2124</v>
      </c>
      <c r="F691" s="4">
        <v>21</v>
      </c>
      <c r="G691" s="4">
        <v>6</v>
      </c>
      <c r="H691" s="4">
        <v>0</v>
      </c>
      <c r="K691" s="4">
        <v>0</v>
      </c>
      <c r="N691" s="4">
        <v>0</v>
      </c>
      <c r="O691" s="4">
        <v>0</v>
      </c>
      <c r="P691" s="4" t="str">
        <f t="shared" si="10"/>
        <v>PROGRAM.AUW</v>
      </c>
      <c r="Q691" s="4" t="str">
        <f>VLOOKUP(Cobra8.6[[#This Row],[Table.Column]],ColumnMapping[Old Table.Column],1,)</f>
        <v>PROGRAM.AUW</v>
      </c>
    </row>
    <row r="692" spans="1:17" hidden="1" x14ac:dyDescent="0.2">
      <c r="A692" s="4" t="s">
        <v>744</v>
      </c>
      <c r="B692" s="4">
        <v>0</v>
      </c>
      <c r="C692" s="4" t="s">
        <v>744</v>
      </c>
      <c r="D692" s="4" t="s">
        <v>607</v>
      </c>
      <c r="E692" s="4" t="s">
        <v>2124</v>
      </c>
      <c r="F692" s="4">
        <v>21</v>
      </c>
      <c r="G692" s="4">
        <v>6</v>
      </c>
      <c r="H692" s="4">
        <v>0</v>
      </c>
      <c r="K692" s="4">
        <v>0</v>
      </c>
      <c r="N692" s="4">
        <v>0</v>
      </c>
      <c r="O692" s="4">
        <v>0</v>
      </c>
      <c r="P692" s="4" t="str">
        <f t="shared" si="10"/>
        <v>PROGRAM.BAC</v>
      </c>
      <c r="Q692" s="4" t="str">
        <f>VLOOKUP(Cobra8.6[[#This Row],[Table.Column]],ColumnMapping[Old Table.Column],1,)</f>
        <v>PROGRAM.BAC</v>
      </c>
    </row>
    <row r="693" spans="1:17" hidden="1" x14ac:dyDescent="0.2">
      <c r="A693" s="4" t="s">
        <v>744</v>
      </c>
      <c r="B693" s="4">
        <v>0</v>
      </c>
      <c r="C693" s="4" t="s">
        <v>744</v>
      </c>
      <c r="D693" s="4" t="s">
        <v>609</v>
      </c>
      <c r="E693" s="4" t="s">
        <v>2124</v>
      </c>
      <c r="F693" s="4">
        <v>21</v>
      </c>
      <c r="G693" s="4">
        <v>6</v>
      </c>
      <c r="H693" s="4">
        <v>0</v>
      </c>
      <c r="K693" s="4">
        <v>0</v>
      </c>
      <c r="N693" s="4">
        <v>0</v>
      </c>
      <c r="O693" s="4">
        <v>0</v>
      </c>
      <c r="P693" s="4" t="str">
        <f t="shared" si="10"/>
        <v>PROGRAM.BAC_HRS</v>
      </c>
      <c r="Q693" s="4" t="str">
        <f>VLOOKUP(Cobra8.6[[#This Row],[Table.Column]],ColumnMapping[Old Table.Column],1,)</f>
        <v>PROGRAM.BAC_HRS</v>
      </c>
    </row>
    <row r="694" spans="1:17" hidden="1" x14ac:dyDescent="0.2">
      <c r="A694" s="4" t="s">
        <v>744</v>
      </c>
      <c r="B694" s="4">
        <v>0</v>
      </c>
      <c r="C694" s="4" t="s">
        <v>744</v>
      </c>
      <c r="D694" s="4" t="s">
        <v>549</v>
      </c>
      <c r="E694" s="4" t="s">
        <v>2108</v>
      </c>
      <c r="F694" s="4">
        <v>-1</v>
      </c>
      <c r="G694" s="4">
        <v>0</v>
      </c>
      <c r="H694" s="4">
        <v>0</v>
      </c>
      <c r="K694" s="4">
        <v>0</v>
      </c>
      <c r="N694" s="4">
        <v>0</v>
      </c>
      <c r="O694" s="4">
        <v>0</v>
      </c>
      <c r="P694" s="4" t="str">
        <f t="shared" si="10"/>
        <v>PROGRAM.BASELINED</v>
      </c>
      <c r="Q694" s="4" t="str">
        <f>VLOOKUP(Cobra8.6[[#This Row],[Table.Column]],ColumnMapping[Old Table.Column],1,)</f>
        <v>PROGRAM.BASELINED</v>
      </c>
    </row>
    <row r="695" spans="1:17" hidden="1" x14ac:dyDescent="0.2">
      <c r="A695" s="4" t="s">
        <v>744</v>
      </c>
      <c r="B695" s="4">
        <v>0</v>
      </c>
      <c r="C695" s="4" t="s">
        <v>744</v>
      </c>
      <c r="D695" s="4" t="s">
        <v>611</v>
      </c>
      <c r="E695" s="4" t="s">
        <v>2108</v>
      </c>
      <c r="F695" s="4">
        <v>-1</v>
      </c>
      <c r="G695" s="4">
        <v>0</v>
      </c>
      <c r="H695" s="4">
        <v>0</v>
      </c>
      <c r="K695" s="4">
        <v>0</v>
      </c>
      <c r="N695" s="4">
        <v>0</v>
      </c>
      <c r="O695" s="4">
        <v>0</v>
      </c>
      <c r="P695" s="4" t="str">
        <f t="shared" si="10"/>
        <v>PROGRAM.BATCHNO</v>
      </c>
      <c r="Q695" s="4" t="str">
        <f>VLOOKUP(Cobra8.6[[#This Row],[Table.Column]],ColumnMapping[Old Table.Column],1,)</f>
        <v>PROGRAM.BATCHNO</v>
      </c>
    </row>
    <row r="696" spans="1:17" hidden="1" x14ac:dyDescent="0.2">
      <c r="A696" s="4" t="s">
        <v>744</v>
      </c>
      <c r="B696" s="4">
        <v>0</v>
      </c>
      <c r="C696" s="4" t="s">
        <v>744</v>
      </c>
      <c r="D696" s="4" t="s">
        <v>613</v>
      </c>
      <c r="E696" s="4" t="s">
        <v>2124</v>
      </c>
      <c r="F696" s="4">
        <v>21</v>
      </c>
      <c r="G696" s="4">
        <v>6</v>
      </c>
      <c r="H696" s="4">
        <v>0</v>
      </c>
      <c r="K696" s="4">
        <v>0</v>
      </c>
      <c r="N696" s="4">
        <v>0</v>
      </c>
      <c r="O696" s="4">
        <v>0</v>
      </c>
      <c r="P696" s="4" t="str">
        <f t="shared" si="10"/>
        <v>PROGRAM.BCWP</v>
      </c>
      <c r="Q696" s="4" t="str">
        <f>VLOOKUP(Cobra8.6[[#This Row],[Table.Column]],ColumnMapping[Old Table.Column],1,)</f>
        <v>PROGRAM.BCWP</v>
      </c>
    </row>
    <row r="697" spans="1:17" hidden="1" x14ac:dyDescent="0.2">
      <c r="A697" s="4" t="s">
        <v>744</v>
      </c>
      <c r="B697" s="4">
        <v>0</v>
      </c>
      <c r="C697" s="4" t="s">
        <v>744</v>
      </c>
      <c r="D697" s="4" t="s">
        <v>615</v>
      </c>
      <c r="E697" s="4" t="s">
        <v>2124</v>
      </c>
      <c r="F697" s="4">
        <v>21</v>
      </c>
      <c r="G697" s="4">
        <v>6</v>
      </c>
      <c r="H697" s="4">
        <v>0</v>
      </c>
      <c r="K697" s="4">
        <v>0</v>
      </c>
      <c r="N697" s="4">
        <v>0</v>
      </c>
      <c r="O697" s="4">
        <v>0</v>
      </c>
      <c r="P697" s="4" t="str">
        <f t="shared" si="10"/>
        <v>PROGRAM.BCWP_HRS</v>
      </c>
      <c r="Q697" s="4" t="str">
        <f>VLOOKUP(Cobra8.6[[#This Row],[Table.Column]],ColumnMapping[Old Table.Column],1,)</f>
        <v>PROGRAM.BCWP_HRS</v>
      </c>
    </row>
    <row r="698" spans="1:17" hidden="1" x14ac:dyDescent="0.2">
      <c r="A698" s="4" t="s">
        <v>744</v>
      </c>
      <c r="B698" s="4">
        <v>0</v>
      </c>
      <c r="C698" s="4" t="s">
        <v>744</v>
      </c>
      <c r="D698" s="4" t="s">
        <v>617</v>
      </c>
      <c r="E698" s="4" t="s">
        <v>2124</v>
      </c>
      <c r="F698" s="4">
        <v>21</v>
      </c>
      <c r="G698" s="4">
        <v>6</v>
      </c>
      <c r="H698" s="4">
        <v>0</v>
      </c>
      <c r="K698" s="4">
        <v>0</v>
      </c>
      <c r="N698" s="4">
        <v>0</v>
      </c>
      <c r="O698" s="4">
        <v>0</v>
      </c>
      <c r="P698" s="4" t="str">
        <f t="shared" si="10"/>
        <v>PROGRAM.BCWS</v>
      </c>
      <c r="Q698" s="4" t="str">
        <f>VLOOKUP(Cobra8.6[[#This Row],[Table.Column]],ColumnMapping[Old Table.Column],1,)</f>
        <v>PROGRAM.BCWS</v>
      </c>
    </row>
    <row r="699" spans="1:17" hidden="1" x14ac:dyDescent="0.2">
      <c r="A699" s="4" t="s">
        <v>744</v>
      </c>
      <c r="B699" s="4">
        <v>0</v>
      </c>
      <c r="C699" s="4" t="s">
        <v>744</v>
      </c>
      <c r="D699" s="4" t="s">
        <v>619</v>
      </c>
      <c r="E699" s="4" t="s">
        <v>2124</v>
      </c>
      <c r="F699" s="4">
        <v>21</v>
      </c>
      <c r="G699" s="4">
        <v>6</v>
      </c>
      <c r="H699" s="4">
        <v>0</v>
      </c>
      <c r="K699" s="4">
        <v>0</v>
      </c>
      <c r="N699" s="4">
        <v>0</v>
      </c>
      <c r="O699" s="4">
        <v>0</v>
      </c>
      <c r="P699" s="4" t="str">
        <f t="shared" si="10"/>
        <v>PROGRAM.BCWS_HRS</v>
      </c>
      <c r="Q699" s="4" t="str">
        <f>VLOOKUP(Cobra8.6[[#This Row],[Table.Column]],ColumnMapping[Old Table.Column],1,)</f>
        <v>PROGRAM.BCWS_HRS</v>
      </c>
    </row>
    <row r="700" spans="1:17" hidden="1" x14ac:dyDescent="0.2">
      <c r="A700" s="4" t="s">
        <v>744</v>
      </c>
      <c r="B700" s="4">
        <v>0</v>
      </c>
      <c r="C700" s="4" t="s">
        <v>744</v>
      </c>
      <c r="D700" s="4" t="s">
        <v>2235</v>
      </c>
      <c r="E700" s="4" t="s">
        <v>2108</v>
      </c>
      <c r="F700" s="4">
        <v>-1</v>
      </c>
      <c r="G700" s="4">
        <v>0</v>
      </c>
      <c r="H700" s="4">
        <v>0</v>
      </c>
      <c r="K700" s="4">
        <v>0</v>
      </c>
      <c r="N700" s="4">
        <v>0</v>
      </c>
      <c r="O700" s="4">
        <v>0</v>
      </c>
      <c r="P700" s="4" t="str">
        <f t="shared" si="10"/>
        <v>PROGRAM.C_RIGHT</v>
      </c>
      <c r="Q700" s="4" t="str">
        <f>VLOOKUP(Cobra8.6[[#This Row],[Table.Column]],ColumnMapping[Old Table.Column],1,)</f>
        <v>PROGRAM.C_RIGHT</v>
      </c>
    </row>
    <row r="701" spans="1:17" hidden="1" x14ac:dyDescent="0.2">
      <c r="A701" s="4" t="s">
        <v>744</v>
      </c>
      <c r="B701" s="4">
        <v>0</v>
      </c>
      <c r="C701" s="4" t="s">
        <v>744</v>
      </c>
      <c r="D701" s="4" t="s">
        <v>2236</v>
      </c>
      <c r="E701" s="4" t="s">
        <v>86</v>
      </c>
      <c r="F701" s="4">
        <v>6</v>
      </c>
      <c r="G701" s="4">
        <v>0</v>
      </c>
      <c r="H701" s="4">
        <v>0</v>
      </c>
      <c r="K701" s="4">
        <v>0</v>
      </c>
      <c r="N701" s="4">
        <v>0</v>
      </c>
      <c r="O701" s="4">
        <v>0</v>
      </c>
      <c r="P701" s="4" t="str">
        <f t="shared" si="10"/>
        <v>PROGRAM.C_SYMBOL</v>
      </c>
      <c r="Q701" s="4" t="str">
        <f>VLOOKUP(Cobra8.6[[#This Row],[Table.Column]],ColumnMapping[Old Table.Column],1,)</f>
        <v>PROGRAM.C_SYMBOL</v>
      </c>
    </row>
    <row r="702" spans="1:17" hidden="1" x14ac:dyDescent="0.2">
      <c r="A702" s="4" t="s">
        <v>744</v>
      </c>
      <c r="B702" s="4">
        <v>0</v>
      </c>
      <c r="C702" s="4" t="s">
        <v>744</v>
      </c>
      <c r="D702" s="4" t="s">
        <v>621</v>
      </c>
      <c r="E702" s="4" t="s">
        <v>86</v>
      </c>
      <c r="F702" s="4">
        <v>1</v>
      </c>
      <c r="G702" s="4">
        <v>0</v>
      </c>
      <c r="H702" s="4">
        <v>0</v>
      </c>
      <c r="K702" s="4">
        <v>0</v>
      </c>
      <c r="N702" s="4">
        <v>0</v>
      </c>
      <c r="O702" s="4">
        <v>0</v>
      </c>
      <c r="P702" s="4" t="str">
        <f t="shared" si="10"/>
        <v>PROGRAM.CA_ACTUAL</v>
      </c>
      <c r="Q702" s="4" t="str">
        <f>VLOOKUP(Cobra8.6[[#This Row],[Table.Column]],ColumnMapping[Old Table.Column],1,)</f>
        <v>PROGRAM.CA_ACTUAL</v>
      </c>
    </row>
    <row r="703" spans="1:17" hidden="1" x14ac:dyDescent="0.2">
      <c r="A703" s="4" t="s">
        <v>744</v>
      </c>
      <c r="B703" s="4">
        <v>0</v>
      </c>
      <c r="C703" s="4" t="s">
        <v>744</v>
      </c>
      <c r="D703" s="4" t="s">
        <v>623</v>
      </c>
      <c r="E703" s="4" t="s">
        <v>86</v>
      </c>
      <c r="F703" s="4">
        <v>22</v>
      </c>
      <c r="G703" s="4">
        <v>0</v>
      </c>
      <c r="H703" s="4">
        <v>0</v>
      </c>
      <c r="K703" s="4">
        <v>0</v>
      </c>
      <c r="N703" s="4">
        <v>0</v>
      </c>
      <c r="O703" s="4">
        <v>0</v>
      </c>
      <c r="P703" s="4" t="str">
        <f t="shared" si="10"/>
        <v>PROGRAM.CA_BD1</v>
      </c>
      <c r="Q703" s="4" t="str">
        <f>VLOOKUP(Cobra8.6[[#This Row],[Table.Column]],ColumnMapping[Old Table.Column],1,)</f>
        <v>PROGRAM.CA_BD1</v>
      </c>
    </row>
    <row r="704" spans="1:17" hidden="1" x14ac:dyDescent="0.2">
      <c r="A704" s="4" t="s">
        <v>744</v>
      </c>
      <c r="B704" s="4">
        <v>0</v>
      </c>
      <c r="C704" s="4" t="s">
        <v>744</v>
      </c>
      <c r="D704" s="4" t="s">
        <v>625</v>
      </c>
      <c r="E704" s="4" t="s">
        <v>86</v>
      </c>
      <c r="F704" s="4">
        <v>22</v>
      </c>
      <c r="G704" s="4">
        <v>0</v>
      </c>
      <c r="H704" s="4">
        <v>0</v>
      </c>
      <c r="K704" s="4">
        <v>0</v>
      </c>
      <c r="N704" s="4">
        <v>0</v>
      </c>
      <c r="O704" s="4">
        <v>0</v>
      </c>
      <c r="P704" s="4" t="str">
        <f t="shared" si="10"/>
        <v>PROGRAM.CA_BD2</v>
      </c>
      <c r="Q704" s="4" t="str">
        <f>VLOOKUP(Cobra8.6[[#This Row],[Table.Column]],ColumnMapping[Old Table.Column],1,)</f>
        <v>PROGRAM.CA_BD2</v>
      </c>
    </row>
    <row r="705" spans="1:17" hidden="1" x14ac:dyDescent="0.2">
      <c r="A705" s="4" t="s">
        <v>744</v>
      </c>
      <c r="B705" s="4">
        <v>0</v>
      </c>
      <c r="C705" s="4" t="s">
        <v>744</v>
      </c>
      <c r="D705" s="4" t="s">
        <v>627</v>
      </c>
      <c r="E705" s="4" t="s">
        <v>86</v>
      </c>
      <c r="F705" s="4">
        <v>22</v>
      </c>
      <c r="G705" s="4">
        <v>0</v>
      </c>
      <c r="H705" s="4">
        <v>0</v>
      </c>
      <c r="K705" s="4">
        <v>0</v>
      </c>
      <c r="N705" s="4">
        <v>0</v>
      </c>
      <c r="O705" s="4">
        <v>0</v>
      </c>
      <c r="P705" s="4" t="str">
        <f t="shared" si="10"/>
        <v>PROGRAM.CA_BD3</v>
      </c>
      <c r="Q705" s="4" t="str">
        <f>VLOOKUP(Cobra8.6[[#This Row],[Table.Column]],ColumnMapping[Old Table.Column],1,)</f>
        <v>PROGRAM.CA_BD3</v>
      </c>
    </row>
    <row r="706" spans="1:17" hidden="1" x14ac:dyDescent="0.2">
      <c r="A706" s="4" t="s">
        <v>744</v>
      </c>
      <c r="B706" s="4">
        <v>0</v>
      </c>
      <c r="C706" s="4" t="s">
        <v>744</v>
      </c>
      <c r="D706" s="4" t="s">
        <v>629</v>
      </c>
      <c r="E706" s="4" t="s">
        <v>86</v>
      </c>
      <c r="F706" s="4">
        <v>10</v>
      </c>
      <c r="G706" s="4">
        <v>0</v>
      </c>
      <c r="H706" s="4">
        <v>0</v>
      </c>
      <c r="K706" s="4">
        <v>0</v>
      </c>
      <c r="N706" s="4">
        <v>0</v>
      </c>
      <c r="O706" s="4">
        <v>0</v>
      </c>
      <c r="P706" s="4" t="str">
        <f t="shared" ref="P706:P769" si="11">_xlfn.CONCAT(A706,".",D706)</f>
        <v>PROGRAM.CA_ID1</v>
      </c>
      <c r="Q706" s="4" t="str">
        <f>VLOOKUP(Cobra8.6[[#This Row],[Table.Column]],ColumnMapping[Old Table.Column],1,)</f>
        <v>PROGRAM.CA_ID1</v>
      </c>
    </row>
    <row r="707" spans="1:17" hidden="1" x14ac:dyDescent="0.2">
      <c r="A707" s="4" t="s">
        <v>744</v>
      </c>
      <c r="B707" s="4">
        <v>0</v>
      </c>
      <c r="C707" s="4" t="s">
        <v>744</v>
      </c>
      <c r="D707" s="4" t="s">
        <v>631</v>
      </c>
      <c r="E707" s="4" t="s">
        <v>86</v>
      </c>
      <c r="F707" s="4">
        <v>10</v>
      </c>
      <c r="G707" s="4">
        <v>0</v>
      </c>
      <c r="H707" s="4">
        <v>0</v>
      </c>
      <c r="K707" s="4">
        <v>0</v>
      </c>
      <c r="N707" s="4">
        <v>0</v>
      </c>
      <c r="O707" s="4">
        <v>0</v>
      </c>
      <c r="P707" s="4" t="str">
        <f t="shared" si="11"/>
        <v>PROGRAM.CA_ID2</v>
      </c>
      <c r="Q707" s="4" t="str">
        <f>VLOOKUP(Cobra8.6[[#This Row],[Table.Column]],ColumnMapping[Old Table.Column],1,)</f>
        <v>PROGRAM.CA_ID2</v>
      </c>
    </row>
    <row r="708" spans="1:17" hidden="1" x14ac:dyDescent="0.2">
      <c r="A708" s="4" t="s">
        <v>744</v>
      </c>
      <c r="B708" s="4">
        <v>0</v>
      </c>
      <c r="C708" s="4" t="s">
        <v>744</v>
      </c>
      <c r="D708" s="4" t="s">
        <v>633</v>
      </c>
      <c r="E708" s="4" t="s">
        <v>86</v>
      </c>
      <c r="F708" s="4">
        <v>10</v>
      </c>
      <c r="G708" s="4">
        <v>0</v>
      </c>
      <c r="H708" s="4">
        <v>0</v>
      </c>
      <c r="K708" s="4">
        <v>0</v>
      </c>
      <c r="N708" s="4">
        <v>0</v>
      </c>
      <c r="O708" s="4">
        <v>0</v>
      </c>
      <c r="P708" s="4" t="str">
        <f t="shared" si="11"/>
        <v>PROGRAM.CA_ID3</v>
      </c>
      <c r="Q708" s="4" t="str">
        <f>VLOOKUP(Cobra8.6[[#This Row],[Table.Column]],ColumnMapping[Old Table.Column],1,)</f>
        <v>PROGRAM.CA_ID3</v>
      </c>
    </row>
    <row r="709" spans="1:17" hidden="1" x14ac:dyDescent="0.2">
      <c r="A709" s="4" t="s">
        <v>744</v>
      </c>
      <c r="B709" s="4">
        <v>0</v>
      </c>
      <c r="C709" s="4" t="s">
        <v>744</v>
      </c>
      <c r="D709" s="4" t="s">
        <v>635</v>
      </c>
      <c r="E709" s="4" t="s">
        <v>86</v>
      </c>
      <c r="F709" s="4">
        <v>22</v>
      </c>
      <c r="G709" s="4">
        <v>0</v>
      </c>
      <c r="H709" s="4">
        <v>0</v>
      </c>
      <c r="K709" s="4">
        <v>0</v>
      </c>
      <c r="N709" s="4">
        <v>0</v>
      </c>
      <c r="O709" s="4">
        <v>0</v>
      </c>
      <c r="P709" s="4" t="str">
        <f t="shared" si="11"/>
        <v>PROGRAM.CALC_FILE</v>
      </c>
      <c r="Q709" s="4" t="str">
        <f>VLOOKUP(Cobra8.6[[#This Row],[Table.Column]],ColumnMapping[Old Table.Column],1,)</f>
        <v>PROGRAM.CALC_FILE</v>
      </c>
    </row>
    <row r="710" spans="1:17" hidden="1" x14ac:dyDescent="0.2">
      <c r="A710" s="4" t="s">
        <v>744</v>
      </c>
      <c r="B710" s="4">
        <v>0</v>
      </c>
      <c r="C710" s="4" t="s">
        <v>744</v>
      </c>
      <c r="D710" s="4" t="s">
        <v>637</v>
      </c>
      <c r="E710" s="4" t="s">
        <v>86</v>
      </c>
      <c r="F710" s="4">
        <v>59</v>
      </c>
      <c r="G710" s="4">
        <v>0</v>
      </c>
      <c r="H710" s="4">
        <v>0</v>
      </c>
      <c r="K710" s="4">
        <v>0</v>
      </c>
      <c r="N710" s="4">
        <v>0</v>
      </c>
      <c r="O710" s="4">
        <v>0</v>
      </c>
      <c r="P710" s="4" t="str">
        <f t="shared" si="11"/>
        <v>PROGRAM.CAMCODE</v>
      </c>
      <c r="Q710" s="4" t="str">
        <f>VLOOKUP(Cobra8.6[[#This Row],[Table.Column]],ColumnMapping[Old Table.Column],1,)</f>
        <v>PROGRAM.CAMCODE</v>
      </c>
    </row>
    <row r="711" spans="1:17" hidden="1" x14ac:dyDescent="0.2">
      <c r="A711" s="4" t="s">
        <v>744</v>
      </c>
      <c r="B711" s="4">
        <v>0</v>
      </c>
      <c r="C711" s="4" t="s">
        <v>744</v>
      </c>
      <c r="D711" s="4" t="s">
        <v>522</v>
      </c>
      <c r="E711" s="4" t="s">
        <v>2124</v>
      </c>
      <c r="F711" s="4">
        <v>21</v>
      </c>
      <c r="G711" s="4">
        <v>6</v>
      </c>
      <c r="H711" s="4">
        <v>0</v>
      </c>
      <c r="K711" s="4">
        <v>0</v>
      </c>
      <c r="N711" s="4">
        <v>0</v>
      </c>
      <c r="O711" s="4">
        <v>0</v>
      </c>
      <c r="P711" s="4" t="str">
        <f t="shared" si="11"/>
        <v>PROGRAM.CBB</v>
      </c>
      <c r="Q711" s="4" t="str">
        <f>VLOOKUP(Cobra8.6[[#This Row],[Table.Column]],ColumnMapping[Old Table.Column],1,)</f>
        <v>PROGRAM.CBB</v>
      </c>
    </row>
    <row r="712" spans="1:17" hidden="1" x14ac:dyDescent="0.2">
      <c r="A712" s="4" t="s">
        <v>744</v>
      </c>
      <c r="B712" s="4">
        <v>0</v>
      </c>
      <c r="C712" s="4" t="s">
        <v>744</v>
      </c>
      <c r="D712" s="4" t="s">
        <v>639</v>
      </c>
      <c r="E712" s="4" t="s">
        <v>86</v>
      </c>
      <c r="F712" s="4">
        <v>22</v>
      </c>
      <c r="G712" s="4">
        <v>0</v>
      </c>
      <c r="H712" s="4">
        <v>0</v>
      </c>
      <c r="K712" s="4">
        <v>0</v>
      </c>
      <c r="N712" s="4">
        <v>0</v>
      </c>
      <c r="O712" s="4">
        <v>0</v>
      </c>
      <c r="P712" s="4" t="str">
        <f t="shared" si="11"/>
        <v>PROGRAM.CCN_BDN</v>
      </c>
      <c r="Q712" s="4" t="str">
        <f>VLOOKUP(Cobra8.6[[#This Row],[Table.Column]],ColumnMapping[Old Table.Column],1,)</f>
        <v>PROGRAM.CCN_BDN</v>
      </c>
    </row>
    <row r="713" spans="1:17" hidden="1" x14ac:dyDescent="0.2">
      <c r="A713" s="4" t="s">
        <v>744</v>
      </c>
      <c r="B713" s="4">
        <v>0</v>
      </c>
      <c r="C713" s="4" t="s">
        <v>744</v>
      </c>
      <c r="D713" s="4" t="s">
        <v>554</v>
      </c>
      <c r="E713" s="4" t="s">
        <v>2108</v>
      </c>
      <c r="F713" s="4">
        <v>-1</v>
      </c>
      <c r="G713" s="4">
        <v>0</v>
      </c>
      <c r="H713" s="4">
        <v>0</v>
      </c>
      <c r="K713" s="4">
        <v>0</v>
      </c>
      <c r="N713" s="4">
        <v>0</v>
      </c>
      <c r="O713" s="4">
        <v>0</v>
      </c>
      <c r="P713" s="4" t="str">
        <f t="shared" si="11"/>
        <v>PROGRAM.CCN_USEBDN</v>
      </c>
      <c r="Q713" s="4" t="str">
        <f>VLOOKUP(Cobra8.6[[#This Row],[Table.Column]],ColumnMapping[Old Table.Column],1,)</f>
        <v>PROGRAM.CCN_USEBDN</v>
      </c>
    </row>
    <row r="714" spans="1:17" hidden="1" x14ac:dyDescent="0.2">
      <c r="A714" s="4" t="s">
        <v>744</v>
      </c>
      <c r="B714" s="4">
        <v>0</v>
      </c>
      <c r="C714" s="4" t="s">
        <v>744</v>
      </c>
      <c r="D714" s="4" t="s">
        <v>2237</v>
      </c>
      <c r="E714" s="4" t="s">
        <v>86</v>
      </c>
      <c r="F714" s="4">
        <v>1</v>
      </c>
      <c r="G714" s="4">
        <v>0</v>
      </c>
      <c r="H714" s="4">
        <v>0</v>
      </c>
      <c r="K714" s="4">
        <v>0</v>
      </c>
      <c r="N714" s="4">
        <v>0</v>
      </c>
      <c r="O714" s="4">
        <v>0</v>
      </c>
      <c r="P714" s="4" t="str">
        <f t="shared" si="11"/>
        <v>PROGRAM.CCN_VAL</v>
      </c>
      <c r="Q714" s="4" t="str">
        <f>VLOOKUP(Cobra8.6[[#This Row],[Table.Column]],ColumnMapping[Old Table.Column],1,)</f>
        <v>PROGRAM.CCN_VAL</v>
      </c>
    </row>
    <row r="715" spans="1:17" hidden="1" x14ac:dyDescent="0.2">
      <c r="A715" s="4" t="s">
        <v>744</v>
      </c>
      <c r="B715" s="4">
        <v>0</v>
      </c>
      <c r="C715" s="4" t="s">
        <v>744</v>
      </c>
      <c r="D715" s="4" t="s">
        <v>641</v>
      </c>
      <c r="E715" s="4" t="s">
        <v>86</v>
      </c>
      <c r="F715" s="4">
        <v>22</v>
      </c>
      <c r="G715" s="4">
        <v>0</v>
      </c>
      <c r="H715" s="4">
        <v>0</v>
      </c>
      <c r="K715" s="4">
        <v>0</v>
      </c>
      <c r="N715" s="4">
        <v>0</v>
      </c>
      <c r="O715" s="4">
        <v>0</v>
      </c>
      <c r="P715" s="4" t="str">
        <f t="shared" si="11"/>
        <v>PROGRAM.CE_BDN</v>
      </c>
      <c r="Q715" s="4" t="str">
        <f>VLOOKUP(Cobra8.6[[#This Row],[Table.Column]],ColumnMapping[Old Table.Column],1,)</f>
        <v>PROGRAM.CE_BDN</v>
      </c>
    </row>
    <row r="716" spans="1:17" hidden="1" x14ac:dyDescent="0.2">
      <c r="A716" s="4" t="s">
        <v>744</v>
      </c>
      <c r="B716" s="4">
        <v>0</v>
      </c>
      <c r="C716" s="4" t="s">
        <v>744</v>
      </c>
      <c r="D716" s="4" t="s">
        <v>643</v>
      </c>
      <c r="E716" s="4" t="s">
        <v>86</v>
      </c>
      <c r="F716" s="4">
        <v>10</v>
      </c>
      <c r="G716" s="4">
        <v>0</v>
      </c>
      <c r="H716" s="4">
        <v>0</v>
      </c>
      <c r="K716" s="4">
        <v>0</v>
      </c>
      <c r="N716" s="4">
        <v>0</v>
      </c>
      <c r="O716" s="4">
        <v>0</v>
      </c>
      <c r="P716" s="4" t="str">
        <f t="shared" si="11"/>
        <v>PROGRAM.CE_ID</v>
      </c>
      <c r="Q716" s="4" t="str">
        <f>VLOOKUP(Cobra8.6[[#This Row],[Table.Column]],ColumnMapping[Old Table.Column],1,)</f>
        <v>PROGRAM.CE_ID</v>
      </c>
    </row>
    <row r="717" spans="1:17" hidden="1" x14ac:dyDescent="0.2">
      <c r="A717" s="4" t="s">
        <v>744</v>
      </c>
      <c r="B717" s="4">
        <v>0</v>
      </c>
      <c r="C717" s="4" t="s">
        <v>744</v>
      </c>
      <c r="D717" s="4" t="s">
        <v>534</v>
      </c>
      <c r="E717" s="4" t="s">
        <v>2124</v>
      </c>
      <c r="F717" s="4">
        <v>21</v>
      </c>
      <c r="G717" s="4">
        <v>6</v>
      </c>
      <c r="H717" s="4">
        <v>0</v>
      </c>
      <c r="K717" s="4">
        <v>0</v>
      </c>
      <c r="N717" s="4">
        <v>0</v>
      </c>
      <c r="O717" s="4">
        <v>0</v>
      </c>
      <c r="P717" s="4" t="str">
        <f t="shared" si="11"/>
        <v>PROGRAM.CEILING</v>
      </c>
      <c r="Q717" s="4" t="str">
        <f>VLOOKUP(Cobra8.6[[#This Row],[Table.Column]],ColumnMapping[Old Table.Column],1,)</f>
        <v>PROGRAM.CEILING</v>
      </c>
    </row>
    <row r="718" spans="1:17" hidden="1" x14ac:dyDescent="0.2">
      <c r="A718" s="4" t="s">
        <v>744</v>
      </c>
      <c r="B718" s="4">
        <v>0</v>
      </c>
      <c r="C718" s="4" t="s">
        <v>744</v>
      </c>
      <c r="D718" s="4" t="s">
        <v>645</v>
      </c>
      <c r="E718" s="4" t="s">
        <v>86</v>
      </c>
      <c r="F718" s="4">
        <v>30</v>
      </c>
      <c r="G718" s="4">
        <v>0</v>
      </c>
      <c r="H718" s="4">
        <v>0</v>
      </c>
      <c r="K718" s="4">
        <v>0</v>
      </c>
      <c r="N718" s="4">
        <v>0</v>
      </c>
      <c r="O718" s="4">
        <v>0</v>
      </c>
      <c r="P718" s="4" t="str">
        <f t="shared" si="11"/>
        <v>PROGRAM.CITY</v>
      </c>
      <c r="Q718" s="4" t="str">
        <f>VLOOKUP(Cobra8.6[[#This Row],[Table.Column]],ColumnMapping[Old Table.Column],1,)</f>
        <v>PROGRAM.CITY</v>
      </c>
    </row>
    <row r="719" spans="1:17" hidden="1" x14ac:dyDescent="0.2">
      <c r="A719" s="4" t="s">
        <v>744</v>
      </c>
      <c r="B719" s="4">
        <v>0</v>
      </c>
      <c r="C719" s="4" t="s">
        <v>744</v>
      </c>
      <c r="D719" s="4" t="s">
        <v>2238</v>
      </c>
      <c r="E719" s="4" t="s">
        <v>86</v>
      </c>
      <c r="F719" s="4">
        <v>60</v>
      </c>
      <c r="G719" s="4">
        <v>0</v>
      </c>
      <c r="H719" s="4">
        <v>0</v>
      </c>
      <c r="K719" s="4">
        <v>0</v>
      </c>
      <c r="N719" s="4">
        <v>0</v>
      </c>
      <c r="O719" s="4">
        <v>0</v>
      </c>
      <c r="P719" s="4" t="str">
        <f t="shared" si="11"/>
        <v>PROGRAM.CLASSFCN</v>
      </c>
      <c r="Q719" s="4" t="str">
        <f>VLOOKUP(Cobra8.6[[#This Row],[Table.Column]],ColumnMapping[Old Table.Column],1,)</f>
        <v>PROGRAM.CLASSFCN</v>
      </c>
    </row>
    <row r="720" spans="1:17" hidden="1" x14ac:dyDescent="0.2">
      <c r="A720" s="4" t="s">
        <v>744</v>
      </c>
      <c r="B720" s="4">
        <v>0</v>
      </c>
      <c r="C720" s="4" t="s">
        <v>744</v>
      </c>
      <c r="D720" s="4" t="s">
        <v>647</v>
      </c>
      <c r="E720" s="4" t="s">
        <v>86</v>
      </c>
      <c r="F720" s="4">
        <v>20</v>
      </c>
      <c r="G720" s="4">
        <v>0</v>
      </c>
      <c r="H720" s="4">
        <v>0</v>
      </c>
      <c r="K720" s="4">
        <v>0</v>
      </c>
      <c r="N720" s="4">
        <v>0</v>
      </c>
      <c r="O720" s="4">
        <v>0</v>
      </c>
      <c r="P720" s="4" t="str">
        <f t="shared" si="11"/>
        <v>PROGRAM.CLC_PROMPT</v>
      </c>
      <c r="Q720" s="4" t="str">
        <f>VLOOKUP(Cobra8.6[[#This Row],[Table.Column]],ColumnMapping[Old Table.Column],1,)</f>
        <v>PROGRAM.CLC_PROMPT</v>
      </c>
    </row>
    <row r="721" spans="1:17" hidden="1" x14ac:dyDescent="0.2">
      <c r="A721" s="4" t="s">
        <v>744</v>
      </c>
      <c r="B721" s="4">
        <v>0</v>
      </c>
      <c r="C721" s="4" t="s">
        <v>744</v>
      </c>
      <c r="D721" s="4" t="s">
        <v>649</v>
      </c>
      <c r="E721" s="4" t="s">
        <v>86</v>
      </c>
      <c r="F721" s="4">
        <v>30</v>
      </c>
      <c r="G721" s="4">
        <v>0</v>
      </c>
      <c r="H721" s="4">
        <v>0</v>
      </c>
      <c r="K721" s="4">
        <v>0</v>
      </c>
      <c r="N721" s="4">
        <v>0</v>
      </c>
      <c r="O721" s="4">
        <v>0</v>
      </c>
      <c r="P721" s="4" t="str">
        <f t="shared" si="11"/>
        <v>PROGRAM.CLIN_CODE</v>
      </c>
      <c r="Q721" s="4" t="str">
        <f>VLOOKUP(Cobra8.6[[#This Row],[Table.Column]],ColumnMapping[Old Table.Column],1,)</f>
        <v>PROGRAM.CLIN_CODE</v>
      </c>
    </row>
    <row r="722" spans="1:17" hidden="1" x14ac:dyDescent="0.2">
      <c r="A722" s="4" t="s">
        <v>744</v>
      </c>
      <c r="B722" s="4">
        <v>0</v>
      </c>
      <c r="C722" s="4" t="s">
        <v>744</v>
      </c>
      <c r="D722" s="4" t="s">
        <v>582</v>
      </c>
      <c r="E722" s="4" t="s">
        <v>356</v>
      </c>
      <c r="F722" s="4">
        <v>-1</v>
      </c>
      <c r="G722" s="4">
        <v>0</v>
      </c>
      <c r="H722" s="4">
        <v>0</v>
      </c>
      <c r="K722" s="4">
        <v>0</v>
      </c>
      <c r="N722" s="4">
        <v>0</v>
      </c>
      <c r="O722" s="4">
        <v>0</v>
      </c>
      <c r="P722" s="4" t="str">
        <f t="shared" si="11"/>
        <v>PROGRAM.COMPLETE</v>
      </c>
      <c r="Q722" s="4" t="str">
        <f>VLOOKUP(Cobra8.6[[#This Row],[Table.Column]],ColumnMapping[Old Table.Column],1,)</f>
        <v>PROGRAM.COMPLETE</v>
      </c>
    </row>
    <row r="723" spans="1:17" hidden="1" x14ac:dyDescent="0.2">
      <c r="A723" s="4" t="s">
        <v>744</v>
      </c>
      <c r="B723" s="4">
        <v>0</v>
      </c>
      <c r="C723" s="4" t="s">
        <v>744</v>
      </c>
      <c r="D723" s="4" t="s">
        <v>651</v>
      </c>
      <c r="E723" s="4" t="s">
        <v>86</v>
      </c>
      <c r="F723" s="4">
        <v>1</v>
      </c>
      <c r="G723" s="4">
        <v>0</v>
      </c>
      <c r="H723" s="4">
        <v>0</v>
      </c>
      <c r="K723" s="4">
        <v>0</v>
      </c>
      <c r="N723" s="4">
        <v>0</v>
      </c>
      <c r="O723" s="4">
        <v>0</v>
      </c>
      <c r="P723" s="4" t="str">
        <f t="shared" si="11"/>
        <v>PROGRAM.CONT_FLAG</v>
      </c>
      <c r="Q723" s="4" t="str">
        <f>VLOOKUP(Cobra8.6[[#This Row],[Table.Column]],ColumnMapping[Old Table.Column],1,)</f>
        <v>PROGRAM.CONT_FLAG</v>
      </c>
    </row>
    <row r="724" spans="1:17" hidden="1" x14ac:dyDescent="0.2">
      <c r="A724" s="4" t="s">
        <v>744</v>
      </c>
      <c r="B724" s="4">
        <v>0</v>
      </c>
      <c r="C724" s="4" t="s">
        <v>744</v>
      </c>
      <c r="D724" s="4" t="s">
        <v>653</v>
      </c>
      <c r="E724" s="4" t="s">
        <v>86</v>
      </c>
      <c r="F724" s="4">
        <v>20</v>
      </c>
      <c r="G724" s="4">
        <v>0</v>
      </c>
      <c r="H724" s="4">
        <v>0</v>
      </c>
      <c r="K724" s="4">
        <v>0</v>
      </c>
      <c r="N724" s="4">
        <v>0</v>
      </c>
      <c r="O724" s="4">
        <v>0</v>
      </c>
      <c r="P724" s="4" t="str">
        <f t="shared" si="11"/>
        <v>PROGRAM.CONT_IDCODE</v>
      </c>
      <c r="Q724" s="4" t="str">
        <f>VLOOKUP(Cobra8.6[[#This Row],[Table.Column]],ColumnMapping[Old Table.Column],1,)</f>
        <v>PROGRAM.CONT_IDCODE</v>
      </c>
    </row>
    <row r="725" spans="1:17" hidden="1" x14ac:dyDescent="0.2">
      <c r="A725" s="4" t="s">
        <v>744</v>
      </c>
      <c r="B725" s="4">
        <v>0</v>
      </c>
      <c r="C725" s="4" t="s">
        <v>744</v>
      </c>
      <c r="D725" s="4" t="s">
        <v>655</v>
      </c>
      <c r="E725" s="4" t="s">
        <v>86</v>
      </c>
      <c r="F725" s="4">
        <v>15</v>
      </c>
      <c r="G725" s="4">
        <v>0</v>
      </c>
      <c r="H725" s="4">
        <v>0</v>
      </c>
      <c r="K725" s="4">
        <v>0</v>
      </c>
      <c r="N725" s="4">
        <v>0</v>
      </c>
      <c r="O725" s="4">
        <v>0</v>
      </c>
      <c r="P725" s="4" t="str">
        <f t="shared" si="11"/>
        <v>PROGRAM.CONT_IDTYPE</v>
      </c>
      <c r="Q725" s="4" t="str">
        <f>VLOOKUP(Cobra8.6[[#This Row],[Table.Column]],ColumnMapping[Old Table.Column],1,)</f>
        <v>PROGRAM.CONT_IDTYPE</v>
      </c>
    </row>
    <row r="726" spans="1:17" hidden="1" x14ac:dyDescent="0.2">
      <c r="A726" s="4" t="s">
        <v>744</v>
      </c>
      <c r="B726" s="4">
        <v>0</v>
      </c>
      <c r="C726" s="4" t="s">
        <v>744</v>
      </c>
      <c r="D726" s="4" t="s">
        <v>657</v>
      </c>
      <c r="E726" s="4" t="s">
        <v>86</v>
      </c>
      <c r="F726" s="4">
        <v>40</v>
      </c>
      <c r="G726" s="4">
        <v>0</v>
      </c>
      <c r="H726" s="4">
        <v>0</v>
      </c>
      <c r="K726" s="4">
        <v>0</v>
      </c>
      <c r="N726" s="4">
        <v>0</v>
      </c>
      <c r="O726" s="4">
        <v>0</v>
      </c>
      <c r="P726" s="4" t="str">
        <f t="shared" si="11"/>
        <v>PROGRAM.CONT_LOC</v>
      </c>
      <c r="Q726" s="4" t="str">
        <f>VLOOKUP(Cobra8.6[[#This Row],[Table.Column]],ColumnMapping[Old Table.Column],1,)</f>
        <v>PROGRAM.CONT_LOC</v>
      </c>
    </row>
    <row r="727" spans="1:17" hidden="1" x14ac:dyDescent="0.2">
      <c r="A727" s="4" t="s">
        <v>744</v>
      </c>
      <c r="B727" s="4">
        <v>0</v>
      </c>
      <c r="C727" s="4" t="s">
        <v>744</v>
      </c>
      <c r="D727" s="4" t="s">
        <v>659</v>
      </c>
      <c r="E727" s="4" t="s">
        <v>86</v>
      </c>
      <c r="F727" s="4">
        <v>250</v>
      </c>
      <c r="G727" s="4">
        <v>0</v>
      </c>
      <c r="H727" s="4">
        <v>0</v>
      </c>
      <c r="K727" s="4">
        <v>0</v>
      </c>
      <c r="N727" s="4">
        <v>0</v>
      </c>
      <c r="O727" s="4">
        <v>0</v>
      </c>
      <c r="P727" s="4" t="str">
        <f t="shared" si="11"/>
        <v>PROGRAM.CONT_NAME</v>
      </c>
      <c r="Q727" s="4" t="str">
        <f>VLOOKUP(Cobra8.6[[#This Row],[Table.Column]],ColumnMapping[Old Table.Column],1,)</f>
        <v>PROGRAM.CONT_NAME</v>
      </c>
    </row>
    <row r="728" spans="1:17" hidden="1" x14ac:dyDescent="0.2">
      <c r="A728" s="4" t="s">
        <v>744</v>
      </c>
      <c r="B728" s="4">
        <v>0</v>
      </c>
      <c r="C728" s="4" t="s">
        <v>744</v>
      </c>
      <c r="D728" s="4" t="s">
        <v>661</v>
      </c>
      <c r="E728" s="4" t="s">
        <v>86</v>
      </c>
      <c r="F728" s="4">
        <v>100</v>
      </c>
      <c r="G728" s="4">
        <v>0</v>
      </c>
      <c r="H728" s="4">
        <v>0</v>
      </c>
      <c r="K728" s="4">
        <v>0</v>
      </c>
      <c r="N728" s="4">
        <v>0</v>
      </c>
      <c r="O728" s="4">
        <v>0</v>
      </c>
      <c r="P728" s="4" t="str">
        <f t="shared" si="11"/>
        <v>PROGRAM.CONT_NO</v>
      </c>
      <c r="Q728" s="4" t="str">
        <f>VLOOKUP(Cobra8.6[[#This Row],[Table.Column]],ColumnMapping[Old Table.Column],1,)</f>
        <v>PROGRAM.CONT_NO</v>
      </c>
    </row>
    <row r="729" spans="1:17" hidden="1" x14ac:dyDescent="0.2">
      <c r="A729" s="4" t="s">
        <v>744</v>
      </c>
      <c r="B729" s="4">
        <v>0</v>
      </c>
      <c r="C729" s="4" t="s">
        <v>744</v>
      </c>
      <c r="D729" s="4" t="s">
        <v>663</v>
      </c>
      <c r="E729" s="4" t="s">
        <v>86</v>
      </c>
      <c r="F729" s="4">
        <v>20</v>
      </c>
      <c r="G729" s="4">
        <v>0</v>
      </c>
      <c r="H729" s="4">
        <v>0</v>
      </c>
      <c r="K729" s="4">
        <v>0</v>
      </c>
      <c r="N729" s="4">
        <v>0</v>
      </c>
      <c r="O729" s="4">
        <v>0</v>
      </c>
      <c r="P729" s="4" t="str">
        <f t="shared" si="11"/>
        <v>PROGRAM.CONT_PHASE</v>
      </c>
      <c r="Q729" s="4" t="str">
        <f>VLOOKUP(Cobra8.6[[#This Row],[Table.Column]],ColumnMapping[Old Table.Column],1,)</f>
        <v>PROGRAM.CONT_PHASE</v>
      </c>
    </row>
    <row r="730" spans="1:17" hidden="1" x14ac:dyDescent="0.2">
      <c r="A730" s="4" t="s">
        <v>744</v>
      </c>
      <c r="B730" s="4">
        <v>0</v>
      </c>
      <c r="C730" s="4" t="s">
        <v>744</v>
      </c>
      <c r="D730" s="4" t="s">
        <v>665</v>
      </c>
      <c r="E730" s="4" t="s">
        <v>86</v>
      </c>
      <c r="F730" s="4">
        <v>80</v>
      </c>
      <c r="G730" s="4">
        <v>0</v>
      </c>
      <c r="H730" s="4">
        <v>0</v>
      </c>
      <c r="K730" s="4">
        <v>0</v>
      </c>
      <c r="N730" s="4">
        <v>0</v>
      </c>
      <c r="O730" s="4">
        <v>0</v>
      </c>
      <c r="P730" s="4" t="str">
        <f t="shared" si="11"/>
        <v>PROGRAM.CONT_PROGRAM</v>
      </c>
      <c r="Q730" s="4" t="str">
        <f>VLOOKUP(Cobra8.6[[#This Row],[Table.Column]],ColumnMapping[Old Table.Column],1,)</f>
        <v>PROGRAM.CONT_PROGRAM</v>
      </c>
    </row>
    <row r="731" spans="1:17" hidden="1" x14ac:dyDescent="0.2">
      <c r="A731" s="4" t="s">
        <v>744</v>
      </c>
      <c r="B731" s="4">
        <v>0</v>
      </c>
      <c r="C731" s="4" t="s">
        <v>744</v>
      </c>
      <c r="D731" s="4" t="s">
        <v>667</v>
      </c>
      <c r="E731" s="4" t="s">
        <v>86</v>
      </c>
      <c r="F731" s="4">
        <v>2</v>
      </c>
      <c r="G731" s="4">
        <v>0</v>
      </c>
      <c r="H731" s="4">
        <v>0</v>
      </c>
      <c r="K731" s="4">
        <v>0</v>
      </c>
      <c r="N731" s="4">
        <v>0</v>
      </c>
      <c r="O731" s="4">
        <v>0</v>
      </c>
      <c r="P731" s="4" t="str">
        <f t="shared" si="11"/>
        <v>PROGRAM.CONT_PROGTYPE</v>
      </c>
      <c r="Q731" s="4" t="e">
        <f>VLOOKUP(Cobra8.6[[#This Row],[Table.Column]],ColumnMapping[Old Table.Column],1,)</f>
        <v>#N/A</v>
      </c>
    </row>
    <row r="732" spans="1:17" hidden="1" x14ac:dyDescent="0.2">
      <c r="A732" s="4" t="s">
        <v>744</v>
      </c>
      <c r="B732" s="4">
        <v>0</v>
      </c>
      <c r="C732" s="4" t="s">
        <v>744</v>
      </c>
      <c r="D732" s="4" t="s">
        <v>670</v>
      </c>
      <c r="E732" s="4" t="s">
        <v>86</v>
      </c>
      <c r="F732" s="4">
        <v>60</v>
      </c>
      <c r="G732" s="4">
        <v>0</v>
      </c>
      <c r="H732" s="4">
        <v>0</v>
      </c>
      <c r="K732" s="4">
        <v>0</v>
      </c>
      <c r="N732" s="4">
        <v>0</v>
      </c>
      <c r="O732" s="4">
        <v>0</v>
      </c>
      <c r="P732" s="4" t="str">
        <f t="shared" si="11"/>
        <v>PROGRAM.CONT_REPEMAIL</v>
      </c>
      <c r="Q732" s="4" t="e">
        <f>VLOOKUP(Cobra8.6[[#This Row],[Table.Column]],ColumnMapping[Old Table.Column],1,)</f>
        <v>#N/A</v>
      </c>
    </row>
    <row r="733" spans="1:17" hidden="1" x14ac:dyDescent="0.2">
      <c r="A733" s="4" t="s">
        <v>744</v>
      </c>
      <c r="B733" s="4">
        <v>0</v>
      </c>
      <c r="C733" s="4" t="s">
        <v>744</v>
      </c>
      <c r="D733" s="4" t="s">
        <v>672</v>
      </c>
      <c r="E733" s="4" t="s">
        <v>86</v>
      </c>
      <c r="F733" s="4">
        <v>60</v>
      </c>
      <c r="G733" s="4">
        <v>0</v>
      </c>
      <c r="H733" s="4">
        <v>0</v>
      </c>
      <c r="K733" s="4">
        <v>0</v>
      </c>
      <c r="N733" s="4">
        <v>0</v>
      </c>
      <c r="O733" s="4">
        <v>0</v>
      </c>
      <c r="P733" s="4" t="str">
        <f t="shared" si="11"/>
        <v>PROGRAM.CONT_REPN</v>
      </c>
      <c r="Q733" s="4" t="str">
        <f>VLOOKUP(Cobra8.6[[#This Row],[Table.Column]],ColumnMapping[Old Table.Column],1,)</f>
        <v>PROGRAM.CONT_REPN</v>
      </c>
    </row>
    <row r="734" spans="1:17" hidden="1" x14ac:dyDescent="0.2">
      <c r="A734" s="4" t="s">
        <v>744</v>
      </c>
      <c r="B734" s="4">
        <v>0</v>
      </c>
      <c r="C734" s="4" t="s">
        <v>744</v>
      </c>
      <c r="D734" s="4" t="s">
        <v>674</v>
      </c>
      <c r="E734" s="4" t="s">
        <v>86</v>
      </c>
      <c r="F734" s="4">
        <v>20</v>
      </c>
      <c r="G734" s="4">
        <v>0</v>
      </c>
      <c r="H734" s="4">
        <v>0</v>
      </c>
      <c r="K734" s="4">
        <v>0</v>
      </c>
      <c r="N734" s="4">
        <v>0</v>
      </c>
      <c r="O734" s="4">
        <v>0</v>
      </c>
      <c r="P734" s="4" t="str">
        <f t="shared" si="11"/>
        <v>PROGRAM.CONT_REPPHONE</v>
      </c>
      <c r="Q734" s="4" t="str">
        <f>VLOOKUP(Cobra8.6[[#This Row],[Table.Column]],ColumnMapping[Old Table.Column],1,)</f>
        <v>PROGRAM.CONT_REPPHONE</v>
      </c>
    </row>
    <row r="735" spans="1:17" hidden="1" x14ac:dyDescent="0.2">
      <c r="A735" s="4" t="s">
        <v>744</v>
      </c>
      <c r="B735" s="4">
        <v>0</v>
      </c>
      <c r="C735" s="4" t="s">
        <v>744</v>
      </c>
      <c r="D735" s="4" t="s">
        <v>676</v>
      </c>
      <c r="E735" s="4" t="s">
        <v>86</v>
      </c>
      <c r="F735" s="4">
        <v>60</v>
      </c>
      <c r="G735" s="4">
        <v>0</v>
      </c>
      <c r="H735" s="4">
        <v>0</v>
      </c>
      <c r="K735" s="4">
        <v>0</v>
      </c>
      <c r="N735" s="4">
        <v>0</v>
      </c>
      <c r="O735" s="4">
        <v>0</v>
      </c>
      <c r="P735" s="4" t="str">
        <f t="shared" si="11"/>
        <v>PROGRAM.CONT_REPT</v>
      </c>
      <c r="Q735" s="4" t="str">
        <f>VLOOKUP(Cobra8.6[[#This Row],[Table.Column]],ColumnMapping[Old Table.Column],1,)</f>
        <v>PROGRAM.CONT_REPT</v>
      </c>
    </row>
    <row r="736" spans="1:17" hidden="1" x14ac:dyDescent="0.2">
      <c r="A736" s="4" t="s">
        <v>744</v>
      </c>
      <c r="B736" s="4">
        <v>0</v>
      </c>
      <c r="C736" s="4" t="s">
        <v>744</v>
      </c>
      <c r="D736" s="4" t="s">
        <v>678</v>
      </c>
      <c r="E736" s="4" t="s">
        <v>86</v>
      </c>
      <c r="F736" s="4">
        <v>-1</v>
      </c>
      <c r="G736" s="4">
        <v>0</v>
      </c>
      <c r="H736" s="4">
        <v>0</v>
      </c>
      <c r="K736" s="4">
        <v>0</v>
      </c>
      <c r="N736" s="4">
        <v>0</v>
      </c>
      <c r="O736" s="4">
        <v>0</v>
      </c>
      <c r="P736" s="4" t="str">
        <f t="shared" si="11"/>
        <v>PROGRAM.CONT_STATEMENT</v>
      </c>
      <c r="Q736" s="4" t="e">
        <f>VLOOKUP(Cobra8.6[[#This Row],[Table.Column]],ColumnMapping[Old Table.Column],1,)</f>
        <v>#N/A</v>
      </c>
    </row>
    <row r="737" spans="1:17" hidden="1" x14ac:dyDescent="0.2">
      <c r="A737" s="4" t="s">
        <v>744</v>
      </c>
      <c r="B737" s="4">
        <v>0</v>
      </c>
      <c r="C737" s="4" t="s">
        <v>744</v>
      </c>
      <c r="D737" s="4" t="s">
        <v>682</v>
      </c>
      <c r="E737" s="4" t="s">
        <v>86</v>
      </c>
      <c r="F737" s="4">
        <v>80</v>
      </c>
      <c r="G737" s="4">
        <v>0</v>
      </c>
      <c r="H737" s="4">
        <v>0</v>
      </c>
      <c r="K737" s="4">
        <v>0</v>
      </c>
      <c r="N737" s="4">
        <v>0</v>
      </c>
      <c r="O737" s="4">
        <v>0</v>
      </c>
      <c r="P737" s="4" t="str">
        <f t="shared" si="11"/>
        <v>PROGRAM.CONT_TASK</v>
      </c>
      <c r="Q737" s="4" t="e">
        <f>VLOOKUP(Cobra8.6[[#This Row],[Table.Column]],ColumnMapping[Old Table.Column],1,)</f>
        <v>#N/A</v>
      </c>
    </row>
    <row r="738" spans="1:17" hidden="1" x14ac:dyDescent="0.2">
      <c r="A738" s="4" t="s">
        <v>744</v>
      </c>
      <c r="B738" s="4">
        <v>0</v>
      </c>
      <c r="C738" s="4" t="s">
        <v>744</v>
      </c>
      <c r="D738" s="4" t="s">
        <v>684</v>
      </c>
      <c r="E738" s="4" t="s">
        <v>86</v>
      </c>
      <c r="F738" s="4">
        <v>10</v>
      </c>
      <c r="G738" s="4">
        <v>0</v>
      </c>
      <c r="H738" s="4">
        <v>0</v>
      </c>
      <c r="K738" s="4">
        <v>0</v>
      </c>
      <c r="N738" s="4">
        <v>0</v>
      </c>
      <c r="O738" s="4">
        <v>0</v>
      </c>
      <c r="P738" s="4" t="str">
        <f t="shared" si="11"/>
        <v>PROGRAM.CONT_TYPE</v>
      </c>
      <c r="Q738" s="4" t="str">
        <f>VLOOKUP(Cobra8.6[[#This Row],[Table.Column]],ColumnMapping[Old Table.Column],1,)</f>
        <v>PROGRAM.CONT_TYPE</v>
      </c>
    </row>
    <row r="739" spans="1:17" hidden="1" x14ac:dyDescent="0.2">
      <c r="A739" s="4" t="s">
        <v>744</v>
      </c>
      <c r="B739" s="4">
        <v>0</v>
      </c>
      <c r="C739" s="4" t="s">
        <v>744</v>
      </c>
      <c r="D739" s="4" t="s">
        <v>686</v>
      </c>
      <c r="E739" s="4" t="s">
        <v>86</v>
      </c>
      <c r="F739" s="4">
        <v>100</v>
      </c>
      <c r="G739" s="4">
        <v>0</v>
      </c>
      <c r="H739" s="4">
        <v>0</v>
      </c>
      <c r="K739" s="4">
        <v>0</v>
      </c>
      <c r="N739" s="4">
        <v>0</v>
      </c>
      <c r="O739" s="4">
        <v>0</v>
      </c>
      <c r="P739" s="4" t="str">
        <f t="shared" si="11"/>
        <v>PROGRAM.CONTRACT</v>
      </c>
      <c r="Q739" s="4" t="str">
        <f>VLOOKUP(Cobra8.6[[#This Row],[Table.Column]],ColumnMapping[Old Table.Column],1,)</f>
        <v>PROGRAM.CONTRACT</v>
      </c>
    </row>
    <row r="740" spans="1:17" hidden="1" x14ac:dyDescent="0.2">
      <c r="A740" s="4" t="s">
        <v>744</v>
      </c>
      <c r="B740" s="4">
        <v>0</v>
      </c>
      <c r="C740" s="4" t="s">
        <v>744</v>
      </c>
      <c r="D740" s="4" t="s">
        <v>688</v>
      </c>
      <c r="E740" s="4" t="s">
        <v>86</v>
      </c>
      <c r="F740" s="4">
        <v>20</v>
      </c>
      <c r="G740" s="4">
        <v>0</v>
      </c>
      <c r="H740" s="4">
        <v>0</v>
      </c>
      <c r="K740" s="4">
        <v>0</v>
      </c>
      <c r="N740" s="4">
        <v>0</v>
      </c>
      <c r="O740" s="4">
        <v>0</v>
      </c>
      <c r="P740" s="4" t="str">
        <f t="shared" si="11"/>
        <v>PROGRAM.COUNTRY</v>
      </c>
      <c r="Q740" s="4" t="str">
        <f>VLOOKUP(Cobra8.6[[#This Row],[Table.Column]],ColumnMapping[Old Table.Column],1,)</f>
        <v>PROGRAM.COUNTRY</v>
      </c>
    </row>
    <row r="741" spans="1:17" hidden="1" x14ac:dyDescent="0.2">
      <c r="A741" s="4" t="s">
        <v>744</v>
      </c>
      <c r="B741" s="4">
        <v>0</v>
      </c>
      <c r="C741" s="4" t="s">
        <v>744</v>
      </c>
      <c r="D741" s="4" t="s">
        <v>513</v>
      </c>
      <c r="E741" s="4" t="s">
        <v>2124</v>
      </c>
      <c r="F741" s="4">
        <v>21</v>
      </c>
      <c r="G741" s="4">
        <v>6</v>
      </c>
      <c r="H741" s="4">
        <v>0</v>
      </c>
      <c r="K741" s="4">
        <v>0</v>
      </c>
      <c r="N741" s="4">
        <v>0</v>
      </c>
      <c r="O741" s="4">
        <v>0</v>
      </c>
      <c r="P741" s="4" t="str">
        <f t="shared" si="11"/>
        <v>PROGRAM.CTC</v>
      </c>
      <c r="Q741" s="4" t="str">
        <f>VLOOKUP(Cobra8.6[[#This Row],[Table.Column]],ColumnMapping[Old Table.Column],1,)</f>
        <v>PROGRAM.CTC</v>
      </c>
    </row>
    <row r="742" spans="1:17" hidden="1" x14ac:dyDescent="0.2">
      <c r="A742" s="4" t="s">
        <v>744</v>
      </c>
      <c r="B742" s="4">
        <v>0</v>
      </c>
      <c r="C742" s="4" t="s">
        <v>744</v>
      </c>
      <c r="D742" s="4" t="s">
        <v>585</v>
      </c>
      <c r="E742" s="4" t="s">
        <v>356</v>
      </c>
      <c r="F742" s="4">
        <v>-1</v>
      </c>
      <c r="G742" s="4">
        <v>0</v>
      </c>
      <c r="H742" s="4">
        <v>0</v>
      </c>
      <c r="K742" s="4">
        <v>0</v>
      </c>
      <c r="N742" s="4">
        <v>0</v>
      </c>
      <c r="O742" s="4">
        <v>0</v>
      </c>
      <c r="P742" s="4" t="str">
        <f t="shared" si="11"/>
        <v>PROGRAM.DEFINITE</v>
      </c>
      <c r="Q742" s="4" t="str">
        <f>VLOOKUP(Cobra8.6[[#This Row],[Table.Column]],ColumnMapping[Old Table.Column],1,)</f>
        <v>PROGRAM.DEFINITE</v>
      </c>
    </row>
    <row r="743" spans="1:17" hidden="1" x14ac:dyDescent="0.2">
      <c r="A743" s="4" t="s">
        <v>744</v>
      </c>
      <c r="B743" s="4">
        <v>0</v>
      </c>
      <c r="C743" s="4" t="s">
        <v>744</v>
      </c>
      <c r="D743" s="4" t="s">
        <v>690</v>
      </c>
      <c r="E743" s="4" t="s">
        <v>2124</v>
      </c>
      <c r="F743" s="4">
        <v>21</v>
      </c>
      <c r="G743" s="4">
        <v>6</v>
      </c>
      <c r="H743" s="4">
        <v>0</v>
      </c>
      <c r="K743" s="4">
        <v>0</v>
      </c>
      <c r="N743" s="4">
        <v>0</v>
      </c>
      <c r="O743" s="4">
        <v>0</v>
      </c>
      <c r="P743" s="4" t="str">
        <f t="shared" si="11"/>
        <v>PROGRAM.EAC</v>
      </c>
      <c r="Q743" s="4" t="str">
        <f>VLOOKUP(Cobra8.6[[#This Row],[Table.Column]],ColumnMapping[Old Table.Column],1,)</f>
        <v>PROGRAM.EAC</v>
      </c>
    </row>
    <row r="744" spans="1:17" hidden="1" x14ac:dyDescent="0.2">
      <c r="A744" s="4" t="s">
        <v>744</v>
      </c>
      <c r="B744" s="4">
        <v>0</v>
      </c>
      <c r="C744" s="4" t="s">
        <v>744</v>
      </c>
      <c r="D744" s="4" t="s">
        <v>576</v>
      </c>
      <c r="E744" s="4" t="s">
        <v>2124</v>
      </c>
      <c r="F744" s="4">
        <v>21</v>
      </c>
      <c r="G744" s="4">
        <v>6</v>
      </c>
      <c r="H744" s="4">
        <v>0</v>
      </c>
      <c r="K744" s="4">
        <v>0</v>
      </c>
      <c r="N744" s="4">
        <v>0</v>
      </c>
      <c r="O744" s="4">
        <v>0</v>
      </c>
      <c r="P744" s="4" t="str">
        <f t="shared" si="11"/>
        <v>PROGRAM.EAC_BEST</v>
      </c>
      <c r="Q744" s="4" t="str">
        <f>VLOOKUP(Cobra8.6[[#This Row],[Table.Column]],ColumnMapping[Old Table.Column],1,)</f>
        <v>PROGRAM.EAC_BEST</v>
      </c>
    </row>
    <row r="745" spans="1:17" hidden="1" x14ac:dyDescent="0.2">
      <c r="A745" s="4" t="s">
        <v>744</v>
      </c>
      <c r="B745" s="4">
        <v>0</v>
      </c>
      <c r="C745" s="4" t="s">
        <v>744</v>
      </c>
      <c r="D745" s="4" t="s">
        <v>692</v>
      </c>
      <c r="E745" s="4" t="s">
        <v>2124</v>
      </c>
      <c r="F745" s="4">
        <v>21</v>
      </c>
      <c r="G745" s="4">
        <v>6</v>
      </c>
      <c r="H745" s="4">
        <v>0</v>
      </c>
      <c r="K745" s="4">
        <v>0</v>
      </c>
      <c r="N745" s="4">
        <v>0</v>
      </c>
      <c r="O745" s="4">
        <v>0</v>
      </c>
      <c r="P745" s="4" t="str">
        <f t="shared" si="11"/>
        <v>PROGRAM.EAC_HRS</v>
      </c>
      <c r="Q745" s="4" t="str">
        <f>VLOOKUP(Cobra8.6[[#This Row],[Table.Column]],ColumnMapping[Old Table.Column],1,)</f>
        <v>PROGRAM.EAC_HRS</v>
      </c>
    </row>
    <row r="746" spans="1:17" hidden="1" x14ac:dyDescent="0.2">
      <c r="A746" s="4" t="s">
        <v>744</v>
      </c>
      <c r="B746" s="4">
        <v>0</v>
      </c>
      <c r="C746" s="4" t="s">
        <v>744</v>
      </c>
      <c r="D746" s="4" t="s">
        <v>579</v>
      </c>
      <c r="E746" s="4" t="s">
        <v>2124</v>
      </c>
      <c r="F746" s="4">
        <v>21</v>
      </c>
      <c r="G746" s="4">
        <v>6</v>
      </c>
      <c r="H746" s="4">
        <v>0</v>
      </c>
      <c r="K746" s="4">
        <v>0</v>
      </c>
      <c r="N746" s="4">
        <v>0</v>
      </c>
      <c r="O746" s="4">
        <v>0</v>
      </c>
      <c r="P746" s="4" t="str">
        <f t="shared" si="11"/>
        <v>PROGRAM.EAC_WORST</v>
      </c>
      <c r="Q746" s="4" t="str">
        <f>VLOOKUP(Cobra8.6[[#This Row],[Table.Column]],ColumnMapping[Old Table.Column],1,)</f>
        <v>PROGRAM.EAC_WORST</v>
      </c>
    </row>
    <row r="747" spans="1:17" hidden="1" x14ac:dyDescent="0.2">
      <c r="A747" s="4" t="s">
        <v>744</v>
      </c>
      <c r="B747" s="4">
        <v>0</v>
      </c>
      <c r="C747" s="4" t="s">
        <v>744</v>
      </c>
      <c r="D747" s="4" t="s">
        <v>540</v>
      </c>
      <c r="E747" s="4" t="s">
        <v>2124</v>
      </c>
      <c r="F747" s="4">
        <v>21</v>
      </c>
      <c r="G747" s="4">
        <v>6</v>
      </c>
      <c r="H747" s="4">
        <v>0</v>
      </c>
      <c r="K747" s="4">
        <v>0</v>
      </c>
      <c r="N747" s="4">
        <v>0</v>
      </c>
      <c r="O747" s="4">
        <v>0</v>
      </c>
      <c r="P747" s="4" t="str">
        <f t="shared" si="11"/>
        <v>PROGRAM.ESTCEILING</v>
      </c>
      <c r="Q747" s="4" t="str">
        <f>VLOOKUP(Cobra8.6[[#This Row],[Table.Column]],ColumnMapping[Old Table.Column],1,)</f>
        <v>PROGRAM.ESTCEILING</v>
      </c>
    </row>
    <row r="748" spans="1:17" hidden="1" x14ac:dyDescent="0.2">
      <c r="A748" s="4" t="s">
        <v>744</v>
      </c>
      <c r="B748" s="4">
        <v>0</v>
      </c>
      <c r="C748" s="4" t="s">
        <v>744</v>
      </c>
      <c r="D748" s="4" t="s">
        <v>543</v>
      </c>
      <c r="E748" s="4" t="s">
        <v>2124</v>
      </c>
      <c r="F748" s="4">
        <v>21</v>
      </c>
      <c r="G748" s="4">
        <v>6</v>
      </c>
      <c r="H748" s="4">
        <v>0</v>
      </c>
      <c r="K748" s="4">
        <v>0</v>
      </c>
      <c r="N748" s="4">
        <v>0</v>
      </c>
      <c r="O748" s="4">
        <v>0</v>
      </c>
      <c r="P748" s="4" t="str">
        <f t="shared" si="11"/>
        <v>PROGRAM.ESTMR</v>
      </c>
      <c r="Q748" s="4" t="str">
        <f>VLOOKUP(Cobra8.6[[#This Row],[Table.Column]],ColumnMapping[Old Table.Column],1,)</f>
        <v>PROGRAM.ESTMR</v>
      </c>
    </row>
    <row r="749" spans="1:17" hidden="1" x14ac:dyDescent="0.2">
      <c r="A749" s="4" t="s">
        <v>744</v>
      </c>
      <c r="B749" s="4">
        <v>0</v>
      </c>
      <c r="C749" s="4" t="s">
        <v>744</v>
      </c>
      <c r="D749" s="4" t="s">
        <v>594</v>
      </c>
      <c r="E749" s="4" t="s">
        <v>2124</v>
      </c>
      <c r="F749" s="4">
        <v>21</v>
      </c>
      <c r="G749" s="4">
        <v>6</v>
      </c>
      <c r="H749" s="4">
        <v>0</v>
      </c>
      <c r="K749" s="4">
        <v>0</v>
      </c>
      <c r="N749" s="4">
        <v>0</v>
      </c>
      <c r="O749" s="4">
        <v>0</v>
      </c>
      <c r="P749" s="4" t="str">
        <f t="shared" si="11"/>
        <v>PROGRAM.ESTPRICE</v>
      </c>
      <c r="Q749" s="4" t="str">
        <f>VLOOKUP(Cobra8.6[[#This Row],[Table.Column]],ColumnMapping[Old Table.Column],1,)</f>
        <v>PROGRAM.ESTPRICE</v>
      </c>
    </row>
    <row r="750" spans="1:17" hidden="1" x14ac:dyDescent="0.2">
      <c r="A750" s="4" t="s">
        <v>744</v>
      </c>
      <c r="B750" s="4">
        <v>0</v>
      </c>
      <c r="C750" s="4" t="s">
        <v>744</v>
      </c>
      <c r="D750" s="4" t="s">
        <v>546</v>
      </c>
      <c r="E750" s="4" t="s">
        <v>2124</v>
      </c>
      <c r="F750" s="4">
        <v>21</v>
      </c>
      <c r="G750" s="4">
        <v>6</v>
      </c>
      <c r="H750" s="4">
        <v>0</v>
      </c>
      <c r="K750" s="4">
        <v>0</v>
      </c>
      <c r="N750" s="4">
        <v>0</v>
      </c>
      <c r="O750" s="4">
        <v>0</v>
      </c>
      <c r="P750" s="4" t="str">
        <f t="shared" si="11"/>
        <v>PROGRAM.ESTUB</v>
      </c>
      <c r="Q750" s="4" t="str">
        <f>VLOOKUP(Cobra8.6[[#This Row],[Table.Column]],ColumnMapping[Old Table.Column],1,)</f>
        <v>PROGRAM.ESTUB</v>
      </c>
    </row>
    <row r="751" spans="1:17" hidden="1" x14ac:dyDescent="0.2">
      <c r="A751" s="4" t="s">
        <v>744</v>
      </c>
      <c r="B751" s="4">
        <v>0</v>
      </c>
      <c r="C751" s="4" t="s">
        <v>744</v>
      </c>
      <c r="D751" s="4" t="s">
        <v>2239</v>
      </c>
      <c r="E751" s="4" t="s">
        <v>2108</v>
      </c>
      <c r="F751" s="4">
        <v>-1</v>
      </c>
      <c r="G751" s="4">
        <v>0</v>
      </c>
      <c r="H751" s="4">
        <v>0</v>
      </c>
      <c r="K751" s="4">
        <v>0</v>
      </c>
      <c r="N751" s="4">
        <v>0</v>
      </c>
      <c r="O751" s="4">
        <v>0</v>
      </c>
      <c r="P751" s="4" t="str">
        <f t="shared" si="11"/>
        <v>PROGRAM.EVMS_ACC</v>
      </c>
      <c r="Q751" s="4" t="str">
        <f>VLOOKUP(Cobra8.6[[#This Row],[Table.Column]],ColumnMapping[Old Table.Column],1,)</f>
        <v>PROGRAM.EVMS_ACC</v>
      </c>
    </row>
    <row r="752" spans="1:17" hidden="1" x14ac:dyDescent="0.2">
      <c r="A752" s="4" t="s">
        <v>744</v>
      </c>
      <c r="B752" s="4">
        <v>0</v>
      </c>
      <c r="C752" s="4" t="s">
        <v>744</v>
      </c>
      <c r="D752" s="4" t="s">
        <v>2240</v>
      </c>
      <c r="E752" s="4" t="s">
        <v>356</v>
      </c>
      <c r="F752" s="4">
        <v>-1</v>
      </c>
      <c r="G752" s="4">
        <v>0</v>
      </c>
      <c r="H752" s="4">
        <v>0</v>
      </c>
      <c r="K752" s="4">
        <v>0</v>
      </c>
      <c r="N752" s="4">
        <v>0</v>
      </c>
      <c r="O752" s="4">
        <v>0</v>
      </c>
      <c r="P752" s="4" t="str">
        <f t="shared" si="11"/>
        <v>PROGRAM.EVMS_ADATE</v>
      </c>
      <c r="Q752" s="4" t="str">
        <f>VLOOKUP(Cobra8.6[[#This Row],[Table.Column]],ColumnMapping[Old Table.Column],1,)</f>
        <v>PROGRAM.EVMS_ADATE</v>
      </c>
    </row>
    <row r="753" spans="1:17" hidden="1" x14ac:dyDescent="0.2">
      <c r="A753" s="4" t="s">
        <v>744</v>
      </c>
      <c r="B753" s="4">
        <v>0</v>
      </c>
      <c r="C753" s="4" t="s">
        <v>744</v>
      </c>
      <c r="D753" s="4" t="s">
        <v>694</v>
      </c>
      <c r="E753" s="4" t="s">
        <v>86</v>
      </c>
      <c r="F753" s="4">
        <v>1</v>
      </c>
      <c r="G753" s="4">
        <v>0</v>
      </c>
      <c r="H753" s="4">
        <v>0</v>
      </c>
      <c r="K753" s="4">
        <v>0</v>
      </c>
      <c r="N753" s="4">
        <v>0</v>
      </c>
      <c r="O753" s="4">
        <v>0</v>
      </c>
      <c r="P753" s="4" t="str">
        <f t="shared" si="11"/>
        <v>PROGRAM.FC_TYPE1</v>
      </c>
      <c r="Q753" s="4" t="str">
        <f>VLOOKUP(Cobra8.6[[#This Row],[Table.Column]],ColumnMapping[Old Table.Column],1,)</f>
        <v>PROGRAM.FC_TYPE1</v>
      </c>
    </row>
    <row r="754" spans="1:17" hidden="1" x14ac:dyDescent="0.2">
      <c r="A754" s="4" t="s">
        <v>744</v>
      </c>
      <c r="B754" s="4">
        <v>0</v>
      </c>
      <c r="C754" s="4" t="s">
        <v>744</v>
      </c>
      <c r="D754" s="4" t="s">
        <v>696</v>
      </c>
      <c r="E754" s="4" t="s">
        <v>86</v>
      </c>
      <c r="F754" s="4">
        <v>1</v>
      </c>
      <c r="G754" s="4">
        <v>0</v>
      </c>
      <c r="H754" s="4">
        <v>0</v>
      </c>
      <c r="K754" s="4">
        <v>0</v>
      </c>
      <c r="N754" s="4">
        <v>0</v>
      </c>
      <c r="O754" s="4">
        <v>0</v>
      </c>
      <c r="P754" s="4" t="str">
        <f t="shared" si="11"/>
        <v>PROGRAM.FC_TYPE2</v>
      </c>
      <c r="Q754" s="4" t="str">
        <f>VLOOKUP(Cobra8.6[[#This Row],[Table.Column]],ColumnMapping[Old Table.Column],1,)</f>
        <v>PROGRAM.FC_TYPE2</v>
      </c>
    </row>
    <row r="755" spans="1:17" hidden="1" x14ac:dyDescent="0.2">
      <c r="A755" s="4" t="s">
        <v>744</v>
      </c>
      <c r="B755" s="4">
        <v>0</v>
      </c>
      <c r="C755" s="4" t="s">
        <v>744</v>
      </c>
      <c r="D755" s="4" t="s">
        <v>698</v>
      </c>
      <c r="E755" s="4" t="s">
        <v>86</v>
      </c>
      <c r="F755" s="4">
        <v>1</v>
      </c>
      <c r="G755" s="4">
        <v>0</v>
      </c>
      <c r="H755" s="4">
        <v>0</v>
      </c>
      <c r="K755" s="4">
        <v>0</v>
      </c>
      <c r="N755" s="4">
        <v>0</v>
      </c>
      <c r="O755" s="4">
        <v>0</v>
      </c>
      <c r="P755" s="4" t="str">
        <f t="shared" si="11"/>
        <v>PROGRAM.FC_TYPE3</v>
      </c>
      <c r="Q755" s="4" t="str">
        <f>VLOOKUP(Cobra8.6[[#This Row],[Table.Column]],ColumnMapping[Old Table.Column],1,)</f>
        <v>PROGRAM.FC_TYPE3</v>
      </c>
    </row>
    <row r="756" spans="1:17" hidden="1" x14ac:dyDescent="0.2">
      <c r="A756" s="4" t="s">
        <v>744</v>
      </c>
      <c r="B756" s="4">
        <v>0</v>
      </c>
      <c r="C756" s="4" t="s">
        <v>744</v>
      </c>
      <c r="D756" s="4" t="s">
        <v>700</v>
      </c>
      <c r="E756" s="4" t="s">
        <v>86</v>
      </c>
      <c r="F756" s="4">
        <v>1</v>
      </c>
      <c r="G756" s="4">
        <v>0</v>
      </c>
      <c r="H756" s="4">
        <v>0</v>
      </c>
      <c r="K756" s="4">
        <v>0</v>
      </c>
      <c r="N756" s="4">
        <v>0</v>
      </c>
      <c r="O756" s="4">
        <v>0</v>
      </c>
      <c r="P756" s="4" t="str">
        <f t="shared" si="11"/>
        <v>PROGRAM.FC_TYPE4</v>
      </c>
      <c r="Q756" s="4" t="str">
        <f>VLOOKUP(Cobra8.6[[#This Row],[Table.Column]],ColumnMapping[Old Table.Column],1,)</f>
        <v>PROGRAM.FC_TYPE4</v>
      </c>
    </row>
    <row r="757" spans="1:17" hidden="1" x14ac:dyDescent="0.2">
      <c r="A757" s="4" t="s">
        <v>744</v>
      </c>
      <c r="B757" s="4">
        <v>0</v>
      </c>
      <c r="C757" s="4" t="s">
        <v>744</v>
      </c>
      <c r="D757" s="4" t="s">
        <v>525</v>
      </c>
      <c r="E757" s="4" t="s">
        <v>2124</v>
      </c>
      <c r="F757" s="4">
        <v>21</v>
      </c>
      <c r="G757" s="4">
        <v>6</v>
      </c>
      <c r="H757" s="4">
        <v>0</v>
      </c>
      <c r="K757" s="4">
        <v>0</v>
      </c>
      <c r="N757" s="4">
        <v>0</v>
      </c>
      <c r="O757" s="4">
        <v>0</v>
      </c>
      <c r="P757" s="4" t="str">
        <f t="shared" si="11"/>
        <v>PROGRAM.FEE</v>
      </c>
      <c r="Q757" s="4" t="str">
        <f>VLOOKUP(Cobra8.6[[#This Row],[Table.Column]],ColumnMapping[Old Table.Column],1,)</f>
        <v>PROGRAM.FEE</v>
      </c>
    </row>
    <row r="758" spans="1:17" hidden="1" x14ac:dyDescent="0.2">
      <c r="A758" s="4" t="s">
        <v>744</v>
      </c>
      <c r="B758" s="4">
        <v>0</v>
      </c>
      <c r="C758" s="4" t="s">
        <v>744</v>
      </c>
      <c r="D758" s="4" t="s">
        <v>510</v>
      </c>
      <c r="E758" s="4" t="s">
        <v>2124</v>
      </c>
      <c r="F758" s="4">
        <v>21</v>
      </c>
      <c r="G758" s="4">
        <v>6</v>
      </c>
      <c r="H758" s="4">
        <v>0</v>
      </c>
      <c r="K758" s="4">
        <v>0</v>
      </c>
      <c r="N758" s="4">
        <v>0</v>
      </c>
      <c r="O758" s="4">
        <v>0</v>
      </c>
      <c r="P758" s="4" t="str">
        <f t="shared" si="11"/>
        <v>PROGRAM.FEE_PRCENT</v>
      </c>
      <c r="Q758" s="4" t="str">
        <f>VLOOKUP(Cobra8.6[[#This Row],[Table.Column]],ColumnMapping[Old Table.Column],1,)</f>
        <v>PROGRAM.FEE_PRCENT</v>
      </c>
    </row>
    <row r="759" spans="1:17" hidden="1" x14ac:dyDescent="0.2">
      <c r="A759" s="4" t="s">
        <v>744</v>
      </c>
      <c r="B759" s="4">
        <v>0</v>
      </c>
      <c r="C759" s="4" t="s">
        <v>744</v>
      </c>
      <c r="D759" s="4" t="s">
        <v>702</v>
      </c>
      <c r="E759" s="4" t="s">
        <v>86</v>
      </c>
      <c r="F759" s="4">
        <v>22</v>
      </c>
      <c r="G759" s="4">
        <v>0</v>
      </c>
      <c r="H759" s="4">
        <v>0</v>
      </c>
      <c r="K759" s="4">
        <v>0</v>
      </c>
      <c r="N759" s="4">
        <v>0</v>
      </c>
      <c r="O759" s="4">
        <v>0</v>
      </c>
      <c r="P759" s="4" t="str">
        <f t="shared" si="11"/>
        <v>PROGRAM.FISC_FILE</v>
      </c>
      <c r="Q759" s="4" t="str">
        <f>VLOOKUP(Cobra8.6[[#This Row],[Table.Column]],ColumnMapping[Old Table.Column],1,)</f>
        <v>PROGRAM.FISC_FILE</v>
      </c>
    </row>
    <row r="760" spans="1:17" hidden="1" x14ac:dyDescent="0.2">
      <c r="A760" s="4" t="s">
        <v>744</v>
      </c>
      <c r="B760" s="4">
        <v>0</v>
      </c>
      <c r="C760" s="4" t="s">
        <v>744</v>
      </c>
      <c r="D760" s="4" t="s">
        <v>704</v>
      </c>
      <c r="E760" s="4" t="s">
        <v>86</v>
      </c>
      <c r="F760" s="4">
        <v>22</v>
      </c>
      <c r="G760" s="4">
        <v>0</v>
      </c>
      <c r="H760" s="4">
        <v>0</v>
      </c>
      <c r="K760" s="4">
        <v>0</v>
      </c>
      <c r="N760" s="4">
        <v>0</v>
      </c>
      <c r="O760" s="4">
        <v>0</v>
      </c>
      <c r="P760" s="4" t="str">
        <f t="shared" si="11"/>
        <v>PROGRAM.FISC_RW</v>
      </c>
      <c r="Q760" s="4" t="str">
        <f>VLOOKUP(Cobra8.6[[#This Row],[Table.Column]],ColumnMapping[Old Table.Column],1,)</f>
        <v>PROGRAM.FISC_RW</v>
      </c>
    </row>
    <row r="761" spans="1:17" hidden="1" x14ac:dyDescent="0.2">
      <c r="A761" s="4" t="s">
        <v>744</v>
      </c>
      <c r="B761" s="4">
        <v>0</v>
      </c>
      <c r="C761" s="4" t="s">
        <v>744</v>
      </c>
      <c r="D761" s="4" t="s">
        <v>706</v>
      </c>
      <c r="E761" s="4" t="s">
        <v>86</v>
      </c>
      <c r="F761" s="4">
        <v>30</v>
      </c>
      <c r="G761" s="4">
        <v>0</v>
      </c>
      <c r="H761" s="4">
        <v>0</v>
      </c>
      <c r="K761" s="4">
        <v>0</v>
      </c>
      <c r="N761" s="4">
        <v>0</v>
      </c>
      <c r="O761" s="4">
        <v>0</v>
      </c>
      <c r="P761" s="4" t="str">
        <f t="shared" si="11"/>
        <v>PROGRAM.IPMR2_CODE</v>
      </c>
      <c r="Q761" s="4" t="str">
        <f>VLOOKUP(Cobra8.6[[#This Row],[Table.Column]],ColumnMapping[Old Table.Column],1,)</f>
        <v>PROGRAM.IPMR2_CODE</v>
      </c>
    </row>
    <row r="762" spans="1:17" hidden="1" x14ac:dyDescent="0.2">
      <c r="A762" s="4" t="s">
        <v>744</v>
      </c>
      <c r="B762" s="4">
        <v>0</v>
      </c>
      <c r="C762" s="4" t="s">
        <v>744</v>
      </c>
      <c r="D762" s="4" t="s">
        <v>708</v>
      </c>
      <c r="E762" s="4" t="s">
        <v>2108</v>
      </c>
      <c r="F762" s="4">
        <v>-1</v>
      </c>
      <c r="G762" s="4">
        <v>0</v>
      </c>
      <c r="H762" s="4">
        <v>0</v>
      </c>
      <c r="K762" s="4">
        <v>0</v>
      </c>
      <c r="N762" s="4">
        <v>0</v>
      </c>
      <c r="O762" s="4">
        <v>0</v>
      </c>
      <c r="P762" s="4" t="str">
        <f t="shared" si="11"/>
        <v>PROGRAM.ISMASTER</v>
      </c>
      <c r="Q762" s="4" t="str">
        <f>VLOOKUP(Cobra8.6[[#This Row],[Table.Column]],ColumnMapping[Old Table.Column],1,)</f>
        <v>PROGRAM.ISMASTER</v>
      </c>
    </row>
    <row r="763" spans="1:17" hidden="1" x14ac:dyDescent="0.2">
      <c r="A763" s="4" t="s">
        <v>744</v>
      </c>
      <c r="B763" s="4">
        <v>0</v>
      </c>
      <c r="C763" s="4" t="s">
        <v>744</v>
      </c>
      <c r="D763" s="4" t="s">
        <v>2111</v>
      </c>
      <c r="E763" s="4" t="s">
        <v>356</v>
      </c>
      <c r="F763" s="4">
        <v>-1</v>
      </c>
      <c r="G763" s="4">
        <v>0</v>
      </c>
      <c r="H763" s="4">
        <v>0</v>
      </c>
      <c r="K763" s="4">
        <v>0</v>
      </c>
      <c r="N763" s="4">
        <v>0</v>
      </c>
      <c r="O763" s="4">
        <v>0</v>
      </c>
      <c r="P763" s="4" t="str">
        <f t="shared" si="11"/>
        <v>PROGRAM.LASTUPDATE</v>
      </c>
      <c r="Q763" s="4" t="str">
        <f>VLOOKUP(Cobra8.6[[#This Row],[Table.Column]],ColumnMapping[Old Table.Column],1,)</f>
        <v>PROGRAM.LASTUPDATE</v>
      </c>
    </row>
    <row r="764" spans="1:17" hidden="1" x14ac:dyDescent="0.2">
      <c r="A764" s="4" t="s">
        <v>744</v>
      </c>
      <c r="B764" s="4">
        <v>0</v>
      </c>
      <c r="C764" s="4" t="s">
        <v>744</v>
      </c>
      <c r="D764" s="4" t="s">
        <v>2241</v>
      </c>
      <c r="E764" s="4" t="s">
        <v>86</v>
      </c>
      <c r="F764" s="4">
        <v>3</v>
      </c>
      <c r="G764" s="4">
        <v>0</v>
      </c>
      <c r="H764" s="4">
        <v>0</v>
      </c>
      <c r="K764" s="4">
        <v>0</v>
      </c>
      <c r="N764" s="4">
        <v>0</v>
      </c>
      <c r="O764" s="4">
        <v>0</v>
      </c>
      <c r="P764" s="4" t="str">
        <f t="shared" si="11"/>
        <v>PROGRAM.LOG</v>
      </c>
      <c r="Q764" s="4" t="str">
        <f>VLOOKUP(Cobra8.6[[#This Row],[Table.Column]],ColumnMapping[Old Table.Column],1,)</f>
        <v>PROGRAM.LOG</v>
      </c>
    </row>
    <row r="765" spans="1:17" hidden="1" x14ac:dyDescent="0.2">
      <c r="A765" s="4" t="s">
        <v>744</v>
      </c>
      <c r="B765" s="4">
        <v>0</v>
      </c>
      <c r="C765" s="4" t="s">
        <v>744</v>
      </c>
      <c r="D765" s="4" t="s">
        <v>537</v>
      </c>
      <c r="E765" s="4" t="s">
        <v>2124</v>
      </c>
      <c r="F765" s="4">
        <v>21</v>
      </c>
      <c r="G765" s="4">
        <v>6</v>
      </c>
      <c r="H765" s="4">
        <v>0</v>
      </c>
      <c r="K765" s="4">
        <v>0</v>
      </c>
      <c r="N765" s="4">
        <v>0</v>
      </c>
      <c r="O765" s="4">
        <v>0</v>
      </c>
      <c r="P765" s="4" t="str">
        <f t="shared" si="11"/>
        <v>PROGRAM.LRE</v>
      </c>
      <c r="Q765" s="4" t="str">
        <f>VLOOKUP(Cobra8.6[[#This Row],[Table.Column]],ColumnMapping[Old Table.Column],1,)</f>
        <v>PROGRAM.LRE</v>
      </c>
    </row>
    <row r="766" spans="1:17" hidden="1" x14ac:dyDescent="0.2">
      <c r="A766" s="4" t="s">
        <v>744</v>
      </c>
      <c r="B766" s="4">
        <v>0</v>
      </c>
      <c r="C766" s="4" t="s">
        <v>744</v>
      </c>
      <c r="D766" s="4" t="s">
        <v>710</v>
      </c>
      <c r="E766" s="4" t="s">
        <v>86</v>
      </c>
      <c r="F766" s="4">
        <v>22</v>
      </c>
      <c r="G766" s="4">
        <v>0</v>
      </c>
      <c r="H766" s="4">
        <v>0</v>
      </c>
      <c r="K766" s="4">
        <v>0</v>
      </c>
      <c r="N766" s="4">
        <v>0</v>
      </c>
      <c r="O766" s="4">
        <v>0</v>
      </c>
      <c r="P766" s="4" t="str">
        <f t="shared" si="11"/>
        <v>PROGRAM.MGRFILE</v>
      </c>
      <c r="Q766" s="4" t="str">
        <f>VLOOKUP(Cobra8.6[[#This Row],[Table.Column]],ColumnMapping[Old Table.Column],1,)</f>
        <v>PROGRAM.MGRFILE</v>
      </c>
    </row>
    <row r="767" spans="1:17" hidden="1" x14ac:dyDescent="0.2">
      <c r="A767" s="4" t="s">
        <v>744</v>
      </c>
      <c r="B767" s="4">
        <v>0</v>
      </c>
      <c r="C767" s="4" t="s">
        <v>744</v>
      </c>
      <c r="D767" s="4" t="s">
        <v>712</v>
      </c>
      <c r="E767" s="4" t="s">
        <v>86</v>
      </c>
      <c r="F767" s="4">
        <v>1</v>
      </c>
      <c r="G767" s="4">
        <v>0</v>
      </c>
      <c r="H767" s="4">
        <v>0</v>
      </c>
      <c r="K767" s="4">
        <v>0</v>
      </c>
      <c r="N767" s="4">
        <v>0</v>
      </c>
      <c r="O767" s="4">
        <v>0</v>
      </c>
      <c r="P767" s="4" t="str">
        <f t="shared" si="11"/>
        <v>PROGRAM.MGRTYPE</v>
      </c>
      <c r="Q767" s="4" t="str">
        <f>VLOOKUP(Cobra8.6[[#This Row],[Table.Column]],ColumnMapping[Old Table.Column],1,)</f>
        <v>PROGRAM.MGRTYPE</v>
      </c>
    </row>
    <row r="768" spans="1:17" hidden="1" x14ac:dyDescent="0.2">
      <c r="A768" s="4" t="s">
        <v>744</v>
      </c>
      <c r="B768" s="4">
        <v>0</v>
      </c>
      <c r="C768" s="4" t="s">
        <v>744</v>
      </c>
      <c r="D768" s="4" t="s">
        <v>2242</v>
      </c>
      <c r="E768" s="4" t="s">
        <v>86</v>
      </c>
      <c r="F768" s="4">
        <v>1</v>
      </c>
      <c r="G768" s="4">
        <v>0</v>
      </c>
      <c r="H768" s="4">
        <v>0</v>
      </c>
      <c r="K768" s="4">
        <v>0</v>
      </c>
      <c r="N768" s="4">
        <v>0</v>
      </c>
      <c r="O768" s="4">
        <v>0</v>
      </c>
      <c r="P768" s="4" t="str">
        <f t="shared" si="11"/>
        <v>PROGRAM.MGRVALID</v>
      </c>
      <c r="Q768" s="4" t="str">
        <f>VLOOKUP(Cobra8.6[[#This Row],[Table.Column]],ColumnMapping[Old Table.Column],1,)</f>
        <v>PROGRAM.MGRVALID</v>
      </c>
    </row>
    <row r="769" spans="1:17" hidden="1" x14ac:dyDescent="0.2">
      <c r="A769" s="4" t="s">
        <v>744</v>
      </c>
      <c r="B769" s="4">
        <v>0</v>
      </c>
      <c r="C769" s="4" t="s">
        <v>744</v>
      </c>
      <c r="D769" s="4" t="s">
        <v>714</v>
      </c>
      <c r="E769" s="4" t="s">
        <v>86</v>
      </c>
      <c r="F769" s="4">
        <v>59</v>
      </c>
      <c r="G769" s="4">
        <v>0</v>
      </c>
      <c r="H769" s="4">
        <v>0</v>
      </c>
      <c r="K769" s="4">
        <v>0</v>
      </c>
      <c r="N769" s="4">
        <v>0</v>
      </c>
      <c r="O769" s="4">
        <v>0</v>
      </c>
      <c r="P769" s="4" t="str">
        <f t="shared" si="11"/>
        <v>PROGRAM.MPSCODE</v>
      </c>
      <c r="Q769" s="4" t="str">
        <f>VLOOKUP(Cobra8.6[[#This Row],[Table.Column]],ColumnMapping[Old Table.Column],1,)</f>
        <v>PROGRAM.MPSCODE</v>
      </c>
    </row>
    <row r="770" spans="1:17" hidden="1" x14ac:dyDescent="0.2">
      <c r="A770" s="4" t="s">
        <v>744</v>
      </c>
      <c r="B770" s="4">
        <v>0</v>
      </c>
      <c r="C770" s="4" t="s">
        <v>744</v>
      </c>
      <c r="D770" s="4" t="s">
        <v>528</v>
      </c>
      <c r="E770" s="4" t="s">
        <v>2124</v>
      </c>
      <c r="F770" s="4">
        <v>21</v>
      </c>
      <c r="G770" s="4">
        <v>6</v>
      </c>
      <c r="H770" s="4">
        <v>0</v>
      </c>
      <c r="K770" s="4">
        <v>0</v>
      </c>
      <c r="N770" s="4">
        <v>0</v>
      </c>
      <c r="O770" s="4">
        <v>0</v>
      </c>
      <c r="P770" s="4" t="str">
        <f t="shared" ref="P770:P833" si="12">_xlfn.CONCAT(A770,".",D770)</f>
        <v>PROGRAM.MR</v>
      </c>
      <c r="Q770" s="4" t="str">
        <f>VLOOKUP(Cobra8.6[[#This Row],[Table.Column]],ColumnMapping[Old Table.Column],1,)</f>
        <v>PROGRAM.MR</v>
      </c>
    </row>
    <row r="771" spans="1:17" hidden="1" x14ac:dyDescent="0.2">
      <c r="A771" s="4" t="s">
        <v>744</v>
      </c>
      <c r="B771" s="4">
        <v>0</v>
      </c>
      <c r="C771" s="4" t="s">
        <v>744</v>
      </c>
      <c r="D771" s="4" t="s">
        <v>716</v>
      </c>
      <c r="E771" s="4" t="s">
        <v>86</v>
      </c>
      <c r="F771" s="4">
        <v>254</v>
      </c>
      <c r="G771" s="4">
        <v>0</v>
      </c>
      <c r="H771" s="4">
        <v>0</v>
      </c>
      <c r="K771" s="4">
        <v>0</v>
      </c>
      <c r="N771" s="4">
        <v>0</v>
      </c>
      <c r="O771" s="4">
        <v>0</v>
      </c>
      <c r="P771" s="4" t="str">
        <f t="shared" si="12"/>
        <v>PROGRAM.OPP_PROJ</v>
      </c>
      <c r="Q771" s="4" t="str">
        <f>VLOOKUP(Cobra8.6[[#This Row],[Table.Column]],ColumnMapping[Old Table.Column],1,)</f>
        <v>PROGRAM.OPP_PROJ</v>
      </c>
    </row>
    <row r="772" spans="1:17" hidden="1" x14ac:dyDescent="0.2">
      <c r="A772" s="4" t="s">
        <v>744</v>
      </c>
      <c r="B772" s="4">
        <v>0</v>
      </c>
      <c r="C772" s="4" t="s">
        <v>744</v>
      </c>
      <c r="D772" s="4" t="s">
        <v>552</v>
      </c>
      <c r="E772" s="4" t="s">
        <v>2124</v>
      </c>
      <c r="F772" s="4">
        <v>21</v>
      </c>
      <c r="G772" s="4">
        <v>6</v>
      </c>
      <c r="H772" s="4">
        <v>0</v>
      </c>
      <c r="K772" s="4">
        <v>0</v>
      </c>
      <c r="N772" s="4">
        <v>0</v>
      </c>
      <c r="O772" s="4">
        <v>0</v>
      </c>
      <c r="P772" s="4" t="str">
        <f t="shared" si="12"/>
        <v>PROGRAM.OTB</v>
      </c>
      <c r="Q772" s="4" t="str">
        <f>VLOOKUP(Cobra8.6[[#This Row],[Table.Column]],ColumnMapping[Old Table.Column],1,)</f>
        <v>PROGRAM.OTB</v>
      </c>
    </row>
    <row r="773" spans="1:17" hidden="1" x14ac:dyDescent="0.2">
      <c r="A773" s="4" t="s">
        <v>744</v>
      </c>
      <c r="B773" s="4">
        <v>0</v>
      </c>
      <c r="C773" s="4" t="s">
        <v>744</v>
      </c>
      <c r="D773" s="4" t="s">
        <v>573</v>
      </c>
      <c r="E773" s="4" t="s">
        <v>356</v>
      </c>
      <c r="F773" s="4">
        <v>-1</v>
      </c>
      <c r="G773" s="4">
        <v>0</v>
      </c>
      <c r="H773" s="4">
        <v>0</v>
      </c>
      <c r="K773" s="4">
        <v>0</v>
      </c>
      <c r="N773" s="4">
        <v>0</v>
      </c>
      <c r="O773" s="4">
        <v>0</v>
      </c>
      <c r="P773" s="4" t="str">
        <f t="shared" si="12"/>
        <v>PROGRAM.OTB_DATE</v>
      </c>
      <c r="Q773" s="4" t="str">
        <f>VLOOKUP(Cobra8.6[[#This Row],[Table.Column]],ColumnMapping[Old Table.Column],1,)</f>
        <v>PROGRAM.OTB_DATE</v>
      </c>
    </row>
    <row r="774" spans="1:17" hidden="1" x14ac:dyDescent="0.2">
      <c r="A774" s="4" t="s">
        <v>744</v>
      </c>
      <c r="B774" s="4">
        <v>0</v>
      </c>
      <c r="C774" s="4" t="s">
        <v>744</v>
      </c>
      <c r="D774" s="4" t="s">
        <v>597</v>
      </c>
      <c r="E774" s="4" t="s">
        <v>2124</v>
      </c>
      <c r="F774" s="4">
        <v>21</v>
      </c>
      <c r="G774" s="4">
        <v>6</v>
      </c>
      <c r="H774" s="4">
        <v>0</v>
      </c>
      <c r="K774" s="4">
        <v>0</v>
      </c>
      <c r="N774" s="4">
        <v>0</v>
      </c>
      <c r="O774" s="4">
        <v>0</v>
      </c>
      <c r="P774" s="4" t="str">
        <f t="shared" si="12"/>
        <v>PROGRAM.OTB_MR</v>
      </c>
      <c r="Q774" s="4" t="e">
        <f>VLOOKUP(Cobra8.6[[#This Row],[Table.Column]],ColumnMapping[Old Table.Column],1,)</f>
        <v>#N/A</v>
      </c>
    </row>
    <row r="775" spans="1:17" hidden="1" x14ac:dyDescent="0.2">
      <c r="A775" s="4" t="s">
        <v>744</v>
      </c>
      <c r="B775" s="4">
        <v>0</v>
      </c>
      <c r="C775" s="4" t="s">
        <v>744</v>
      </c>
      <c r="D775" s="4" t="s">
        <v>519</v>
      </c>
      <c r="E775" s="4" t="s">
        <v>2124</v>
      </c>
      <c r="F775" s="4">
        <v>21</v>
      </c>
      <c r="G775" s="4">
        <v>6</v>
      </c>
      <c r="H775" s="4">
        <v>0</v>
      </c>
      <c r="K775" s="4">
        <v>0</v>
      </c>
      <c r="N775" s="4">
        <v>0</v>
      </c>
      <c r="O775" s="4">
        <v>0</v>
      </c>
      <c r="P775" s="4" t="str">
        <f t="shared" si="12"/>
        <v>PROGRAM.OTC</v>
      </c>
      <c r="Q775" s="4" t="str">
        <f>VLOOKUP(Cobra8.6[[#This Row],[Table.Column]],ColumnMapping[Old Table.Column],1,)</f>
        <v>PROGRAM.OTC</v>
      </c>
    </row>
    <row r="776" spans="1:17" hidden="1" x14ac:dyDescent="0.2">
      <c r="A776" s="4" t="s">
        <v>744</v>
      </c>
      <c r="B776" s="4">
        <v>0</v>
      </c>
      <c r="C776" s="4" t="s">
        <v>744</v>
      </c>
      <c r="D776" s="4" t="s">
        <v>718</v>
      </c>
      <c r="E776" s="4" t="s">
        <v>86</v>
      </c>
      <c r="F776" s="4">
        <v>59</v>
      </c>
      <c r="G776" s="4">
        <v>0</v>
      </c>
      <c r="H776" s="4">
        <v>0</v>
      </c>
      <c r="K776" s="4">
        <v>0</v>
      </c>
      <c r="N776" s="4">
        <v>0</v>
      </c>
      <c r="O776" s="4">
        <v>0</v>
      </c>
      <c r="P776" s="4" t="str">
        <f t="shared" si="12"/>
        <v>PROGRAM.P1</v>
      </c>
      <c r="Q776" s="4" t="str">
        <f>VLOOKUP(Cobra8.6[[#This Row],[Table.Column]],ColumnMapping[Old Table.Column],1,)</f>
        <v>PROGRAM.P1</v>
      </c>
    </row>
    <row r="777" spans="1:17" hidden="1" x14ac:dyDescent="0.2">
      <c r="A777" s="4" t="s">
        <v>744</v>
      </c>
      <c r="B777" s="4">
        <v>0</v>
      </c>
      <c r="C777" s="4" t="s">
        <v>744</v>
      </c>
      <c r="D777" s="4" t="s">
        <v>720</v>
      </c>
      <c r="E777" s="4" t="s">
        <v>86</v>
      </c>
      <c r="F777" s="4">
        <v>59</v>
      </c>
      <c r="G777" s="4">
        <v>0</v>
      </c>
      <c r="H777" s="4">
        <v>0</v>
      </c>
      <c r="K777" s="4">
        <v>0</v>
      </c>
      <c r="N777" s="4">
        <v>0</v>
      </c>
      <c r="O777" s="4">
        <v>0</v>
      </c>
      <c r="P777" s="4" t="str">
        <f t="shared" si="12"/>
        <v>PROGRAM.P2</v>
      </c>
      <c r="Q777" s="4" t="str">
        <f>VLOOKUP(Cobra8.6[[#This Row],[Table.Column]],ColumnMapping[Old Table.Column],1,)</f>
        <v>PROGRAM.P2</v>
      </c>
    </row>
    <row r="778" spans="1:17" hidden="1" x14ac:dyDescent="0.2">
      <c r="A778" s="4" t="s">
        <v>744</v>
      </c>
      <c r="B778" s="4">
        <v>0</v>
      </c>
      <c r="C778" s="4" t="s">
        <v>744</v>
      </c>
      <c r="D778" s="4" t="s">
        <v>722</v>
      </c>
      <c r="E778" s="4" t="s">
        <v>86</v>
      </c>
      <c r="F778" s="4">
        <v>59</v>
      </c>
      <c r="G778" s="4">
        <v>0</v>
      </c>
      <c r="H778" s="4">
        <v>0</v>
      </c>
      <c r="K778" s="4">
        <v>0</v>
      </c>
      <c r="N778" s="4">
        <v>0</v>
      </c>
      <c r="O778" s="4">
        <v>0</v>
      </c>
      <c r="P778" s="4" t="str">
        <f t="shared" si="12"/>
        <v>PROGRAM.P3</v>
      </c>
      <c r="Q778" s="4" t="str">
        <f>VLOOKUP(Cobra8.6[[#This Row],[Table.Column]],ColumnMapping[Old Table.Column],1,)</f>
        <v>PROGRAM.P3</v>
      </c>
    </row>
    <row r="779" spans="1:17" hidden="1" x14ac:dyDescent="0.2">
      <c r="A779" s="4" t="s">
        <v>744</v>
      </c>
      <c r="B779" s="4">
        <v>0</v>
      </c>
      <c r="C779" s="4" t="s">
        <v>744</v>
      </c>
      <c r="D779" s="4" t="s">
        <v>724</v>
      </c>
      <c r="E779" s="4" t="s">
        <v>86</v>
      </c>
      <c r="F779" s="4">
        <v>59</v>
      </c>
      <c r="G779" s="4">
        <v>0</v>
      </c>
      <c r="H779" s="4">
        <v>0</v>
      </c>
      <c r="K779" s="4">
        <v>0</v>
      </c>
      <c r="N779" s="4">
        <v>0</v>
      </c>
      <c r="O779" s="4">
        <v>0</v>
      </c>
      <c r="P779" s="4" t="str">
        <f t="shared" si="12"/>
        <v>PROGRAM.P4</v>
      </c>
      <c r="Q779" s="4" t="str">
        <f>VLOOKUP(Cobra8.6[[#This Row],[Table.Column]],ColumnMapping[Old Table.Column],1,)</f>
        <v>PROGRAM.P4</v>
      </c>
    </row>
    <row r="780" spans="1:17" hidden="1" x14ac:dyDescent="0.2">
      <c r="A780" s="4" t="s">
        <v>744</v>
      </c>
      <c r="B780" s="4">
        <v>0</v>
      </c>
      <c r="C780" s="4" t="s">
        <v>744</v>
      </c>
      <c r="D780" s="4" t="s">
        <v>726</v>
      </c>
      <c r="E780" s="4" t="s">
        <v>86</v>
      </c>
      <c r="F780" s="4">
        <v>59</v>
      </c>
      <c r="G780" s="4">
        <v>0</v>
      </c>
      <c r="H780" s="4">
        <v>0</v>
      </c>
      <c r="K780" s="4">
        <v>0</v>
      </c>
      <c r="N780" s="4">
        <v>0</v>
      </c>
      <c r="O780" s="4">
        <v>0</v>
      </c>
      <c r="P780" s="4" t="str">
        <f t="shared" si="12"/>
        <v>PROGRAM.P5</v>
      </c>
      <c r="Q780" s="4" t="str">
        <f>VLOOKUP(Cobra8.6[[#This Row],[Table.Column]],ColumnMapping[Old Table.Column],1,)</f>
        <v>PROGRAM.P5</v>
      </c>
    </row>
    <row r="781" spans="1:17" hidden="1" x14ac:dyDescent="0.2">
      <c r="A781" s="4" t="s">
        <v>744</v>
      </c>
      <c r="B781" s="4">
        <v>0</v>
      </c>
      <c r="C781" s="4" t="s">
        <v>744</v>
      </c>
      <c r="D781" s="4" t="s">
        <v>728</v>
      </c>
      <c r="E781" s="4" t="s">
        <v>86</v>
      </c>
      <c r="F781" s="4">
        <v>59</v>
      </c>
      <c r="G781" s="4">
        <v>0</v>
      </c>
      <c r="H781" s="4">
        <v>0</v>
      </c>
      <c r="K781" s="4">
        <v>0</v>
      </c>
      <c r="N781" s="4">
        <v>0</v>
      </c>
      <c r="O781" s="4">
        <v>0</v>
      </c>
      <c r="P781" s="4" t="str">
        <f t="shared" si="12"/>
        <v>PROGRAM.P6</v>
      </c>
      <c r="Q781" s="4" t="str">
        <f>VLOOKUP(Cobra8.6[[#This Row],[Table.Column]],ColumnMapping[Old Table.Column],1,)</f>
        <v>PROGRAM.P6</v>
      </c>
    </row>
    <row r="782" spans="1:17" hidden="1" x14ac:dyDescent="0.2">
      <c r="A782" s="4" t="s">
        <v>744</v>
      </c>
      <c r="B782" s="4">
        <v>0</v>
      </c>
      <c r="C782" s="4" t="s">
        <v>744</v>
      </c>
      <c r="D782" s="4" t="s">
        <v>730</v>
      </c>
      <c r="E782" s="4" t="s">
        <v>86</v>
      </c>
      <c r="F782" s="4">
        <v>59</v>
      </c>
      <c r="G782" s="4">
        <v>0</v>
      </c>
      <c r="H782" s="4">
        <v>0</v>
      </c>
      <c r="K782" s="4">
        <v>0</v>
      </c>
      <c r="N782" s="4">
        <v>0</v>
      </c>
      <c r="O782" s="4">
        <v>0</v>
      </c>
      <c r="P782" s="4" t="str">
        <f t="shared" si="12"/>
        <v>PROGRAM.P7</v>
      </c>
      <c r="Q782" s="4" t="str">
        <f>VLOOKUP(Cobra8.6[[#This Row],[Table.Column]],ColumnMapping[Old Table.Column],1,)</f>
        <v>PROGRAM.P7</v>
      </c>
    </row>
    <row r="783" spans="1:17" hidden="1" x14ac:dyDescent="0.2">
      <c r="A783" s="4" t="s">
        <v>744</v>
      </c>
      <c r="B783" s="4">
        <v>0</v>
      </c>
      <c r="C783" s="4" t="s">
        <v>744</v>
      </c>
      <c r="D783" s="4" t="s">
        <v>732</v>
      </c>
      <c r="E783" s="4" t="s">
        <v>86</v>
      </c>
      <c r="F783" s="4">
        <v>59</v>
      </c>
      <c r="G783" s="4">
        <v>0</v>
      </c>
      <c r="H783" s="4">
        <v>0</v>
      </c>
      <c r="K783" s="4">
        <v>0</v>
      </c>
      <c r="N783" s="4">
        <v>0</v>
      </c>
      <c r="O783" s="4">
        <v>0</v>
      </c>
      <c r="P783" s="4" t="str">
        <f t="shared" si="12"/>
        <v>PROGRAM.P8</v>
      </c>
      <c r="Q783" s="4" t="str">
        <f>VLOOKUP(Cobra8.6[[#This Row],[Table.Column]],ColumnMapping[Old Table.Column],1,)</f>
        <v>PROGRAM.P8</v>
      </c>
    </row>
    <row r="784" spans="1:17" hidden="1" x14ac:dyDescent="0.2">
      <c r="A784" s="4" t="s">
        <v>744</v>
      </c>
      <c r="B784" s="4">
        <v>0</v>
      </c>
      <c r="C784" s="4" t="s">
        <v>744</v>
      </c>
      <c r="D784" s="4" t="s">
        <v>734</v>
      </c>
      <c r="E784" s="4" t="s">
        <v>86</v>
      </c>
      <c r="F784" s="4">
        <v>59</v>
      </c>
      <c r="G784" s="4">
        <v>0</v>
      </c>
      <c r="H784" s="4">
        <v>0</v>
      </c>
      <c r="K784" s="4">
        <v>0</v>
      </c>
      <c r="N784" s="4">
        <v>0</v>
      </c>
      <c r="O784" s="4">
        <v>0</v>
      </c>
      <c r="P784" s="4" t="str">
        <f t="shared" si="12"/>
        <v>PROGRAM.P9</v>
      </c>
      <c r="Q784" s="4" t="str">
        <f>VLOOKUP(Cobra8.6[[#This Row],[Table.Column]],ColumnMapping[Old Table.Column],1,)</f>
        <v>PROGRAM.P9</v>
      </c>
    </row>
    <row r="785" spans="1:17" hidden="1" x14ac:dyDescent="0.2">
      <c r="A785" s="4" t="s">
        <v>744</v>
      </c>
      <c r="B785" s="4">
        <v>0</v>
      </c>
      <c r="C785" s="4" t="s">
        <v>744</v>
      </c>
      <c r="D785" s="4" t="s">
        <v>1983</v>
      </c>
      <c r="E785" s="4" t="s">
        <v>356</v>
      </c>
      <c r="F785" s="4">
        <v>-1</v>
      </c>
      <c r="G785" s="4">
        <v>0</v>
      </c>
      <c r="H785" s="4">
        <v>0</v>
      </c>
      <c r="K785" s="4">
        <v>0</v>
      </c>
      <c r="N785" s="4">
        <v>0</v>
      </c>
      <c r="O785" s="4">
        <v>0</v>
      </c>
      <c r="P785" s="4" t="str">
        <f t="shared" si="12"/>
        <v>PROGRAM.PD_START</v>
      </c>
      <c r="Q785" s="4" t="str">
        <f>VLOOKUP(Cobra8.6[[#This Row],[Table.Column]],ColumnMapping[Old Table.Column],1,)</f>
        <v>PROGRAM.PD_START</v>
      </c>
    </row>
    <row r="786" spans="1:17" hidden="1" x14ac:dyDescent="0.2">
      <c r="A786" s="4" t="s">
        <v>744</v>
      </c>
      <c r="B786" s="4">
        <v>0</v>
      </c>
      <c r="C786" s="4" t="s">
        <v>744</v>
      </c>
      <c r="D786" s="4" t="s">
        <v>736</v>
      </c>
      <c r="E786" s="4" t="s">
        <v>2108</v>
      </c>
      <c r="F786" s="4">
        <v>-1</v>
      </c>
      <c r="G786" s="4">
        <v>0</v>
      </c>
      <c r="H786" s="4">
        <v>0</v>
      </c>
      <c r="K786" s="4">
        <v>0</v>
      </c>
      <c r="N786" s="4">
        <v>0</v>
      </c>
      <c r="O786" s="4">
        <v>0</v>
      </c>
      <c r="P786" s="4" t="str">
        <f t="shared" si="12"/>
        <v>PROGRAM.PERCENT1</v>
      </c>
      <c r="Q786" s="4" t="str">
        <f>VLOOKUP(Cobra8.6[[#This Row],[Table.Column]],ColumnMapping[Old Table.Column],1,)</f>
        <v>PROGRAM.PERCENT1</v>
      </c>
    </row>
    <row r="787" spans="1:17" hidden="1" x14ac:dyDescent="0.2">
      <c r="A787" s="4" t="s">
        <v>744</v>
      </c>
      <c r="B787" s="4">
        <v>0</v>
      </c>
      <c r="C787" s="4" t="s">
        <v>744</v>
      </c>
      <c r="D787" s="4" t="s">
        <v>738</v>
      </c>
      <c r="E787" s="4" t="s">
        <v>2108</v>
      </c>
      <c r="F787" s="4">
        <v>-1</v>
      </c>
      <c r="G787" s="4">
        <v>0</v>
      </c>
      <c r="H787" s="4">
        <v>0</v>
      </c>
      <c r="K787" s="4">
        <v>0</v>
      </c>
      <c r="N787" s="4">
        <v>0</v>
      </c>
      <c r="O787" s="4">
        <v>0</v>
      </c>
      <c r="P787" s="4" t="str">
        <f t="shared" si="12"/>
        <v>PROGRAM.PERCENT2</v>
      </c>
      <c r="Q787" s="4" t="str">
        <f>VLOOKUP(Cobra8.6[[#This Row],[Table.Column]],ColumnMapping[Old Table.Column],1,)</f>
        <v>PROGRAM.PERCENT2</v>
      </c>
    </row>
    <row r="788" spans="1:17" hidden="1" x14ac:dyDescent="0.2">
      <c r="A788" s="4" t="s">
        <v>744</v>
      </c>
      <c r="B788" s="4">
        <v>0</v>
      </c>
      <c r="C788" s="4" t="s">
        <v>744</v>
      </c>
      <c r="D788" s="4" t="s">
        <v>740</v>
      </c>
      <c r="E788" s="4" t="s">
        <v>2108</v>
      </c>
      <c r="F788" s="4">
        <v>-1</v>
      </c>
      <c r="G788" s="4">
        <v>0</v>
      </c>
      <c r="H788" s="4">
        <v>0</v>
      </c>
      <c r="K788" s="4">
        <v>0</v>
      </c>
      <c r="N788" s="4">
        <v>0</v>
      </c>
      <c r="O788" s="4">
        <v>0</v>
      </c>
      <c r="P788" s="4" t="str">
        <f t="shared" si="12"/>
        <v>PROGRAM.PERCENT3</v>
      </c>
      <c r="Q788" s="4" t="str">
        <f>VLOOKUP(Cobra8.6[[#This Row],[Table.Column]],ColumnMapping[Old Table.Column],1,)</f>
        <v>PROGRAM.PERCENT3</v>
      </c>
    </row>
    <row r="789" spans="1:17" hidden="1" x14ac:dyDescent="0.2">
      <c r="A789" s="4" t="s">
        <v>744</v>
      </c>
      <c r="B789" s="4">
        <v>0</v>
      </c>
      <c r="C789" s="4" t="s">
        <v>744</v>
      </c>
      <c r="D789" s="4" t="s">
        <v>742</v>
      </c>
      <c r="E789" s="4" t="s">
        <v>2108</v>
      </c>
      <c r="F789" s="4">
        <v>-1</v>
      </c>
      <c r="G789" s="4">
        <v>0</v>
      </c>
      <c r="H789" s="4">
        <v>0</v>
      </c>
      <c r="K789" s="4">
        <v>0</v>
      </c>
      <c r="N789" s="4">
        <v>0</v>
      </c>
      <c r="O789" s="4">
        <v>0</v>
      </c>
      <c r="P789" s="4" t="str">
        <f t="shared" si="12"/>
        <v>PROGRAM.PRODVIS</v>
      </c>
      <c r="Q789" s="4" t="str">
        <f>VLOOKUP(Cobra8.6[[#This Row],[Table.Column]],ColumnMapping[Old Table.Column],1,)</f>
        <v>PROGRAM.PRODVIS</v>
      </c>
    </row>
    <row r="790" spans="1:17" hidden="1" x14ac:dyDescent="0.2">
      <c r="A790" s="4" t="s">
        <v>744</v>
      </c>
      <c r="B790" s="4">
        <v>0</v>
      </c>
      <c r="C790" s="4" t="s">
        <v>744</v>
      </c>
      <c r="D790" s="4" t="s">
        <v>744</v>
      </c>
      <c r="E790" s="4" t="s">
        <v>86</v>
      </c>
      <c r="F790" s="4">
        <v>22</v>
      </c>
      <c r="G790" s="4">
        <v>0</v>
      </c>
      <c r="H790" s="4">
        <v>0</v>
      </c>
      <c r="K790" s="4">
        <v>0</v>
      </c>
      <c r="N790" s="4">
        <v>0</v>
      </c>
      <c r="O790" s="4">
        <v>0</v>
      </c>
      <c r="P790" s="4" t="str">
        <f t="shared" si="12"/>
        <v>PROGRAM.PROGRAM</v>
      </c>
      <c r="Q790" s="4" t="str">
        <f>VLOOKUP(Cobra8.6[[#This Row],[Table.Column]],ColumnMapping[Old Table.Column],1,)</f>
        <v>PROGRAM.PROGRAM</v>
      </c>
    </row>
    <row r="791" spans="1:17" hidden="1" x14ac:dyDescent="0.2">
      <c r="A791" s="4" t="s">
        <v>744</v>
      </c>
      <c r="B791" s="4">
        <v>0</v>
      </c>
      <c r="C791" s="4" t="s">
        <v>744</v>
      </c>
      <c r="D791" s="4" t="s">
        <v>746</v>
      </c>
      <c r="E791" s="4" t="s">
        <v>2108</v>
      </c>
      <c r="F791" s="4">
        <v>-1</v>
      </c>
      <c r="G791" s="4">
        <v>0</v>
      </c>
      <c r="H791" s="4">
        <v>0</v>
      </c>
      <c r="K791" s="4">
        <v>0</v>
      </c>
      <c r="N791" s="4">
        <v>0</v>
      </c>
      <c r="O791" s="4">
        <v>0</v>
      </c>
      <c r="P791" s="4" t="str">
        <f t="shared" si="12"/>
        <v>PROGRAM.QUANTITY</v>
      </c>
      <c r="Q791" s="4" t="str">
        <f>VLOOKUP(Cobra8.6[[#This Row],[Table.Column]],ColumnMapping[Old Table.Column],1,)</f>
        <v>PROGRAM.QUANTITY</v>
      </c>
    </row>
    <row r="792" spans="1:17" hidden="1" x14ac:dyDescent="0.2">
      <c r="A792" s="4" t="s">
        <v>744</v>
      </c>
      <c r="B792" s="4">
        <v>0</v>
      </c>
      <c r="C792" s="4" t="s">
        <v>744</v>
      </c>
      <c r="D792" s="4" t="s">
        <v>476</v>
      </c>
      <c r="E792" s="4" t="s">
        <v>86</v>
      </c>
      <c r="F792" s="4">
        <v>22</v>
      </c>
      <c r="G792" s="4">
        <v>0</v>
      </c>
      <c r="H792" s="4">
        <v>0</v>
      </c>
      <c r="K792" s="4">
        <v>0</v>
      </c>
      <c r="N792" s="4">
        <v>0</v>
      </c>
      <c r="O792" s="4">
        <v>0</v>
      </c>
      <c r="P792" s="4" t="str">
        <f t="shared" si="12"/>
        <v>PROGRAM.RATE_FILE</v>
      </c>
      <c r="Q792" s="4" t="str">
        <f>VLOOKUP(Cobra8.6[[#This Row],[Table.Column]],ColumnMapping[Old Table.Column],1,)</f>
        <v>PROGRAM.RATE_FILE</v>
      </c>
    </row>
    <row r="793" spans="1:17" hidden="1" x14ac:dyDescent="0.2">
      <c r="A793" s="4" t="s">
        <v>744</v>
      </c>
      <c r="B793" s="4">
        <v>0</v>
      </c>
      <c r="C793" s="4" t="s">
        <v>744</v>
      </c>
      <c r="D793" s="4" t="s">
        <v>495</v>
      </c>
      <c r="E793" s="4" t="s">
        <v>86</v>
      </c>
      <c r="F793" s="4">
        <v>20</v>
      </c>
      <c r="G793" s="4">
        <v>0</v>
      </c>
      <c r="H793" s="4">
        <v>0</v>
      </c>
      <c r="K793" s="4">
        <v>0</v>
      </c>
      <c r="N793" s="4">
        <v>0</v>
      </c>
      <c r="O793" s="4">
        <v>0</v>
      </c>
      <c r="P793" s="4" t="str">
        <f t="shared" si="12"/>
        <v>PROGRAM.SCALECAP</v>
      </c>
      <c r="Q793" s="4" t="str">
        <f>VLOOKUP(Cobra8.6[[#This Row],[Table.Column]],ColumnMapping[Old Table.Column],1,)</f>
        <v>PROGRAM.SCALECAP</v>
      </c>
    </row>
    <row r="794" spans="1:17" hidden="1" x14ac:dyDescent="0.2">
      <c r="A794" s="4" t="s">
        <v>744</v>
      </c>
      <c r="B794" s="4">
        <v>0</v>
      </c>
      <c r="C794" s="4" t="s">
        <v>744</v>
      </c>
      <c r="D794" s="4" t="s">
        <v>507</v>
      </c>
      <c r="E794" s="4" t="s">
        <v>2108</v>
      </c>
      <c r="F794" s="4">
        <v>-1</v>
      </c>
      <c r="G794" s="4">
        <v>0</v>
      </c>
      <c r="H794" s="4">
        <v>0</v>
      </c>
      <c r="K794" s="4">
        <v>0</v>
      </c>
      <c r="N794" s="4">
        <v>0</v>
      </c>
      <c r="O794" s="4">
        <v>0</v>
      </c>
      <c r="P794" s="4" t="str">
        <f t="shared" si="12"/>
        <v>PROGRAM.SCALEFAC</v>
      </c>
      <c r="Q794" s="4" t="str">
        <f>VLOOKUP(Cobra8.6[[#This Row],[Table.Column]],ColumnMapping[Old Table.Column],1,)</f>
        <v>PROGRAM.SCALEFAC</v>
      </c>
    </row>
    <row r="795" spans="1:17" hidden="1" x14ac:dyDescent="0.2">
      <c r="A795" s="4" t="s">
        <v>744</v>
      </c>
      <c r="B795" s="4">
        <v>0</v>
      </c>
      <c r="C795" s="4" t="s">
        <v>744</v>
      </c>
      <c r="D795" s="4" t="s">
        <v>35</v>
      </c>
      <c r="E795" s="4" t="s">
        <v>2108</v>
      </c>
      <c r="F795" s="4">
        <v>-1</v>
      </c>
      <c r="G795" s="4">
        <v>0</v>
      </c>
      <c r="H795" s="4">
        <v>0</v>
      </c>
      <c r="K795" s="4">
        <v>0</v>
      </c>
      <c r="N795" s="4">
        <v>0</v>
      </c>
      <c r="O795" s="4">
        <v>0</v>
      </c>
      <c r="P795" s="4" t="str">
        <f t="shared" si="12"/>
        <v>PROGRAM.SEQUENCE</v>
      </c>
      <c r="Q795" s="4" t="str">
        <f>VLOOKUP(Cobra8.6[[#This Row],[Table.Column]],ColumnMapping[Old Table.Column],1,)</f>
        <v>PROGRAM.SEQUENCE</v>
      </c>
    </row>
    <row r="796" spans="1:17" hidden="1" x14ac:dyDescent="0.2">
      <c r="A796" s="4" t="s">
        <v>744</v>
      </c>
      <c r="B796" s="4">
        <v>0</v>
      </c>
      <c r="C796" s="4" t="s">
        <v>744</v>
      </c>
      <c r="D796" s="4" t="s">
        <v>2184</v>
      </c>
      <c r="E796" s="4" t="s">
        <v>356</v>
      </c>
      <c r="F796" s="4">
        <v>-1</v>
      </c>
      <c r="G796" s="4">
        <v>0</v>
      </c>
      <c r="H796" s="4">
        <v>0</v>
      </c>
      <c r="K796" s="4">
        <v>0</v>
      </c>
      <c r="N796" s="4">
        <v>0</v>
      </c>
      <c r="O796" s="4">
        <v>0</v>
      </c>
      <c r="P796" s="4" t="str">
        <f t="shared" si="12"/>
        <v>PROGRAM.SFD</v>
      </c>
      <c r="Q796" s="4" t="str">
        <f>VLOOKUP(Cobra8.6[[#This Row],[Table.Column]],ColumnMapping[Old Table.Column],1,)</f>
        <v>PROGRAM.SFD</v>
      </c>
    </row>
    <row r="797" spans="1:17" hidden="1" x14ac:dyDescent="0.2">
      <c r="A797" s="4" t="s">
        <v>744</v>
      </c>
      <c r="B797" s="4">
        <v>0</v>
      </c>
      <c r="C797" s="4" t="s">
        <v>744</v>
      </c>
      <c r="D797" s="4" t="s">
        <v>749</v>
      </c>
      <c r="E797" s="4" t="s">
        <v>86</v>
      </c>
      <c r="F797" s="4">
        <v>20</v>
      </c>
      <c r="G797" s="4">
        <v>0</v>
      </c>
      <c r="H797" s="4">
        <v>0</v>
      </c>
      <c r="K797" s="4">
        <v>0</v>
      </c>
      <c r="N797" s="4">
        <v>0</v>
      </c>
      <c r="O797" s="4">
        <v>0</v>
      </c>
      <c r="P797" s="4" t="str">
        <f t="shared" si="12"/>
        <v>PROGRAM.SHARERATIO</v>
      </c>
      <c r="Q797" s="4" t="str">
        <f>VLOOKUP(Cobra8.6[[#This Row],[Table.Column]],ColumnMapping[Old Table.Column],1,)</f>
        <v>PROGRAM.SHARERATIO</v>
      </c>
    </row>
    <row r="798" spans="1:17" hidden="1" x14ac:dyDescent="0.2">
      <c r="A798" s="4" t="s">
        <v>744</v>
      </c>
      <c r="B798" s="4">
        <v>0</v>
      </c>
      <c r="C798" s="4" t="s">
        <v>744</v>
      </c>
      <c r="D798" s="4" t="s">
        <v>489</v>
      </c>
      <c r="E798" s="4" t="s">
        <v>2108</v>
      </c>
      <c r="F798" s="4">
        <v>-1</v>
      </c>
      <c r="G798" s="4">
        <v>0</v>
      </c>
      <c r="H798" s="4">
        <v>0</v>
      </c>
      <c r="K798" s="4">
        <v>0</v>
      </c>
      <c r="N798" s="4">
        <v>0</v>
      </c>
      <c r="O798" s="4">
        <v>0</v>
      </c>
      <c r="P798" s="4" t="str">
        <f t="shared" si="12"/>
        <v>PROGRAM.SPTYPE</v>
      </c>
      <c r="Q798" s="4" t="str">
        <f>VLOOKUP(Cobra8.6[[#This Row],[Table.Column]],ColumnMapping[Old Table.Column],1,)</f>
        <v>PROGRAM.SPTYPE</v>
      </c>
    </row>
    <row r="799" spans="1:17" hidden="1" x14ac:dyDescent="0.2">
      <c r="A799" s="4" t="s">
        <v>744</v>
      </c>
      <c r="B799" s="4">
        <v>0</v>
      </c>
      <c r="C799" s="4" t="s">
        <v>744</v>
      </c>
      <c r="D799" s="4" t="s">
        <v>2185</v>
      </c>
      <c r="E799" s="4" t="s">
        <v>356</v>
      </c>
      <c r="F799" s="4">
        <v>-1</v>
      </c>
      <c r="G799" s="4">
        <v>0</v>
      </c>
      <c r="H799" s="4">
        <v>0</v>
      </c>
      <c r="K799" s="4">
        <v>0</v>
      </c>
      <c r="N799" s="4">
        <v>0</v>
      </c>
      <c r="O799" s="4">
        <v>0</v>
      </c>
      <c r="P799" s="4" t="str">
        <f t="shared" si="12"/>
        <v>PROGRAM.SSD</v>
      </c>
      <c r="Q799" s="4" t="str">
        <f>VLOOKUP(Cobra8.6[[#This Row],[Table.Column]],ColumnMapping[Old Table.Column],1,)</f>
        <v>PROGRAM.SSD</v>
      </c>
    </row>
    <row r="800" spans="1:17" hidden="1" x14ac:dyDescent="0.2">
      <c r="A800" s="4" t="s">
        <v>744</v>
      </c>
      <c r="B800" s="4">
        <v>0</v>
      </c>
      <c r="C800" s="4" t="s">
        <v>744</v>
      </c>
      <c r="D800" s="4" t="s">
        <v>751</v>
      </c>
      <c r="E800" s="4" t="s">
        <v>86</v>
      </c>
      <c r="F800" s="4">
        <v>3</v>
      </c>
      <c r="G800" s="4">
        <v>0</v>
      </c>
      <c r="H800" s="4">
        <v>0</v>
      </c>
      <c r="K800" s="4">
        <v>0</v>
      </c>
      <c r="N800" s="4">
        <v>0</v>
      </c>
      <c r="O800" s="4">
        <v>0</v>
      </c>
      <c r="P800" s="4" t="str">
        <f t="shared" si="12"/>
        <v>PROGRAM.STATE</v>
      </c>
      <c r="Q800" s="4" t="str">
        <f>VLOOKUP(Cobra8.6[[#This Row],[Table.Column]],ColumnMapping[Old Table.Column],1,)</f>
        <v>PROGRAM.STATE</v>
      </c>
    </row>
    <row r="801" spans="1:17" hidden="1" x14ac:dyDescent="0.2">
      <c r="A801" s="4" t="s">
        <v>744</v>
      </c>
      <c r="B801" s="4">
        <v>0</v>
      </c>
      <c r="C801" s="4" t="s">
        <v>744</v>
      </c>
      <c r="D801" s="4" t="s">
        <v>2139</v>
      </c>
      <c r="E801" s="4" t="s">
        <v>356</v>
      </c>
      <c r="F801" s="4">
        <v>-1</v>
      </c>
      <c r="G801" s="4">
        <v>0</v>
      </c>
      <c r="H801" s="4">
        <v>0</v>
      </c>
      <c r="K801" s="4">
        <v>0</v>
      </c>
      <c r="N801" s="4">
        <v>0</v>
      </c>
      <c r="O801" s="4">
        <v>0</v>
      </c>
      <c r="P801" s="4" t="str">
        <f t="shared" si="12"/>
        <v>PROGRAM.STATUSDATE</v>
      </c>
      <c r="Q801" s="4" t="str">
        <f>VLOOKUP(Cobra8.6[[#This Row],[Table.Column]],ColumnMapping[Old Table.Column],1,)</f>
        <v>PROGRAM.STATUSDATE</v>
      </c>
    </row>
    <row r="802" spans="1:17" hidden="1" x14ac:dyDescent="0.2">
      <c r="A802" s="4" t="s">
        <v>744</v>
      </c>
      <c r="B802" s="4">
        <v>0</v>
      </c>
      <c r="C802" s="4" t="s">
        <v>744</v>
      </c>
      <c r="D802" s="4" t="s">
        <v>531</v>
      </c>
      <c r="E802" s="4" t="s">
        <v>2124</v>
      </c>
      <c r="F802" s="4">
        <v>21</v>
      </c>
      <c r="G802" s="4">
        <v>6</v>
      </c>
      <c r="H802" s="4">
        <v>0</v>
      </c>
      <c r="K802" s="4">
        <v>0</v>
      </c>
      <c r="N802" s="4">
        <v>0</v>
      </c>
      <c r="O802" s="4">
        <v>0</v>
      </c>
      <c r="P802" s="4" t="str">
        <f t="shared" si="12"/>
        <v>PROGRAM.UB</v>
      </c>
      <c r="Q802" s="4" t="str">
        <f>VLOOKUP(Cobra8.6[[#This Row],[Table.Column]],ColumnMapping[Old Table.Column],1,)</f>
        <v>PROGRAM.UB</v>
      </c>
    </row>
    <row r="803" spans="1:17" hidden="1" x14ac:dyDescent="0.2">
      <c r="A803" s="4" t="s">
        <v>744</v>
      </c>
      <c r="B803" s="4">
        <v>0</v>
      </c>
      <c r="C803" s="4" t="s">
        <v>744</v>
      </c>
      <c r="D803" s="4" t="s">
        <v>2112</v>
      </c>
      <c r="E803" s="4" t="s">
        <v>86</v>
      </c>
      <c r="F803" s="4">
        <v>20</v>
      </c>
      <c r="G803" s="4">
        <v>0</v>
      </c>
      <c r="H803" s="4">
        <v>0</v>
      </c>
      <c r="K803" s="4">
        <v>0</v>
      </c>
      <c r="N803" s="4">
        <v>0</v>
      </c>
      <c r="O803" s="4">
        <v>0</v>
      </c>
      <c r="P803" s="4" t="str">
        <f t="shared" si="12"/>
        <v>PROGRAM.USR_ID</v>
      </c>
      <c r="Q803" s="4" t="str">
        <f>VLOOKUP(Cobra8.6[[#This Row],[Table.Column]],ColumnMapping[Old Table.Column],1,)</f>
        <v>PROGRAM.USR_ID</v>
      </c>
    </row>
    <row r="804" spans="1:17" hidden="1" x14ac:dyDescent="0.2">
      <c r="A804" s="4" t="s">
        <v>744</v>
      </c>
      <c r="B804" s="4">
        <v>0</v>
      </c>
      <c r="C804" s="4" t="s">
        <v>744</v>
      </c>
      <c r="D804" s="4" t="s">
        <v>753</v>
      </c>
      <c r="E804" s="4" t="s">
        <v>86</v>
      </c>
      <c r="F804" s="4">
        <v>22</v>
      </c>
      <c r="G804" s="4">
        <v>0</v>
      </c>
      <c r="H804" s="4">
        <v>0</v>
      </c>
      <c r="K804" s="4">
        <v>0</v>
      </c>
      <c r="N804" s="4">
        <v>0</v>
      </c>
      <c r="O804" s="4">
        <v>0</v>
      </c>
      <c r="P804" s="4" t="str">
        <f t="shared" si="12"/>
        <v>PROGRAM.WP_BDN</v>
      </c>
      <c r="Q804" s="4" t="str">
        <f>VLOOKUP(Cobra8.6[[#This Row],[Table.Column]],ColumnMapping[Old Table.Column],1,)</f>
        <v>PROGRAM.WP_BDN</v>
      </c>
    </row>
    <row r="805" spans="1:17" hidden="1" x14ac:dyDescent="0.2">
      <c r="A805" s="4" t="s">
        <v>744</v>
      </c>
      <c r="B805" s="4">
        <v>0</v>
      </c>
      <c r="C805" s="4" t="s">
        <v>744</v>
      </c>
      <c r="D805" s="4" t="s">
        <v>755</v>
      </c>
      <c r="E805" s="4" t="s">
        <v>86</v>
      </c>
      <c r="F805" s="4">
        <v>10</v>
      </c>
      <c r="G805" s="4">
        <v>0</v>
      </c>
      <c r="H805" s="4">
        <v>0</v>
      </c>
      <c r="K805" s="4">
        <v>0</v>
      </c>
      <c r="N805" s="4">
        <v>0</v>
      </c>
      <c r="O805" s="4">
        <v>0</v>
      </c>
      <c r="P805" s="4" t="str">
        <f t="shared" si="12"/>
        <v>PROGRAM.WP_ID</v>
      </c>
      <c r="Q805" s="4" t="str">
        <f>VLOOKUP(Cobra8.6[[#This Row],[Table.Column]],ColumnMapping[Old Table.Column],1,)</f>
        <v>PROGRAM.WP_ID</v>
      </c>
    </row>
    <row r="806" spans="1:17" hidden="1" x14ac:dyDescent="0.2">
      <c r="A806" s="4" t="s">
        <v>744</v>
      </c>
      <c r="B806" s="4">
        <v>0</v>
      </c>
      <c r="C806" s="4" t="s">
        <v>744</v>
      </c>
      <c r="D806" s="4" t="s">
        <v>757</v>
      </c>
      <c r="E806" s="4" t="s">
        <v>86</v>
      </c>
      <c r="F806" s="4">
        <v>11</v>
      </c>
      <c r="G806" s="4">
        <v>0</v>
      </c>
      <c r="H806" s="4">
        <v>0</v>
      </c>
      <c r="K806" s="4">
        <v>0</v>
      </c>
      <c r="N806" s="4">
        <v>0</v>
      </c>
      <c r="O806" s="4">
        <v>0</v>
      </c>
      <c r="P806" s="4" t="str">
        <f t="shared" si="12"/>
        <v>PROGRAM.ZIP</v>
      </c>
      <c r="Q806" s="4" t="str">
        <f>VLOOKUP(Cobra8.6[[#This Row],[Table.Column]],ColumnMapping[Old Table.Column],1,)</f>
        <v>PROGRAM.ZIP</v>
      </c>
    </row>
    <row r="807" spans="1:17" hidden="1" x14ac:dyDescent="0.2">
      <c r="A807" s="4" t="s">
        <v>1417</v>
      </c>
      <c r="B807" s="4">
        <v>0</v>
      </c>
      <c r="C807" s="4" t="s">
        <v>1417</v>
      </c>
      <c r="D807" s="4" t="s">
        <v>2111</v>
      </c>
      <c r="E807" s="4" t="s">
        <v>356</v>
      </c>
      <c r="F807" s="4">
        <v>-1</v>
      </c>
      <c r="G807" s="4">
        <v>0</v>
      </c>
      <c r="H807" s="4">
        <v>0</v>
      </c>
      <c r="K807" s="4">
        <v>0</v>
      </c>
      <c r="N807" s="4">
        <v>0</v>
      </c>
      <c r="O807" s="4">
        <v>0</v>
      </c>
      <c r="P807" s="4" t="str">
        <f t="shared" si="12"/>
        <v>RATE.LASTUPDATE</v>
      </c>
      <c r="Q807" s="4" t="str">
        <f>VLOOKUP(Cobra8.6[[#This Row],[Table.Column]],ColumnMapping[Old Table.Column],1,)</f>
        <v>RATE.LASTUPDATE</v>
      </c>
    </row>
    <row r="808" spans="1:17" hidden="1" x14ac:dyDescent="0.2">
      <c r="A808" s="4" t="s">
        <v>1417</v>
      </c>
      <c r="B808" s="4">
        <v>0</v>
      </c>
      <c r="C808" s="4" t="s">
        <v>1417</v>
      </c>
      <c r="D808" s="4" t="s">
        <v>1433</v>
      </c>
      <c r="E808" s="4" t="s">
        <v>86</v>
      </c>
      <c r="F808" s="4">
        <v>22</v>
      </c>
      <c r="G808" s="4">
        <v>0</v>
      </c>
      <c r="H808" s="4">
        <v>0</v>
      </c>
      <c r="K808" s="4">
        <v>0</v>
      </c>
      <c r="N808" s="4">
        <v>0</v>
      </c>
      <c r="O808" s="4">
        <v>0</v>
      </c>
      <c r="P808" s="4" t="str">
        <f t="shared" si="12"/>
        <v>RATE.RATEFILE</v>
      </c>
      <c r="Q808" s="4" t="str">
        <f>VLOOKUP(Cobra8.6[[#This Row],[Table.Column]],ColumnMapping[Old Table.Column],1,)</f>
        <v>RATE.RATEFILE</v>
      </c>
    </row>
    <row r="809" spans="1:17" hidden="1" x14ac:dyDescent="0.2">
      <c r="A809" s="4" t="s">
        <v>1417</v>
      </c>
      <c r="B809" s="4">
        <v>0</v>
      </c>
      <c r="C809" s="4" t="s">
        <v>1417</v>
      </c>
      <c r="D809" s="4" t="s">
        <v>35</v>
      </c>
      <c r="E809" s="4" t="s">
        <v>2108</v>
      </c>
      <c r="F809" s="4">
        <v>-1</v>
      </c>
      <c r="G809" s="4">
        <v>0</v>
      </c>
      <c r="H809" s="4">
        <v>0</v>
      </c>
      <c r="K809" s="4">
        <v>0</v>
      </c>
      <c r="N809" s="4">
        <v>0</v>
      </c>
      <c r="O809" s="4">
        <v>0</v>
      </c>
      <c r="P809" s="4" t="str">
        <f t="shared" si="12"/>
        <v>RATE.SEQUENCE</v>
      </c>
      <c r="Q809" s="4" t="str">
        <f>VLOOKUP(Cobra8.6[[#This Row],[Table.Column]],ColumnMapping[Old Table.Column],1,)</f>
        <v>RATE.SEQUENCE</v>
      </c>
    </row>
    <row r="810" spans="1:17" hidden="1" x14ac:dyDescent="0.2">
      <c r="A810" s="4" t="s">
        <v>1417</v>
      </c>
      <c r="B810" s="4">
        <v>0</v>
      </c>
      <c r="C810" s="4" t="s">
        <v>1417</v>
      </c>
      <c r="D810" s="4" t="s">
        <v>2112</v>
      </c>
      <c r="E810" s="4" t="s">
        <v>86</v>
      </c>
      <c r="F810" s="4">
        <v>20</v>
      </c>
      <c r="G810" s="4">
        <v>0</v>
      </c>
      <c r="H810" s="4">
        <v>0</v>
      </c>
      <c r="K810" s="4">
        <v>0</v>
      </c>
      <c r="N810" s="4">
        <v>0</v>
      </c>
      <c r="O810" s="4">
        <v>0</v>
      </c>
      <c r="P810" s="4" t="str">
        <f t="shared" si="12"/>
        <v>RATE.USR_ID</v>
      </c>
      <c r="Q810" s="4" t="str">
        <f>VLOOKUP(Cobra8.6[[#This Row],[Table.Column]],ColumnMapping[Old Table.Column],1,)</f>
        <v>RATE.USR_ID</v>
      </c>
    </row>
    <row r="811" spans="1:17" hidden="1" x14ac:dyDescent="0.2">
      <c r="A811" s="4" t="s">
        <v>2243</v>
      </c>
      <c r="B811" s="4">
        <v>0</v>
      </c>
      <c r="C811" s="4" t="s">
        <v>2243</v>
      </c>
      <c r="D811" s="4" t="s">
        <v>963</v>
      </c>
      <c r="E811" s="4" t="s">
        <v>86</v>
      </c>
      <c r="F811" s="4">
        <v>59</v>
      </c>
      <c r="G811" s="4">
        <v>0</v>
      </c>
      <c r="H811" s="4">
        <v>0</v>
      </c>
      <c r="K811" s="4">
        <v>0</v>
      </c>
      <c r="N811" s="4">
        <v>0</v>
      </c>
      <c r="O811" s="4">
        <v>0</v>
      </c>
      <c r="P811" s="4" t="str">
        <f t="shared" si="12"/>
        <v>RATEDESC.C1</v>
      </c>
      <c r="Q811" s="4" t="str">
        <f>VLOOKUP(Cobra8.6[[#This Row],[Table.Column]],ColumnMapping[Old Table.Column],1,)</f>
        <v>RATEDESC.C1</v>
      </c>
    </row>
    <row r="812" spans="1:17" hidden="1" x14ac:dyDescent="0.2">
      <c r="A812" s="4" t="s">
        <v>2243</v>
      </c>
      <c r="B812" s="4">
        <v>0</v>
      </c>
      <c r="C812" s="4" t="s">
        <v>2243</v>
      </c>
      <c r="D812" s="4" t="s">
        <v>985</v>
      </c>
      <c r="E812" s="4" t="s">
        <v>86</v>
      </c>
      <c r="F812" s="4">
        <v>59</v>
      </c>
      <c r="G812" s="4">
        <v>0</v>
      </c>
      <c r="H812" s="4">
        <v>0</v>
      </c>
      <c r="K812" s="4">
        <v>0</v>
      </c>
      <c r="N812" s="4">
        <v>0</v>
      </c>
      <c r="O812" s="4">
        <v>0</v>
      </c>
      <c r="P812" s="4" t="str">
        <f t="shared" si="12"/>
        <v>RATEDESC.C2</v>
      </c>
      <c r="Q812" s="4" t="str">
        <f>VLOOKUP(Cobra8.6[[#This Row],[Table.Column]],ColumnMapping[Old Table.Column],1,)</f>
        <v>RATEDESC.C2</v>
      </c>
    </row>
    <row r="813" spans="1:17" hidden="1" x14ac:dyDescent="0.2">
      <c r="A813" s="4" t="s">
        <v>2243</v>
      </c>
      <c r="B813" s="4">
        <v>0</v>
      </c>
      <c r="C813" s="4" t="s">
        <v>2243</v>
      </c>
      <c r="D813" s="4" t="s">
        <v>2111</v>
      </c>
      <c r="E813" s="4" t="s">
        <v>356</v>
      </c>
      <c r="F813" s="4">
        <v>-1</v>
      </c>
      <c r="G813" s="4">
        <v>0</v>
      </c>
      <c r="H813" s="4">
        <v>0</v>
      </c>
      <c r="K813" s="4">
        <v>0</v>
      </c>
      <c r="N813" s="4">
        <v>0</v>
      </c>
      <c r="O813" s="4">
        <v>0</v>
      </c>
      <c r="P813" s="4" t="str">
        <f t="shared" si="12"/>
        <v>RATEDESC.LASTUPDATE</v>
      </c>
      <c r="Q813" s="4" t="str">
        <f>VLOOKUP(Cobra8.6[[#This Row],[Table.Column]],ColumnMapping[Old Table.Column],1,)</f>
        <v>RATEDESC.LASTUPDATE</v>
      </c>
    </row>
    <row r="814" spans="1:17" hidden="1" x14ac:dyDescent="0.2">
      <c r="A814" s="4" t="s">
        <v>2243</v>
      </c>
      <c r="B814" s="4">
        <v>0</v>
      </c>
      <c r="C814" s="4" t="s">
        <v>2243</v>
      </c>
      <c r="D814" s="4" t="s">
        <v>1434</v>
      </c>
      <c r="E814" s="4" t="s">
        <v>86</v>
      </c>
      <c r="F814" s="4">
        <v>59</v>
      </c>
      <c r="G814" s="4">
        <v>0</v>
      </c>
      <c r="H814" s="4">
        <v>0</v>
      </c>
      <c r="K814" s="4">
        <v>0</v>
      </c>
      <c r="N814" s="4">
        <v>0</v>
      </c>
      <c r="O814" s="4">
        <v>0</v>
      </c>
      <c r="P814" s="4" t="str">
        <f t="shared" si="12"/>
        <v>RATEDESC.RATE_TABLE</v>
      </c>
      <c r="Q814" s="4" t="str">
        <f>VLOOKUP(Cobra8.6[[#This Row],[Table.Column]],ColumnMapping[Old Table.Column],1,)</f>
        <v>RATEDESC.RATE_TABLE</v>
      </c>
    </row>
    <row r="815" spans="1:17" hidden="1" x14ac:dyDescent="0.2">
      <c r="A815" s="4" t="s">
        <v>2243</v>
      </c>
      <c r="B815" s="4">
        <v>0</v>
      </c>
      <c r="C815" s="4" t="s">
        <v>2243</v>
      </c>
      <c r="D815" s="4" t="s">
        <v>1433</v>
      </c>
      <c r="E815" s="4" t="s">
        <v>86</v>
      </c>
      <c r="F815" s="4">
        <v>22</v>
      </c>
      <c r="G815" s="4">
        <v>0</v>
      </c>
      <c r="H815" s="4">
        <v>0</v>
      </c>
      <c r="K815" s="4">
        <v>0</v>
      </c>
      <c r="N815" s="4">
        <v>0</v>
      </c>
      <c r="O815" s="4">
        <v>0</v>
      </c>
      <c r="P815" s="4" t="str">
        <f t="shared" si="12"/>
        <v>RATEDESC.RATEFILE</v>
      </c>
      <c r="Q815" s="4" t="str">
        <f>VLOOKUP(Cobra8.6[[#This Row],[Table.Column]],ColumnMapping[Old Table.Column],1,)</f>
        <v>RATEDESC.RATEFILE</v>
      </c>
    </row>
    <row r="816" spans="1:17" hidden="1" x14ac:dyDescent="0.2">
      <c r="A816" s="4" t="s">
        <v>2243</v>
      </c>
      <c r="B816" s="4">
        <v>0</v>
      </c>
      <c r="C816" s="4" t="s">
        <v>2243</v>
      </c>
      <c r="D816" s="4" t="s">
        <v>2244</v>
      </c>
      <c r="E816" s="4" t="s">
        <v>86</v>
      </c>
      <c r="F816" s="4">
        <v>254</v>
      </c>
      <c r="G816" s="4">
        <v>0</v>
      </c>
      <c r="H816" s="4">
        <v>0</v>
      </c>
      <c r="K816" s="4">
        <v>0</v>
      </c>
      <c r="N816" s="4">
        <v>0</v>
      </c>
      <c r="O816" s="4">
        <v>0</v>
      </c>
      <c r="P816" s="4" t="str">
        <f t="shared" si="12"/>
        <v>RATEDESC.RTDESC</v>
      </c>
      <c r="Q816" s="4" t="str">
        <f>VLOOKUP(Cobra8.6[[#This Row],[Table.Column]],ColumnMapping[Old Table.Column],1,)</f>
        <v>RATEDESC.RTDESC</v>
      </c>
    </row>
    <row r="817" spans="1:17" hidden="1" x14ac:dyDescent="0.2">
      <c r="A817" s="4" t="s">
        <v>2243</v>
      </c>
      <c r="B817" s="4">
        <v>0</v>
      </c>
      <c r="C817" s="4" t="s">
        <v>2243</v>
      </c>
      <c r="D817" s="4" t="s">
        <v>35</v>
      </c>
      <c r="E817" s="4" t="s">
        <v>2108</v>
      </c>
      <c r="F817" s="4">
        <v>-1</v>
      </c>
      <c r="G817" s="4">
        <v>0</v>
      </c>
      <c r="H817" s="4">
        <v>0</v>
      </c>
      <c r="K817" s="4">
        <v>0</v>
      </c>
      <c r="N817" s="4">
        <v>0</v>
      </c>
      <c r="O817" s="4">
        <v>0</v>
      </c>
      <c r="P817" s="4" t="str">
        <f t="shared" si="12"/>
        <v>RATEDESC.SEQUENCE</v>
      </c>
      <c r="Q817" s="4" t="str">
        <f>VLOOKUP(Cobra8.6[[#This Row],[Table.Column]],ColumnMapping[Old Table.Column],1,)</f>
        <v>RATEDESC.SEQUENCE</v>
      </c>
    </row>
    <row r="818" spans="1:17" hidden="1" x14ac:dyDescent="0.2">
      <c r="A818" s="4" t="s">
        <v>2243</v>
      </c>
      <c r="B818" s="4">
        <v>0</v>
      </c>
      <c r="C818" s="4" t="s">
        <v>2243</v>
      </c>
      <c r="D818" s="4" t="s">
        <v>2112</v>
      </c>
      <c r="E818" s="4" t="s">
        <v>86</v>
      </c>
      <c r="F818" s="4">
        <v>20</v>
      </c>
      <c r="G818" s="4">
        <v>0</v>
      </c>
      <c r="H818" s="4">
        <v>0</v>
      </c>
      <c r="K818" s="4">
        <v>0</v>
      </c>
      <c r="N818" s="4">
        <v>0</v>
      </c>
      <c r="O818" s="4">
        <v>0</v>
      </c>
      <c r="P818" s="4" t="str">
        <f t="shared" si="12"/>
        <v>RATEDESC.USR_ID</v>
      </c>
      <c r="Q818" s="4" t="str">
        <f>VLOOKUP(Cobra8.6[[#This Row],[Table.Column]],ColumnMapping[Old Table.Column],1,)</f>
        <v>RATEDESC.USR_ID</v>
      </c>
    </row>
    <row r="819" spans="1:17" hidden="1" x14ac:dyDescent="0.2">
      <c r="A819" s="4" t="s">
        <v>2245</v>
      </c>
      <c r="B819" s="4">
        <v>0</v>
      </c>
      <c r="C819" s="4" t="s">
        <v>2245</v>
      </c>
      <c r="D819" s="4" t="s">
        <v>2111</v>
      </c>
      <c r="E819" s="4" t="s">
        <v>356</v>
      </c>
      <c r="F819" s="4">
        <v>-1</v>
      </c>
      <c r="G819" s="4">
        <v>0</v>
      </c>
      <c r="H819" s="4">
        <v>0</v>
      </c>
      <c r="K819" s="4">
        <v>0</v>
      </c>
      <c r="N819" s="4">
        <v>0</v>
      </c>
      <c r="O819" s="4">
        <v>0</v>
      </c>
      <c r="P819" s="4" t="str">
        <f t="shared" si="12"/>
        <v>RATEDETL.LASTUPDATE</v>
      </c>
      <c r="Q819" s="4" t="str">
        <f>VLOOKUP(Cobra8.6[[#This Row],[Table.Column]],ColumnMapping[Old Table.Column],1,)</f>
        <v>RATEDETL.LASTUPDATE</v>
      </c>
    </row>
    <row r="820" spans="1:17" hidden="1" x14ac:dyDescent="0.2">
      <c r="A820" s="4" t="s">
        <v>2245</v>
      </c>
      <c r="B820" s="4">
        <v>0</v>
      </c>
      <c r="C820" s="4" t="s">
        <v>2245</v>
      </c>
      <c r="D820" s="4" t="s">
        <v>1417</v>
      </c>
      <c r="E820" s="4" t="s">
        <v>2124</v>
      </c>
      <c r="F820" s="4">
        <v>21</v>
      </c>
      <c r="G820" s="4">
        <v>6</v>
      </c>
      <c r="H820" s="4">
        <v>0</v>
      </c>
      <c r="K820" s="4">
        <v>0</v>
      </c>
      <c r="N820" s="4">
        <v>0</v>
      </c>
      <c r="O820" s="4">
        <v>0</v>
      </c>
      <c r="P820" s="4" t="str">
        <f t="shared" si="12"/>
        <v>RATEDETL.RATE</v>
      </c>
      <c r="Q820" s="4" t="str">
        <f>VLOOKUP(Cobra8.6[[#This Row],[Table.Column]],ColumnMapping[Old Table.Column],1,)</f>
        <v>RATEDETL.RATE</v>
      </c>
    </row>
    <row r="821" spans="1:17" hidden="1" x14ac:dyDescent="0.2">
      <c r="A821" s="4" t="s">
        <v>2245</v>
      </c>
      <c r="B821" s="4">
        <v>0</v>
      </c>
      <c r="C821" s="4" t="s">
        <v>2245</v>
      </c>
      <c r="D821" s="4" t="s">
        <v>1423</v>
      </c>
      <c r="E821" s="4" t="s">
        <v>356</v>
      </c>
      <c r="F821" s="4">
        <v>-1</v>
      </c>
      <c r="G821" s="4">
        <v>0</v>
      </c>
      <c r="H821" s="4">
        <v>0</v>
      </c>
      <c r="K821" s="4">
        <v>0</v>
      </c>
      <c r="N821" s="4">
        <v>0</v>
      </c>
      <c r="O821" s="4">
        <v>0</v>
      </c>
      <c r="P821" s="4" t="str">
        <f t="shared" si="12"/>
        <v>RATEDETL.RATE_DATE</v>
      </c>
      <c r="Q821" s="4" t="str">
        <f>VLOOKUP(Cobra8.6[[#This Row],[Table.Column]],ColumnMapping[Old Table.Column],1,)</f>
        <v>RATEDETL.RATE_DATE</v>
      </c>
    </row>
    <row r="822" spans="1:17" hidden="1" x14ac:dyDescent="0.2">
      <c r="A822" s="4" t="s">
        <v>2245</v>
      </c>
      <c r="B822" s="4">
        <v>0</v>
      </c>
      <c r="C822" s="4" t="s">
        <v>2245</v>
      </c>
      <c r="D822" s="4" t="s">
        <v>1434</v>
      </c>
      <c r="E822" s="4" t="s">
        <v>86</v>
      </c>
      <c r="F822" s="4">
        <v>59</v>
      </c>
      <c r="G822" s="4">
        <v>0</v>
      </c>
      <c r="H822" s="4">
        <v>0</v>
      </c>
      <c r="K822" s="4">
        <v>0</v>
      </c>
      <c r="N822" s="4">
        <v>0</v>
      </c>
      <c r="O822" s="4">
        <v>0</v>
      </c>
      <c r="P822" s="4" t="str">
        <f t="shared" si="12"/>
        <v>RATEDETL.RATE_TABLE</v>
      </c>
      <c r="Q822" s="4" t="str">
        <f>VLOOKUP(Cobra8.6[[#This Row],[Table.Column]],ColumnMapping[Old Table.Column],1,)</f>
        <v>RATEDETL.RATE_TABLE</v>
      </c>
    </row>
    <row r="823" spans="1:17" hidden="1" x14ac:dyDescent="0.2">
      <c r="A823" s="4" t="s">
        <v>2245</v>
      </c>
      <c r="B823" s="4">
        <v>0</v>
      </c>
      <c r="C823" s="4" t="s">
        <v>2245</v>
      </c>
      <c r="D823" s="4" t="s">
        <v>1433</v>
      </c>
      <c r="E823" s="4" t="s">
        <v>86</v>
      </c>
      <c r="F823" s="4">
        <v>22</v>
      </c>
      <c r="G823" s="4">
        <v>0</v>
      </c>
      <c r="H823" s="4">
        <v>0</v>
      </c>
      <c r="K823" s="4">
        <v>0</v>
      </c>
      <c r="N823" s="4">
        <v>0</v>
      </c>
      <c r="O823" s="4">
        <v>0</v>
      </c>
      <c r="P823" s="4" t="str">
        <f t="shared" si="12"/>
        <v>RATEDETL.RATEFILE</v>
      </c>
      <c r="Q823" s="4" t="str">
        <f>VLOOKUP(Cobra8.6[[#This Row],[Table.Column]],ColumnMapping[Old Table.Column],1,)</f>
        <v>RATEDETL.RATEFILE</v>
      </c>
    </row>
    <row r="824" spans="1:17" hidden="1" x14ac:dyDescent="0.2">
      <c r="A824" s="4" t="s">
        <v>2245</v>
      </c>
      <c r="B824" s="4">
        <v>0</v>
      </c>
      <c r="C824" s="4" t="s">
        <v>2245</v>
      </c>
      <c r="D824" s="4" t="s">
        <v>35</v>
      </c>
      <c r="E824" s="4" t="s">
        <v>2108</v>
      </c>
      <c r="F824" s="4">
        <v>-1</v>
      </c>
      <c r="G824" s="4">
        <v>0</v>
      </c>
      <c r="H824" s="4">
        <v>0</v>
      </c>
      <c r="K824" s="4">
        <v>0</v>
      </c>
      <c r="N824" s="4">
        <v>0</v>
      </c>
      <c r="O824" s="4">
        <v>0</v>
      </c>
      <c r="P824" s="4" t="str">
        <f t="shared" si="12"/>
        <v>RATEDETL.SEQUENCE</v>
      </c>
      <c r="Q824" s="4" t="str">
        <f>VLOOKUP(Cobra8.6[[#This Row],[Table.Column]],ColumnMapping[Old Table.Column],1,)</f>
        <v>RATEDETL.SEQUENCE</v>
      </c>
    </row>
    <row r="825" spans="1:17" hidden="1" x14ac:dyDescent="0.2">
      <c r="A825" s="4" t="s">
        <v>2245</v>
      </c>
      <c r="B825" s="4">
        <v>0</v>
      </c>
      <c r="C825" s="4" t="s">
        <v>2245</v>
      </c>
      <c r="D825" s="4" t="s">
        <v>2112</v>
      </c>
      <c r="E825" s="4" t="s">
        <v>86</v>
      </c>
      <c r="F825" s="4">
        <v>20</v>
      </c>
      <c r="G825" s="4">
        <v>0</v>
      </c>
      <c r="H825" s="4">
        <v>0</v>
      </c>
      <c r="K825" s="4">
        <v>0</v>
      </c>
      <c r="N825" s="4">
        <v>0</v>
      </c>
      <c r="O825" s="4">
        <v>0</v>
      </c>
      <c r="P825" s="4" t="str">
        <f t="shared" si="12"/>
        <v>RATEDETL.USR_ID</v>
      </c>
      <c r="Q825" s="4" t="str">
        <f>VLOOKUP(Cobra8.6[[#This Row],[Table.Column]],ColumnMapping[Old Table.Column],1,)</f>
        <v>RATEDETL.USR_ID</v>
      </c>
    </row>
    <row r="826" spans="1:17" hidden="1" x14ac:dyDescent="0.2">
      <c r="A826" s="4" t="s">
        <v>1979</v>
      </c>
      <c r="B826" s="4">
        <v>0</v>
      </c>
      <c r="C826" s="4" t="s">
        <v>1979</v>
      </c>
      <c r="D826" s="4" t="s">
        <v>299</v>
      </c>
      <c r="E826" s="4" t="s">
        <v>2124</v>
      </c>
      <c r="F826" s="4">
        <v>6</v>
      </c>
      <c r="G826" s="4">
        <v>2</v>
      </c>
      <c r="H826" s="4">
        <v>0</v>
      </c>
      <c r="K826" s="4">
        <v>0</v>
      </c>
      <c r="N826" s="4">
        <v>0</v>
      </c>
      <c r="O826" s="4">
        <v>0</v>
      </c>
      <c r="P826" s="4" t="str">
        <f t="shared" si="12"/>
        <v>RCUTOFF.HOURS</v>
      </c>
      <c r="Q826" s="4" t="str">
        <f>VLOOKUP(Cobra8.6[[#This Row],[Table.Column]],ColumnMapping[Old Table.Column],1,)</f>
        <v>RCUTOFF.HOURS</v>
      </c>
    </row>
    <row r="827" spans="1:17" hidden="1" x14ac:dyDescent="0.2">
      <c r="A827" s="4" t="s">
        <v>1979</v>
      </c>
      <c r="B827" s="4">
        <v>0</v>
      </c>
      <c r="C827" s="4" t="s">
        <v>1979</v>
      </c>
      <c r="D827" s="4" t="s">
        <v>1943</v>
      </c>
      <c r="E827" s="4" t="s">
        <v>86</v>
      </c>
      <c r="F827" s="4">
        <v>22</v>
      </c>
      <c r="G827" s="4">
        <v>0</v>
      </c>
      <c r="H827" s="4">
        <v>0</v>
      </c>
      <c r="K827" s="4">
        <v>0</v>
      </c>
      <c r="N827" s="4">
        <v>0</v>
      </c>
      <c r="O827" s="4">
        <v>0</v>
      </c>
      <c r="P827" s="4" t="str">
        <f t="shared" si="12"/>
        <v>RCUTOFF.INSTANCE</v>
      </c>
      <c r="Q827" s="4" t="str">
        <f>VLOOKUP(Cobra8.6[[#This Row],[Table.Column]],ColumnMapping[Old Table.Column],1,)</f>
        <v>RCUTOFF.INSTANCE</v>
      </c>
    </row>
    <row r="828" spans="1:17" hidden="1" x14ac:dyDescent="0.2">
      <c r="A828" s="4" t="s">
        <v>1979</v>
      </c>
      <c r="B828" s="4">
        <v>0</v>
      </c>
      <c r="C828" s="4" t="s">
        <v>1979</v>
      </c>
      <c r="D828" s="4" t="s">
        <v>1981</v>
      </c>
      <c r="E828" s="4" t="s">
        <v>356</v>
      </c>
      <c r="F828" s="4">
        <v>-1</v>
      </c>
      <c r="G828" s="4">
        <v>0</v>
      </c>
      <c r="H828" s="4">
        <v>0</v>
      </c>
      <c r="K828" s="4">
        <v>0</v>
      </c>
      <c r="N828" s="4">
        <v>0</v>
      </c>
      <c r="O828" s="4">
        <v>0</v>
      </c>
      <c r="P828" s="4" t="str">
        <f t="shared" si="12"/>
        <v>RCUTOFF.PD_FINISH</v>
      </c>
      <c r="Q828" s="4" t="str">
        <f>VLOOKUP(Cobra8.6[[#This Row],[Table.Column]],ColumnMapping[Old Table.Column],1,)</f>
        <v>RCUTOFF.PD_FINISH</v>
      </c>
    </row>
    <row r="829" spans="1:17" hidden="1" x14ac:dyDescent="0.2">
      <c r="A829" s="4" t="s">
        <v>1979</v>
      </c>
      <c r="B829" s="4">
        <v>0</v>
      </c>
      <c r="C829" s="4" t="s">
        <v>1979</v>
      </c>
      <c r="D829" s="4" t="s">
        <v>1983</v>
      </c>
      <c r="E829" s="4" t="s">
        <v>356</v>
      </c>
      <c r="F829" s="4">
        <v>-1</v>
      </c>
      <c r="G829" s="4">
        <v>0</v>
      </c>
      <c r="H829" s="4">
        <v>0</v>
      </c>
      <c r="K829" s="4">
        <v>0</v>
      </c>
      <c r="N829" s="4">
        <v>0</v>
      </c>
      <c r="O829" s="4">
        <v>0</v>
      </c>
      <c r="P829" s="4" t="str">
        <f t="shared" si="12"/>
        <v>RCUTOFF.PD_START</v>
      </c>
      <c r="Q829" s="4" t="str">
        <f>VLOOKUP(Cobra8.6[[#This Row],[Table.Column]],ColumnMapping[Old Table.Column],1,)</f>
        <v>RCUTOFF.PD_START</v>
      </c>
    </row>
    <row r="830" spans="1:17" hidden="1" x14ac:dyDescent="0.2">
      <c r="A830" s="4" t="s">
        <v>1979</v>
      </c>
      <c r="B830" s="4">
        <v>0</v>
      </c>
      <c r="C830" s="4" t="s">
        <v>1979</v>
      </c>
      <c r="D830" s="4" t="s">
        <v>65</v>
      </c>
      <c r="E830" s="4" t="s">
        <v>356</v>
      </c>
      <c r="F830" s="4">
        <v>-1</v>
      </c>
      <c r="G830" s="4">
        <v>0</v>
      </c>
      <c r="H830" s="4">
        <v>0</v>
      </c>
      <c r="K830" s="4">
        <v>0</v>
      </c>
      <c r="N830" s="4">
        <v>0</v>
      </c>
      <c r="O830" s="4">
        <v>0</v>
      </c>
      <c r="P830" s="4" t="str">
        <f t="shared" si="12"/>
        <v>RCUTOFF.TIMESTAMP</v>
      </c>
      <c r="Q830" s="4" t="e">
        <f>VLOOKUP(Cobra8.6[[#This Row],[Table.Column]],ColumnMapping[Old Table.Column],1,)</f>
        <v>#N/A</v>
      </c>
    </row>
    <row r="831" spans="1:17" hidden="1" x14ac:dyDescent="0.2">
      <c r="A831" s="4" t="s">
        <v>2246</v>
      </c>
      <c r="B831" s="4">
        <v>0</v>
      </c>
      <c r="C831" s="4" t="s">
        <v>2246</v>
      </c>
      <c r="D831" s="4" t="s">
        <v>2247</v>
      </c>
      <c r="E831" s="4" t="s">
        <v>86</v>
      </c>
      <c r="F831" s="4">
        <v>20</v>
      </c>
      <c r="G831" s="4">
        <v>0</v>
      </c>
      <c r="H831" s="4">
        <v>0</v>
      </c>
      <c r="K831" s="4">
        <v>0</v>
      </c>
      <c r="N831" s="4">
        <v>0</v>
      </c>
      <c r="O831" s="4">
        <v>0</v>
      </c>
      <c r="P831" s="4" t="str">
        <f t="shared" si="12"/>
        <v>REPORT.CATEGORY</v>
      </c>
      <c r="Q831" s="4" t="e">
        <f>VLOOKUP(Cobra8.6[[#This Row],[Table.Column]],ColumnMapping[Old Table.Column],1,)</f>
        <v>#N/A</v>
      </c>
    </row>
    <row r="832" spans="1:17" hidden="1" x14ac:dyDescent="0.2">
      <c r="A832" s="4" t="s">
        <v>2246</v>
      </c>
      <c r="B832" s="4">
        <v>0</v>
      </c>
      <c r="C832" s="4" t="s">
        <v>2246</v>
      </c>
      <c r="D832" s="4" t="s">
        <v>2141</v>
      </c>
      <c r="E832" s="4" t="s">
        <v>86</v>
      </c>
      <c r="F832" s="4">
        <v>254</v>
      </c>
      <c r="G832" s="4">
        <v>0</v>
      </c>
      <c r="H832" s="4">
        <v>0</v>
      </c>
      <c r="K832" s="4">
        <v>0</v>
      </c>
      <c r="N832" s="4">
        <v>0</v>
      </c>
      <c r="O832" s="4">
        <v>0</v>
      </c>
      <c r="P832" s="4" t="str">
        <f t="shared" si="12"/>
        <v>REPORT.DESCRIP</v>
      </c>
      <c r="Q832" s="4" t="e">
        <f>VLOOKUP(Cobra8.6[[#This Row],[Table.Column]],ColumnMapping[Old Table.Column],1,)</f>
        <v>#N/A</v>
      </c>
    </row>
    <row r="833" spans="1:17" hidden="1" x14ac:dyDescent="0.2">
      <c r="A833" s="4" t="s">
        <v>2246</v>
      </c>
      <c r="B833" s="4">
        <v>0</v>
      </c>
      <c r="C833" s="4" t="s">
        <v>2246</v>
      </c>
      <c r="D833" s="4" t="s">
        <v>2248</v>
      </c>
      <c r="E833" s="4" t="s">
        <v>86</v>
      </c>
      <c r="F833" s="4">
        <v>-1</v>
      </c>
      <c r="G833" s="4">
        <v>0</v>
      </c>
      <c r="H833" s="4">
        <v>0</v>
      </c>
      <c r="K833" s="4">
        <v>0</v>
      </c>
      <c r="N833" s="4">
        <v>0</v>
      </c>
      <c r="O833" s="4">
        <v>0</v>
      </c>
      <c r="P833" s="4" t="str">
        <f t="shared" si="12"/>
        <v>REPORT.INFO</v>
      </c>
      <c r="Q833" s="4" t="e">
        <f>VLOOKUP(Cobra8.6[[#This Row],[Table.Column]],ColumnMapping[Old Table.Column],1,)</f>
        <v>#N/A</v>
      </c>
    </row>
    <row r="834" spans="1:17" hidden="1" x14ac:dyDescent="0.2">
      <c r="A834" s="4" t="s">
        <v>2246</v>
      </c>
      <c r="B834" s="4">
        <v>0</v>
      </c>
      <c r="C834" s="4" t="s">
        <v>2246</v>
      </c>
      <c r="D834" s="4" t="s">
        <v>2111</v>
      </c>
      <c r="E834" s="4" t="s">
        <v>356</v>
      </c>
      <c r="F834" s="4">
        <v>-1</v>
      </c>
      <c r="G834" s="4">
        <v>0</v>
      </c>
      <c r="H834" s="4">
        <v>0</v>
      </c>
      <c r="K834" s="4">
        <v>0</v>
      </c>
      <c r="N834" s="4">
        <v>0</v>
      </c>
      <c r="O834" s="4">
        <v>0</v>
      </c>
      <c r="P834" s="4" t="str">
        <f t="shared" ref="P834:P897" si="13">_xlfn.CONCAT(A834,".",D834)</f>
        <v>REPORT.LASTUPDATE</v>
      </c>
      <c r="Q834" s="4" t="e">
        <f>VLOOKUP(Cobra8.6[[#This Row],[Table.Column]],ColumnMapping[Old Table.Column],1,)</f>
        <v>#N/A</v>
      </c>
    </row>
    <row r="835" spans="1:17" hidden="1" x14ac:dyDescent="0.2">
      <c r="A835" s="4" t="s">
        <v>2246</v>
      </c>
      <c r="B835" s="4">
        <v>0</v>
      </c>
      <c r="C835" s="4" t="s">
        <v>2246</v>
      </c>
      <c r="D835" s="4" t="s">
        <v>1936</v>
      </c>
      <c r="E835" s="4" t="s">
        <v>86</v>
      </c>
      <c r="F835" s="4">
        <v>20</v>
      </c>
      <c r="G835" s="4">
        <v>0</v>
      </c>
      <c r="H835" s="4">
        <v>0</v>
      </c>
      <c r="K835" s="4">
        <v>0</v>
      </c>
      <c r="N835" s="4">
        <v>0</v>
      </c>
      <c r="O835" s="4">
        <v>0</v>
      </c>
      <c r="P835" s="4" t="str">
        <f t="shared" si="13"/>
        <v>REPORT.OWNER_ID</v>
      </c>
      <c r="Q835" s="4" t="e">
        <f>VLOOKUP(Cobra8.6[[#This Row],[Table.Column]],ColumnMapping[Old Table.Column],1,)</f>
        <v>#N/A</v>
      </c>
    </row>
    <row r="836" spans="1:17" hidden="1" x14ac:dyDescent="0.2">
      <c r="A836" s="4" t="s">
        <v>2246</v>
      </c>
      <c r="B836" s="4">
        <v>0</v>
      </c>
      <c r="C836" s="4" t="s">
        <v>2246</v>
      </c>
      <c r="D836" s="4" t="s">
        <v>2249</v>
      </c>
      <c r="E836" s="4" t="s">
        <v>86</v>
      </c>
      <c r="F836" s="4">
        <v>-1</v>
      </c>
      <c r="G836" s="4">
        <v>0</v>
      </c>
      <c r="H836" s="4">
        <v>0</v>
      </c>
      <c r="K836" s="4">
        <v>0</v>
      </c>
      <c r="N836" s="4">
        <v>0</v>
      </c>
      <c r="O836" s="4">
        <v>0</v>
      </c>
      <c r="P836" s="4" t="str">
        <f t="shared" si="13"/>
        <v>REPORT.PARAMETERS</v>
      </c>
      <c r="Q836" s="4" t="e">
        <f>VLOOKUP(Cobra8.6[[#This Row],[Table.Column]],ColumnMapping[Old Table.Column],1,)</f>
        <v>#N/A</v>
      </c>
    </row>
    <row r="837" spans="1:17" hidden="1" x14ac:dyDescent="0.2">
      <c r="A837" s="4" t="s">
        <v>2246</v>
      </c>
      <c r="B837" s="4">
        <v>0</v>
      </c>
      <c r="C837" s="4" t="s">
        <v>2246</v>
      </c>
      <c r="D837" s="4" t="s">
        <v>2022</v>
      </c>
      <c r="E837" s="4" t="s">
        <v>86</v>
      </c>
      <c r="F837" s="4">
        <v>22</v>
      </c>
      <c r="G837" s="4">
        <v>0</v>
      </c>
      <c r="H837" s="4">
        <v>0</v>
      </c>
      <c r="K837" s="4">
        <v>0</v>
      </c>
      <c r="N837" s="4">
        <v>0</v>
      </c>
      <c r="O837" s="4">
        <v>0</v>
      </c>
      <c r="P837" s="4" t="str">
        <f t="shared" si="13"/>
        <v>REPORT.REPORT_ID</v>
      </c>
      <c r="Q837" s="4" t="e">
        <f>VLOOKUP(Cobra8.6[[#This Row],[Table.Column]],ColumnMapping[Old Table.Column],1,)</f>
        <v>#N/A</v>
      </c>
    </row>
    <row r="838" spans="1:17" hidden="1" x14ac:dyDescent="0.2">
      <c r="A838" s="4" t="s">
        <v>2246</v>
      </c>
      <c r="B838" s="4">
        <v>0</v>
      </c>
      <c r="C838" s="4" t="s">
        <v>2246</v>
      </c>
      <c r="D838" s="4" t="s">
        <v>2250</v>
      </c>
      <c r="E838" s="4" t="s">
        <v>86</v>
      </c>
      <c r="F838" s="4">
        <v>5</v>
      </c>
      <c r="G838" s="4">
        <v>0</v>
      </c>
      <c r="H838" s="4">
        <v>0</v>
      </c>
      <c r="K838" s="4">
        <v>0</v>
      </c>
      <c r="N838" s="4">
        <v>0</v>
      </c>
      <c r="O838" s="4">
        <v>0</v>
      </c>
      <c r="P838" s="4" t="str">
        <f t="shared" si="13"/>
        <v>REPORT.REPORT_TYPE</v>
      </c>
      <c r="Q838" s="4" t="e">
        <f>VLOOKUP(Cobra8.6[[#This Row],[Table.Column]],ColumnMapping[Old Table.Column],1,)</f>
        <v>#N/A</v>
      </c>
    </row>
    <row r="839" spans="1:17" hidden="1" x14ac:dyDescent="0.2">
      <c r="A839" s="4" t="s">
        <v>2246</v>
      </c>
      <c r="B839" s="4">
        <v>0</v>
      </c>
      <c r="C839" s="4" t="s">
        <v>2246</v>
      </c>
      <c r="D839" s="4" t="s">
        <v>2251</v>
      </c>
      <c r="E839" s="4" t="s">
        <v>31</v>
      </c>
      <c r="F839" s="4">
        <v>22</v>
      </c>
      <c r="G839" s="4">
        <v>0</v>
      </c>
      <c r="H839" s="4">
        <v>0</v>
      </c>
      <c r="K839" s="4">
        <v>0</v>
      </c>
      <c r="N839" s="4">
        <v>0</v>
      </c>
      <c r="O839" s="4">
        <v>0</v>
      </c>
      <c r="P839" s="4" t="str">
        <f t="shared" si="13"/>
        <v>REPORT.REPORT_UID</v>
      </c>
      <c r="Q839" s="4" t="e">
        <f>VLOOKUP(Cobra8.6[[#This Row],[Table.Column]],ColumnMapping[Old Table.Column],1,)</f>
        <v>#N/A</v>
      </c>
    </row>
    <row r="840" spans="1:17" hidden="1" x14ac:dyDescent="0.2">
      <c r="A840" s="4" t="s">
        <v>2246</v>
      </c>
      <c r="B840" s="4">
        <v>0</v>
      </c>
      <c r="C840" s="4" t="s">
        <v>2246</v>
      </c>
      <c r="D840" s="4" t="s">
        <v>2252</v>
      </c>
      <c r="E840" s="4" t="s">
        <v>2108</v>
      </c>
      <c r="F840" s="4">
        <v>-1</v>
      </c>
      <c r="G840" s="4">
        <v>0</v>
      </c>
      <c r="H840" s="4">
        <v>0</v>
      </c>
      <c r="K840" s="4">
        <v>0</v>
      </c>
      <c r="N840" s="4">
        <v>0</v>
      </c>
      <c r="O840" s="4">
        <v>0</v>
      </c>
      <c r="P840" s="4" t="str">
        <f t="shared" si="13"/>
        <v>REPORT.SAVED_REPORT</v>
      </c>
      <c r="Q840" s="4" t="e">
        <f>VLOOKUP(Cobra8.6[[#This Row],[Table.Column]],ColumnMapping[Old Table.Column],1,)</f>
        <v>#N/A</v>
      </c>
    </row>
    <row r="841" spans="1:17" hidden="1" x14ac:dyDescent="0.2">
      <c r="A841" s="4" t="s">
        <v>2246</v>
      </c>
      <c r="B841" s="4">
        <v>0</v>
      </c>
      <c r="C841" s="4" t="s">
        <v>2246</v>
      </c>
      <c r="D841" s="4" t="s">
        <v>35</v>
      </c>
      <c r="E841" s="4" t="s">
        <v>2108</v>
      </c>
      <c r="F841" s="4">
        <v>-1</v>
      </c>
      <c r="G841" s="4">
        <v>0</v>
      </c>
      <c r="H841" s="4">
        <v>0</v>
      </c>
      <c r="K841" s="4">
        <v>0</v>
      </c>
      <c r="N841" s="4">
        <v>0</v>
      </c>
      <c r="O841" s="4">
        <v>0</v>
      </c>
      <c r="P841" s="4" t="str">
        <f t="shared" si="13"/>
        <v>REPORT.SEQUENCE</v>
      </c>
      <c r="Q841" s="4" t="e">
        <f>VLOOKUP(Cobra8.6[[#This Row],[Table.Column]],ColumnMapping[Old Table.Column],1,)</f>
        <v>#N/A</v>
      </c>
    </row>
    <row r="842" spans="1:17" hidden="1" x14ac:dyDescent="0.2">
      <c r="A842" s="4" t="s">
        <v>2246</v>
      </c>
      <c r="B842" s="4">
        <v>0</v>
      </c>
      <c r="C842" s="4" t="s">
        <v>2246</v>
      </c>
      <c r="D842" s="4" t="s">
        <v>2005</v>
      </c>
      <c r="E842" s="4" t="s">
        <v>86</v>
      </c>
      <c r="F842" s="4">
        <v>30</v>
      </c>
      <c r="G842" s="4">
        <v>0</v>
      </c>
      <c r="H842" s="4">
        <v>0</v>
      </c>
      <c r="K842" s="4">
        <v>0</v>
      </c>
      <c r="N842" s="4">
        <v>0</v>
      </c>
      <c r="O842" s="4">
        <v>0</v>
      </c>
      <c r="P842" s="4" t="str">
        <f t="shared" si="13"/>
        <v>REPORT.TABLE_TYPE</v>
      </c>
      <c r="Q842" s="4" t="e">
        <f>VLOOKUP(Cobra8.6[[#This Row],[Table.Column]],ColumnMapping[Old Table.Column],1,)</f>
        <v>#N/A</v>
      </c>
    </row>
    <row r="843" spans="1:17" hidden="1" x14ac:dyDescent="0.2">
      <c r="A843" s="4" t="s">
        <v>2246</v>
      </c>
      <c r="B843" s="4">
        <v>0</v>
      </c>
      <c r="C843" s="4" t="s">
        <v>2246</v>
      </c>
      <c r="D843" s="4" t="s">
        <v>2112</v>
      </c>
      <c r="E843" s="4" t="s">
        <v>86</v>
      </c>
      <c r="F843" s="4">
        <v>20</v>
      </c>
      <c r="G843" s="4">
        <v>0</v>
      </c>
      <c r="H843" s="4">
        <v>0</v>
      </c>
      <c r="K843" s="4">
        <v>0</v>
      </c>
      <c r="N843" s="4">
        <v>0</v>
      </c>
      <c r="O843" s="4">
        <v>0</v>
      </c>
      <c r="P843" s="4" t="str">
        <f t="shared" si="13"/>
        <v>REPORT.USR_ID</v>
      </c>
      <c r="Q843" s="4" t="e">
        <f>VLOOKUP(Cobra8.6[[#This Row],[Table.Column]],ColumnMapping[Old Table.Column],1,)</f>
        <v>#N/A</v>
      </c>
    </row>
    <row r="844" spans="1:17" hidden="1" x14ac:dyDescent="0.2">
      <c r="A844" s="4" t="s">
        <v>2253</v>
      </c>
      <c r="B844" s="4">
        <v>0</v>
      </c>
      <c r="C844" s="4" t="s">
        <v>2253</v>
      </c>
      <c r="D844" s="4" t="s">
        <v>2111</v>
      </c>
      <c r="E844" s="4" t="s">
        <v>356</v>
      </c>
      <c r="F844" s="4">
        <v>-1</v>
      </c>
      <c r="G844" s="4">
        <v>0</v>
      </c>
      <c r="H844" s="4">
        <v>0</v>
      </c>
      <c r="K844" s="4">
        <v>0</v>
      </c>
      <c r="N844" s="4">
        <v>0</v>
      </c>
      <c r="O844" s="4">
        <v>0</v>
      </c>
      <c r="P844" s="4" t="str">
        <f t="shared" si="13"/>
        <v>RESTORE_RESULTS.LASTUPDATE</v>
      </c>
      <c r="Q844" s="4" t="e">
        <f>VLOOKUP(Cobra8.6[[#This Row],[Table.Column]],ColumnMapping[Old Table.Column],1,)</f>
        <v>#N/A</v>
      </c>
    </row>
    <row r="845" spans="1:17" hidden="1" x14ac:dyDescent="0.2">
      <c r="A845" s="4" t="s">
        <v>2253</v>
      </c>
      <c r="B845" s="4">
        <v>0</v>
      </c>
      <c r="C845" s="4" t="s">
        <v>2253</v>
      </c>
      <c r="D845" s="4" t="s">
        <v>865</v>
      </c>
      <c r="E845" s="4" t="s">
        <v>86</v>
      </c>
      <c r="F845" s="4">
        <v>10</v>
      </c>
      <c r="G845" s="4">
        <v>0</v>
      </c>
      <c r="H845" s="4">
        <v>0</v>
      </c>
      <c r="K845" s="4">
        <v>0</v>
      </c>
      <c r="N845" s="4">
        <v>0</v>
      </c>
      <c r="O845" s="4">
        <v>0</v>
      </c>
      <c r="P845" s="4" t="str">
        <f t="shared" si="13"/>
        <v>RESTORE_RESULTS.RESULT</v>
      </c>
      <c r="Q845" s="4" t="e">
        <f>VLOOKUP(Cobra8.6[[#This Row],[Table.Column]],ColumnMapping[Old Table.Column],1,)</f>
        <v>#N/A</v>
      </c>
    </row>
    <row r="846" spans="1:17" hidden="1" x14ac:dyDescent="0.2">
      <c r="A846" s="4" t="s">
        <v>2253</v>
      </c>
      <c r="B846" s="4">
        <v>0</v>
      </c>
      <c r="C846" s="4" t="s">
        <v>2253</v>
      </c>
      <c r="D846" s="4" t="s">
        <v>2112</v>
      </c>
      <c r="E846" s="4" t="s">
        <v>86</v>
      </c>
      <c r="F846" s="4">
        <v>20</v>
      </c>
      <c r="G846" s="4">
        <v>0</v>
      </c>
      <c r="H846" s="4">
        <v>0</v>
      </c>
      <c r="K846" s="4">
        <v>0</v>
      </c>
      <c r="N846" s="4">
        <v>0</v>
      </c>
      <c r="O846" s="4">
        <v>0</v>
      </c>
      <c r="P846" s="4" t="str">
        <f t="shared" si="13"/>
        <v>RESTORE_RESULTS.USR_ID</v>
      </c>
      <c r="Q846" s="4" t="e">
        <f>VLOOKUP(Cobra8.6[[#This Row],[Table.Column]],ColumnMapping[Old Table.Column],1,)</f>
        <v>#N/A</v>
      </c>
    </row>
    <row r="847" spans="1:17" hidden="1" x14ac:dyDescent="0.2">
      <c r="A847" s="4" t="s">
        <v>2254</v>
      </c>
      <c r="B847" s="4">
        <v>0</v>
      </c>
      <c r="C847" s="4" t="s">
        <v>2254</v>
      </c>
      <c r="D847" s="4" t="s">
        <v>1961</v>
      </c>
      <c r="E847" s="4" t="s">
        <v>86</v>
      </c>
      <c r="F847" s="4">
        <v>30</v>
      </c>
      <c r="G847" s="4">
        <v>0</v>
      </c>
      <c r="H847" s="4">
        <v>0</v>
      </c>
      <c r="K847" s="4">
        <v>0</v>
      </c>
      <c r="N847" s="4">
        <v>0</v>
      </c>
      <c r="O847" s="4">
        <v>0</v>
      </c>
      <c r="P847" s="4" t="str">
        <f t="shared" si="13"/>
        <v>SETTING.CONTEXT</v>
      </c>
      <c r="Q847" s="4" t="str">
        <f>VLOOKUP(Cobra8.6[[#This Row],[Table.Column]],ColumnMapping[Old Table.Column],1,)</f>
        <v>SETTING.CONTEXT</v>
      </c>
    </row>
    <row r="848" spans="1:17" hidden="1" x14ac:dyDescent="0.2">
      <c r="A848" s="4" t="s">
        <v>2254</v>
      </c>
      <c r="B848" s="4">
        <v>0</v>
      </c>
      <c r="C848" s="4" t="s">
        <v>2254</v>
      </c>
      <c r="D848" s="4" t="s">
        <v>270</v>
      </c>
      <c r="E848" s="4" t="s">
        <v>86</v>
      </c>
      <c r="F848" s="4">
        <v>-1</v>
      </c>
      <c r="G848" s="4">
        <v>0</v>
      </c>
      <c r="H848" s="4">
        <v>0</v>
      </c>
      <c r="K848" s="4">
        <v>0</v>
      </c>
      <c r="N848" s="4">
        <v>0</v>
      </c>
      <c r="O848" s="4">
        <v>0</v>
      </c>
      <c r="P848" s="4" t="str">
        <f t="shared" si="13"/>
        <v>SETTING.DATA</v>
      </c>
      <c r="Q848" s="4" t="str">
        <f>VLOOKUP(Cobra8.6[[#This Row],[Table.Column]],ColumnMapping[Old Table.Column],1,)</f>
        <v>SETTING.DATA</v>
      </c>
    </row>
    <row r="849" spans="1:17" hidden="1" x14ac:dyDescent="0.2">
      <c r="A849" s="4" t="s">
        <v>2254</v>
      </c>
      <c r="B849" s="4">
        <v>0</v>
      </c>
      <c r="C849" s="4" t="s">
        <v>2254</v>
      </c>
      <c r="D849" s="4" t="s">
        <v>1962</v>
      </c>
      <c r="E849" s="4" t="s">
        <v>86</v>
      </c>
      <c r="F849" s="4">
        <v>22</v>
      </c>
      <c r="G849" s="4">
        <v>0</v>
      </c>
      <c r="H849" s="4">
        <v>0</v>
      </c>
      <c r="K849" s="4">
        <v>0</v>
      </c>
      <c r="N849" s="4">
        <v>0</v>
      </c>
      <c r="O849" s="4">
        <v>0</v>
      </c>
      <c r="P849" s="4" t="str">
        <f t="shared" si="13"/>
        <v>SETTING.DIR_ID</v>
      </c>
      <c r="Q849" s="4" t="str">
        <f>VLOOKUP(Cobra8.6[[#This Row],[Table.Column]],ColumnMapping[Old Table.Column],1,)</f>
        <v>SETTING.DIR_ID</v>
      </c>
    </row>
    <row r="850" spans="1:17" hidden="1" x14ac:dyDescent="0.2">
      <c r="A850" s="4" t="s">
        <v>2254</v>
      </c>
      <c r="B850" s="4">
        <v>0</v>
      </c>
      <c r="C850" s="4" t="s">
        <v>2254</v>
      </c>
      <c r="D850" s="4" t="s">
        <v>2111</v>
      </c>
      <c r="E850" s="4" t="s">
        <v>356</v>
      </c>
      <c r="F850" s="4">
        <v>-1</v>
      </c>
      <c r="G850" s="4">
        <v>0</v>
      </c>
      <c r="H850" s="4">
        <v>0</v>
      </c>
      <c r="K850" s="4">
        <v>0</v>
      </c>
      <c r="N850" s="4">
        <v>0</v>
      </c>
      <c r="O850" s="4">
        <v>0</v>
      </c>
      <c r="P850" s="4" t="str">
        <f t="shared" si="13"/>
        <v>SETTING.LASTUPDATE</v>
      </c>
      <c r="Q850" s="4" t="str">
        <f>VLOOKUP(Cobra8.6[[#This Row],[Table.Column]],ColumnMapping[Old Table.Column],1,)</f>
        <v>SETTING.LASTUPDATE</v>
      </c>
    </row>
    <row r="851" spans="1:17" hidden="1" x14ac:dyDescent="0.2">
      <c r="A851" s="4" t="s">
        <v>2254</v>
      </c>
      <c r="B851" s="4">
        <v>0</v>
      </c>
      <c r="C851" s="4" t="s">
        <v>2254</v>
      </c>
      <c r="D851" s="4" t="s">
        <v>1936</v>
      </c>
      <c r="E851" s="4" t="s">
        <v>86</v>
      </c>
      <c r="F851" s="4">
        <v>20</v>
      </c>
      <c r="G851" s="4">
        <v>0</v>
      </c>
      <c r="H851" s="4">
        <v>0</v>
      </c>
      <c r="K851" s="4">
        <v>0</v>
      </c>
      <c r="N851" s="4">
        <v>0</v>
      </c>
      <c r="O851" s="4">
        <v>0</v>
      </c>
      <c r="P851" s="4" t="str">
        <f t="shared" si="13"/>
        <v>SETTING.OWNER_ID</v>
      </c>
      <c r="Q851" s="4" t="str">
        <f>VLOOKUP(Cobra8.6[[#This Row],[Table.Column]],ColumnMapping[Old Table.Column],1,)</f>
        <v>SETTING.OWNER_ID</v>
      </c>
    </row>
    <row r="852" spans="1:17" hidden="1" x14ac:dyDescent="0.2">
      <c r="A852" s="4" t="s">
        <v>2254</v>
      </c>
      <c r="B852" s="4">
        <v>0</v>
      </c>
      <c r="C852" s="4" t="s">
        <v>2254</v>
      </c>
      <c r="D852" s="4" t="s">
        <v>35</v>
      </c>
      <c r="E852" s="4" t="s">
        <v>2108</v>
      </c>
      <c r="F852" s="4">
        <v>-1</v>
      </c>
      <c r="G852" s="4">
        <v>0</v>
      </c>
      <c r="H852" s="4">
        <v>0</v>
      </c>
      <c r="K852" s="4">
        <v>0</v>
      </c>
      <c r="N852" s="4">
        <v>0</v>
      </c>
      <c r="O852" s="4">
        <v>0</v>
      </c>
      <c r="P852" s="4" t="str">
        <f t="shared" si="13"/>
        <v>SETTING.SEQUENCE</v>
      </c>
      <c r="Q852" s="4" t="str">
        <f>VLOOKUP(Cobra8.6[[#This Row],[Table.Column]],ColumnMapping[Old Table.Column],1,)</f>
        <v>SETTING.SEQUENCE</v>
      </c>
    </row>
    <row r="853" spans="1:17" hidden="1" x14ac:dyDescent="0.2">
      <c r="A853" s="4" t="s">
        <v>2254</v>
      </c>
      <c r="B853" s="4">
        <v>0</v>
      </c>
      <c r="C853" s="4" t="s">
        <v>2254</v>
      </c>
      <c r="D853" s="4" t="s">
        <v>2112</v>
      </c>
      <c r="E853" s="4" t="s">
        <v>86</v>
      </c>
      <c r="F853" s="4">
        <v>20</v>
      </c>
      <c r="G853" s="4">
        <v>0</v>
      </c>
      <c r="H853" s="4">
        <v>0</v>
      </c>
      <c r="K853" s="4">
        <v>0</v>
      </c>
      <c r="N853" s="4">
        <v>0</v>
      </c>
      <c r="O853" s="4">
        <v>0</v>
      </c>
      <c r="P853" s="4" t="str">
        <f t="shared" si="13"/>
        <v>SETTING.USR_ID</v>
      </c>
      <c r="Q853" s="4" t="str">
        <f>VLOOKUP(Cobra8.6[[#This Row],[Table.Column]],ColumnMapping[Old Table.Column],1,)</f>
        <v>SETTING.USR_ID</v>
      </c>
    </row>
    <row r="854" spans="1:17" hidden="1" x14ac:dyDescent="0.2">
      <c r="A854" s="4" t="s">
        <v>2255</v>
      </c>
      <c r="B854" s="4">
        <v>0</v>
      </c>
      <c r="C854" s="4" t="s">
        <v>2255</v>
      </c>
      <c r="D854" s="4" t="s">
        <v>270</v>
      </c>
      <c r="E854" s="4" t="s">
        <v>86</v>
      </c>
      <c r="F854" s="4">
        <v>-1</v>
      </c>
      <c r="G854" s="4">
        <v>0</v>
      </c>
      <c r="H854" s="4">
        <v>0</v>
      </c>
      <c r="K854" s="4">
        <v>0</v>
      </c>
      <c r="N854" s="4">
        <v>0</v>
      </c>
      <c r="O854" s="4">
        <v>0</v>
      </c>
      <c r="P854" s="4" t="str">
        <f t="shared" si="13"/>
        <v>SORT.DATA</v>
      </c>
      <c r="Q854" s="4" t="e">
        <f>VLOOKUP(Cobra8.6[[#This Row],[Table.Column]],ColumnMapping[Old Table.Column],1,)</f>
        <v>#N/A</v>
      </c>
    </row>
    <row r="855" spans="1:17" hidden="1" x14ac:dyDescent="0.2">
      <c r="A855" s="4" t="s">
        <v>2255</v>
      </c>
      <c r="B855" s="4">
        <v>0</v>
      </c>
      <c r="C855" s="4" t="s">
        <v>2255</v>
      </c>
      <c r="D855" s="4" t="s">
        <v>1935</v>
      </c>
      <c r="E855" s="4" t="s">
        <v>86</v>
      </c>
      <c r="F855" s="4">
        <v>20</v>
      </c>
      <c r="G855" s="4">
        <v>0</v>
      </c>
      <c r="H855" s="4">
        <v>0</v>
      </c>
      <c r="K855" s="4">
        <v>0</v>
      </c>
      <c r="N855" s="4">
        <v>0</v>
      </c>
      <c r="O855" s="4">
        <v>0</v>
      </c>
      <c r="P855" s="4" t="str">
        <f t="shared" si="13"/>
        <v>SORT.GRP_ID</v>
      </c>
      <c r="Q855" s="4" t="e">
        <f>VLOOKUP(Cobra8.6[[#This Row],[Table.Column]],ColumnMapping[Old Table.Column],1,)</f>
        <v>#N/A</v>
      </c>
    </row>
    <row r="856" spans="1:17" hidden="1" x14ac:dyDescent="0.2">
      <c r="A856" s="4" t="s">
        <v>2255</v>
      </c>
      <c r="B856" s="4">
        <v>0</v>
      </c>
      <c r="C856" s="4" t="s">
        <v>2255</v>
      </c>
      <c r="D856" s="4" t="s">
        <v>2111</v>
      </c>
      <c r="E856" s="4" t="s">
        <v>356</v>
      </c>
      <c r="F856" s="4">
        <v>-1</v>
      </c>
      <c r="G856" s="4">
        <v>0</v>
      </c>
      <c r="H856" s="4">
        <v>0</v>
      </c>
      <c r="K856" s="4">
        <v>0</v>
      </c>
      <c r="N856" s="4">
        <v>0</v>
      </c>
      <c r="O856" s="4">
        <v>0</v>
      </c>
      <c r="P856" s="4" t="str">
        <f t="shared" si="13"/>
        <v>SORT.LASTUPDATE</v>
      </c>
      <c r="Q856" s="4" t="e">
        <f>VLOOKUP(Cobra8.6[[#This Row],[Table.Column]],ColumnMapping[Old Table.Column],1,)</f>
        <v>#N/A</v>
      </c>
    </row>
    <row r="857" spans="1:17" hidden="1" x14ac:dyDescent="0.2">
      <c r="A857" s="4" t="s">
        <v>2255</v>
      </c>
      <c r="B857" s="4">
        <v>0</v>
      </c>
      <c r="C857" s="4" t="s">
        <v>2255</v>
      </c>
      <c r="D857" s="4" t="s">
        <v>1936</v>
      </c>
      <c r="E857" s="4" t="s">
        <v>86</v>
      </c>
      <c r="F857" s="4">
        <v>20</v>
      </c>
      <c r="G857" s="4">
        <v>0</v>
      </c>
      <c r="H857" s="4">
        <v>0</v>
      </c>
      <c r="K857" s="4">
        <v>0</v>
      </c>
      <c r="N857" s="4">
        <v>0</v>
      </c>
      <c r="O857" s="4">
        <v>0</v>
      </c>
      <c r="P857" s="4" t="str">
        <f t="shared" si="13"/>
        <v>SORT.OWNER_ID</v>
      </c>
      <c r="Q857" s="4" t="e">
        <f>VLOOKUP(Cobra8.6[[#This Row],[Table.Column]],ColumnMapping[Old Table.Column],1,)</f>
        <v>#N/A</v>
      </c>
    </row>
    <row r="858" spans="1:17" hidden="1" x14ac:dyDescent="0.2">
      <c r="A858" s="4" t="s">
        <v>2255</v>
      </c>
      <c r="B858" s="4">
        <v>0</v>
      </c>
      <c r="C858" s="4" t="s">
        <v>2255</v>
      </c>
      <c r="D858" s="4" t="s">
        <v>35</v>
      </c>
      <c r="E858" s="4" t="s">
        <v>2108</v>
      </c>
      <c r="F858" s="4">
        <v>-1</v>
      </c>
      <c r="G858" s="4">
        <v>0</v>
      </c>
      <c r="H858" s="4">
        <v>0</v>
      </c>
      <c r="K858" s="4">
        <v>0</v>
      </c>
      <c r="N858" s="4">
        <v>0</v>
      </c>
      <c r="O858" s="4">
        <v>0</v>
      </c>
      <c r="P858" s="4" t="str">
        <f t="shared" si="13"/>
        <v>SORT.SEQUENCE</v>
      </c>
      <c r="Q858" s="4" t="e">
        <f>VLOOKUP(Cobra8.6[[#This Row],[Table.Column]],ColumnMapping[Old Table.Column],1,)</f>
        <v>#N/A</v>
      </c>
    </row>
    <row r="859" spans="1:17" hidden="1" x14ac:dyDescent="0.2">
      <c r="A859" s="4" t="s">
        <v>2255</v>
      </c>
      <c r="B859" s="4">
        <v>0</v>
      </c>
      <c r="C859" s="4" t="s">
        <v>2255</v>
      </c>
      <c r="D859" s="4" t="s">
        <v>1939</v>
      </c>
      <c r="E859" s="4" t="s">
        <v>2108</v>
      </c>
      <c r="F859" s="4">
        <v>-1</v>
      </c>
      <c r="G859" s="4">
        <v>0</v>
      </c>
      <c r="H859" s="4">
        <v>0</v>
      </c>
      <c r="K859" s="4">
        <v>0</v>
      </c>
      <c r="N859" s="4">
        <v>0</v>
      </c>
      <c r="O859" s="4">
        <v>0</v>
      </c>
      <c r="P859" s="4" t="str">
        <f t="shared" si="13"/>
        <v>SORT.SHARED</v>
      </c>
      <c r="Q859" s="4" t="e">
        <f>VLOOKUP(Cobra8.6[[#This Row],[Table.Column]],ColumnMapping[Old Table.Column],1,)</f>
        <v>#N/A</v>
      </c>
    </row>
    <row r="860" spans="1:17" hidden="1" x14ac:dyDescent="0.2">
      <c r="A860" s="4" t="s">
        <v>2255</v>
      </c>
      <c r="B860" s="4">
        <v>0</v>
      </c>
      <c r="C860" s="4" t="s">
        <v>2255</v>
      </c>
      <c r="D860" s="4" t="s">
        <v>2024</v>
      </c>
      <c r="E860" s="4" t="s">
        <v>86</v>
      </c>
      <c r="F860" s="4">
        <v>59</v>
      </c>
      <c r="G860" s="4">
        <v>0</v>
      </c>
      <c r="H860" s="4">
        <v>0</v>
      </c>
      <c r="K860" s="4">
        <v>0</v>
      </c>
      <c r="N860" s="4">
        <v>0</v>
      </c>
      <c r="O860" s="4">
        <v>0</v>
      </c>
      <c r="P860" s="4" t="str">
        <f t="shared" si="13"/>
        <v>SORT.SORT_ID</v>
      </c>
      <c r="Q860" s="4" t="e">
        <f>VLOOKUP(Cobra8.6[[#This Row],[Table.Column]],ColumnMapping[Old Table.Column],1,)</f>
        <v>#N/A</v>
      </c>
    </row>
    <row r="861" spans="1:17" hidden="1" x14ac:dyDescent="0.2">
      <c r="A861" s="4" t="s">
        <v>2255</v>
      </c>
      <c r="B861" s="4">
        <v>0</v>
      </c>
      <c r="C861" s="4" t="s">
        <v>2255</v>
      </c>
      <c r="D861" s="4" t="s">
        <v>2005</v>
      </c>
      <c r="E861" s="4" t="s">
        <v>86</v>
      </c>
      <c r="F861" s="4">
        <v>30</v>
      </c>
      <c r="G861" s="4">
        <v>0</v>
      </c>
      <c r="H861" s="4">
        <v>0</v>
      </c>
      <c r="K861" s="4">
        <v>0</v>
      </c>
      <c r="N861" s="4">
        <v>0</v>
      </c>
      <c r="O861" s="4">
        <v>0</v>
      </c>
      <c r="P861" s="4" t="str">
        <f t="shared" si="13"/>
        <v>SORT.TABLE_TYPE</v>
      </c>
      <c r="Q861" s="4" t="e">
        <f>VLOOKUP(Cobra8.6[[#This Row],[Table.Column]],ColumnMapping[Old Table.Column],1,)</f>
        <v>#N/A</v>
      </c>
    </row>
    <row r="862" spans="1:17" hidden="1" x14ac:dyDescent="0.2">
      <c r="A862" s="4" t="s">
        <v>2255</v>
      </c>
      <c r="B862" s="4">
        <v>0</v>
      </c>
      <c r="C862" s="4" t="s">
        <v>2255</v>
      </c>
      <c r="D862" s="4" t="s">
        <v>2112</v>
      </c>
      <c r="E862" s="4" t="s">
        <v>86</v>
      </c>
      <c r="F862" s="4">
        <v>20</v>
      </c>
      <c r="G862" s="4">
        <v>0</v>
      </c>
      <c r="H862" s="4">
        <v>0</v>
      </c>
      <c r="K862" s="4">
        <v>0</v>
      </c>
      <c r="N862" s="4">
        <v>0</v>
      </c>
      <c r="O862" s="4">
        <v>0</v>
      </c>
      <c r="P862" s="4" t="str">
        <f t="shared" si="13"/>
        <v>SORT.USR_ID</v>
      </c>
      <c r="Q862" s="4" t="e">
        <f>VLOOKUP(Cobra8.6[[#This Row],[Table.Column]],ColumnMapping[Old Table.Column],1,)</f>
        <v>#N/A</v>
      </c>
    </row>
    <row r="863" spans="1:17" hidden="1" x14ac:dyDescent="0.2">
      <c r="A863" s="4" t="s">
        <v>2256</v>
      </c>
      <c r="B863" s="4">
        <v>0</v>
      </c>
      <c r="C863" s="4" t="s">
        <v>2256</v>
      </c>
      <c r="D863" s="4" t="s">
        <v>1596</v>
      </c>
      <c r="E863" s="4" t="s">
        <v>2108</v>
      </c>
      <c r="F863" s="4">
        <v>-1</v>
      </c>
      <c r="G863" s="4">
        <v>0</v>
      </c>
      <c r="H863" s="4">
        <v>0</v>
      </c>
      <c r="K863" s="4">
        <v>0</v>
      </c>
      <c r="N863" s="4">
        <v>0</v>
      </c>
      <c r="O863" s="4">
        <v>0</v>
      </c>
      <c r="P863" s="4" t="str">
        <f t="shared" si="13"/>
        <v>SPREAD.POINTS</v>
      </c>
      <c r="Q863" s="4" t="str">
        <f>VLOOKUP(Cobra8.6[[#This Row],[Table.Column]],ColumnMapping[Old Table.Column],1,)</f>
        <v>SPREAD.POINTS</v>
      </c>
    </row>
    <row r="864" spans="1:17" hidden="1" x14ac:dyDescent="0.2">
      <c r="A864" s="4" t="s">
        <v>2256</v>
      </c>
      <c r="B864" s="4">
        <v>0</v>
      </c>
      <c r="C864" s="4" t="s">
        <v>2256</v>
      </c>
      <c r="D864" s="4" t="s">
        <v>1807</v>
      </c>
      <c r="E864" s="4" t="s">
        <v>2108</v>
      </c>
      <c r="F864" s="4">
        <v>-1</v>
      </c>
      <c r="G864" s="4">
        <v>0</v>
      </c>
      <c r="H864" s="4">
        <v>0</v>
      </c>
      <c r="K864" s="4">
        <v>0</v>
      </c>
      <c r="N864" s="4">
        <v>0</v>
      </c>
      <c r="O864" s="4">
        <v>0</v>
      </c>
      <c r="P864" s="4" t="str">
        <f t="shared" si="13"/>
        <v>SPREAD.SP_F1</v>
      </c>
      <c r="Q864" s="4" t="str">
        <f>VLOOKUP(Cobra8.6[[#This Row],[Table.Column]],ColumnMapping[Old Table.Column],1,)</f>
        <v>SPREAD.SP_F1</v>
      </c>
    </row>
    <row r="865" spans="1:17" hidden="1" x14ac:dyDescent="0.2">
      <c r="A865" s="4" t="s">
        <v>2256</v>
      </c>
      <c r="B865" s="4">
        <v>0</v>
      </c>
      <c r="C865" s="4" t="s">
        <v>2256</v>
      </c>
      <c r="D865" s="4" t="s">
        <v>1809</v>
      </c>
      <c r="E865" s="4" t="s">
        <v>2108</v>
      </c>
      <c r="F865" s="4">
        <v>-1</v>
      </c>
      <c r="G865" s="4">
        <v>0</v>
      </c>
      <c r="H865" s="4">
        <v>0</v>
      </c>
      <c r="K865" s="4">
        <v>0</v>
      </c>
      <c r="N865" s="4">
        <v>0</v>
      </c>
      <c r="O865" s="4">
        <v>0</v>
      </c>
      <c r="P865" s="4" t="str">
        <f t="shared" si="13"/>
        <v>SPREAD.SP_F10</v>
      </c>
      <c r="Q865" s="4" t="str">
        <f>VLOOKUP(Cobra8.6[[#This Row],[Table.Column]],ColumnMapping[Old Table.Column],1,)</f>
        <v>SPREAD.SP_F10</v>
      </c>
    </row>
    <row r="866" spans="1:17" hidden="1" x14ac:dyDescent="0.2">
      <c r="A866" s="4" t="s">
        <v>2256</v>
      </c>
      <c r="B866" s="4">
        <v>0</v>
      </c>
      <c r="C866" s="4" t="s">
        <v>2256</v>
      </c>
      <c r="D866" s="4" t="s">
        <v>1811</v>
      </c>
      <c r="E866" s="4" t="s">
        <v>2108</v>
      </c>
      <c r="F866" s="4">
        <v>-1</v>
      </c>
      <c r="G866" s="4">
        <v>0</v>
      </c>
      <c r="H866" s="4">
        <v>0</v>
      </c>
      <c r="K866" s="4">
        <v>0</v>
      </c>
      <c r="N866" s="4">
        <v>0</v>
      </c>
      <c r="O866" s="4">
        <v>0</v>
      </c>
      <c r="P866" s="4" t="str">
        <f t="shared" si="13"/>
        <v>SPREAD.SP_F11</v>
      </c>
      <c r="Q866" s="4" t="str">
        <f>VLOOKUP(Cobra8.6[[#This Row],[Table.Column]],ColumnMapping[Old Table.Column],1,)</f>
        <v>SPREAD.SP_F11</v>
      </c>
    </row>
    <row r="867" spans="1:17" hidden="1" x14ac:dyDescent="0.2">
      <c r="A867" s="4" t="s">
        <v>2256</v>
      </c>
      <c r="B867" s="4">
        <v>0</v>
      </c>
      <c r="C867" s="4" t="s">
        <v>2256</v>
      </c>
      <c r="D867" s="4" t="s">
        <v>1813</v>
      </c>
      <c r="E867" s="4" t="s">
        <v>2108</v>
      </c>
      <c r="F867" s="4">
        <v>-1</v>
      </c>
      <c r="G867" s="4">
        <v>0</v>
      </c>
      <c r="H867" s="4">
        <v>0</v>
      </c>
      <c r="K867" s="4">
        <v>0</v>
      </c>
      <c r="N867" s="4">
        <v>0</v>
      </c>
      <c r="O867" s="4">
        <v>0</v>
      </c>
      <c r="P867" s="4" t="str">
        <f t="shared" si="13"/>
        <v>SPREAD.SP_F12</v>
      </c>
      <c r="Q867" s="4" t="str">
        <f>VLOOKUP(Cobra8.6[[#This Row],[Table.Column]],ColumnMapping[Old Table.Column],1,)</f>
        <v>SPREAD.SP_F12</v>
      </c>
    </row>
    <row r="868" spans="1:17" hidden="1" x14ac:dyDescent="0.2">
      <c r="A868" s="4" t="s">
        <v>2256</v>
      </c>
      <c r="B868" s="4">
        <v>0</v>
      </c>
      <c r="C868" s="4" t="s">
        <v>2256</v>
      </c>
      <c r="D868" s="4" t="s">
        <v>1815</v>
      </c>
      <c r="E868" s="4" t="s">
        <v>2108</v>
      </c>
      <c r="F868" s="4">
        <v>-1</v>
      </c>
      <c r="G868" s="4">
        <v>0</v>
      </c>
      <c r="H868" s="4">
        <v>0</v>
      </c>
      <c r="K868" s="4">
        <v>0</v>
      </c>
      <c r="N868" s="4">
        <v>0</v>
      </c>
      <c r="O868" s="4">
        <v>0</v>
      </c>
      <c r="P868" s="4" t="str">
        <f t="shared" si="13"/>
        <v>SPREAD.SP_F13</v>
      </c>
      <c r="Q868" s="4" t="str">
        <f>VLOOKUP(Cobra8.6[[#This Row],[Table.Column]],ColumnMapping[Old Table.Column],1,)</f>
        <v>SPREAD.SP_F13</v>
      </c>
    </row>
    <row r="869" spans="1:17" hidden="1" x14ac:dyDescent="0.2">
      <c r="A869" s="4" t="s">
        <v>2256</v>
      </c>
      <c r="B869" s="4">
        <v>0</v>
      </c>
      <c r="C869" s="4" t="s">
        <v>2256</v>
      </c>
      <c r="D869" s="4" t="s">
        <v>1817</v>
      </c>
      <c r="E869" s="4" t="s">
        <v>2108</v>
      </c>
      <c r="F869" s="4">
        <v>-1</v>
      </c>
      <c r="G869" s="4">
        <v>0</v>
      </c>
      <c r="H869" s="4">
        <v>0</v>
      </c>
      <c r="K869" s="4">
        <v>0</v>
      </c>
      <c r="N869" s="4">
        <v>0</v>
      </c>
      <c r="O869" s="4">
        <v>0</v>
      </c>
      <c r="P869" s="4" t="str">
        <f t="shared" si="13"/>
        <v>SPREAD.SP_F14</v>
      </c>
      <c r="Q869" s="4" t="str">
        <f>VLOOKUP(Cobra8.6[[#This Row],[Table.Column]],ColumnMapping[Old Table.Column],1,)</f>
        <v>SPREAD.SP_F14</v>
      </c>
    </row>
    <row r="870" spans="1:17" hidden="1" x14ac:dyDescent="0.2">
      <c r="A870" s="4" t="s">
        <v>2256</v>
      </c>
      <c r="B870" s="4">
        <v>0</v>
      </c>
      <c r="C870" s="4" t="s">
        <v>2256</v>
      </c>
      <c r="D870" s="4" t="s">
        <v>1819</v>
      </c>
      <c r="E870" s="4" t="s">
        <v>2108</v>
      </c>
      <c r="F870" s="4">
        <v>-1</v>
      </c>
      <c r="G870" s="4">
        <v>0</v>
      </c>
      <c r="H870" s="4">
        <v>0</v>
      </c>
      <c r="K870" s="4">
        <v>0</v>
      </c>
      <c r="N870" s="4">
        <v>0</v>
      </c>
      <c r="O870" s="4">
        <v>0</v>
      </c>
      <c r="P870" s="4" t="str">
        <f t="shared" si="13"/>
        <v>SPREAD.SP_F15</v>
      </c>
      <c r="Q870" s="4" t="str">
        <f>VLOOKUP(Cobra8.6[[#This Row],[Table.Column]],ColumnMapping[Old Table.Column],1,)</f>
        <v>SPREAD.SP_F15</v>
      </c>
    </row>
    <row r="871" spans="1:17" hidden="1" x14ac:dyDescent="0.2">
      <c r="A871" s="4" t="s">
        <v>2256</v>
      </c>
      <c r="B871" s="4">
        <v>0</v>
      </c>
      <c r="C871" s="4" t="s">
        <v>2256</v>
      </c>
      <c r="D871" s="4" t="s">
        <v>1821</v>
      </c>
      <c r="E871" s="4" t="s">
        <v>2108</v>
      </c>
      <c r="F871" s="4">
        <v>-1</v>
      </c>
      <c r="G871" s="4">
        <v>0</v>
      </c>
      <c r="H871" s="4">
        <v>0</v>
      </c>
      <c r="K871" s="4">
        <v>0</v>
      </c>
      <c r="N871" s="4">
        <v>0</v>
      </c>
      <c r="O871" s="4">
        <v>0</v>
      </c>
      <c r="P871" s="4" t="str">
        <f t="shared" si="13"/>
        <v>SPREAD.SP_F16</v>
      </c>
      <c r="Q871" s="4" t="str">
        <f>VLOOKUP(Cobra8.6[[#This Row],[Table.Column]],ColumnMapping[Old Table.Column],1,)</f>
        <v>SPREAD.SP_F16</v>
      </c>
    </row>
    <row r="872" spans="1:17" hidden="1" x14ac:dyDescent="0.2">
      <c r="A872" s="4" t="s">
        <v>2256</v>
      </c>
      <c r="B872" s="4">
        <v>0</v>
      </c>
      <c r="C872" s="4" t="s">
        <v>2256</v>
      </c>
      <c r="D872" s="4" t="s">
        <v>1823</v>
      </c>
      <c r="E872" s="4" t="s">
        <v>2108</v>
      </c>
      <c r="F872" s="4">
        <v>-1</v>
      </c>
      <c r="G872" s="4">
        <v>0</v>
      </c>
      <c r="H872" s="4">
        <v>0</v>
      </c>
      <c r="K872" s="4">
        <v>0</v>
      </c>
      <c r="N872" s="4">
        <v>0</v>
      </c>
      <c r="O872" s="4">
        <v>0</v>
      </c>
      <c r="P872" s="4" t="str">
        <f t="shared" si="13"/>
        <v>SPREAD.SP_F17</v>
      </c>
      <c r="Q872" s="4" t="str">
        <f>VLOOKUP(Cobra8.6[[#This Row],[Table.Column]],ColumnMapping[Old Table.Column],1,)</f>
        <v>SPREAD.SP_F17</v>
      </c>
    </row>
    <row r="873" spans="1:17" hidden="1" x14ac:dyDescent="0.2">
      <c r="A873" s="4" t="s">
        <v>2256</v>
      </c>
      <c r="B873" s="4">
        <v>0</v>
      </c>
      <c r="C873" s="4" t="s">
        <v>2256</v>
      </c>
      <c r="D873" s="4" t="s">
        <v>1825</v>
      </c>
      <c r="E873" s="4" t="s">
        <v>2108</v>
      </c>
      <c r="F873" s="4">
        <v>-1</v>
      </c>
      <c r="G873" s="4">
        <v>0</v>
      </c>
      <c r="H873" s="4">
        <v>0</v>
      </c>
      <c r="K873" s="4">
        <v>0</v>
      </c>
      <c r="N873" s="4">
        <v>0</v>
      </c>
      <c r="O873" s="4">
        <v>0</v>
      </c>
      <c r="P873" s="4" t="str">
        <f t="shared" si="13"/>
        <v>SPREAD.SP_F18</v>
      </c>
      <c r="Q873" s="4" t="str">
        <f>VLOOKUP(Cobra8.6[[#This Row],[Table.Column]],ColumnMapping[Old Table.Column],1,)</f>
        <v>SPREAD.SP_F18</v>
      </c>
    </row>
    <row r="874" spans="1:17" hidden="1" x14ac:dyDescent="0.2">
      <c r="A874" s="4" t="s">
        <v>2256</v>
      </c>
      <c r="B874" s="4">
        <v>0</v>
      </c>
      <c r="C874" s="4" t="s">
        <v>2256</v>
      </c>
      <c r="D874" s="4" t="s">
        <v>1827</v>
      </c>
      <c r="E874" s="4" t="s">
        <v>2108</v>
      </c>
      <c r="F874" s="4">
        <v>-1</v>
      </c>
      <c r="G874" s="4">
        <v>0</v>
      </c>
      <c r="H874" s="4">
        <v>0</v>
      </c>
      <c r="K874" s="4">
        <v>0</v>
      </c>
      <c r="N874" s="4">
        <v>0</v>
      </c>
      <c r="O874" s="4">
        <v>0</v>
      </c>
      <c r="P874" s="4" t="str">
        <f t="shared" si="13"/>
        <v>SPREAD.SP_F19</v>
      </c>
      <c r="Q874" s="4" t="str">
        <f>VLOOKUP(Cobra8.6[[#This Row],[Table.Column]],ColumnMapping[Old Table.Column],1,)</f>
        <v>SPREAD.SP_F19</v>
      </c>
    </row>
    <row r="875" spans="1:17" hidden="1" x14ac:dyDescent="0.2">
      <c r="A875" s="4" t="s">
        <v>2256</v>
      </c>
      <c r="B875" s="4">
        <v>0</v>
      </c>
      <c r="C875" s="4" t="s">
        <v>2256</v>
      </c>
      <c r="D875" s="4" t="s">
        <v>1829</v>
      </c>
      <c r="E875" s="4" t="s">
        <v>2108</v>
      </c>
      <c r="F875" s="4">
        <v>-1</v>
      </c>
      <c r="G875" s="4">
        <v>0</v>
      </c>
      <c r="H875" s="4">
        <v>0</v>
      </c>
      <c r="K875" s="4">
        <v>0</v>
      </c>
      <c r="N875" s="4">
        <v>0</v>
      </c>
      <c r="O875" s="4">
        <v>0</v>
      </c>
      <c r="P875" s="4" t="str">
        <f t="shared" si="13"/>
        <v>SPREAD.SP_F2</v>
      </c>
      <c r="Q875" s="4" t="str">
        <f>VLOOKUP(Cobra8.6[[#This Row],[Table.Column]],ColumnMapping[Old Table.Column],1,)</f>
        <v>SPREAD.SP_F2</v>
      </c>
    </row>
    <row r="876" spans="1:17" hidden="1" x14ac:dyDescent="0.2">
      <c r="A876" s="4" t="s">
        <v>2256</v>
      </c>
      <c r="B876" s="4">
        <v>0</v>
      </c>
      <c r="C876" s="4" t="s">
        <v>2256</v>
      </c>
      <c r="D876" s="4" t="s">
        <v>1831</v>
      </c>
      <c r="E876" s="4" t="s">
        <v>2108</v>
      </c>
      <c r="F876" s="4">
        <v>-1</v>
      </c>
      <c r="G876" s="4">
        <v>0</v>
      </c>
      <c r="H876" s="4">
        <v>0</v>
      </c>
      <c r="K876" s="4">
        <v>0</v>
      </c>
      <c r="N876" s="4">
        <v>0</v>
      </c>
      <c r="O876" s="4">
        <v>0</v>
      </c>
      <c r="P876" s="4" t="str">
        <f t="shared" si="13"/>
        <v>SPREAD.SP_F20</v>
      </c>
      <c r="Q876" s="4" t="str">
        <f>VLOOKUP(Cobra8.6[[#This Row],[Table.Column]],ColumnMapping[Old Table.Column],1,)</f>
        <v>SPREAD.SP_F20</v>
      </c>
    </row>
    <row r="877" spans="1:17" hidden="1" x14ac:dyDescent="0.2">
      <c r="A877" s="4" t="s">
        <v>2256</v>
      </c>
      <c r="B877" s="4">
        <v>0</v>
      </c>
      <c r="C877" s="4" t="s">
        <v>2256</v>
      </c>
      <c r="D877" s="4" t="s">
        <v>1833</v>
      </c>
      <c r="E877" s="4" t="s">
        <v>2108</v>
      </c>
      <c r="F877" s="4">
        <v>-1</v>
      </c>
      <c r="G877" s="4">
        <v>0</v>
      </c>
      <c r="H877" s="4">
        <v>0</v>
      </c>
      <c r="K877" s="4">
        <v>0</v>
      </c>
      <c r="N877" s="4">
        <v>0</v>
      </c>
      <c r="O877" s="4">
        <v>0</v>
      </c>
      <c r="P877" s="4" t="str">
        <f t="shared" si="13"/>
        <v>SPREAD.SP_F21</v>
      </c>
      <c r="Q877" s="4" t="str">
        <f>VLOOKUP(Cobra8.6[[#This Row],[Table.Column]],ColumnMapping[Old Table.Column],1,)</f>
        <v>SPREAD.SP_F21</v>
      </c>
    </row>
    <row r="878" spans="1:17" hidden="1" x14ac:dyDescent="0.2">
      <c r="A878" s="4" t="s">
        <v>2256</v>
      </c>
      <c r="B878" s="4">
        <v>0</v>
      </c>
      <c r="C878" s="4" t="s">
        <v>2256</v>
      </c>
      <c r="D878" s="4" t="s">
        <v>1835</v>
      </c>
      <c r="E878" s="4" t="s">
        <v>2108</v>
      </c>
      <c r="F878" s="4">
        <v>-1</v>
      </c>
      <c r="G878" s="4">
        <v>0</v>
      </c>
      <c r="H878" s="4">
        <v>0</v>
      </c>
      <c r="K878" s="4">
        <v>0</v>
      </c>
      <c r="N878" s="4">
        <v>0</v>
      </c>
      <c r="O878" s="4">
        <v>0</v>
      </c>
      <c r="P878" s="4" t="str">
        <f t="shared" si="13"/>
        <v>SPREAD.SP_F22</v>
      </c>
      <c r="Q878" s="4" t="str">
        <f>VLOOKUP(Cobra8.6[[#This Row],[Table.Column]],ColumnMapping[Old Table.Column],1,)</f>
        <v>SPREAD.SP_F22</v>
      </c>
    </row>
    <row r="879" spans="1:17" hidden="1" x14ac:dyDescent="0.2">
      <c r="A879" s="4" t="s">
        <v>2256</v>
      </c>
      <c r="B879" s="4">
        <v>0</v>
      </c>
      <c r="C879" s="4" t="s">
        <v>2256</v>
      </c>
      <c r="D879" s="4" t="s">
        <v>1837</v>
      </c>
      <c r="E879" s="4" t="s">
        <v>2108</v>
      </c>
      <c r="F879" s="4">
        <v>-1</v>
      </c>
      <c r="G879" s="4">
        <v>0</v>
      </c>
      <c r="H879" s="4">
        <v>0</v>
      </c>
      <c r="K879" s="4">
        <v>0</v>
      </c>
      <c r="N879" s="4">
        <v>0</v>
      </c>
      <c r="O879" s="4">
        <v>0</v>
      </c>
      <c r="P879" s="4" t="str">
        <f t="shared" si="13"/>
        <v>SPREAD.SP_F23</v>
      </c>
      <c r="Q879" s="4" t="str">
        <f>VLOOKUP(Cobra8.6[[#This Row],[Table.Column]],ColumnMapping[Old Table.Column],1,)</f>
        <v>SPREAD.SP_F23</v>
      </c>
    </row>
    <row r="880" spans="1:17" hidden="1" x14ac:dyDescent="0.2">
      <c r="A880" s="4" t="s">
        <v>2256</v>
      </c>
      <c r="B880" s="4">
        <v>0</v>
      </c>
      <c r="C880" s="4" t="s">
        <v>2256</v>
      </c>
      <c r="D880" s="4" t="s">
        <v>1839</v>
      </c>
      <c r="E880" s="4" t="s">
        <v>2108</v>
      </c>
      <c r="F880" s="4">
        <v>-1</v>
      </c>
      <c r="G880" s="4">
        <v>0</v>
      </c>
      <c r="H880" s="4">
        <v>0</v>
      </c>
      <c r="K880" s="4">
        <v>0</v>
      </c>
      <c r="N880" s="4">
        <v>0</v>
      </c>
      <c r="O880" s="4">
        <v>0</v>
      </c>
      <c r="P880" s="4" t="str">
        <f t="shared" si="13"/>
        <v>SPREAD.SP_F24</v>
      </c>
      <c r="Q880" s="4" t="str">
        <f>VLOOKUP(Cobra8.6[[#This Row],[Table.Column]],ColumnMapping[Old Table.Column],1,)</f>
        <v>SPREAD.SP_F24</v>
      </c>
    </row>
    <row r="881" spans="1:17" hidden="1" x14ac:dyDescent="0.2">
      <c r="A881" s="4" t="s">
        <v>2256</v>
      </c>
      <c r="B881" s="4">
        <v>0</v>
      </c>
      <c r="C881" s="4" t="s">
        <v>2256</v>
      </c>
      <c r="D881" s="4" t="s">
        <v>1841</v>
      </c>
      <c r="E881" s="4" t="s">
        <v>2108</v>
      </c>
      <c r="F881" s="4">
        <v>-1</v>
      </c>
      <c r="G881" s="4">
        <v>0</v>
      </c>
      <c r="H881" s="4">
        <v>0</v>
      </c>
      <c r="K881" s="4">
        <v>0</v>
      </c>
      <c r="N881" s="4">
        <v>0</v>
      </c>
      <c r="O881" s="4">
        <v>0</v>
      </c>
      <c r="P881" s="4" t="str">
        <f t="shared" si="13"/>
        <v>SPREAD.SP_F25</v>
      </c>
      <c r="Q881" s="4" t="str">
        <f>VLOOKUP(Cobra8.6[[#This Row],[Table.Column]],ColumnMapping[Old Table.Column],1,)</f>
        <v>SPREAD.SP_F25</v>
      </c>
    </row>
    <row r="882" spans="1:17" hidden="1" x14ac:dyDescent="0.2">
      <c r="A882" s="4" t="s">
        <v>2256</v>
      </c>
      <c r="B882" s="4">
        <v>0</v>
      </c>
      <c r="C882" s="4" t="s">
        <v>2256</v>
      </c>
      <c r="D882" s="4" t="s">
        <v>1843</v>
      </c>
      <c r="E882" s="4" t="s">
        <v>2108</v>
      </c>
      <c r="F882" s="4">
        <v>-1</v>
      </c>
      <c r="G882" s="4">
        <v>0</v>
      </c>
      <c r="H882" s="4">
        <v>0</v>
      </c>
      <c r="K882" s="4">
        <v>0</v>
      </c>
      <c r="N882" s="4">
        <v>0</v>
      </c>
      <c r="O882" s="4">
        <v>0</v>
      </c>
      <c r="P882" s="4" t="str">
        <f t="shared" si="13"/>
        <v>SPREAD.SP_F26</v>
      </c>
      <c r="Q882" s="4" t="str">
        <f>VLOOKUP(Cobra8.6[[#This Row],[Table.Column]],ColumnMapping[Old Table.Column],1,)</f>
        <v>SPREAD.SP_F26</v>
      </c>
    </row>
    <row r="883" spans="1:17" hidden="1" x14ac:dyDescent="0.2">
      <c r="A883" s="4" t="s">
        <v>2256</v>
      </c>
      <c r="B883" s="4">
        <v>0</v>
      </c>
      <c r="C883" s="4" t="s">
        <v>2256</v>
      </c>
      <c r="D883" s="4" t="s">
        <v>1845</v>
      </c>
      <c r="E883" s="4" t="s">
        <v>2108</v>
      </c>
      <c r="F883" s="4">
        <v>-1</v>
      </c>
      <c r="G883" s="4">
        <v>0</v>
      </c>
      <c r="H883" s="4">
        <v>0</v>
      </c>
      <c r="K883" s="4">
        <v>0</v>
      </c>
      <c r="N883" s="4">
        <v>0</v>
      </c>
      <c r="O883" s="4">
        <v>0</v>
      </c>
      <c r="P883" s="4" t="str">
        <f t="shared" si="13"/>
        <v>SPREAD.SP_F27</v>
      </c>
      <c r="Q883" s="4" t="str">
        <f>VLOOKUP(Cobra8.6[[#This Row],[Table.Column]],ColumnMapping[Old Table.Column],1,)</f>
        <v>SPREAD.SP_F27</v>
      </c>
    </row>
    <row r="884" spans="1:17" hidden="1" x14ac:dyDescent="0.2">
      <c r="A884" s="4" t="s">
        <v>2256</v>
      </c>
      <c r="B884" s="4">
        <v>0</v>
      </c>
      <c r="C884" s="4" t="s">
        <v>2256</v>
      </c>
      <c r="D884" s="4" t="s">
        <v>1847</v>
      </c>
      <c r="E884" s="4" t="s">
        <v>2108</v>
      </c>
      <c r="F884" s="4">
        <v>-1</v>
      </c>
      <c r="G884" s="4">
        <v>0</v>
      </c>
      <c r="H884" s="4">
        <v>0</v>
      </c>
      <c r="K884" s="4">
        <v>0</v>
      </c>
      <c r="N884" s="4">
        <v>0</v>
      </c>
      <c r="O884" s="4">
        <v>0</v>
      </c>
      <c r="P884" s="4" t="str">
        <f t="shared" si="13"/>
        <v>SPREAD.SP_F28</v>
      </c>
      <c r="Q884" s="4" t="str">
        <f>VLOOKUP(Cobra8.6[[#This Row],[Table.Column]],ColumnMapping[Old Table.Column],1,)</f>
        <v>SPREAD.SP_F28</v>
      </c>
    </row>
    <row r="885" spans="1:17" hidden="1" x14ac:dyDescent="0.2">
      <c r="A885" s="4" t="s">
        <v>2256</v>
      </c>
      <c r="B885" s="4">
        <v>0</v>
      </c>
      <c r="C885" s="4" t="s">
        <v>2256</v>
      </c>
      <c r="D885" s="4" t="s">
        <v>1849</v>
      </c>
      <c r="E885" s="4" t="s">
        <v>2108</v>
      </c>
      <c r="F885" s="4">
        <v>-1</v>
      </c>
      <c r="G885" s="4">
        <v>0</v>
      </c>
      <c r="H885" s="4">
        <v>0</v>
      </c>
      <c r="K885" s="4">
        <v>0</v>
      </c>
      <c r="N885" s="4">
        <v>0</v>
      </c>
      <c r="O885" s="4">
        <v>0</v>
      </c>
      <c r="P885" s="4" t="str">
        <f t="shared" si="13"/>
        <v>SPREAD.SP_F29</v>
      </c>
      <c r="Q885" s="4" t="str">
        <f>VLOOKUP(Cobra8.6[[#This Row],[Table.Column]],ColumnMapping[Old Table.Column],1,)</f>
        <v>SPREAD.SP_F29</v>
      </c>
    </row>
    <row r="886" spans="1:17" hidden="1" x14ac:dyDescent="0.2">
      <c r="A886" s="4" t="s">
        <v>2256</v>
      </c>
      <c r="B886" s="4">
        <v>0</v>
      </c>
      <c r="C886" s="4" t="s">
        <v>2256</v>
      </c>
      <c r="D886" s="4" t="s">
        <v>1851</v>
      </c>
      <c r="E886" s="4" t="s">
        <v>2108</v>
      </c>
      <c r="F886" s="4">
        <v>-1</v>
      </c>
      <c r="G886" s="4">
        <v>0</v>
      </c>
      <c r="H886" s="4">
        <v>0</v>
      </c>
      <c r="K886" s="4">
        <v>0</v>
      </c>
      <c r="N886" s="4">
        <v>0</v>
      </c>
      <c r="O886" s="4">
        <v>0</v>
      </c>
      <c r="P886" s="4" t="str">
        <f t="shared" si="13"/>
        <v>SPREAD.SP_F3</v>
      </c>
      <c r="Q886" s="4" t="str">
        <f>VLOOKUP(Cobra8.6[[#This Row],[Table.Column]],ColumnMapping[Old Table.Column],1,)</f>
        <v>SPREAD.SP_F3</v>
      </c>
    </row>
    <row r="887" spans="1:17" hidden="1" x14ac:dyDescent="0.2">
      <c r="A887" s="4" t="s">
        <v>2256</v>
      </c>
      <c r="B887" s="4">
        <v>0</v>
      </c>
      <c r="C887" s="4" t="s">
        <v>2256</v>
      </c>
      <c r="D887" s="4" t="s">
        <v>1853</v>
      </c>
      <c r="E887" s="4" t="s">
        <v>2108</v>
      </c>
      <c r="F887" s="4">
        <v>-1</v>
      </c>
      <c r="G887" s="4">
        <v>0</v>
      </c>
      <c r="H887" s="4">
        <v>0</v>
      </c>
      <c r="K887" s="4">
        <v>0</v>
      </c>
      <c r="N887" s="4">
        <v>0</v>
      </c>
      <c r="O887" s="4">
        <v>0</v>
      </c>
      <c r="P887" s="4" t="str">
        <f t="shared" si="13"/>
        <v>SPREAD.SP_F30</v>
      </c>
      <c r="Q887" s="4" t="str">
        <f>VLOOKUP(Cobra8.6[[#This Row],[Table.Column]],ColumnMapping[Old Table.Column],1,)</f>
        <v>SPREAD.SP_F30</v>
      </c>
    </row>
    <row r="888" spans="1:17" hidden="1" x14ac:dyDescent="0.2">
      <c r="A888" s="4" t="s">
        <v>2256</v>
      </c>
      <c r="B888" s="4">
        <v>0</v>
      </c>
      <c r="C888" s="4" t="s">
        <v>2256</v>
      </c>
      <c r="D888" s="4" t="s">
        <v>1855</v>
      </c>
      <c r="E888" s="4" t="s">
        <v>2108</v>
      </c>
      <c r="F888" s="4">
        <v>-1</v>
      </c>
      <c r="G888" s="4">
        <v>0</v>
      </c>
      <c r="H888" s="4">
        <v>0</v>
      </c>
      <c r="K888" s="4">
        <v>0</v>
      </c>
      <c r="N888" s="4">
        <v>0</v>
      </c>
      <c r="O888" s="4">
        <v>0</v>
      </c>
      <c r="P888" s="4" t="str">
        <f t="shared" si="13"/>
        <v>SPREAD.SP_F31</v>
      </c>
      <c r="Q888" s="4" t="str">
        <f>VLOOKUP(Cobra8.6[[#This Row],[Table.Column]],ColumnMapping[Old Table.Column],1,)</f>
        <v>SPREAD.SP_F31</v>
      </c>
    </row>
    <row r="889" spans="1:17" hidden="1" x14ac:dyDescent="0.2">
      <c r="A889" s="4" t="s">
        <v>2256</v>
      </c>
      <c r="B889" s="4">
        <v>0</v>
      </c>
      <c r="C889" s="4" t="s">
        <v>2256</v>
      </c>
      <c r="D889" s="4" t="s">
        <v>1857</v>
      </c>
      <c r="E889" s="4" t="s">
        <v>2108</v>
      </c>
      <c r="F889" s="4">
        <v>-1</v>
      </c>
      <c r="G889" s="4">
        <v>0</v>
      </c>
      <c r="H889" s="4">
        <v>0</v>
      </c>
      <c r="K889" s="4">
        <v>0</v>
      </c>
      <c r="N889" s="4">
        <v>0</v>
      </c>
      <c r="O889" s="4">
        <v>0</v>
      </c>
      <c r="P889" s="4" t="str">
        <f t="shared" si="13"/>
        <v>SPREAD.SP_F32</v>
      </c>
      <c r="Q889" s="4" t="str">
        <f>VLOOKUP(Cobra8.6[[#This Row],[Table.Column]],ColumnMapping[Old Table.Column],1,)</f>
        <v>SPREAD.SP_F32</v>
      </c>
    </row>
    <row r="890" spans="1:17" hidden="1" x14ac:dyDescent="0.2">
      <c r="A890" s="4" t="s">
        <v>2256</v>
      </c>
      <c r="B890" s="4">
        <v>0</v>
      </c>
      <c r="C890" s="4" t="s">
        <v>2256</v>
      </c>
      <c r="D890" s="4" t="s">
        <v>1859</v>
      </c>
      <c r="E890" s="4" t="s">
        <v>2108</v>
      </c>
      <c r="F890" s="4">
        <v>-1</v>
      </c>
      <c r="G890" s="4">
        <v>0</v>
      </c>
      <c r="H890" s="4">
        <v>0</v>
      </c>
      <c r="K890" s="4">
        <v>0</v>
      </c>
      <c r="N890" s="4">
        <v>0</v>
      </c>
      <c r="O890" s="4">
        <v>0</v>
      </c>
      <c r="P890" s="4" t="str">
        <f t="shared" si="13"/>
        <v>SPREAD.SP_F33</v>
      </c>
      <c r="Q890" s="4" t="str">
        <f>VLOOKUP(Cobra8.6[[#This Row],[Table.Column]],ColumnMapping[Old Table.Column],1,)</f>
        <v>SPREAD.SP_F33</v>
      </c>
    </row>
    <row r="891" spans="1:17" hidden="1" x14ac:dyDescent="0.2">
      <c r="A891" s="4" t="s">
        <v>2256</v>
      </c>
      <c r="B891" s="4">
        <v>0</v>
      </c>
      <c r="C891" s="4" t="s">
        <v>2256</v>
      </c>
      <c r="D891" s="4" t="s">
        <v>1861</v>
      </c>
      <c r="E891" s="4" t="s">
        <v>2108</v>
      </c>
      <c r="F891" s="4">
        <v>-1</v>
      </c>
      <c r="G891" s="4">
        <v>0</v>
      </c>
      <c r="H891" s="4">
        <v>0</v>
      </c>
      <c r="K891" s="4">
        <v>0</v>
      </c>
      <c r="N891" s="4">
        <v>0</v>
      </c>
      <c r="O891" s="4">
        <v>0</v>
      </c>
      <c r="P891" s="4" t="str">
        <f t="shared" si="13"/>
        <v>SPREAD.SP_F34</v>
      </c>
      <c r="Q891" s="4" t="str">
        <f>VLOOKUP(Cobra8.6[[#This Row],[Table.Column]],ColumnMapping[Old Table.Column],1,)</f>
        <v>SPREAD.SP_F34</v>
      </c>
    </row>
    <row r="892" spans="1:17" hidden="1" x14ac:dyDescent="0.2">
      <c r="A892" s="4" t="s">
        <v>2256</v>
      </c>
      <c r="B892" s="4">
        <v>0</v>
      </c>
      <c r="C892" s="4" t="s">
        <v>2256</v>
      </c>
      <c r="D892" s="4" t="s">
        <v>1863</v>
      </c>
      <c r="E892" s="4" t="s">
        <v>2108</v>
      </c>
      <c r="F892" s="4">
        <v>-1</v>
      </c>
      <c r="G892" s="4">
        <v>0</v>
      </c>
      <c r="H892" s="4">
        <v>0</v>
      </c>
      <c r="K892" s="4">
        <v>0</v>
      </c>
      <c r="N892" s="4">
        <v>0</v>
      </c>
      <c r="O892" s="4">
        <v>0</v>
      </c>
      <c r="P892" s="4" t="str">
        <f t="shared" si="13"/>
        <v>SPREAD.SP_F35</v>
      </c>
      <c r="Q892" s="4" t="str">
        <f>VLOOKUP(Cobra8.6[[#This Row],[Table.Column]],ColumnMapping[Old Table.Column],1,)</f>
        <v>SPREAD.SP_F35</v>
      </c>
    </row>
    <row r="893" spans="1:17" hidden="1" x14ac:dyDescent="0.2">
      <c r="A893" s="4" t="s">
        <v>2256</v>
      </c>
      <c r="B893" s="4">
        <v>0</v>
      </c>
      <c r="C893" s="4" t="s">
        <v>2256</v>
      </c>
      <c r="D893" s="4" t="s">
        <v>1865</v>
      </c>
      <c r="E893" s="4" t="s">
        <v>2108</v>
      </c>
      <c r="F893" s="4">
        <v>-1</v>
      </c>
      <c r="G893" s="4">
        <v>0</v>
      </c>
      <c r="H893" s="4">
        <v>0</v>
      </c>
      <c r="K893" s="4">
        <v>0</v>
      </c>
      <c r="N893" s="4">
        <v>0</v>
      </c>
      <c r="O893" s="4">
        <v>0</v>
      </c>
      <c r="P893" s="4" t="str">
        <f t="shared" si="13"/>
        <v>SPREAD.SP_F36</v>
      </c>
      <c r="Q893" s="4" t="str">
        <f>VLOOKUP(Cobra8.6[[#This Row],[Table.Column]],ColumnMapping[Old Table.Column],1,)</f>
        <v>SPREAD.SP_F36</v>
      </c>
    </row>
    <row r="894" spans="1:17" hidden="1" x14ac:dyDescent="0.2">
      <c r="A894" s="4" t="s">
        <v>2256</v>
      </c>
      <c r="B894" s="4">
        <v>0</v>
      </c>
      <c r="C894" s="4" t="s">
        <v>2256</v>
      </c>
      <c r="D894" s="4" t="s">
        <v>1867</v>
      </c>
      <c r="E894" s="4" t="s">
        <v>2108</v>
      </c>
      <c r="F894" s="4">
        <v>-1</v>
      </c>
      <c r="G894" s="4">
        <v>0</v>
      </c>
      <c r="H894" s="4">
        <v>0</v>
      </c>
      <c r="K894" s="4">
        <v>0</v>
      </c>
      <c r="N894" s="4">
        <v>0</v>
      </c>
      <c r="O894" s="4">
        <v>0</v>
      </c>
      <c r="P894" s="4" t="str">
        <f t="shared" si="13"/>
        <v>SPREAD.SP_F37</v>
      </c>
      <c r="Q894" s="4" t="str">
        <f>VLOOKUP(Cobra8.6[[#This Row],[Table.Column]],ColumnMapping[Old Table.Column],1,)</f>
        <v>SPREAD.SP_F37</v>
      </c>
    </row>
    <row r="895" spans="1:17" hidden="1" x14ac:dyDescent="0.2">
      <c r="A895" s="4" t="s">
        <v>2256</v>
      </c>
      <c r="B895" s="4">
        <v>0</v>
      </c>
      <c r="C895" s="4" t="s">
        <v>2256</v>
      </c>
      <c r="D895" s="4" t="s">
        <v>1869</v>
      </c>
      <c r="E895" s="4" t="s">
        <v>2108</v>
      </c>
      <c r="F895" s="4">
        <v>-1</v>
      </c>
      <c r="G895" s="4">
        <v>0</v>
      </c>
      <c r="H895" s="4">
        <v>0</v>
      </c>
      <c r="K895" s="4">
        <v>0</v>
      </c>
      <c r="N895" s="4">
        <v>0</v>
      </c>
      <c r="O895" s="4">
        <v>0</v>
      </c>
      <c r="P895" s="4" t="str">
        <f t="shared" si="13"/>
        <v>SPREAD.SP_F38</v>
      </c>
      <c r="Q895" s="4" t="str">
        <f>VLOOKUP(Cobra8.6[[#This Row],[Table.Column]],ColumnMapping[Old Table.Column],1,)</f>
        <v>SPREAD.SP_F38</v>
      </c>
    </row>
    <row r="896" spans="1:17" hidden="1" x14ac:dyDescent="0.2">
      <c r="A896" s="4" t="s">
        <v>2256</v>
      </c>
      <c r="B896" s="4">
        <v>0</v>
      </c>
      <c r="C896" s="4" t="s">
        <v>2256</v>
      </c>
      <c r="D896" s="4" t="s">
        <v>1871</v>
      </c>
      <c r="E896" s="4" t="s">
        <v>2108</v>
      </c>
      <c r="F896" s="4">
        <v>-1</v>
      </c>
      <c r="G896" s="4">
        <v>0</v>
      </c>
      <c r="H896" s="4">
        <v>0</v>
      </c>
      <c r="K896" s="4">
        <v>0</v>
      </c>
      <c r="N896" s="4">
        <v>0</v>
      </c>
      <c r="O896" s="4">
        <v>0</v>
      </c>
      <c r="P896" s="4" t="str">
        <f t="shared" si="13"/>
        <v>SPREAD.SP_F39</v>
      </c>
      <c r="Q896" s="4" t="str">
        <f>VLOOKUP(Cobra8.6[[#This Row],[Table.Column]],ColumnMapping[Old Table.Column],1,)</f>
        <v>SPREAD.SP_F39</v>
      </c>
    </row>
    <row r="897" spans="1:17" hidden="1" x14ac:dyDescent="0.2">
      <c r="A897" s="4" t="s">
        <v>2256</v>
      </c>
      <c r="B897" s="4">
        <v>0</v>
      </c>
      <c r="C897" s="4" t="s">
        <v>2256</v>
      </c>
      <c r="D897" s="4" t="s">
        <v>1873</v>
      </c>
      <c r="E897" s="4" t="s">
        <v>2108</v>
      </c>
      <c r="F897" s="4">
        <v>-1</v>
      </c>
      <c r="G897" s="4">
        <v>0</v>
      </c>
      <c r="H897" s="4">
        <v>0</v>
      </c>
      <c r="K897" s="4">
        <v>0</v>
      </c>
      <c r="N897" s="4">
        <v>0</v>
      </c>
      <c r="O897" s="4">
        <v>0</v>
      </c>
      <c r="P897" s="4" t="str">
        <f t="shared" si="13"/>
        <v>SPREAD.SP_F4</v>
      </c>
      <c r="Q897" s="4" t="str">
        <f>VLOOKUP(Cobra8.6[[#This Row],[Table.Column]],ColumnMapping[Old Table.Column],1,)</f>
        <v>SPREAD.SP_F4</v>
      </c>
    </row>
    <row r="898" spans="1:17" hidden="1" x14ac:dyDescent="0.2">
      <c r="A898" s="4" t="s">
        <v>2256</v>
      </c>
      <c r="B898" s="4">
        <v>0</v>
      </c>
      <c r="C898" s="4" t="s">
        <v>2256</v>
      </c>
      <c r="D898" s="4" t="s">
        <v>1875</v>
      </c>
      <c r="E898" s="4" t="s">
        <v>2108</v>
      </c>
      <c r="F898" s="4">
        <v>-1</v>
      </c>
      <c r="G898" s="4">
        <v>0</v>
      </c>
      <c r="H898" s="4">
        <v>0</v>
      </c>
      <c r="K898" s="4">
        <v>0</v>
      </c>
      <c r="N898" s="4">
        <v>0</v>
      </c>
      <c r="O898" s="4">
        <v>0</v>
      </c>
      <c r="P898" s="4" t="str">
        <f t="shared" ref="P898:P961" si="14">_xlfn.CONCAT(A898,".",D898)</f>
        <v>SPREAD.SP_F40</v>
      </c>
      <c r="Q898" s="4" t="str">
        <f>VLOOKUP(Cobra8.6[[#This Row],[Table.Column]],ColumnMapping[Old Table.Column],1,)</f>
        <v>SPREAD.SP_F40</v>
      </c>
    </row>
    <row r="899" spans="1:17" hidden="1" x14ac:dyDescent="0.2">
      <c r="A899" s="4" t="s">
        <v>2256</v>
      </c>
      <c r="B899" s="4">
        <v>0</v>
      </c>
      <c r="C899" s="4" t="s">
        <v>2256</v>
      </c>
      <c r="D899" s="4" t="s">
        <v>1877</v>
      </c>
      <c r="E899" s="4" t="s">
        <v>2108</v>
      </c>
      <c r="F899" s="4">
        <v>-1</v>
      </c>
      <c r="G899" s="4">
        <v>0</v>
      </c>
      <c r="H899" s="4">
        <v>0</v>
      </c>
      <c r="K899" s="4">
        <v>0</v>
      </c>
      <c r="N899" s="4">
        <v>0</v>
      </c>
      <c r="O899" s="4">
        <v>0</v>
      </c>
      <c r="P899" s="4" t="str">
        <f t="shared" si="14"/>
        <v>SPREAD.SP_F41</v>
      </c>
      <c r="Q899" s="4" t="str">
        <f>VLOOKUP(Cobra8.6[[#This Row],[Table.Column]],ColumnMapping[Old Table.Column],1,)</f>
        <v>SPREAD.SP_F41</v>
      </c>
    </row>
    <row r="900" spans="1:17" hidden="1" x14ac:dyDescent="0.2">
      <c r="A900" s="4" t="s">
        <v>2256</v>
      </c>
      <c r="B900" s="4">
        <v>0</v>
      </c>
      <c r="C900" s="4" t="s">
        <v>2256</v>
      </c>
      <c r="D900" s="4" t="s">
        <v>1879</v>
      </c>
      <c r="E900" s="4" t="s">
        <v>2108</v>
      </c>
      <c r="F900" s="4">
        <v>-1</v>
      </c>
      <c r="G900" s="4">
        <v>0</v>
      </c>
      <c r="H900" s="4">
        <v>0</v>
      </c>
      <c r="K900" s="4">
        <v>0</v>
      </c>
      <c r="N900" s="4">
        <v>0</v>
      </c>
      <c r="O900" s="4">
        <v>0</v>
      </c>
      <c r="P900" s="4" t="str">
        <f t="shared" si="14"/>
        <v>SPREAD.SP_F42</v>
      </c>
      <c r="Q900" s="4" t="str">
        <f>VLOOKUP(Cobra8.6[[#This Row],[Table.Column]],ColumnMapping[Old Table.Column],1,)</f>
        <v>SPREAD.SP_F42</v>
      </c>
    </row>
    <row r="901" spans="1:17" hidden="1" x14ac:dyDescent="0.2">
      <c r="A901" s="4" t="s">
        <v>2256</v>
      </c>
      <c r="B901" s="4">
        <v>0</v>
      </c>
      <c r="C901" s="4" t="s">
        <v>2256</v>
      </c>
      <c r="D901" s="4" t="s">
        <v>1881</v>
      </c>
      <c r="E901" s="4" t="s">
        <v>2108</v>
      </c>
      <c r="F901" s="4">
        <v>-1</v>
      </c>
      <c r="G901" s="4">
        <v>0</v>
      </c>
      <c r="H901" s="4">
        <v>0</v>
      </c>
      <c r="K901" s="4">
        <v>0</v>
      </c>
      <c r="N901" s="4">
        <v>0</v>
      </c>
      <c r="O901" s="4">
        <v>0</v>
      </c>
      <c r="P901" s="4" t="str">
        <f t="shared" si="14"/>
        <v>SPREAD.SP_F43</v>
      </c>
      <c r="Q901" s="4" t="str">
        <f>VLOOKUP(Cobra8.6[[#This Row],[Table.Column]],ColumnMapping[Old Table.Column],1,)</f>
        <v>SPREAD.SP_F43</v>
      </c>
    </row>
    <row r="902" spans="1:17" hidden="1" x14ac:dyDescent="0.2">
      <c r="A902" s="4" t="s">
        <v>2256</v>
      </c>
      <c r="B902" s="4">
        <v>0</v>
      </c>
      <c r="C902" s="4" t="s">
        <v>2256</v>
      </c>
      <c r="D902" s="4" t="s">
        <v>1883</v>
      </c>
      <c r="E902" s="4" t="s">
        <v>2108</v>
      </c>
      <c r="F902" s="4">
        <v>-1</v>
      </c>
      <c r="G902" s="4">
        <v>0</v>
      </c>
      <c r="H902" s="4">
        <v>0</v>
      </c>
      <c r="K902" s="4">
        <v>0</v>
      </c>
      <c r="N902" s="4">
        <v>0</v>
      </c>
      <c r="O902" s="4">
        <v>0</v>
      </c>
      <c r="P902" s="4" t="str">
        <f t="shared" si="14"/>
        <v>SPREAD.SP_F44</v>
      </c>
      <c r="Q902" s="4" t="str">
        <f>VLOOKUP(Cobra8.6[[#This Row],[Table.Column]],ColumnMapping[Old Table.Column],1,)</f>
        <v>SPREAD.SP_F44</v>
      </c>
    </row>
    <row r="903" spans="1:17" hidden="1" x14ac:dyDescent="0.2">
      <c r="A903" s="4" t="s">
        <v>2256</v>
      </c>
      <c r="B903" s="4">
        <v>0</v>
      </c>
      <c r="C903" s="4" t="s">
        <v>2256</v>
      </c>
      <c r="D903" s="4" t="s">
        <v>1885</v>
      </c>
      <c r="E903" s="4" t="s">
        <v>2108</v>
      </c>
      <c r="F903" s="4">
        <v>-1</v>
      </c>
      <c r="G903" s="4">
        <v>0</v>
      </c>
      <c r="H903" s="4">
        <v>0</v>
      </c>
      <c r="K903" s="4">
        <v>0</v>
      </c>
      <c r="N903" s="4">
        <v>0</v>
      </c>
      <c r="O903" s="4">
        <v>0</v>
      </c>
      <c r="P903" s="4" t="str">
        <f t="shared" si="14"/>
        <v>SPREAD.SP_F45</v>
      </c>
      <c r="Q903" s="4" t="str">
        <f>VLOOKUP(Cobra8.6[[#This Row],[Table.Column]],ColumnMapping[Old Table.Column],1,)</f>
        <v>SPREAD.SP_F45</v>
      </c>
    </row>
    <row r="904" spans="1:17" hidden="1" x14ac:dyDescent="0.2">
      <c r="A904" s="4" t="s">
        <v>2256</v>
      </c>
      <c r="B904" s="4">
        <v>0</v>
      </c>
      <c r="C904" s="4" t="s">
        <v>2256</v>
      </c>
      <c r="D904" s="4" t="s">
        <v>1887</v>
      </c>
      <c r="E904" s="4" t="s">
        <v>2108</v>
      </c>
      <c r="F904" s="4">
        <v>-1</v>
      </c>
      <c r="G904" s="4">
        <v>0</v>
      </c>
      <c r="H904" s="4">
        <v>0</v>
      </c>
      <c r="K904" s="4">
        <v>0</v>
      </c>
      <c r="N904" s="4">
        <v>0</v>
      </c>
      <c r="O904" s="4">
        <v>0</v>
      </c>
      <c r="P904" s="4" t="str">
        <f t="shared" si="14"/>
        <v>SPREAD.SP_F46</v>
      </c>
      <c r="Q904" s="4" t="str">
        <f>VLOOKUP(Cobra8.6[[#This Row],[Table.Column]],ColumnMapping[Old Table.Column],1,)</f>
        <v>SPREAD.SP_F46</v>
      </c>
    </row>
    <row r="905" spans="1:17" hidden="1" x14ac:dyDescent="0.2">
      <c r="A905" s="4" t="s">
        <v>2256</v>
      </c>
      <c r="B905" s="4">
        <v>0</v>
      </c>
      <c r="C905" s="4" t="s">
        <v>2256</v>
      </c>
      <c r="D905" s="4" t="s">
        <v>1889</v>
      </c>
      <c r="E905" s="4" t="s">
        <v>2108</v>
      </c>
      <c r="F905" s="4">
        <v>-1</v>
      </c>
      <c r="G905" s="4">
        <v>0</v>
      </c>
      <c r="H905" s="4">
        <v>0</v>
      </c>
      <c r="K905" s="4">
        <v>0</v>
      </c>
      <c r="N905" s="4">
        <v>0</v>
      </c>
      <c r="O905" s="4">
        <v>0</v>
      </c>
      <c r="P905" s="4" t="str">
        <f t="shared" si="14"/>
        <v>SPREAD.SP_F47</v>
      </c>
      <c r="Q905" s="4" t="str">
        <f>VLOOKUP(Cobra8.6[[#This Row],[Table.Column]],ColumnMapping[Old Table.Column],1,)</f>
        <v>SPREAD.SP_F47</v>
      </c>
    </row>
    <row r="906" spans="1:17" hidden="1" x14ac:dyDescent="0.2">
      <c r="A906" s="4" t="s">
        <v>2256</v>
      </c>
      <c r="B906" s="4">
        <v>0</v>
      </c>
      <c r="C906" s="4" t="s">
        <v>2256</v>
      </c>
      <c r="D906" s="4" t="s">
        <v>1891</v>
      </c>
      <c r="E906" s="4" t="s">
        <v>2108</v>
      </c>
      <c r="F906" s="4">
        <v>-1</v>
      </c>
      <c r="G906" s="4">
        <v>0</v>
      </c>
      <c r="H906" s="4">
        <v>0</v>
      </c>
      <c r="K906" s="4">
        <v>0</v>
      </c>
      <c r="N906" s="4">
        <v>0</v>
      </c>
      <c r="O906" s="4">
        <v>0</v>
      </c>
      <c r="P906" s="4" t="str">
        <f t="shared" si="14"/>
        <v>SPREAD.SP_F48</v>
      </c>
      <c r="Q906" s="4" t="str">
        <f>VLOOKUP(Cobra8.6[[#This Row],[Table.Column]],ColumnMapping[Old Table.Column],1,)</f>
        <v>SPREAD.SP_F48</v>
      </c>
    </row>
    <row r="907" spans="1:17" hidden="1" x14ac:dyDescent="0.2">
      <c r="A907" s="4" t="s">
        <v>2256</v>
      </c>
      <c r="B907" s="4">
        <v>0</v>
      </c>
      <c r="C907" s="4" t="s">
        <v>2256</v>
      </c>
      <c r="D907" s="4" t="s">
        <v>1893</v>
      </c>
      <c r="E907" s="4" t="s">
        <v>2108</v>
      </c>
      <c r="F907" s="4">
        <v>-1</v>
      </c>
      <c r="G907" s="4">
        <v>0</v>
      </c>
      <c r="H907" s="4">
        <v>0</v>
      </c>
      <c r="K907" s="4">
        <v>0</v>
      </c>
      <c r="N907" s="4">
        <v>0</v>
      </c>
      <c r="O907" s="4">
        <v>0</v>
      </c>
      <c r="P907" s="4" t="str">
        <f t="shared" si="14"/>
        <v>SPREAD.SP_F49</v>
      </c>
      <c r="Q907" s="4" t="str">
        <f>VLOOKUP(Cobra8.6[[#This Row],[Table.Column]],ColumnMapping[Old Table.Column],1,)</f>
        <v>SPREAD.SP_F49</v>
      </c>
    </row>
    <row r="908" spans="1:17" hidden="1" x14ac:dyDescent="0.2">
      <c r="A908" s="4" t="s">
        <v>2256</v>
      </c>
      <c r="B908" s="4">
        <v>0</v>
      </c>
      <c r="C908" s="4" t="s">
        <v>2256</v>
      </c>
      <c r="D908" s="4" t="s">
        <v>1895</v>
      </c>
      <c r="E908" s="4" t="s">
        <v>2108</v>
      </c>
      <c r="F908" s="4">
        <v>-1</v>
      </c>
      <c r="G908" s="4">
        <v>0</v>
      </c>
      <c r="H908" s="4">
        <v>0</v>
      </c>
      <c r="K908" s="4">
        <v>0</v>
      </c>
      <c r="N908" s="4">
        <v>0</v>
      </c>
      <c r="O908" s="4">
        <v>0</v>
      </c>
      <c r="P908" s="4" t="str">
        <f t="shared" si="14"/>
        <v>SPREAD.SP_F5</v>
      </c>
      <c r="Q908" s="4" t="str">
        <f>VLOOKUP(Cobra8.6[[#This Row],[Table.Column]],ColumnMapping[Old Table.Column],1,)</f>
        <v>SPREAD.SP_F5</v>
      </c>
    </row>
    <row r="909" spans="1:17" hidden="1" x14ac:dyDescent="0.2">
      <c r="A909" s="4" t="s">
        <v>2256</v>
      </c>
      <c r="B909" s="4">
        <v>0</v>
      </c>
      <c r="C909" s="4" t="s">
        <v>2256</v>
      </c>
      <c r="D909" s="4" t="s">
        <v>1897</v>
      </c>
      <c r="E909" s="4" t="s">
        <v>2108</v>
      </c>
      <c r="F909" s="4">
        <v>-1</v>
      </c>
      <c r="G909" s="4">
        <v>0</v>
      </c>
      <c r="H909" s="4">
        <v>0</v>
      </c>
      <c r="K909" s="4">
        <v>0</v>
      </c>
      <c r="N909" s="4">
        <v>0</v>
      </c>
      <c r="O909" s="4">
        <v>0</v>
      </c>
      <c r="P909" s="4" t="str">
        <f t="shared" si="14"/>
        <v>SPREAD.SP_F50</v>
      </c>
      <c r="Q909" s="4" t="str">
        <f>VLOOKUP(Cobra8.6[[#This Row],[Table.Column]],ColumnMapping[Old Table.Column],1,)</f>
        <v>SPREAD.SP_F50</v>
      </c>
    </row>
    <row r="910" spans="1:17" hidden="1" x14ac:dyDescent="0.2">
      <c r="A910" s="4" t="s">
        <v>2256</v>
      </c>
      <c r="B910" s="4">
        <v>0</v>
      </c>
      <c r="C910" s="4" t="s">
        <v>2256</v>
      </c>
      <c r="D910" s="4" t="s">
        <v>1899</v>
      </c>
      <c r="E910" s="4" t="s">
        <v>2108</v>
      </c>
      <c r="F910" s="4">
        <v>-1</v>
      </c>
      <c r="G910" s="4">
        <v>0</v>
      </c>
      <c r="H910" s="4">
        <v>0</v>
      </c>
      <c r="K910" s="4">
        <v>0</v>
      </c>
      <c r="N910" s="4">
        <v>0</v>
      </c>
      <c r="O910" s="4">
        <v>0</v>
      </c>
      <c r="P910" s="4" t="str">
        <f t="shared" si="14"/>
        <v>SPREAD.SP_F51</v>
      </c>
      <c r="Q910" s="4" t="str">
        <f>VLOOKUP(Cobra8.6[[#This Row],[Table.Column]],ColumnMapping[Old Table.Column],1,)</f>
        <v>SPREAD.SP_F51</v>
      </c>
    </row>
    <row r="911" spans="1:17" hidden="1" x14ac:dyDescent="0.2">
      <c r="A911" s="4" t="s">
        <v>2256</v>
      </c>
      <c r="B911" s="4">
        <v>0</v>
      </c>
      <c r="C911" s="4" t="s">
        <v>2256</v>
      </c>
      <c r="D911" s="4" t="s">
        <v>1901</v>
      </c>
      <c r="E911" s="4" t="s">
        <v>2108</v>
      </c>
      <c r="F911" s="4">
        <v>-1</v>
      </c>
      <c r="G911" s="4">
        <v>0</v>
      </c>
      <c r="H911" s="4">
        <v>0</v>
      </c>
      <c r="K911" s="4">
        <v>0</v>
      </c>
      <c r="N911" s="4">
        <v>0</v>
      </c>
      <c r="O911" s="4">
        <v>0</v>
      </c>
      <c r="P911" s="4" t="str">
        <f t="shared" si="14"/>
        <v>SPREAD.SP_F52</v>
      </c>
      <c r="Q911" s="4" t="str">
        <f>VLOOKUP(Cobra8.6[[#This Row],[Table.Column]],ColumnMapping[Old Table.Column],1,)</f>
        <v>SPREAD.SP_F52</v>
      </c>
    </row>
    <row r="912" spans="1:17" hidden="1" x14ac:dyDescent="0.2">
      <c r="A912" s="4" t="s">
        <v>2256</v>
      </c>
      <c r="B912" s="4">
        <v>0</v>
      </c>
      <c r="C912" s="4" t="s">
        <v>2256</v>
      </c>
      <c r="D912" s="4" t="s">
        <v>1903</v>
      </c>
      <c r="E912" s="4" t="s">
        <v>2108</v>
      </c>
      <c r="F912" s="4">
        <v>-1</v>
      </c>
      <c r="G912" s="4">
        <v>0</v>
      </c>
      <c r="H912" s="4">
        <v>0</v>
      </c>
      <c r="K912" s="4">
        <v>0</v>
      </c>
      <c r="N912" s="4">
        <v>0</v>
      </c>
      <c r="O912" s="4">
        <v>0</v>
      </c>
      <c r="P912" s="4" t="str">
        <f t="shared" si="14"/>
        <v>SPREAD.SP_F6</v>
      </c>
      <c r="Q912" s="4" t="str">
        <f>VLOOKUP(Cobra8.6[[#This Row],[Table.Column]],ColumnMapping[Old Table.Column],1,)</f>
        <v>SPREAD.SP_F6</v>
      </c>
    </row>
    <row r="913" spans="1:17" hidden="1" x14ac:dyDescent="0.2">
      <c r="A913" s="4" t="s">
        <v>2256</v>
      </c>
      <c r="B913" s="4">
        <v>0</v>
      </c>
      <c r="C913" s="4" t="s">
        <v>2256</v>
      </c>
      <c r="D913" s="4" t="s">
        <v>1905</v>
      </c>
      <c r="E913" s="4" t="s">
        <v>2108</v>
      </c>
      <c r="F913" s="4">
        <v>-1</v>
      </c>
      <c r="G913" s="4">
        <v>0</v>
      </c>
      <c r="H913" s="4">
        <v>0</v>
      </c>
      <c r="K913" s="4">
        <v>0</v>
      </c>
      <c r="N913" s="4">
        <v>0</v>
      </c>
      <c r="O913" s="4">
        <v>0</v>
      </c>
      <c r="P913" s="4" t="str">
        <f t="shared" si="14"/>
        <v>SPREAD.SP_F7</v>
      </c>
      <c r="Q913" s="4" t="str">
        <f>VLOOKUP(Cobra8.6[[#This Row],[Table.Column]],ColumnMapping[Old Table.Column],1,)</f>
        <v>SPREAD.SP_F7</v>
      </c>
    </row>
    <row r="914" spans="1:17" hidden="1" x14ac:dyDescent="0.2">
      <c r="A914" s="4" t="s">
        <v>2256</v>
      </c>
      <c r="B914" s="4">
        <v>0</v>
      </c>
      <c r="C914" s="4" t="s">
        <v>2256</v>
      </c>
      <c r="D914" s="4" t="s">
        <v>1907</v>
      </c>
      <c r="E914" s="4" t="s">
        <v>2108</v>
      </c>
      <c r="F914" s="4">
        <v>-1</v>
      </c>
      <c r="G914" s="4">
        <v>0</v>
      </c>
      <c r="H914" s="4">
        <v>0</v>
      </c>
      <c r="K914" s="4">
        <v>0</v>
      </c>
      <c r="N914" s="4">
        <v>0</v>
      </c>
      <c r="O914" s="4">
        <v>0</v>
      </c>
      <c r="P914" s="4" t="str">
        <f t="shared" si="14"/>
        <v>SPREAD.SP_F8</v>
      </c>
      <c r="Q914" s="4" t="str">
        <f>VLOOKUP(Cobra8.6[[#This Row],[Table.Column]],ColumnMapping[Old Table.Column],1,)</f>
        <v>SPREAD.SP_F8</v>
      </c>
    </row>
    <row r="915" spans="1:17" hidden="1" x14ac:dyDescent="0.2">
      <c r="A915" s="4" t="s">
        <v>2256</v>
      </c>
      <c r="B915" s="4">
        <v>0</v>
      </c>
      <c r="C915" s="4" t="s">
        <v>2256</v>
      </c>
      <c r="D915" s="4" t="s">
        <v>1909</v>
      </c>
      <c r="E915" s="4" t="s">
        <v>2108</v>
      </c>
      <c r="F915" s="4">
        <v>-1</v>
      </c>
      <c r="G915" s="4">
        <v>0</v>
      </c>
      <c r="H915" s="4">
        <v>0</v>
      </c>
      <c r="K915" s="4">
        <v>0</v>
      </c>
      <c r="N915" s="4">
        <v>0</v>
      </c>
      <c r="O915" s="4">
        <v>0</v>
      </c>
      <c r="P915" s="4" t="str">
        <f t="shared" si="14"/>
        <v>SPREAD.SP_F9</v>
      </c>
      <c r="Q915" s="4" t="str">
        <f>VLOOKUP(Cobra8.6[[#This Row],[Table.Column]],ColumnMapping[Old Table.Column],1,)</f>
        <v>SPREAD.SP_F9</v>
      </c>
    </row>
    <row r="916" spans="1:17" hidden="1" x14ac:dyDescent="0.2">
      <c r="A916" s="4" t="s">
        <v>2256</v>
      </c>
      <c r="B916" s="4">
        <v>0</v>
      </c>
      <c r="C916" s="4" t="s">
        <v>2256</v>
      </c>
      <c r="D916" s="4" t="s">
        <v>1102</v>
      </c>
      <c r="E916" s="4" t="s">
        <v>86</v>
      </c>
      <c r="F916" s="4">
        <v>16</v>
      </c>
      <c r="G916" s="4">
        <v>0</v>
      </c>
      <c r="H916" s="4">
        <v>0</v>
      </c>
      <c r="K916" s="4">
        <v>0</v>
      </c>
      <c r="N916" s="4">
        <v>0</v>
      </c>
      <c r="O916" s="4">
        <v>0</v>
      </c>
      <c r="P916" s="4" t="str">
        <f t="shared" si="14"/>
        <v>SPREAD.SPREADNAME</v>
      </c>
      <c r="Q916" s="4" t="str">
        <f>VLOOKUP(Cobra8.6[[#This Row],[Table.Column]],ColumnMapping[Old Table.Column],1,)</f>
        <v>SPREAD.SPREADNAME</v>
      </c>
    </row>
    <row r="917" spans="1:17" hidden="1" x14ac:dyDescent="0.2">
      <c r="A917" s="4" t="s">
        <v>2256</v>
      </c>
      <c r="B917" s="4">
        <v>0</v>
      </c>
      <c r="C917" s="4" t="s">
        <v>2256</v>
      </c>
      <c r="D917" s="4" t="s">
        <v>1911</v>
      </c>
      <c r="E917" s="4" t="s">
        <v>2108</v>
      </c>
      <c r="F917" s="4">
        <v>-1</v>
      </c>
      <c r="G917" s="4">
        <v>0</v>
      </c>
      <c r="H917" s="4">
        <v>0</v>
      </c>
      <c r="K917" s="4">
        <v>0</v>
      </c>
      <c r="N917" s="4">
        <v>0</v>
      </c>
      <c r="O917" s="4">
        <v>0</v>
      </c>
      <c r="P917" s="4" t="str">
        <f t="shared" si="14"/>
        <v>SPREAD.SPREADORD</v>
      </c>
      <c r="Q917" s="4" t="str">
        <f>VLOOKUP(Cobra8.6[[#This Row],[Table.Column]],ColumnMapping[Old Table.Column],1,)</f>
        <v>SPREAD.SPREADORD</v>
      </c>
    </row>
    <row r="918" spans="1:17" hidden="1" x14ac:dyDescent="0.2">
      <c r="A918" s="4" t="s">
        <v>1985</v>
      </c>
      <c r="B918" s="4">
        <v>0</v>
      </c>
      <c r="C918" s="4" t="s">
        <v>1985</v>
      </c>
      <c r="D918" s="4" t="s">
        <v>1009</v>
      </c>
      <c r="E918" s="4" t="s">
        <v>2108</v>
      </c>
      <c r="F918" s="4">
        <v>-1</v>
      </c>
      <c r="G918" s="4">
        <v>0</v>
      </c>
      <c r="H918" s="4">
        <v>0</v>
      </c>
      <c r="K918" s="4">
        <v>0</v>
      </c>
      <c r="N918" s="4">
        <v>0</v>
      </c>
      <c r="O918" s="4">
        <v>0</v>
      </c>
      <c r="P918" s="4" t="str">
        <f t="shared" si="14"/>
        <v>TEMP_CAWPID.CAWPID</v>
      </c>
      <c r="Q918" s="4" t="str">
        <f>VLOOKUP(Cobra8.6[[#This Row],[Table.Column]],ColumnMapping[Old Table.Column],1,)</f>
        <v>TEMP_CAWPID.CAWPID</v>
      </c>
    </row>
    <row r="919" spans="1:17" hidden="1" x14ac:dyDescent="0.2">
      <c r="A919" s="4" t="s">
        <v>1985</v>
      </c>
      <c r="B919" s="4">
        <v>0</v>
      </c>
      <c r="C919" s="4" t="s">
        <v>1985</v>
      </c>
      <c r="D919" s="4" t="s">
        <v>1943</v>
      </c>
      <c r="E919" s="4" t="s">
        <v>86</v>
      </c>
      <c r="F919" s="4">
        <v>22</v>
      </c>
      <c r="G919" s="4">
        <v>0</v>
      </c>
      <c r="H919" s="4">
        <v>0</v>
      </c>
      <c r="K919" s="4">
        <v>0</v>
      </c>
      <c r="N919" s="4">
        <v>0</v>
      </c>
      <c r="O919" s="4">
        <v>0</v>
      </c>
      <c r="P919" s="4" t="str">
        <f t="shared" si="14"/>
        <v>TEMP_CAWPID.INSTANCE</v>
      </c>
      <c r="Q919" s="4" t="str">
        <f>VLOOKUP(Cobra8.6[[#This Row],[Table.Column]],ColumnMapping[Old Table.Column],1,)</f>
        <v>TEMP_CAWPID.INSTANCE</v>
      </c>
    </row>
    <row r="920" spans="1:17" hidden="1" x14ac:dyDescent="0.2">
      <c r="A920" s="4" t="s">
        <v>1985</v>
      </c>
      <c r="B920" s="4">
        <v>0</v>
      </c>
      <c r="C920" s="4" t="s">
        <v>1985</v>
      </c>
      <c r="D920" s="4" t="s">
        <v>744</v>
      </c>
      <c r="E920" s="4" t="s">
        <v>86</v>
      </c>
      <c r="F920" s="4">
        <v>22</v>
      </c>
      <c r="G920" s="4">
        <v>0</v>
      </c>
      <c r="H920" s="4">
        <v>0</v>
      </c>
      <c r="K920" s="4">
        <v>0</v>
      </c>
      <c r="N920" s="4">
        <v>0</v>
      </c>
      <c r="O920" s="4">
        <v>0</v>
      </c>
      <c r="P920" s="4" t="str">
        <f t="shared" si="14"/>
        <v>TEMP_CAWPID.PROGRAM</v>
      </c>
      <c r="Q920" s="4" t="str">
        <f>VLOOKUP(Cobra8.6[[#This Row],[Table.Column]],ColumnMapping[Old Table.Column],1,)</f>
        <v>TEMP_CAWPID.PROGRAM</v>
      </c>
    </row>
    <row r="921" spans="1:17" hidden="1" x14ac:dyDescent="0.2">
      <c r="A921" s="4" t="s">
        <v>1985</v>
      </c>
      <c r="B921" s="4">
        <v>0</v>
      </c>
      <c r="C921" s="4" t="s">
        <v>1985</v>
      </c>
      <c r="D921" s="4" t="s">
        <v>65</v>
      </c>
      <c r="E921" s="4" t="s">
        <v>356</v>
      </c>
      <c r="F921" s="4">
        <v>-1</v>
      </c>
      <c r="G921" s="4">
        <v>0</v>
      </c>
      <c r="H921" s="4">
        <v>0</v>
      </c>
      <c r="K921" s="4">
        <v>0</v>
      </c>
      <c r="N921" s="4">
        <v>0</v>
      </c>
      <c r="O921" s="4">
        <v>0</v>
      </c>
      <c r="P921" s="4" t="str">
        <f t="shared" si="14"/>
        <v>TEMP_CAWPID.TIMESTAMP</v>
      </c>
      <c r="Q921" s="4" t="e">
        <f>VLOOKUP(Cobra8.6[[#This Row],[Table.Column]],ColumnMapping[Old Table.Column],1,)</f>
        <v>#N/A</v>
      </c>
    </row>
    <row r="922" spans="1:17" hidden="1" x14ac:dyDescent="0.2">
      <c r="A922" s="4" t="s">
        <v>1988</v>
      </c>
      <c r="B922" s="4">
        <v>0</v>
      </c>
      <c r="C922" s="4" t="s">
        <v>1988</v>
      </c>
      <c r="D922" s="4" t="s">
        <v>1989</v>
      </c>
      <c r="E922" s="4" t="s">
        <v>86</v>
      </c>
      <c r="F922" s="4">
        <v>255</v>
      </c>
      <c r="G922" s="4">
        <v>0</v>
      </c>
      <c r="H922" s="4">
        <v>0</v>
      </c>
      <c r="K922" s="4">
        <v>0</v>
      </c>
      <c r="N922" s="4">
        <v>0</v>
      </c>
      <c r="O922" s="4">
        <v>0</v>
      </c>
      <c r="P922" s="4" t="str">
        <f t="shared" si="14"/>
        <v>TEMP_CHAR.CHAR_VAL</v>
      </c>
      <c r="Q922" s="4" t="str">
        <f>VLOOKUP(Cobra8.6[[#This Row],[Table.Column]],ColumnMapping[Old Table.Column],1,)</f>
        <v>TEMP_CHAR.CHAR_VAL</v>
      </c>
    </row>
    <row r="923" spans="1:17" hidden="1" x14ac:dyDescent="0.2">
      <c r="A923" s="4" t="s">
        <v>1988</v>
      </c>
      <c r="B923" s="4">
        <v>0</v>
      </c>
      <c r="C923" s="4" t="s">
        <v>1988</v>
      </c>
      <c r="D923" s="4" t="s">
        <v>1943</v>
      </c>
      <c r="E923" s="4" t="s">
        <v>86</v>
      </c>
      <c r="F923" s="4">
        <v>22</v>
      </c>
      <c r="G923" s="4">
        <v>0</v>
      </c>
      <c r="H923" s="4">
        <v>0</v>
      </c>
      <c r="K923" s="4">
        <v>0</v>
      </c>
      <c r="N923" s="4">
        <v>0</v>
      </c>
      <c r="O923" s="4">
        <v>0</v>
      </c>
      <c r="P923" s="4" t="str">
        <f t="shared" si="14"/>
        <v>TEMP_CHAR.INSTANCE</v>
      </c>
      <c r="Q923" s="4" t="str">
        <f>VLOOKUP(Cobra8.6[[#This Row],[Table.Column]],ColumnMapping[Old Table.Column],1,)</f>
        <v>TEMP_CHAR.INSTANCE</v>
      </c>
    </row>
    <row r="924" spans="1:17" hidden="1" x14ac:dyDescent="0.2">
      <c r="A924" s="4" t="s">
        <v>1988</v>
      </c>
      <c r="B924" s="4">
        <v>0</v>
      </c>
      <c r="C924" s="4" t="s">
        <v>1988</v>
      </c>
      <c r="D924" s="4" t="s">
        <v>65</v>
      </c>
      <c r="E924" s="4" t="s">
        <v>356</v>
      </c>
      <c r="F924" s="4">
        <v>-1</v>
      </c>
      <c r="G924" s="4">
        <v>0</v>
      </c>
      <c r="H924" s="4">
        <v>0</v>
      </c>
      <c r="K924" s="4">
        <v>0</v>
      </c>
      <c r="N924" s="4">
        <v>0</v>
      </c>
      <c r="O924" s="4">
        <v>0</v>
      </c>
      <c r="P924" s="4" t="str">
        <f t="shared" si="14"/>
        <v>TEMP_CHAR.TIMESTAMP</v>
      </c>
      <c r="Q924" s="4" t="str">
        <f>VLOOKUP(Cobra8.6[[#This Row],[Table.Column]],ColumnMapping[Old Table.Column],1,)</f>
        <v>TEMP_CHAR.TIMESTAMP</v>
      </c>
    </row>
    <row r="925" spans="1:17" hidden="1" x14ac:dyDescent="0.2">
      <c r="A925" s="4" t="s">
        <v>1991</v>
      </c>
      <c r="B925" s="4">
        <v>0</v>
      </c>
      <c r="C925" s="4" t="s">
        <v>1991</v>
      </c>
      <c r="D925" s="4" t="s">
        <v>1962</v>
      </c>
      <c r="E925" s="4" t="s">
        <v>86</v>
      </c>
      <c r="F925" s="4">
        <v>22</v>
      </c>
      <c r="G925" s="4">
        <v>0</v>
      </c>
      <c r="H925" s="4">
        <v>0</v>
      </c>
      <c r="K925" s="4">
        <v>0</v>
      </c>
      <c r="N925" s="4">
        <v>0</v>
      </c>
      <c r="O925" s="4">
        <v>0</v>
      </c>
      <c r="P925" s="4" t="str">
        <f t="shared" si="14"/>
        <v>TEMP_DIR.DIR_ID</v>
      </c>
      <c r="Q925" s="4" t="str">
        <f>VLOOKUP(Cobra8.6[[#This Row],[Table.Column]],ColumnMapping[Old Table.Column],1,)</f>
        <v>TEMP_DIR.DIR_ID</v>
      </c>
    </row>
    <row r="926" spans="1:17" hidden="1" x14ac:dyDescent="0.2">
      <c r="A926" s="4" t="s">
        <v>1991</v>
      </c>
      <c r="B926" s="4">
        <v>0</v>
      </c>
      <c r="C926" s="4" t="s">
        <v>1991</v>
      </c>
      <c r="D926" s="4" t="s">
        <v>1943</v>
      </c>
      <c r="E926" s="4" t="s">
        <v>86</v>
      </c>
      <c r="F926" s="4">
        <v>22</v>
      </c>
      <c r="G926" s="4">
        <v>0</v>
      </c>
      <c r="H926" s="4">
        <v>0</v>
      </c>
      <c r="K926" s="4">
        <v>0</v>
      </c>
      <c r="N926" s="4">
        <v>0</v>
      </c>
      <c r="O926" s="4">
        <v>0</v>
      </c>
      <c r="P926" s="4" t="str">
        <f t="shared" si="14"/>
        <v>TEMP_DIR.INSTANCE</v>
      </c>
      <c r="Q926" s="4" t="str">
        <f>VLOOKUP(Cobra8.6[[#This Row],[Table.Column]],ColumnMapping[Old Table.Column],1,)</f>
        <v>TEMP_DIR.INSTANCE</v>
      </c>
    </row>
    <row r="927" spans="1:17" hidden="1" x14ac:dyDescent="0.2">
      <c r="A927" s="4" t="s">
        <v>1991</v>
      </c>
      <c r="B927" s="4">
        <v>0</v>
      </c>
      <c r="C927" s="4" t="s">
        <v>1991</v>
      </c>
      <c r="D927" s="4" t="s">
        <v>65</v>
      </c>
      <c r="E927" s="4" t="s">
        <v>356</v>
      </c>
      <c r="F927" s="4">
        <v>-1</v>
      </c>
      <c r="G927" s="4">
        <v>0</v>
      </c>
      <c r="H927" s="4">
        <v>0</v>
      </c>
      <c r="K927" s="4">
        <v>0</v>
      </c>
      <c r="N927" s="4">
        <v>0</v>
      </c>
      <c r="O927" s="4">
        <v>0</v>
      </c>
      <c r="P927" s="4" t="str">
        <f t="shared" si="14"/>
        <v>TEMP_DIR.TIMESTAMP</v>
      </c>
      <c r="Q927" s="4" t="str">
        <f>VLOOKUP(Cobra8.6[[#This Row],[Table.Column]],ColumnMapping[Old Table.Column],1,)</f>
        <v>TEMP_DIR.TIMESTAMP</v>
      </c>
    </row>
    <row r="928" spans="1:17" hidden="1" x14ac:dyDescent="0.2">
      <c r="A928" s="4" t="s">
        <v>2257</v>
      </c>
      <c r="B928" s="4">
        <v>0</v>
      </c>
      <c r="C928" s="4" t="s">
        <v>2257</v>
      </c>
      <c r="D928" s="4" t="s">
        <v>611</v>
      </c>
      <c r="E928" s="4" t="s">
        <v>2108</v>
      </c>
      <c r="F928" s="4">
        <v>-1</v>
      </c>
      <c r="G928" s="4">
        <v>0</v>
      </c>
      <c r="H928" s="4">
        <v>0</v>
      </c>
      <c r="K928" s="4">
        <v>0</v>
      </c>
      <c r="N928" s="4">
        <v>0</v>
      </c>
      <c r="O928" s="4">
        <v>0</v>
      </c>
      <c r="P928" s="4" t="str">
        <f t="shared" si="14"/>
        <v>TPHASE.BATCHNO</v>
      </c>
      <c r="Q928" s="4" t="str">
        <f>VLOOKUP(Cobra8.6[[#This Row],[Table.Column]],ColumnMapping[Old Table.Column],1,)</f>
        <v>TPHASE.BATCHNO</v>
      </c>
    </row>
    <row r="929" spans="1:17" hidden="1" x14ac:dyDescent="0.2">
      <c r="A929" s="4" t="s">
        <v>2257</v>
      </c>
      <c r="B929" s="4">
        <v>0</v>
      </c>
      <c r="C929" s="4" t="s">
        <v>2257</v>
      </c>
      <c r="D929" s="4" t="s">
        <v>1009</v>
      </c>
      <c r="E929" s="4" t="s">
        <v>2108</v>
      </c>
      <c r="F929" s="4">
        <v>-1</v>
      </c>
      <c r="G929" s="4">
        <v>0</v>
      </c>
      <c r="H929" s="4">
        <v>0</v>
      </c>
      <c r="K929" s="4">
        <v>0</v>
      </c>
      <c r="N929" s="4">
        <v>0</v>
      </c>
      <c r="O929" s="4">
        <v>0</v>
      </c>
      <c r="P929" s="4" t="str">
        <f t="shared" si="14"/>
        <v>TPHASE.CAWPID</v>
      </c>
      <c r="Q929" s="4" t="str">
        <f>VLOOKUP(Cobra8.6[[#This Row],[Table.Column]],ColumnMapping[Old Table.Column],1,)</f>
        <v>TPHASE.CAWPID</v>
      </c>
    </row>
    <row r="930" spans="1:17" hidden="1" x14ac:dyDescent="0.2">
      <c r="A930" s="4" t="s">
        <v>2257</v>
      </c>
      <c r="B930" s="4">
        <v>0</v>
      </c>
      <c r="C930" s="4" t="s">
        <v>2257</v>
      </c>
      <c r="D930" s="4" t="s">
        <v>1098</v>
      </c>
      <c r="E930" s="4" t="s">
        <v>86</v>
      </c>
      <c r="F930" s="4">
        <v>59</v>
      </c>
      <c r="G930" s="4">
        <v>0</v>
      </c>
      <c r="H930" s="4">
        <v>0</v>
      </c>
      <c r="K930" s="4">
        <v>0</v>
      </c>
      <c r="N930" s="4">
        <v>0</v>
      </c>
      <c r="O930" s="4">
        <v>0</v>
      </c>
      <c r="P930" s="4" t="str">
        <f t="shared" si="14"/>
        <v>TPHASE.CECODE</v>
      </c>
      <c r="Q930" s="4" t="str">
        <f>VLOOKUP(Cobra8.6[[#This Row],[Table.Column]],ColumnMapping[Old Table.Column],1,)</f>
        <v>TPHASE.CECODE</v>
      </c>
    </row>
    <row r="931" spans="1:17" hidden="1" x14ac:dyDescent="0.2">
      <c r="A931" s="4" t="s">
        <v>2257</v>
      </c>
      <c r="B931" s="4">
        <v>0</v>
      </c>
      <c r="C931" s="4" t="s">
        <v>2257</v>
      </c>
      <c r="D931" s="4" t="s">
        <v>1100</v>
      </c>
      <c r="E931" s="4" t="s">
        <v>86</v>
      </c>
      <c r="F931" s="4">
        <v>20</v>
      </c>
      <c r="G931" s="4">
        <v>0</v>
      </c>
      <c r="H931" s="4">
        <v>0</v>
      </c>
      <c r="K931" s="4">
        <v>0</v>
      </c>
      <c r="N931" s="4">
        <v>0</v>
      </c>
      <c r="O931" s="4">
        <v>0</v>
      </c>
      <c r="P931" s="4" t="str">
        <f t="shared" si="14"/>
        <v>TPHASE.CLASS</v>
      </c>
      <c r="Q931" s="4" t="str">
        <f>VLOOKUP(Cobra8.6[[#This Row],[Table.Column]],ColumnMapping[Old Table.Column],1,)</f>
        <v>TPHASE.CLASS</v>
      </c>
    </row>
    <row r="932" spans="1:17" hidden="1" x14ac:dyDescent="0.2">
      <c r="A932" s="4" t="s">
        <v>2257</v>
      </c>
      <c r="B932" s="4">
        <v>0</v>
      </c>
      <c r="C932" s="4" t="s">
        <v>2257</v>
      </c>
      <c r="D932" s="4" t="s">
        <v>1180</v>
      </c>
      <c r="E932" s="4" t="s">
        <v>2124</v>
      </c>
      <c r="F932" s="4">
        <v>21</v>
      </c>
      <c r="G932" s="4">
        <v>6</v>
      </c>
      <c r="H932" s="4">
        <v>1</v>
      </c>
      <c r="K932" s="4">
        <v>0</v>
      </c>
      <c r="N932" s="4">
        <v>0</v>
      </c>
      <c r="O932" s="4">
        <v>0</v>
      </c>
      <c r="P932" s="4" t="str">
        <f t="shared" si="14"/>
        <v>TPHASE.COM</v>
      </c>
      <c r="Q932" s="4" t="str">
        <f>VLOOKUP(Cobra8.6[[#This Row],[Table.Column]],ColumnMapping[Old Table.Column],1,)</f>
        <v>TPHASE.COM</v>
      </c>
    </row>
    <row r="933" spans="1:17" hidden="1" x14ac:dyDescent="0.2">
      <c r="A933" s="4" t="s">
        <v>2257</v>
      </c>
      <c r="B933" s="4">
        <v>0</v>
      </c>
      <c r="C933" s="4" t="s">
        <v>2257</v>
      </c>
      <c r="D933" s="4" t="s">
        <v>2258</v>
      </c>
      <c r="E933" s="4" t="s">
        <v>356</v>
      </c>
      <c r="F933" s="4">
        <v>-1</v>
      </c>
      <c r="G933" s="4">
        <v>0</v>
      </c>
      <c r="H933" s="4">
        <v>0</v>
      </c>
      <c r="K933" s="4">
        <v>0</v>
      </c>
      <c r="N933" s="4">
        <v>0</v>
      </c>
      <c r="O933" s="4">
        <v>0</v>
      </c>
      <c r="P933" s="4" t="str">
        <f t="shared" si="14"/>
        <v>TPHASE.DF_DATE</v>
      </c>
      <c r="Q933" s="4" t="str">
        <f>VLOOKUP(Cobra8.6[[#This Row],[Table.Column]],ColumnMapping[Old Table.Column],1,)</f>
        <v>TPHASE.DF_DATE</v>
      </c>
    </row>
    <row r="934" spans="1:17" hidden="1" x14ac:dyDescent="0.2">
      <c r="A934" s="4" t="s">
        <v>2257</v>
      </c>
      <c r="B934" s="4">
        <v>0</v>
      </c>
      <c r="C934" s="4" t="s">
        <v>2257</v>
      </c>
      <c r="D934" s="4" t="s">
        <v>1182</v>
      </c>
      <c r="E934" s="4" t="s">
        <v>2124</v>
      </c>
      <c r="F934" s="4">
        <v>21</v>
      </c>
      <c r="G934" s="4">
        <v>6</v>
      </c>
      <c r="H934" s="4">
        <v>1</v>
      </c>
      <c r="K934" s="4">
        <v>0</v>
      </c>
      <c r="N934" s="4">
        <v>0</v>
      </c>
      <c r="O934" s="4">
        <v>0</v>
      </c>
      <c r="P934" s="4" t="str">
        <f t="shared" si="14"/>
        <v>TPHASE.DIRECT</v>
      </c>
      <c r="Q934" s="4" t="str">
        <f>VLOOKUP(Cobra8.6[[#This Row],[Table.Column]],ColumnMapping[Old Table.Column],1,)</f>
        <v>TPHASE.DIRECT</v>
      </c>
    </row>
    <row r="935" spans="1:17" hidden="1" x14ac:dyDescent="0.2">
      <c r="A935" s="4" t="s">
        <v>2257</v>
      </c>
      <c r="B935" s="4">
        <v>0</v>
      </c>
      <c r="C935" s="4" t="s">
        <v>2257</v>
      </c>
      <c r="D935" s="4" t="s">
        <v>525</v>
      </c>
      <c r="E935" s="4" t="s">
        <v>2124</v>
      </c>
      <c r="F935" s="4">
        <v>21</v>
      </c>
      <c r="G935" s="4">
        <v>6</v>
      </c>
      <c r="H935" s="4">
        <v>1</v>
      </c>
      <c r="K935" s="4">
        <v>0</v>
      </c>
      <c r="N935" s="4">
        <v>0</v>
      </c>
      <c r="O935" s="4">
        <v>0</v>
      </c>
      <c r="P935" s="4" t="str">
        <f t="shared" si="14"/>
        <v>TPHASE.FEE</v>
      </c>
      <c r="Q935" s="4" t="str">
        <f>VLOOKUP(Cobra8.6[[#This Row],[Table.Column]],ColumnMapping[Old Table.Column],1,)</f>
        <v>TPHASE.FEE</v>
      </c>
    </row>
    <row r="936" spans="1:17" hidden="1" x14ac:dyDescent="0.2">
      <c r="A936" s="4" t="s">
        <v>2257</v>
      </c>
      <c r="B936" s="4">
        <v>0</v>
      </c>
      <c r="C936" s="4" t="s">
        <v>2257</v>
      </c>
      <c r="D936" s="4" t="s">
        <v>1185</v>
      </c>
      <c r="E936" s="4" t="s">
        <v>2124</v>
      </c>
      <c r="F936" s="4">
        <v>21</v>
      </c>
      <c r="G936" s="4">
        <v>6</v>
      </c>
      <c r="H936" s="4">
        <v>1</v>
      </c>
      <c r="K936" s="4">
        <v>0</v>
      </c>
      <c r="N936" s="4">
        <v>0</v>
      </c>
      <c r="O936" s="4">
        <v>0</v>
      </c>
      <c r="P936" s="4" t="str">
        <f t="shared" si="14"/>
        <v>TPHASE.FRINGE</v>
      </c>
      <c r="Q936" s="4" t="str">
        <f>VLOOKUP(Cobra8.6[[#This Row],[Table.Column]],ColumnMapping[Old Table.Column],1,)</f>
        <v>TPHASE.FRINGE</v>
      </c>
    </row>
    <row r="937" spans="1:17" hidden="1" x14ac:dyDescent="0.2">
      <c r="A937" s="4" t="s">
        <v>2257</v>
      </c>
      <c r="B937" s="4">
        <v>0</v>
      </c>
      <c r="C937" s="4" t="s">
        <v>2257</v>
      </c>
      <c r="D937" s="4" t="s">
        <v>1187</v>
      </c>
      <c r="E937" s="4" t="s">
        <v>2124</v>
      </c>
      <c r="F937" s="4">
        <v>21</v>
      </c>
      <c r="G937" s="4">
        <v>6</v>
      </c>
      <c r="H937" s="4">
        <v>1</v>
      </c>
      <c r="K937" s="4">
        <v>0</v>
      </c>
      <c r="N937" s="4">
        <v>0</v>
      </c>
      <c r="O937" s="4">
        <v>0</v>
      </c>
      <c r="P937" s="4" t="str">
        <f t="shared" si="14"/>
        <v>TPHASE.FTE</v>
      </c>
      <c r="Q937" s="4" t="str">
        <f>VLOOKUP(Cobra8.6[[#This Row],[Table.Column]],ColumnMapping[Old Table.Column],1,)</f>
        <v>TPHASE.FTE</v>
      </c>
    </row>
    <row r="938" spans="1:17" hidden="1" x14ac:dyDescent="0.2">
      <c r="A938" s="4" t="s">
        <v>2257</v>
      </c>
      <c r="B938" s="4">
        <v>0</v>
      </c>
      <c r="C938" s="4" t="s">
        <v>2257</v>
      </c>
      <c r="D938" s="4" t="s">
        <v>1189</v>
      </c>
      <c r="E938" s="4" t="s">
        <v>2124</v>
      </c>
      <c r="F938" s="4">
        <v>21</v>
      </c>
      <c r="G938" s="4">
        <v>6</v>
      </c>
      <c r="H938" s="4">
        <v>1</v>
      </c>
      <c r="K938" s="4">
        <v>0</v>
      </c>
      <c r="N938" s="4">
        <v>0</v>
      </c>
      <c r="O938" s="4">
        <v>0</v>
      </c>
      <c r="P938" s="4" t="str">
        <f t="shared" si="14"/>
        <v>TPHASE.GANDA</v>
      </c>
      <c r="Q938" s="4" t="str">
        <f>VLOOKUP(Cobra8.6[[#This Row],[Table.Column]],ColumnMapping[Old Table.Column],1,)</f>
        <v>TPHASE.GANDA</v>
      </c>
    </row>
    <row r="939" spans="1:17" hidden="1" x14ac:dyDescent="0.2">
      <c r="A939" s="4" t="s">
        <v>2257</v>
      </c>
      <c r="B939" s="4">
        <v>0</v>
      </c>
      <c r="C939" s="4" t="s">
        <v>2257</v>
      </c>
      <c r="D939" s="4" t="s">
        <v>299</v>
      </c>
      <c r="E939" s="4" t="s">
        <v>2124</v>
      </c>
      <c r="F939" s="4">
        <v>21</v>
      </c>
      <c r="G939" s="4">
        <v>6</v>
      </c>
      <c r="H939" s="4">
        <v>1</v>
      </c>
      <c r="K939" s="4">
        <v>0</v>
      </c>
      <c r="N939" s="4">
        <v>0</v>
      </c>
      <c r="O939" s="4">
        <v>0</v>
      </c>
      <c r="P939" s="4" t="str">
        <f t="shared" si="14"/>
        <v>TPHASE.HOURS</v>
      </c>
      <c r="Q939" s="4" t="str">
        <f>VLOOKUP(Cobra8.6[[#This Row],[Table.Column]],ColumnMapping[Old Table.Column],1,)</f>
        <v>TPHASE.HOURS</v>
      </c>
    </row>
    <row r="940" spans="1:17" hidden="1" x14ac:dyDescent="0.2">
      <c r="A940" s="4" t="s">
        <v>2257</v>
      </c>
      <c r="B940" s="4">
        <v>0</v>
      </c>
      <c r="C940" s="4" t="s">
        <v>2257</v>
      </c>
      <c r="D940" s="4" t="s">
        <v>1192</v>
      </c>
      <c r="E940" s="4" t="s">
        <v>2124</v>
      </c>
      <c r="F940" s="4">
        <v>21</v>
      </c>
      <c r="G940" s="4">
        <v>6</v>
      </c>
      <c r="H940" s="4">
        <v>1</v>
      </c>
      <c r="K940" s="4">
        <v>0</v>
      </c>
      <c r="N940" s="4">
        <v>0</v>
      </c>
      <c r="O940" s="4">
        <v>0</v>
      </c>
      <c r="P940" s="4" t="str">
        <f t="shared" si="14"/>
        <v>TPHASE.OVERHEAD</v>
      </c>
      <c r="Q940" s="4" t="str">
        <f>VLOOKUP(Cobra8.6[[#This Row],[Table.Column]],ColumnMapping[Old Table.Column],1,)</f>
        <v>TPHASE.OVERHEAD</v>
      </c>
    </row>
    <row r="941" spans="1:17" hidden="1" x14ac:dyDescent="0.2">
      <c r="A941" s="4" t="s">
        <v>2257</v>
      </c>
      <c r="B941" s="4">
        <v>0</v>
      </c>
      <c r="C941" s="4" t="s">
        <v>2257</v>
      </c>
      <c r="D941" s="4" t="s">
        <v>744</v>
      </c>
      <c r="E941" s="4" t="s">
        <v>86</v>
      </c>
      <c r="F941" s="4">
        <v>22</v>
      </c>
      <c r="G941" s="4">
        <v>0</v>
      </c>
      <c r="H941" s="4">
        <v>0</v>
      </c>
      <c r="K941" s="4">
        <v>0</v>
      </c>
      <c r="N941" s="4">
        <v>0</v>
      </c>
      <c r="O941" s="4">
        <v>0</v>
      </c>
      <c r="P941" s="4" t="str">
        <f t="shared" si="14"/>
        <v>TPHASE.PROGRAM</v>
      </c>
      <c r="Q941" s="4" t="str">
        <f>VLOOKUP(Cobra8.6[[#This Row],[Table.Column]],ColumnMapping[Old Table.Column],1,)</f>
        <v>TPHASE.PROGRAM</v>
      </c>
    </row>
    <row r="942" spans="1:17" hidden="1" x14ac:dyDescent="0.2">
      <c r="A942" s="4" t="s">
        <v>2259</v>
      </c>
      <c r="B942" s="4">
        <v>0</v>
      </c>
      <c r="C942" s="4" t="s">
        <v>2259</v>
      </c>
      <c r="D942" s="4" t="s">
        <v>2260</v>
      </c>
      <c r="E942" s="4" t="s">
        <v>86</v>
      </c>
      <c r="F942" s="4">
        <v>10</v>
      </c>
      <c r="G942" s="4">
        <v>0</v>
      </c>
      <c r="H942" s="4">
        <v>0</v>
      </c>
      <c r="K942" s="4">
        <v>0</v>
      </c>
      <c r="N942" s="4">
        <v>0</v>
      </c>
      <c r="O942" s="4">
        <v>0</v>
      </c>
      <c r="P942" s="4" t="str">
        <f t="shared" si="14"/>
        <v>USERTBLS.KEYFIELD</v>
      </c>
      <c r="Q942" s="4" t="e">
        <f>VLOOKUP(Cobra8.6[[#This Row],[Table.Column]],ColumnMapping[Old Table.Column],1,)</f>
        <v>#N/A</v>
      </c>
    </row>
    <row r="943" spans="1:17" hidden="1" x14ac:dyDescent="0.2">
      <c r="A943" s="4" t="s">
        <v>2259</v>
      </c>
      <c r="B943" s="4">
        <v>0</v>
      </c>
      <c r="C943" s="4" t="s">
        <v>2259</v>
      </c>
      <c r="D943" s="4" t="s">
        <v>2261</v>
      </c>
      <c r="E943" s="4" t="s">
        <v>86</v>
      </c>
      <c r="F943" s="4">
        <v>22</v>
      </c>
      <c r="G943" s="4">
        <v>0</v>
      </c>
      <c r="H943" s="4">
        <v>0</v>
      </c>
      <c r="K943" s="4">
        <v>0</v>
      </c>
      <c r="N943" s="4">
        <v>0</v>
      </c>
      <c r="O943" s="4">
        <v>0</v>
      </c>
      <c r="P943" s="4" t="str">
        <f t="shared" si="14"/>
        <v>USERTBLS.TABLENAME</v>
      </c>
      <c r="Q943" s="4" t="e">
        <f>VLOOKUP(Cobra8.6[[#This Row],[Table.Column]],ColumnMapping[Old Table.Column],1,)</f>
        <v>#N/A</v>
      </c>
    </row>
    <row r="944" spans="1:17" hidden="1" x14ac:dyDescent="0.2">
      <c r="A944" s="4" t="s">
        <v>2262</v>
      </c>
      <c r="B944" s="4">
        <v>0</v>
      </c>
      <c r="C944" s="4" t="s">
        <v>2263</v>
      </c>
      <c r="D944" s="4" t="s">
        <v>2264</v>
      </c>
      <c r="E944" s="4" t="s">
        <v>31</v>
      </c>
      <c r="F944" s="4">
        <v>22</v>
      </c>
      <c r="G944" s="4">
        <v>0</v>
      </c>
      <c r="H944" s="4">
        <v>0</v>
      </c>
      <c r="K944" s="4">
        <v>0</v>
      </c>
      <c r="N944" s="4">
        <v>0</v>
      </c>
      <c r="O944" s="4">
        <v>0</v>
      </c>
      <c r="P944" s="4" t="str">
        <f t="shared" si="14"/>
        <v>WST_ACL.ACL_UID</v>
      </c>
      <c r="Q944" s="4" t="str">
        <f>VLOOKUP(Cobra8.6[[#This Row],[Table.Column]],ColumnMapping[Old Table.Column],1,)</f>
        <v>WST_ACL.ACL_UID</v>
      </c>
    </row>
    <row r="945" spans="1:17" hidden="1" x14ac:dyDescent="0.2">
      <c r="A945" s="4" t="s">
        <v>2262</v>
      </c>
      <c r="B945" s="4">
        <v>0</v>
      </c>
      <c r="C945" s="4" t="s">
        <v>2263</v>
      </c>
      <c r="D945" s="4" t="s">
        <v>1997</v>
      </c>
      <c r="E945" s="4" t="s">
        <v>31</v>
      </c>
      <c r="F945" s="4">
        <v>22</v>
      </c>
      <c r="G945" s="4">
        <v>0</v>
      </c>
      <c r="H945" s="4">
        <v>0</v>
      </c>
      <c r="K945" s="4">
        <v>0</v>
      </c>
      <c r="N945" s="4">
        <v>0</v>
      </c>
      <c r="O945" s="4">
        <v>0</v>
      </c>
      <c r="P945" s="4" t="str">
        <f t="shared" si="14"/>
        <v>WST_ACL.DIR_UID</v>
      </c>
      <c r="Q945" s="4" t="str">
        <f>VLOOKUP(Cobra8.6[[#This Row],[Table.Column]],ColumnMapping[Old Table.Column],1,)</f>
        <v>WST_ACL.DIR_UID</v>
      </c>
    </row>
    <row r="946" spans="1:17" hidden="1" x14ac:dyDescent="0.2">
      <c r="A946" s="4" t="s">
        <v>2262</v>
      </c>
      <c r="B946" s="4">
        <v>0</v>
      </c>
      <c r="C946" s="4" t="s">
        <v>2263</v>
      </c>
      <c r="D946" s="4" t="s">
        <v>1935</v>
      </c>
      <c r="E946" s="4" t="s">
        <v>86</v>
      </c>
      <c r="F946" s="4">
        <v>20</v>
      </c>
      <c r="G946" s="4">
        <v>0</v>
      </c>
      <c r="H946" s="4">
        <v>0</v>
      </c>
      <c r="K946" s="4">
        <v>30501</v>
      </c>
      <c r="N946" s="4">
        <v>0</v>
      </c>
      <c r="O946" s="4">
        <v>0</v>
      </c>
      <c r="P946" s="4" t="str">
        <f t="shared" si="14"/>
        <v>WST_ACL.GRP_ID</v>
      </c>
      <c r="Q946" s="4" t="str">
        <f>VLOOKUP(Cobra8.6[[#This Row],[Table.Column]],ColumnMapping[Old Table.Column],1,)</f>
        <v>WST_ACL.GRP_ID</v>
      </c>
    </row>
    <row r="947" spans="1:17" hidden="1" x14ac:dyDescent="0.2">
      <c r="A947" s="4" t="s">
        <v>2262</v>
      </c>
      <c r="B947" s="4">
        <v>0</v>
      </c>
      <c r="C947" s="4" t="s">
        <v>2263</v>
      </c>
      <c r="D947" s="4" t="s">
        <v>1312</v>
      </c>
      <c r="E947" s="4" t="s">
        <v>2108</v>
      </c>
      <c r="F947" s="4">
        <v>4</v>
      </c>
      <c r="G947" s="4">
        <v>0</v>
      </c>
      <c r="H947" s="4">
        <v>0</v>
      </c>
      <c r="K947" s="4">
        <v>30502</v>
      </c>
      <c r="N947" s="4">
        <v>0</v>
      </c>
      <c r="O947" s="4">
        <v>0</v>
      </c>
      <c r="P947" s="4" t="str">
        <f t="shared" si="14"/>
        <v>WST_ACL.READONLY</v>
      </c>
      <c r="Q947" s="4" t="str">
        <f>VLOOKUP(Cobra8.6[[#This Row],[Table.Column]],ColumnMapping[Old Table.Column],1,)</f>
        <v>WST_ACL.READONLY</v>
      </c>
    </row>
    <row r="948" spans="1:17" hidden="1" x14ac:dyDescent="0.2">
      <c r="A948" s="4" t="s">
        <v>2262</v>
      </c>
      <c r="B948" s="4">
        <v>0</v>
      </c>
      <c r="C948" s="4" t="s">
        <v>2263</v>
      </c>
      <c r="D948" s="4" t="s">
        <v>2265</v>
      </c>
      <c r="E948" s="4" t="s">
        <v>86</v>
      </c>
      <c r="F948" s="4">
        <v>20</v>
      </c>
      <c r="G948" s="4">
        <v>0</v>
      </c>
      <c r="H948" s="4">
        <v>0</v>
      </c>
      <c r="K948" s="4">
        <v>30503</v>
      </c>
      <c r="N948" s="4">
        <v>0</v>
      </c>
      <c r="O948" s="4">
        <v>0</v>
      </c>
      <c r="P948" s="4" t="str">
        <f t="shared" si="14"/>
        <v>WST_ACL.ROL_ID</v>
      </c>
      <c r="Q948" s="4" t="str">
        <f>VLOOKUP(Cobra8.6[[#This Row],[Table.Column]],ColumnMapping[Old Table.Column],1,)</f>
        <v>WST_ACL.ROL_ID</v>
      </c>
    </row>
    <row r="949" spans="1:17" hidden="1" x14ac:dyDescent="0.2">
      <c r="A949" s="4" t="s">
        <v>2262</v>
      </c>
      <c r="B949" s="4">
        <v>0</v>
      </c>
      <c r="C949" s="4" t="s">
        <v>2263</v>
      </c>
      <c r="D949" s="4" t="s">
        <v>2112</v>
      </c>
      <c r="E949" s="4" t="s">
        <v>86</v>
      </c>
      <c r="F949" s="4">
        <v>20</v>
      </c>
      <c r="G949" s="4">
        <v>0</v>
      </c>
      <c r="H949" s="4">
        <v>131072</v>
      </c>
      <c r="K949" s="4">
        <v>30451</v>
      </c>
      <c r="N949" s="4">
        <v>0</v>
      </c>
      <c r="O949" s="4">
        <v>0</v>
      </c>
      <c r="P949" s="4" t="str">
        <f t="shared" si="14"/>
        <v>WST_ACL.USR_ID</v>
      </c>
      <c r="Q949" s="4" t="str">
        <f>VLOOKUP(Cobra8.6[[#This Row],[Table.Column]],ColumnMapping[Old Table.Column],1,)</f>
        <v>WST_ACL.USR_ID</v>
      </c>
    </row>
    <row r="950" spans="1:17" hidden="1" x14ac:dyDescent="0.2">
      <c r="A950" s="4" t="s">
        <v>2266</v>
      </c>
      <c r="B950" s="4">
        <v>7</v>
      </c>
      <c r="C950" s="4" t="s">
        <v>2267</v>
      </c>
      <c r="D950" s="4" t="s">
        <v>2268</v>
      </c>
      <c r="E950" s="4" t="s">
        <v>2269</v>
      </c>
      <c r="F950" s="4">
        <v>59</v>
      </c>
      <c r="G950" s="4">
        <v>0</v>
      </c>
      <c r="H950" s="4">
        <v>0</v>
      </c>
      <c r="K950" s="4">
        <v>30506</v>
      </c>
      <c r="N950" s="4">
        <v>0</v>
      </c>
      <c r="O950" s="4">
        <v>0</v>
      </c>
      <c r="P950" s="4" t="str">
        <f t="shared" si="14"/>
        <v>WST_CDR.CDR_ID</v>
      </c>
      <c r="Q950" s="4" t="e">
        <f>VLOOKUP(Cobra8.6[[#This Row],[Table.Column]],ColumnMapping[Old Table.Column],1,)</f>
        <v>#N/A</v>
      </c>
    </row>
    <row r="951" spans="1:17" hidden="1" x14ac:dyDescent="0.2">
      <c r="A951" s="4" t="s">
        <v>2266</v>
      </c>
      <c r="B951" s="4">
        <v>7</v>
      </c>
      <c r="C951" s="4" t="s">
        <v>2267</v>
      </c>
      <c r="D951" s="4" t="s">
        <v>2270</v>
      </c>
      <c r="E951" s="4" t="s">
        <v>31</v>
      </c>
      <c r="F951" s="4">
        <v>22</v>
      </c>
      <c r="G951" s="4">
        <v>0</v>
      </c>
      <c r="H951" s="4">
        <v>0</v>
      </c>
      <c r="K951" s="4">
        <v>0</v>
      </c>
      <c r="N951" s="4">
        <v>0</v>
      </c>
      <c r="O951" s="4">
        <v>0</v>
      </c>
      <c r="P951" s="4" t="str">
        <f t="shared" si="14"/>
        <v>WST_CDR.CDR_UID</v>
      </c>
      <c r="Q951" s="4" t="e">
        <f>VLOOKUP(Cobra8.6[[#This Row],[Table.Column]],ColumnMapping[Old Table.Column],1,)</f>
        <v>#N/A</v>
      </c>
    </row>
    <row r="952" spans="1:17" hidden="1" x14ac:dyDescent="0.2">
      <c r="A952" s="4" t="s">
        <v>2266</v>
      </c>
      <c r="B952" s="4">
        <v>7</v>
      </c>
      <c r="C952" s="4" t="s">
        <v>2267</v>
      </c>
      <c r="D952" s="4" t="s">
        <v>15</v>
      </c>
      <c r="E952" s="4" t="s">
        <v>86</v>
      </c>
      <c r="F952" s="4">
        <v>125</v>
      </c>
      <c r="G952" s="4">
        <v>0</v>
      </c>
      <c r="H952" s="4">
        <v>0</v>
      </c>
      <c r="K952" s="4">
        <v>30245</v>
      </c>
      <c r="N952" s="4">
        <v>0</v>
      </c>
      <c r="O952" s="4">
        <v>0</v>
      </c>
      <c r="P952" s="4" t="str">
        <f t="shared" si="14"/>
        <v>WST_CDR.DESCRIPTION</v>
      </c>
      <c r="Q952" s="4" t="e">
        <f>VLOOKUP(Cobra8.6[[#This Row],[Table.Column]],ColumnMapping[Old Table.Column],1,)</f>
        <v>#N/A</v>
      </c>
    </row>
    <row r="953" spans="1:17" hidden="1" x14ac:dyDescent="0.2">
      <c r="A953" s="4" t="s">
        <v>2266</v>
      </c>
      <c r="B953" s="4">
        <v>7</v>
      </c>
      <c r="C953" s="4" t="s">
        <v>2267</v>
      </c>
      <c r="D953" s="4" t="s">
        <v>1997</v>
      </c>
      <c r="E953" s="4" t="s">
        <v>31</v>
      </c>
      <c r="F953" s="4">
        <v>22</v>
      </c>
      <c r="G953" s="4">
        <v>0</v>
      </c>
      <c r="H953" s="4">
        <v>0</v>
      </c>
      <c r="K953" s="4">
        <v>712</v>
      </c>
      <c r="L953" s="4" t="s">
        <v>2271</v>
      </c>
      <c r="M953" s="4" t="s">
        <v>1997</v>
      </c>
      <c r="N953" s="4">
        <v>1</v>
      </c>
      <c r="O953" s="4">
        <v>0</v>
      </c>
      <c r="P953" s="4" t="str">
        <f t="shared" si="14"/>
        <v>WST_CDR.DIR_UID</v>
      </c>
      <c r="Q953" s="4" t="e">
        <f>VLOOKUP(Cobra8.6[[#This Row],[Table.Column]],ColumnMapping[Old Table.Column],1,)</f>
        <v>#N/A</v>
      </c>
    </row>
    <row r="954" spans="1:17" hidden="1" x14ac:dyDescent="0.2">
      <c r="A954" s="4" t="s">
        <v>2266</v>
      </c>
      <c r="B954" s="4">
        <v>7</v>
      </c>
      <c r="C954" s="4" t="s">
        <v>2267</v>
      </c>
      <c r="D954" s="4" t="s">
        <v>2272</v>
      </c>
      <c r="E954" s="4" t="s">
        <v>2108</v>
      </c>
      <c r="F954" s="4">
        <v>10</v>
      </c>
      <c r="G954" s="4">
        <v>0</v>
      </c>
      <c r="H954" s="4">
        <v>0</v>
      </c>
      <c r="K954" s="4">
        <v>31947</v>
      </c>
      <c r="N954" s="4">
        <v>0</v>
      </c>
      <c r="O954" s="4">
        <v>0</v>
      </c>
      <c r="P954" s="4" t="str">
        <f t="shared" si="14"/>
        <v>WST_CDR.INTEGRATION_ID</v>
      </c>
      <c r="Q954" s="4" t="e">
        <f>VLOOKUP(Cobra8.6[[#This Row],[Table.Column]],ColumnMapping[Old Table.Column],1,)</f>
        <v>#N/A</v>
      </c>
    </row>
    <row r="955" spans="1:17" hidden="1" x14ac:dyDescent="0.2">
      <c r="A955" s="4" t="s">
        <v>2266</v>
      </c>
      <c r="B955" s="4">
        <v>7</v>
      </c>
      <c r="C955" s="4" t="s">
        <v>2267</v>
      </c>
      <c r="D955" s="4" t="s">
        <v>2111</v>
      </c>
      <c r="E955" s="4" t="s">
        <v>356</v>
      </c>
      <c r="F955" s="4">
        <v>20</v>
      </c>
      <c r="G955" s="4">
        <v>0</v>
      </c>
      <c r="H955" s="4">
        <v>131072</v>
      </c>
      <c r="K955" s="4">
        <v>30460</v>
      </c>
      <c r="N955" s="4">
        <v>0</v>
      </c>
      <c r="O955" s="4">
        <v>0</v>
      </c>
      <c r="P955" s="4" t="str">
        <f t="shared" si="14"/>
        <v>WST_CDR.LASTUPDATE</v>
      </c>
      <c r="Q955" s="4" t="e">
        <f>VLOOKUP(Cobra8.6[[#This Row],[Table.Column]],ColumnMapping[Old Table.Column],1,)</f>
        <v>#N/A</v>
      </c>
    </row>
    <row r="956" spans="1:17" hidden="1" x14ac:dyDescent="0.2">
      <c r="A956" s="4" t="s">
        <v>2266</v>
      </c>
      <c r="B956" s="4">
        <v>7</v>
      </c>
      <c r="C956" s="4" t="s">
        <v>2267</v>
      </c>
      <c r="D956" s="4" t="s">
        <v>2273</v>
      </c>
      <c r="E956" s="4" t="s">
        <v>2108</v>
      </c>
      <c r="F956" s="4">
        <v>8</v>
      </c>
      <c r="G956" s="4">
        <v>0</v>
      </c>
      <c r="H956" s="4">
        <v>0</v>
      </c>
      <c r="K956" s="4">
        <v>30248</v>
      </c>
      <c r="N956" s="4">
        <v>0</v>
      </c>
      <c r="O956" s="4">
        <v>0</v>
      </c>
      <c r="P956" s="4" t="str">
        <f t="shared" si="14"/>
        <v>WST_CDR.POSITION_NUM</v>
      </c>
      <c r="Q956" s="4" t="e">
        <f>VLOOKUP(Cobra8.6[[#This Row],[Table.Column]],ColumnMapping[Old Table.Column],1,)</f>
        <v>#N/A</v>
      </c>
    </row>
    <row r="957" spans="1:17" hidden="1" x14ac:dyDescent="0.2">
      <c r="A957" s="4" t="s">
        <v>2266</v>
      </c>
      <c r="B957" s="4">
        <v>7</v>
      </c>
      <c r="C957" s="4" t="s">
        <v>2267</v>
      </c>
      <c r="D957" s="4" t="s">
        <v>35</v>
      </c>
      <c r="E957" s="4" t="s">
        <v>2108</v>
      </c>
      <c r="F957" s="4">
        <v>4</v>
      </c>
      <c r="G957" s="4">
        <v>0</v>
      </c>
      <c r="H957" s="4">
        <v>196608</v>
      </c>
      <c r="K957" s="4">
        <v>30042</v>
      </c>
      <c r="N957" s="4">
        <v>0</v>
      </c>
      <c r="O957" s="4">
        <v>0</v>
      </c>
      <c r="P957" s="4" t="str">
        <f t="shared" si="14"/>
        <v>WST_CDR.SEQUENCE</v>
      </c>
      <c r="Q957" s="4" t="e">
        <f>VLOOKUP(Cobra8.6[[#This Row],[Table.Column]],ColumnMapping[Old Table.Column],1,)</f>
        <v>#N/A</v>
      </c>
    </row>
    <row r="958" spans="1:17" hidden="1" x14ac:dyDescent="0.2">
      <c r="A958" s="4" t="s">
        <v>2266</v>
      </c>
      <c r="B958" s="4">
        <v>7</v>
      </c>
      <c r="C958" s="4" t="s">
        <v>2267</v>
      </c>
      <c r="D958" s="4" t="s">
        <v>2274</v>
      </c>
      <c r="E958" s="4" t="s">
        <v>2042</v>
      </c>
      <c r="F958" s="4">
        <v>4</v>
      </c>
      <c r="G958" s="4">
        <v>0</v>
      </c>
      <c r="H958" s="4">
        <v>0</v>
      </c>
      <c r="K958" s="4">
        <v>30332</v>
      </c>
      <c r="N958" s="4">
        <v>0</v>
      </c>
      <c r="O958" s="4">
        <v>0</v>
      </c>
      <c r="P958" s="4" t="str">
        <f t="shared" si="14"/>
        <v>WST_CDR.SUPPRESS</v>
      </c>
      <c r="Q958" s="4" t="e">
        <f>VLOOKUP(Cobra8.6[[#This Row],[Table.Column]],ColumnMapping[Old Table.Column],1,)</f>
        <v>#N/A</v>
      </c>
    </row>
    <row r="959" spans="1:17" hidden="1" x14ac:dyDescent="0.2">
      <c r="A959" s="4" t="s">
        <v>2266</v>
      </c>
      <c r="B959" s="4">
        <v>7</v>
      </c>
      <c r="C959" s="4" t="s">
        <v>2267</v>
      </c>
      <c r="D959" s="4" t="s">
        <v>2112</v>
      </c>
      <c r="E959" s="4" t="s">
        <v>86</v>
      </c>
      <c r="F959" s="4">
        <v>20</v>
      </c>
      <c r="G959" s="4">
        <v>0</v>
      </c>
      <c r="H959" s="4">
        <v>131072</v>
      </c>
      <c r="K959" s="4">
        <v>30451</v>
      </c>
      <c r="N959" s="4">
        <v>0</v>
      </c>
      <c r="O959" s="4">
        <v>0</v>
      </c>
      <c r="P959" s="4" t="str">
        <f t="shared" si="14"/>
        <v>WST_CDR.USR_ID</v>
      </c>
      <c r="Q959" s="4" t="e">
        <f>VLOOKUP(Cobra8.6[[#This Row],[Table.Column]],ColumnMapping[Old Table.Column],1,)</f>
        <v>#N/A</v>
      </c>
    </row>
    <row r="960" spans="1:17" hidden="1" x14ac:dyDescent="0.2">
      <c r="A960" s="4" t="s">
        <v>2275</v>
      </c>
      <c r="B960" s="4">
        <v>2</v>
      </c>
      <c r="C960" s="4" t="s">
        <v>2276</v>
      </c>
      <c r="D960" s="4" t="s">
        <v>2277</v>
      </c>
      <c r="E960" s="4" t="s">
        <v>86</v>
      </c>
      <c r="F960" s="4">
        <v>60</v>
      </c>
      <c r="G960" s="4">
        <v>0</v>
      </c>
      <c r="H960" s="4">
        <v>0</v>
      </c>
      <c r="K960" s="4">
        <v>0</v>
      </c>
      <c r="N960" s="4">
        <v>0</v>
      </c>
      <c r="O960" s="4">
        <v>0</v>
      </c>
      <c r="P960" s="4" t="str">
        <f t="shared" si="14"/>
        <v>WST_CFG.CFG_ID</v>
      </c>
      <c r="Q960" s="4" t="e">
        <f>VLOOKUP(Cobra8.6[[#This Row],[Table.Column]],ColumnMapping[Old Table.Column],1,)</f>
        <v>#N/A</v>
      </c>
    </row>
    <row r="961" spans="1:17" hidden="1" x14ac:dyDescent="0.2">
      <c r="A961" s="4" t="s">
        <v>2275</v>
      </c>
      <c r="B961" s="4">
        <v>2</v>
      </c>
      <c r="C961" s="4" t="s">
        <v>2276</v>
      </c>
      <c r="D961" s="4" t="s">
        <v>2278</v>
      </c>
      <c r="E961" s="4" t="s">
        <v>86</v>
      </c>
      <c r="F961" s="4">
        <v>30</v>
      </c>
      <c r="G961" s="4">
        <v>0</v>
      </c>
      <c r="H961" s="4">
        <v>0</v>
      </c>
      <c r="K961" s="4">
        <v>0</v>
      </c>
      <c r="N961" s="4">
        <v>0</v>
      </c>
      <c r="O961" s="4">
        <v>0</v>
      </c>
      <c r="P961" s="4" t="str">
        <f t="shared" si="14"/>
        <v>WST_CFG.CFG_TYPE</v>
      </c>
      <c r="Q961" s="4" t="e">
        <f>VLOOKUP(Cobra8.6[[#This Row],[Table.Column]],ColumnMapping[Old Table.Column],1,)</f>
        <v>#N/A</v>
      </c>
    </row>
    <row r="962" spans="1:17" hidden="1" x14ac:dyDescent="0.2">
      <c r="A962" s="4" t="s">
        <v>2275</v>
      </c>
      <c r="B962" s="4">
        <v>2</v>
      </c>
      <c r="C962" s="4" t="s">
        <v>2276</v>
      </c>
      <c r="D962" s="4" t="s">
        <v>2279</v>
      </c>
      <c r="E962" s="4" t="s">
        <v>31</v>
      </c>
      <c r="F962" s="4">
        <v>22</v>
      </c>
      <c r="G962" s="4">
        <v>0</v>
      </c>
      <c r="H962" s="4">
        <v>0</v>
      </c>
      <c r="K962" s="4">
        <v>0</v>
      </c>
      <c r="N962" s="4">
        <v>0</v>
      </c>
      <c r="O962" s="4">
        <v>0</v>
      </c>
      <c r="P962" s="4" t="str">
        <f t="shared" ref="P962:P1025" si="15">_xlfn.CONCAT(A962,".",D962)</f>
        <v>WST_CFG.CFG_UID</v>
      </c>
      <c r="Q962" s="4" t="e">
        <f>VLOOKUP(Cobra8.6[[#This Row],[Table.Column]],ColumnMapping[Old Table.Column],1,)</f>
        <v>#N/A</v>
      </c>
    </row>
    <row r="963" spans="1:17" hidden="1" x14ac:dyDescent="0.2">
      <c r="A963" s="4" t="s">
        <v>2275</v>
      </c>
      <c r="B963" s="4">
        <v>2</v>
      </c>
      <c r="C963" s="4" t="s">
        <v>2276</v>
      </c>
      <c r="D963" s="4" t="s">
        <v>270</v>
      </c>
      <c r="E963" s="4" t="s">
        <v>86</v>
      </c>
      <c r="F963" s="4">
        <v>8192</v>
      </c>
      <c r="G963" s="4">
        <v>0</v>
      </c>
      <c r="H963" s="4">
        <v>0</v>
      </c>
      <c r="K963" s="4">
        <v>0</v>
      </c>
      <c r="N963" s="4">
        <v>0</v>
      </c>
      <c r="O963" s="4">
        <v>0</v>
      </c>
      <c r="P963" s="4" t="str">
        <f t="shared" si="15"/>
        <v>WST_CFG.DATA</v>
      </c>
      <c r="Q963" s="4" t="e">
        <f>VLOOKUP(Cobra8.6[[#This Row],[Table.Column]],ColumnMapping[Old Table.Column],1,)</f>
        <v>#N/A</v>
      </c>
    </row>
    <row r="964" spans="1:17" hidden="1" x14ac:dyDescent="0.2">
      <c r="A964" s="4" t="s">
        <v>2275</v>
      </c>
      <c r="B964" s="4">
        <v>2</v>
      </c>
      <c r="C964" s="4" t="s">
        <v>2276</v>
      </c>
      <c r="D964" s="4" t="s">
        <v>15</v>
      </c>
      <c r="E964" s="4" t="s">
        <v>86</v>
      </c>
      <c r="F964" s="4">
        <v>254</v>
      </c>
      <c r="G964" s="4">
        <v>0</v>
      </c>
      <c r="H964" s="4">
        <v>0</v>
      </c>
      <c r="K964" s="4">
        <v>0</v>
      </c>
      <c r="N964" s="4">
        <v>0</v>
      </c>
      <c r="O964" s="4">
        <v>0</v>
      </c>
      <c r="P964" s="4" t="str">
        <f t="shared" si="15"/>
        <v>WST_CFG.DESCRIPTION</v>
      </c>
      <c r="Q964" s="4" t="e">
        <f>VLOOKUP(Cobra8.6[[#This Row],[Table.Column]],ColumnMapping[Old Table.Column],1,)</f>
        <v>#N/A</v>
      </c>
    </row>
    <row r="965" spans="1:17" hidden="1" x14ac:dyDescent="0.2">
      <c r="A965" s="4" t="s">
        <v>2275</v>
      </c>
      <c r="B965" s="4">
        <v>2</v>
      </c>
      <c r="C965" s="4" t="s">
        <v>2276</v>
      </c>
      <c r="D965" s="4" t="s">
        <v>2111</v>
      </c>
      <c r="E965" s="4" t="s">
        <v>356</v>
      </c>
      <c r="F965" s="4">
        <v>20</v>
      </c>
      <c r="G965" s="4">
        <v>0</v>
      </c>
      <c r="H965" s="4">
        <v>131072</v>
      </c>
      <c r="K965" s="4">
        <v>30460</v>
      </c>
      <c r="N965" s="4">
        <v>0</v>
      </c>
      <c r="O965" s="4">
        <v>0</v>
      </c>
      <c r="P965" s="4" t="str">
        <f t="shared" si="15"/>
        <v>WST_CFG.LASTUPDATE</v>
      </c>
      <c r="Q965" s="4" t="e">
        <f>VLOOKUP(Cobra8.6[[#This Row],[Table.Column]],ColumnMapping[Old Table.Column],1,)</f>
        <v>#N/A</v>
      </c>
    </row>
    <row r="966" spans="1:17" hidden="1" x14ac:dyDescent="0.2">
      <c r="A966" s="4" t="s">
        <v>2275</v>
      </c>
      <c r="B966" s="4">
        <v>2</v>
      </c>
      <c r="C966" s="4" t="s">
        <v>2276</v>
      </c>
      <c r="D966" s="4" t="s">
        <v>1936</v>
      </c>
      <c r="E966" s="4" t="s">
        <v>86</v>
      </c>
      <c r="F966" s="4">
        <v>20</v>
      </c>
      <c r="G966" s="4">
        <v>0</v>
      </c>
      <c r="H966" s="4">
        <v>131072</v>
      </c>
      <c r="K966" s="4">
        <v>30452</v>
      </c>
      <c r="N966" s="4">
        <v>0</v>
      </c>
      <c r="O966" s="4">
        <v>0</v>
      </c>
      <c r="P966" s="4" t="str">
        <f t="shared" si="15"/>
        <v>WST_CFG.OWNER_ID</v>
      </c>
      <c r="Q966" s="4" t="e">
        <f>VLOOKUP(Cobra8.6[[#This Row],[Table.Column]],ColumnMapping[Old Table.Column],1,)</f>
        <v>#N/A</v>
      </c>
    </row>
    <row r="967" spans="1:17" hidden="1" x14ac:dyDescent="0.2">
      <c r="A967" s="4" t="s">
        <v>2275</v>
      </c>
      <c r="B967" s="4">
        <v>2</v>
      </c>
      <c r="C967" s="4" t="s">
        <v>2276</v>
      </c>
      <c r="D967" s="4" t="s">
        <v>2002</v>
      </c>
      <c r="E967" s="4" t="s">
        <v>2108</v>
      </c>
      <c r="F967" s="4">
        <v>4</v>
      </c>
      <c r="G967" s="4">
        <v>0</v>
      </c>
      <c r="H967" s="4">
        <v>0</v>
      </c>
      <c r="K967" s="4">
        <v>15032</v>
      </c>
      <c r="N967" s="4">
        <v>0</v>
      </c>
      <c r="O967" s="4">
        <v>0</v>
      </c>
      <c r="P967" s="4" t="str">
        <f t="shared" si="15"/>
        <v>WST_CFG.PRD_UID</v>
      </c>
      <c r="Q967" s="4" t="str">
        <f>VLOOKUP(Cobra8.6[[#This Row],[Table.Column]],ColumnMapping[Old Table.Column],1,)</f>
        <v>WST_CFG.PRD_UID</v>
      </c>
    </row>
    <row r="968" spans="1:17" hidden="1" x14ac:dyDescent="0.2">
      <c r="A968" s="4" t="s">
        <v>2275</v>
      </c>
      <c r="B968" s="4">
        <v>2</v>
      </c>
      <c r="C968" s="4" t="s">
        <v>2276</v>
      </c>
      <c r="D968" s="4" t="s">
        <v>35</v>
      </c>
      <c r="E968" s="4" t="s">
        <v>2108</v>
      </c>
      <c r="F968" s="4">
        <v>4</v>
      </c>
      <c r="G968" s="4">
        <v>0</v>
      </c>
      <c r="H968" s="4">
        <v>196608</v>
      </c>
      <c r="K968" s="4">
        <v>30042</v>
      </c>
      <c r="N968" s="4">
        <v>0</v>
      </c>
      <c r="O968" s="4">
        <v>0</v>
      </c>
      <c r="P968" s="4" t="str">
        <f t="shared" si="15"/>
        <v>WST_CFG.SEQUENCE</v>
      </c>
      <c r="Q968" s="4" t="e">
        <f>VLOOKUP(Cobra8.6[[#This Row],[Table.Column]],ColumnMapping[Old Table.Column],1,)</f>
        <v>#N/A</v>
      </c>
    </row>
    <row r="969" spans="1:17" hidden="1" x14ac:dyDescent="0.2">
      <c r="A969" s="4" t="s">
        <v>2275</v>
      </c>
      <c r="B969" s="4">
        <v>2</v>
      </c>
      <c r="C969" s="4" t="s">
        <v>2276</v>
      </c>
      <c r="D969" s="4" t="s">
        <v>2112</v>
      </c>
      <c r="E969" s="4" t="s">
        <v>86</v>
      </c>
      <c r="F969" s="4">
        <v>20</v>
      </c>
      <c r="G969" s="4">
        <v>0</v>
      </c>
      <c r="H969" s="4">
        <v>131072</v>
      </c>
      <c r="K969" s="4">
        <v>30451</v>
      </c>
      <c r="N969" s="4">
        <v>0</v>
      </c>
      <c r="O969" s="4">
        <v>0</v>
      </c>
      <c r="P969" s="4" t="str">
        <f t="shared" si="15"/>
        <v>WST_CFG.USR_ID</v>
      </c>
      <c r="Q969" s="4" t="e">
        <f>VLOOKUP(Cobra8.6[[#This Row],[Table.Column]],ColumnMapping[Old Table.Column],1,)</f>
        <v>#N/A</v>
      </c>
    </row>
    <row r="970" spans="1:17" hidden="1" x14ac:dyDescent="0.2">
      <c r="A970" s="4" t="s">
        <v>2280</v>
      </c>
      <c r="B970" s="4">
        <v>7</v>
      </c>
      <c r="C970" s="4" t="s">
        <v>2271</v>
      </c>
      <c r="D970" s="4" t="s">
        <v>270</v>
      </c>
      <c r="E970" s="4" t="s">
        <v>86</v>
      </c>
      <c r="F970" s="4">
        <v>60</v>
      </c>
      <c r="G970" s="4">
        <v>0</v>
      </c>
      <c r="H970" s="4">
        <v>0</v>
      </c>
      <c r="K970" s="4">
        <v>30512</v>
      </c>
      <c r="N970" s="4">
        <v>0</v>
      </c>
      <c r="O970" s="4">
        <v>0</v>
      </c>
      <c r="P970" s="4" t="str">
        <f t="shared" si="15"/>
        <v>WST_COD.DATA</v>
      </c>
      <c r="Q970" s="4" t="e">
        <f>VLOOKUP(Cobra8.6[[#This Row],[Table.Column]],ColumnMapping[Old Table.Column],1,)</f>
        <v>#N/A</v>
      </c>
    </row>
    <row r="971" spans="1:17" hidden="1" x14ac:dyDescent="0.2">
      <c r="A971" s="4" t="s">
        <v>2280</v>
      </c>
      <c r="B971" s="4">
        <v>7</v>
      </c>
      <c r="C971" s="4" t="s">
        <v>2271</v>
      </c>
      <c r="D971" s="4" t="s">
        <v>1997</v>
      </c>
      <c r="E971" s="4" t="s">
        <v>31</v>
      </c>
      <c r="F971" s="4">
        <v>22</v>
      </c>
      <c r="G971" s="4">
        <v>0</v>
      </c>
      <c r="H971" s="4">
        <v>0</v>
      </c>
      <c r="K971" s="4">
        <v>0</v>
      </c>
      <c r="L971" s="4">
        <v>0</v>
      </c>
      <c r="M971" s="4" t="s">
        <v>1997</v>
      </c>
      <c r="N971" s="4">
        <v>1</v>
      </c>
      <c r="O971" s="4">
        <v>0</v>
      </c>
      <c r="P971" s="4" t="str">
        <f t="shared" si="15"/>
        <v>WST_COD.DIR_UID</v>
      </c>
      <c r="Q971" s="4" t="e">
        <f>VLOOKUP(Cobra8.6[[#This Row],[Table.Column]],ColumnMapping[Old Table.Column],1,)</f>
        <v>#N/A</v>
      </c>
    </row>
    <row r="972" spans="1:17" hidden="1" x14ac:dyDescent="0.2">
      <c r="A972" s="4" t="s">
        <v>2280</v>
      </c>
      <c r="B972" s="4">
        <v>7</v>
      </c>
      <c r="C972" s="4" t="s">
        <v>2271</v>
      </c>
      <c r="D972" s="4" t="s">
        <v>2281</v>
      </c>
      <c r="E972" s="4" t="s">
        <v>86</v>
      </c>
      <c r="F972" s="4">
        <v>20</v>
      </c>
      <c r="G972" s="4">
        <v>0</v>
      </c>
      <c r="H972" s="4">
        <v>0</v>
      </c>
      <c r="K972" s="4">
        <v>30511</v>
      </c>
      <c r="N972" s="4">
        <v>0</v>
      </c>
      <c r="O972" s="4">
        <v>0</v>
      </c>
      <c r="P972" s="4" t="str">
        <f t="shared" si="15"/>
        <v>WST_COD.PROMPT_TEXT</v>
      </c>
      <c r="Q972" s="4" t="e">
        <f>VLOOKUP(Cobra8.6[[#This Row],[Table.Column]],ColumnMapping[Old Table.Column],1,)</f>
        <v>#N/A</v>
      </c>
    </row>
    <row r="973" spans="1:17" hidden="1" x14ac:dyDescent="0.2">
      <c r="A973" s="4" t="s">
        <v>2280</v>
      </c>
      <c r="B973" s="4">
        <v>7</v>
      </c>
      <c r="C973" s="4" t="s">
        <v>2271</v>
      </c>
      <c r="D973" s="4" t="s">
        <v>2282</v>
      </c>
      <c r="E973" s="4" t="s">
        <v>86</v>
      </c>
      <c r="F973" s="4">
        <v>20</v>
      </c>
      <c r="G973" s="4">
        <v>0</v>
      </c>
      <c r="H973" s="4">
        <v>0</v>
      </c>
      <c r="K973" s="4">
        <v>31505</v>
      </c>
      <c r="N973" s="4">
        <v>0</v>
      </c>
      <c r="O973" s="4">
        <v>0</v>
      </c>
      <c r="P973" s="4" t="str">
        <f t="shared" si="15"/>
        <v>WST_COD.STARTVIEW</v>
      </c>
      <c r="Q973" s="4" t="e">
        <f>VLOOKUP(Cobra8.6[[#This Row],[Table.Column]],ColumnMapping[Old Table.Column],1,)</f>
        <v>#N/A</v>
      </c>
    </row>
    <row r="974" spans="1:17" hidden="1" x14ac:dyDescent="0.2">
      <c r="A974" s="4" t="s">
        <v>2280</v>
      </c>
      <c r="B974" s="4">
        <v>7</v>
      </c>
      <c r="C974" s="4" t="s">
        <v>2271</v>
      </c>
      <c r="D974" s="4" t="s">
        <v>93</v>
      </c>
      <c r="E974" s="4" t="s">
        <v>86</v>
      </c>
      <c r="F974" s="4">
        <v>10</v>
      </c>
      <c r="G974" s="4">
        <v>0</v>
      </c>
      <c r="H974" s="4">
        <v>0</v>
      </c>
      <c r="K974" s="4">
        <v>30513</v>
      </c>
      <c r="N974" s="4">
        <v>0</v>
      </c>
      <c r="O974" s="4">
        <v>0</v>
      </c>
      <c r="P974" s="4" t="str">
        <f t="shared" si="15"/>
        <v>WST_COD.TH_FLAGS</v>
      </c>
      <c r="Q974" s="4" t="e">
        <f>VLOOKUP(Cobra8.6[[#This Row],[Table.Column]],ColumnMapping[Old Table.Column],1,)</f>
        <v>#N/A</v>
      </c>
    </row>
    <row r="975" spans="1:17" hidden="1" x14ac:dyDescent="0.2">
      <c r="A975" s="4" t="s">
        <v>2283</v>
      </c>
      <c r="B975" s="4">
        <v>0</v>
      </c>
      <c r="C975" s="4" t="s">
        <v>2284</v>
      </c>
      <c r="D975" s="4" t="s">
        <v>15</v>
      </c>
      <c r="E975" s="4" t="s">
        <v>86</v>
      </c>
      <c r="F975" s="4">
        <v>125</v>
      </c>
      <c r="G975" s="4">
        <v>0</v>
      </c>
      <c r="H975" s="4">
        <v>0</v>
      </c>
      <c r="K975" s="4">
        <v>30525</v>
      </c>
      <c r="N975" s="4">
        <v>0</v>
      </c>
      <c r="O975" s="4">
        <v>0</v>
      </c>
      <c r="P975" s="4" t="str">
        <f t="shared" si="15"/>
        <v>WST_DIR.DESCRIPTION</v>
      </c>
      <c r="Q975" s="4" t="e">
        <f>VLOOKUP(Cobra8.6[[#This Row],[Table.Column]],ColumnMapping[Old Table.Column],1,)</f>
        <v>#N/A</v>
      </c>
    </row>
    <row r="976" spans="1:17" hidden="1" x14ac:dyDescent="0.2">
      <c r="A976" s="4" t="s">
        <v>2283</v>
      </c>
      <c r="B976" s="4">
        <v>0</v>
      </c>
      <c r="C976" s="4" t="s">
        <v>2284</v>
      </c>
      <c r="D976" s="4" t="s">
        <v>1962</v>
      </c>
      <c r="E976" s="4" t="s">
        <v>86</v>
      </c>
      <c r="F976" s="4">
        <v>22</v>
      </c>
      <c r="G976" s="4">
        <v>0</v>
      </c>
      <c r="H976" s="4">
        <v>0</v>
      </c>
      <c r="K976" s="4">
        <v>30527</v>
      </c>
      <c r="N976" s="4">
        <v>0</v>
      </c>
      <c r="O976" s="4">
        <v>0</v>
      </c>
      <c r="P976" s="4" t="str">
        <f t="shared" si="15"/>
        <v>WST_DIR.DIR_ID</v>
      </c>
      <c r="Q976" s="4" t="e">
        <f>VLOOKUP(Cobra8.6[[#This Row],[Table.Column]],ColumnMapping[Old Table.Column],1,)</f>
        <v>#N/A</v>
      </c>
    </row>
    <row r="977" spans="1:17" hidden="1" x14ac:dyDescent="0.2">
      <c r="A977" s="4" t="s">
        <v>2283</v>
      </c>
      <c r="B977" s="4">
        <v>0</v>
      </c>
      <c r="C977" s="4" t="s">
        <v>2284</v>
      </c>
      <c r="D977" s="4" t="s">
        <v>1997</v>
      </c>
      <c r="E977" s="4" t="s">
        <v>31</v>
      </c>
      <c r="F977" s="4">
        <v>22</v>
      </c>
      <c r="G977" s="4">
        <v>0</v>
      </c>
      <c r="H977" s="4">
        <v>0</v>
      </c>
      <c r="K977" s="4">
        <v>0</v>
      </c>
      <c r="N977" s="4">
        <v>0</v>
      </c>
      <c r="O977" s="4">
        <v>0</v>
      </c>
      <c r="P977" s="4" t="str">
        <f t="shared" si="15"/>
        <v>WST_DIR.DIR_UID</v>
      </c>
      <c r="Q977" s="4" t="e">
        <f>VLOOKUP(Cobra8.6[[#This Row],[Table.Column]],ColumnMapping[Old Table.Column],1,)</f>
        <v>#N/A</v>
      </c>
    </row>
    <row r="978" spans="1:17" hidden="1" x14ac:dyDescent="0.2">
      <c r="A978" s="4" t="s">
        <v>2283</v>
      </c>
      <c r="B978" s="4">
        <v>0</v>
      </c>
      <c r="C978" s="4" t="s">
        <v>2284</v>
      </c>
      <c r="D978" s="4" t="s">
        <v>2111</v>
      </c>
      <c r="E978" s="4" t="s">
        <v>356</v>
      </c>
      <c r="F978" s="4">
        <v>20</v>
      </c>
      <c r="G978" s="4">
        <v>0</v>
      </c>
      <c r="H978" s="4">
        <v>131072</v>
      </c>
      <c r="K978" s="4">
        <v>30460</v>
      </c>
      <c r="N978" s="4">
        <v>0</v>
      </c>
      <c r="O978" s="4">
        <v>0</v>
      </c>
      <c r="P978" s="4" t="str">
        <f t="shared" si="15"/>
        <v>WST_DIR.LASTUPDATE</v>
      </c>
      <c r="Q978" s="4" t="e">
        <f>VLOOKUP(Cobra8.6[[#This Row],[Table.Column]],ColumnMapping[Old Table.Column],1,)</f>
        <v>#N/A</v>
      </c>
    </row>
    <row r="979" spans="1:17" hidden="1" x14ac:dyDescent="0.2">
      <c r="A979" s="4" t="s">
        <v>2283</v>
      </c>
      <c r="B979" s="4">
        <v>0</v>
      </c>
      <c r="C979" s="4" t="s">
        <v>2284</v>
      </c>
      <c r="D979" s="4" t="s">
        <v>2285</v>
      </c>
      <c r="E979" s="4" t="s">
        <v>86</v>
      </c>
      <c r="F979" s="4">
        <v>1</v>
      </c>
      <c r="G979" s="4">
        <v>0</v>
      </c>
      <c r="H979" s="4">
        <v>0</v>
      </c>
      <c r="K979" s="4">
        <v>30528</v>
      </c>
      <c r="N979" s="4">
        <v>0</v>
      </c>
      <c r="O979" s="4">
        <v>0</v>
      </c>
      <c r="P979" s="4" t="str">
        <f t="shared" si="15"/>
        <v>WST_DIR.OPENMODE</v>
      </c>
      <c r="Q979" s="4" t="e">
        <f>VLOOKUP(Cobra8.6[[#This Row],[Table.Column]],ColumnMapping[Old Table.Column],1,)</f>
        <v>#N/A</v>
      </c>
    </row>
    <row r="980" spans="1:17" hidden="1" x14ac:dyDescent="0.2">
      <c r="A980" s="4" t="s">
        <v>2283</v>
      </c>
      <c r="B980" s="4">
        <v>0</v>
      </c>
      <c r="C980" s="4" t="s">
        <v>2284</v>
      </c>
      <c r="D980" s="4" t="s">
        <v>1936</v>
      </c>
      <c r="E980" s="4" t="s">
        <v>86</v>
      </c>
      <c r="F980" s="4">
        <v>20</v>
      </c>
      <c r="G980" s="4">
        <v>0</v>
      </c>
      <c r="H980" s="4">
        <v>131072</v>
      </c>
      <c r="K980" s="4">
        <v>30452</v>
      </c>
      <c r="N980" s="4">
        <v>0</v>
      </c>
      <c r="O980" s="4">
        <v>0</v>
      </c>
      <c r="P980" s="4" t="str">
        <f t="shared" si="15"/>
        <v>WST_DIR.OWNER_ID</v>
      </c>
      <c r="Q980" s="4" t="e">
        <f>VLOOKUP(Cobra8.6[[#This Row],[Table.Column]],ColumnMapping[Old Table.Column],1,)</f>
        <v>#N/A</v>
      </c>
    </row>
    <row r="981" spans="1:17" hidden="1" x14ac:dyDescent="0.2">
      <c r="A981" s="4" t="s">
        <v>2283</v>
      </c>
      <c r="B981" s="4">
        <v>0</v>
      </c>
      <c r="C981" s="4" t="s">
        <v>2284</v>
      </c>
      <c r="D981" s="4" t="s">
        <v>35</v>
      </c>
      <c r="E981" s="4" t="s">
        <v>2108</v>
      </c>
      <c r="F981" s="4">
        <v>4</v>
      </c>
      <c r="G981" s="4">
        <v>0</v>
      </c>
      <c r="H981" s="4">
        <v>196608</v>
      </c>
      <c r="K981" s="4">
        <v>30042</v>
      </c>
      <c r="N981" s="4">
        <v>0</v>
      </c>
      <c r="O981" s="4">
        <v>0</v>
      </c>
      <c r="P981" s="4" t="str">
        <f t="shared" si="15"/>
        <v>WST_DIR.SEQUENCE</v>
      </c>
      <c r="Q981" s="4" t="e">
        <f>VLOOKUP(Cobra8.6[[#This Row],[Table.Column]],ColumnMapping[Old Table.Column],1,)</f>
        <v>#N/A</v>
      </c>
    </row>
    <row r="982" spans="1:17" hidden="1" x14ac:dyDescent="0.2">
      <c r="A982" s="4" t="s">
        <v>2283</v>
      </c>
      <c r="B982" s="4">
        <v>0</v>
      </c>
      <c r="C982" s="4" t="s">
        <v>2284</v>
      </c>
      <c r="D982" s="4" t="s">
        <v>2005</v>
      </c>
      <c r="E982" s="4" t="s">
        <v>86</v>
      </c>
      <c r="F982" s="4">
        <v>30</v>
      </c>
      <c r="G982" s="4">
        <v>0</v>
      </c>
      <c r="H982" s="4">
        <v>0</v>
      </c>
      <c r="K982" s="4">
        <v>30526</v>
      </c>
      <c r="N982" s="4">
        <v>0</v>
      </c>
      <c r="O982" s="4">
        <v>0</v>
      </c>
      <c r="P982" s="4" t="str">
        <f t="shared" si="15"/>
        <v>WST_DIR.TABLE_TYPE</v>
      </c>
      <c r="Q982" s="4" t="e">
        <f>VLOOKUP(Cobra8.6[[#This Row],[Table.Column]],ColumnMapping[Old Table.Column],1,)</f>
        <v>#N/A</v>
      </c>
    </row>
    <row r="983" spans="1:17" hidden="1" x14ac:dyDescent="0.2">
      <c r="A983" s="4" t="s">
        <v>2283</v>
      </c>
      <c r="B983" s="4">
        <v>0</v>
      </c>
      <c r="C983" s="4" t="s">
        <v>2284</v>
      </c>
      <c r="D983" s="4" t="s">
        <v>2112</v>
      </c>
      <c r="E983" s="4" t="s">
        <v>86</v>
      </c>
      <c r="F983" s="4">
        <v>20</v>
      </c>
      <c r="G983" s="4">
        <v>0</v>
      </c>
      <c r="H983" s="4">
        <v>131072</v>
      </c>
      <c r="K983" s="4">
        <v>30451</v>
      </c>
      <c r="N983" s="4">
        <v>0</v>
      </c>
      <c r="O983" s="4">
        <v>0</v>
      </c>
      <c r="P983" s="4" t="str">
        <f t="shared" si="15"/>
        <v>WST_DIR.USR_ID</v>
      </c>
      <c r="Q983" s="4" t="e">
        <f>VLOOKUP(Cobra8.6[[#This Row],[Table.Column]],ColumnMapping[Old Table.Column],1,)</f>
        <v>#N/A</v>
      </c>
    </row>
    <row r="984" spans="1:17" hidden="1" x14ac:dyDescent="0.2">
      <c r="A984" s="4" t="s">
        <v>2286</v>
      </c>
      <c r="B984" s="4">
        <v>2</v>
      </c>
      <c r="C984" s="4" t="s">
        <v>2287</v>
      </c>
      <c r="D984" s="4" t="s">
        <v>15</v>
      </c>
      <c r="E984" s="4" t="s">
        <v>86</v>
      </c>
      <c r="F984" s="4">
        <v>60</v>
      </c>
      <c r="G984" s="4">
        <v>0</v>
      </c>
      <c r="H984" s="4">
        <v>0</v>
      </c>
      <c r="K984" s="4">
        <v>30525</v>
      </c>
      <c r="N984" s="4">
        <v>0</v>
      </c>
      <c r="O984" s="4">
        <v>0</v>
      </c>
      <c r="P984" s="4" t="str">
        <f t="shared" si="15"/>
        <v>WST_GRP.DESCRIPTION</v>
      </c>
      <c r="Q984" s="4" t="e">
        <f>VLOOKUP(Cobra8.6[[#This Row],[Table.Column]],ColumnMapping[Old Table.Column],1,)</f>
        <v>#N/A</v>
      </c>
    </row>
    <row r="985" spans="1:17" hidden="1" x14ac:dyDescent="0.2">
      <c r="A985" s="4" t="s">
        <v>2286</v>
      </c>
      <c r="B985" s="4">
        <v>2</v>
      </c>
      <c r="C985" s="4" t="s">
        <v>2287</v>
      </c>
      <c r="D985" s="4" t="s">
        <v>1935</v>
      </c>
      <c r="E985" s="4" t="s">
        <v>86</v>
      </c>
      <c r="F985" s="4">
        <v>20</v>
      </c>
      <c r="G985" s="4">
        <v>0</v>
      </c>
      <c r="H985" s="4">
        <v>0</v>
      </c>
      <c r="K985" s="4">
        <v>0</v>
      </c>
      <c r="N985" s="4">
        <v>0</v>
      </c>
      <c r="O985" s="4">
        <v>0</v>
      </c>
      <c r="P985" s="4" t="str">
        <f t="shared" si="15"/>
        <v>WST_GRP.GRP_ID</v>
      </c>
      <c r="Q985" s="4" t="e">
        <f>VLOOKUP(Cobra8.6[[#This Row],[Table.Column]],ColumnMapping[Old Table.Column],1,)</f>
        <v>#N/A</v>
      </c>
    </row>
    <row r="986" spans="1:17" hidden="1" x14ac:dyDescent="0.2">
      <c r="A986" s="4" t="s">
        <v>2286</v>
      </c>
      <c r="B986" s="4">
        <v>2</v>
      </c>
      <c r="C986" s="4" t="s">
        <v>2287</v>
      </c>
      <c r="D986" s="4" t="s">
        <v>2181</v>
      </c>
      <c r="E986" s="4" t="s">
        <v>86</v>
      </c>
      <c r="F986" s="4">
        <v>20</v>
      </c>
      <c r="G986" s="4">
        <v>0</v>
      </c>
      <c r="H986" s="4">
        <v>0</v>
      </c>
      <c r="K986" s="4">
        <v>0</v>
      </c>
      <c r="N986" s="4">
        <v>0</v>
      </c>
      <c r="O986" s="4">
        <v>0</v>
      </c>
      <c r="P986" s="4" t="str">
        <f t="shared" si="15"/>
        <v>WST_GRP.MANAGER</v>
      </c>
      <c r="Q986" s="4" t="e">
        <f>VLOOKUP(Cobra8.6[[#This Row],[Table.Column]],ColumnMapping[Old Table.Column],1,)</f>
        <v>#N/A</v>
      </c>
    </row>
    <row r="987" spans="1:17" hidden="1" x14ac:dyDescent="0.2">
      <c r="A987" s="4" t="s">
        <v>2286</v>
      </c>
      <c r="B987" s="4">
        <v>2</v>
      </c>
      <c r="C987" s="4" t="s">
        <v>2287</v>
      </c>
      <c r="D987" s="4" t="s">
        <v>2265</v>
      </c>
      <c r="E987" s="4" t="s">
        <v>86</v>
      </c>
      <c r="F987" s="4">
        <v>20</v>
      </c>
      <c r="G987" s="4">
        <v>0</v>
      </c>
      <c r="H987" s="4">
        <v>0</v>
      </c>
      <c r="K987" s="4">
        <v>0</v>
      </c>
      <c r="N987" s="4">
        <v>0</v>
      </c>
      <c r="O987" s="4">
        <v>0</v>
      </c>
      <c r="P987" s="4" t="str">
        <f t="shared" si="15"/>
        <v>WST_GRP.ROL_ID</v>
      </c>
      <c r="Q987" s="4" t="e">
        <f>VLOOKUP(Cobra8.6[[#This Row],[Table.Column]],ColumnMapping[Old Table.Column],1,)</f>
        <v>#N/A</v>
      </c>
    </row>
    <row r="988" spans="1:17" hidden="1" x14ac:dyDescent="0.2">
      <c r="A988" s="4" t="s">
        <v>1993</v>
      </c>
      <c r="B988" s="4">
        <v>32</v>
      </c>
      <c r="C988" s="4" t="s">
        <v>2288</v>
      </c>
      <c r="D988" s="4" t="s">
        <v>1961</v>
      </c>
      <c r="E988" s="4" t="s">
        <v>31</v>
      </c>
      <c r="F988" s="4">
        <v>22</v>
      </c>
      <c r="G988" s="4">
        <v>0</v>
      </c>
      <c r="H988" s="4">
        <v>1</v>
      </c>
      <c r="K988" s="4">
        <v>0</v>
      </c>
      <c r="N988" s="4">
        <v>0</v>
      </c>
      <c r="O988" s="4">
        <v>0</v>
      </c>
      <c r="P988" s="4" t="str">
        <f t="shared" si="15"/>
        <v>WST_LCK.CONTEXT</v>
      </c>
      <c r="Q988" s="4" t="str">
        <f>VLOOKUP(Cobra8.6[[#This Row],[Table.Column]],ColumnMapping[Old Table.Column],1,)</f>
        <v>WST_LCK.CONTEXT</v>
      </c>
    </row>
    <row r="989" spans="1:17" hidden="1" x14ac:dyDescent="0.2">
      <c r="A989" s="4" t="s">
        <v>1993</v>
      </c>
      <c r="B989" s="4">
        <v>32</v>
      </c>
      <c r="C989" s="4" t="s">
        <v>2288</v>
      </c>
      <c r="D989" s="4" t="s">
        <v>1995</v>
      </c>
      <c r="E989" s="4" t="s">
        <v>86</v>
      </c>
      <c r="F989" s="4">
        <v>200</v>
      </c>
      <c r="G989" s="4">
        <v>0</v>
      </c>
      <c r="H989" s="4">
        <v>1</v>
      </c>
      <c r="K989" s="4">
        <v>0</v>
      </c>
      <c r="N989" s="4">
        <v>0</v>
      </c>
      <c r="O989" s="4">
        <v>0</v>
      </c>
      <c r="P989" s="4" t="str">
        <f t="shared" si="15"/>
        <v>WST_LCK.CONTEXT_ID</v>
      </c>
      <c r="Q989" s="4" t="str">
        <f>VLOOKUP(Cobra8.6[[#This Row],[Table.Column]],ColumnMapping[Old Table.Column],1,)</f>
        <v>WST_LCK.CONTEXT_ID</v>
      </c>
    </row>
    <row r="990" spans="1:17" hidden="1" x14ac:dyDescent="0.2">
      <c r="A990" s="4" t="s">
        <v>1993</v>
      </c>
      <c r="B990" s="4">
        <v>32</v>
      </c>
      <c r="C990" s="4" t="s">
        <v>2288</v>
      </c>
      <c r="D990" s="4" t="s">
        <v>1997</v>
      </c>
      <c r="E990" s="4" t="s">
        <v>31</v>
      </c>
      <c r="F990" s="4">
        <v>22</v>
      </c>
      <c r="G990" s="4">
        <v>0</v>
      </c>
      <c r="H990" s="4">
        <v>1</v>
      </c>
      <c r="K990" s="4">
        <v>0</v>
      </c>
      <c r="N990" s="4">
        <v>0</v>
      </c>
      <c r="O990" s="4">
        <v>0</v>
      </c>
      <c r="P990" s="4" t="str">
        <f t="shared" si="15"/>
        <v>WST_LCK.DIR_UID</v>
      </c>
      <c r="Q990" s="4" t="str">
        <f>VLOOKUP(Cobra8.6[[#This Row],[Table.Column]],ColumnMapping[Old Table.Column],1,)</f>
        <v>WST_LCK.DIR_UID</v>
      </c>
    </row>
    <row r="991" spans="1:17" hidden="1" x14ac:dyDescent="0.2">
      <c r="A991" s="4" t="s">
        <v>1993</v>
      </c>
      <c r="B991" s="4">
        <v>32</v>
      </c>
      <c r="C991" s="4" t="s">
        <v>2288</v>
      </c>
      <c r="D991" s="4" t="s">
        <v>2111</v>
      </c>
      <c r="E991" s="4" t="s">
        <v>356</v>
      </c>
      <c r="F991" s="4">
        <v>20</v>
      </c>
      <c r="G991" s="4">
        <v>0</v>
      </c>
      <c r="H991" s="4">
        <v>131072</v>
      </c>
      <c r="K991" s="4">
        <v>30460</v>
      </c>
      <c r="N991" s="4">
        <v>0</v>
      </c>
      <c r="O991" s="4">
        <v>0</v>
      </c>
      <c r="P991" s="4" t="str">
        <f t="shared" si="15"/>
        <v>WST_LCK.LASTUPDATE</v>
      </c>
      <c r="Q991" s="4" t="str">
        <f>VLOOKUP(Cobra8.6[[#This Row],[Table.Column]],ColumnMapping[Old Table.Column],1,)</f>
        <v>WST_LCK.LASTUPDATE</v>
      </c>
    </row>
    <row r="992" spans="1:17" hidden="1" x14ac:dyDescent="0.2">
      <c r="A992" s="4" t="s">
        <v>1993</v>
      </c>
      <c r="B992" s="4">
        <v>32</v>
      </c>
      <c r="C992" s="4" t="s">
        <v>2288</v>
      </c>
      <c r="D992" s="4" t="s">
        <v>1999</v>
      </c>
      <c r="E992" s="4" t="s">
        <v>31</v>
      </c>
      <c r="F992" s="4">
        <v>22</v>
      </c>
      <c r="G992" s="4">
        <v>0</v>
      </c>
      <c r="H992" s="4">
        <v>1</v>
      </c>
      <c r="K992" s="4">
        <v>0</v>
      </c>
      <c r="N992" s="4">
        <v>0</v>
      </c>
      <c r="O992" s="4">
        <v>0</v>
      </c>
      <c r="P992" s="4" t="str">
        <f t="shared" si="15"/>
        <v>WST_LCK.LCK_UID</v>
      </c>
      <c r="Q992" s="4" t="str">
        <f>VLOOKUP(Cobra8.6[[#This Row],[Table.Column]],ColumnMapping[Old Table.Column],1,)</f>
        <v>WST_LCK.LCK_UID</v>
      </c>
    </row>
    <row r="993" spans="1:17" hidden="1" x14ac:dyDescent="0.2">
      <c r="A993" s="4" t="s">
        <v>1993</v>
      </c>
      <c r="B993" s="4">
        <v>32</v>
      </c>
      <c r="C993" s="4" t="s">
        <v>2288</v>
      </c>
      <c r="D993" s="4" t="s">
        <v>2000</v>
      </c>
      <c r="E993" s="4" t="s">
        <v>86</v>
      </c>
      <c r="F993" s="4">
        <v>1</v>
      </c>
      <c r="G993" s="4">
        <v>0</v>
      </c>
      <c r="H993" s="4">
        <v>1</v>
      </c>
      <c r="K993" s="4">
        <v>0</v>
      </c>
      <c r="N993" s="4">
        <v>0</v>
      </c>
      <c r="O993" s="4">
        <v>0</v>
      </c>
      <c r="P993" s="4" t="str">
        <f t="shared" si="15"/>
        <v>WST_LCK.LOCKMODE</v>
      </c>
      <c r="Q993" s="4" t="str">
        <f>VLOOKUP(Cobra8.6[[#This Row],[Table.Column]],ColumnMapping[Old Table.Column],1,)</f>
        <v>WST_LCK.LOCKMODE</v>
      </c>
    </row>
    <row r="994" spans="1:17" hidden="1" x14ac:dyDescent="0.2">
      <c r="A994" s="4" t="s">
        <v>1993</v>
      </c>
      <c r="B994" s="4">
        <v>32</v>
      </c>
      <c r="C994" s="4" t="s">
        <v>2288</v>
      </c>
      <c r="D994" s="4" t="s">
        <v>2001</v>
      </c>
      <c r="E994" s="4" t="s">
        <v>86</v>
      </c>
      <c r="F994" s="4">
        <v>48</v>
      </c>
      <c r="G994" s="4">
        <v>0</v>
      </c>
      <c r="H994" s="4">
        <v>1</v>
      </c>
      <c r="K994" s="4">
        <v>0</v>
      </c>
      <c r="N994" s="4">
        <v>0</v>
      </c>
      <c r="O994" s="4">
        <v>0</v>
      </c>
      <c r="P994" s="4" t="str">
        <f t="shared" si="15"/>
        <v>WST_LCK.MACHINE_ID</v>
      </c>
      <c r="Q994" s="4" t="str">
        <f>VLOOKUP(Cobra8.6[[#This Row],[Table.Column]],ColumnMapping[Old Table.Column],1,)</f>
        <v>WST_LCK.MACHINE_ID</v>
      </c>
    </row>
    <row r="995" spans="1:17" hidden="1" x14ac:dyDescent="0.2">
      <c r="A995" s="4" t="s">
        <v>1993</v>
      </c>
      <c r="B995" s="4">
        <v>32</v>
      </c>
      <c r="C995" s="4" t="s">
        <v>2288</v>
      </c>
      <c r="D995" s="4" t="s">
        <v>2002</v>
      </c>
      <c r="E995" s="4" t="s">
        <v>2108</v>
      </c>
      <c r="F995" s="4">
        <v>4</v>
      </c>
      <c r="G995" s="4">
        <v>0</v>
      </c>
      <c r="H995" s="4">
        <v>0</v>
      </c>
      <c r="K995" s="4">
        <v>15032</v>
      </c>
      <c r="N995" s="4">
        <v>0</v>
      </c>
      <c r="O995" s="4">
        <v>0</v>
      </c>
      <c r="P995" s="4" t="str">
        <f t="shared" si="15"/>
        <v>WST_LCK.PRD_UID</v>
      </c>
      <c r="Q995" s="4" t="str">
        <f>VLOOKUP(Cobra8.6[[#This Row],[Table.Column]],ColumnMapping[Old Table.Column],1,)</f>
        <v>WST_LCK.PRD_UID</v>
      </c>
    </row>
    <row r="996" spans="1:17" hidden="1" x14ac:dyDescent="0.2">
      <c r="A996" s="4" t="s">
        <v>1993</v>
      </c>
      <c r="B996" s="4">
        <v>32</v>
      </c>
      <c r="C996" s="4" t="s">
        <v>2288</v>
      </c>
      <c r="D996" s="4" t="s">
        <v>2003</v>
      </c>
      <c r="E996" s="4" t="s">
        <v>31</v>
      </c>
      <c r="F996" s="4">
        <v>22</v>
      </c>
      <c r="G996" s="4">
        <v>0</v>
      </c>
      <c r="H996" s="4">
        <v>0</v>
      </c>
      <c r="K996" s="4">
        <v>0</v>
      </c>
      <c r="N996" s="4">
        <v>0</v>
      </c>
      <c r="O996" s="4">
        <v>0</v>
      </c>
      <c r="P996" s="4" t="str">
        <f t="shared" si="15"/>
        <v>WST_LCK.ULI_UID</v>
      </c>
      <c r="Q996" s="4" t="str">
        <f>VLOOKUP(Cobra8.6[[#This Row],[Table.Column]],ColumnMapping[Old Table.Column],1,)</f>
        <v>WST_LCK.ULI_UID</v>
      </c>
    </row>
    <row r="997" spans="1:17" hidden="1" x14ac:dyDescent="0.2">
      <c r="A997" s="4" t="s">
        <v>1993</v>
      </c>
      <c r="B997" s="4">
        <v>32</v>
      </c>
      <c r="C997" s="4" t="s">
        <v>2288</v>
      </c>
      <c r="D997" s="4" t="s">
        <v>2112</v>
      </c>
      <c r="E997" s="4" t="s">
        <v>86</v>
      </c>
      <c r="F997" s="4">
        <v>20</v>
      </c>
      <c r="G997" s="4">
        <v>0</v>
      </c>
      <c r="H997" s="4">
        <v>131072</v>
      </c>
      <c r="K997" s="4">
        <v>30451</v>
      </c>
      <c r="N997" s="4">
        <v>0</v>
      </c>
      <c r="O997" s="4">
        <v>0</v>
      </c>
      <c r="P997" s="4" t="str">
        <f t="shared" si="15"/>
        <v>WST_LCK.USR_ID</v>
      </c>
      <c r="Q997" s="4" t="str">
        <f>VLOOKUP(Cobra8.6[[#This Row],[Table.Column]],ColumnMapping[Old Table.Column],1,)</f>
        <v>WST_LCK.USR_ID</v>
      </c>
    </row>
    <row r="998" spans="1:17" hidden="1" x14ac:dyDescent="0.2">
      <c r="A998" s="4" t="s">
        <v>2289</v>
      </c>
      <c r="B998" s="4">
        <v>0</v>
      </c>
      <c r="C998" s="4" t="s">
        <v>2290</v>
      </c>
      <c r="D998" s="4" t="s">
        <v>1997</v>
      </c>
      <c r="E998" s="4" t="s">
        <v>31</v>
      </c>
      <c r="F998" s="4">
        <v>22</v>
      </c>
      <c r="G998" s="4">
        <v>0</v>
      </c>
      <c r="H998" s="4">
        <v>0</v>
      </c>
      <c r="K998" s="4">
        <v>0</v>
      </c>
      <c r="L998" s="4">
        <v>0</v>
      </c>
      <c r="M998" s="4" t="s">
        <v>1997</v>
      </c>
      <c r="N998" s="4">
        <v>0</v>
      </c>
      <c r="O998" s="4">
        <v>0</v>
      </c>
      <c r="P998" s="4" t="str">
        <f t="shared" si="15"/>
        <v>WST_NTX.DIR_UID</v>
      </c>
      <c r="Q998" s="4" t="e">
        <f>VLOOKUP(Cobra8.6[[#This Row],[Table.Column]],ColumnMapping[Old Table.Column],1,)</f>
        <v>#N/A</v>
      </c>
    </row>
    <row r="999" spans="1:17" hidden="1" x14ac:dyDescent="0.2">
      <c r="A999" s="4" t="s">
        <v>2289</v>
      </c>
      <c r="B999" s="4">
        <v>0</v>
      </c>
      <c r="C999" s="4" t="s">
        <v>2290</v>
      </c>
      <c r="D999" s="4" t="s">
        <v>98</v>
      </c>
      <c r="E999" s="4" t="s">
        <v>86</v>
      </c>
      <c r="F999" s="4">
        <v>60</v>
      </c>
      <c r="G999" s="4">
        <v>0</v>
      </c>
      <c r="H999" s="4">
        <v>0</v>
      </c>
      <c r="K999" s="4">
        <v>0</v>
      </c>
      <c r="N999" s="4">
        <v>0</v>
      </c>
      <c r="O999" s="4">
        <v>0</v>
      </c>
      <c r="P999" s="4" t="str">
        <f t="shared" si="15"/>
        <v>WST_NTX.FIELD_NAME</v>
      </c>
      <c r="Q999" s="4" t="e">
        <f>VLOOKUP(Cobra8.6[[#This Row],[Table.Column]],ColumnMapping[Old Table.Column],1,)</f>
        <v>#N/A</v>
      </c>
    </row>
    <row r="1000" spans="1:17" hidden="1" x14ac:dyDescent="0.2">
      <c r="A1000" s="4" t="s">
        <v>2289</v>
      </c>
      <c r="B1000" s="4">
        <v>0</v>
      </c>
      <c r="C1000" s="4" t="s">
        <v>2290</v>
      </c>
      <c r="D1000" s="4" t="s">
        <v>1796</v>
      </c>
      <c r="E1000" s="4" t="s">
        <v>271</v>
      </c>
      <c r="F1000" s="4">
        <v>32768</v>
      </c>
      <c r="G1000" s="4">
        <v>0</v>
      </c>
      <c r="H1000" s="4">
        <v>0</v>
      </c>
      <c r="K1000" s="4">
        <v>0</v>
      </c>
      <c r="N1000" s="4">
        <v>0</v>
      </c>
      <c r="O1000" s="4">
        <v>0</v>
      </c>
      <c r="P1000" s="4" t="str">
        <f t="shared" si="15"/>
        <v>WST_NTX.FIELD_VALUE</v>
      </c>
      <c r="Q1000" s="4" t="e">
        <f>VLOOKUP(Cobra8.6[[#This Row],[Table.Column]],ColumnMapping[Old Table.Column],1,)</f>
        <v>#N/A</v>
      </c>
    </row>
    <row r="1001" spans="1:17" hidden="1" x14ac:dyDescent="0.2">
      <c r="A1001" s="4" t="s">
        <v>2289</v>
      </c>
      <c r="B1001" s="4">
        <v>0</v>
      </c>
      <c r="C1001" s="4" t="s">
        <v>2290</v>
      </c>
      <c r="D1001" s="4" t="s">
        <v>2291</v>
      </c>
      <c r="E1001" s="4" t="s">
        <v>31</v>
      </c>
      <c r="F1001" s="4">
        <v>22</v>
      </c>
      <c r="G1001" s="4">
        <v>0</v>
      </c>
      <c r="H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 t="str">
        <f t="shared" si="15"/>
        <v>WST_NTX.FK_UID</v>
      </c>
      <c r="Q1001" s="4" t="e">
        <f>VLOOKUP(Cobra8.6[[#This Row],[Table.Column]],ColumnMapping[Old Table.Column],1,)</f>
        <v>#N/A</v>
      </c>
    </row>
    <row r="1002" spans="1:17" hidden="1" x14ac:dyDescent="0.2">
      <c r="A1002" s="4" t="s">
        <v>2289</v>
      </c>
      <c r="B1002" s="4">
        <v>0</v>
      </c>
      <c r="C1002" s="4" t="s">
        <v>2290</v>
      </c>
      <c r="D1002" s="4" t="s">
        <v>30</v>
      </c>
      <c r="E1002" s="4" t="s">
        <v>31</v>
      </c>
      <c r="F1002" s="4">
        <v>22</v>
      </c>
      <c r="G1002" s="4">
        <v>0</v>
      </c>
      <c r="H1002" s="4">
        <v>0</v>
      </c>
      <c r="K1002" s="4">
        <v>0</v>
      </c>
      <c r="N1002" s="4">
        <v>0</v>
      </c>
      <c r="O1002" s="4">
        <v>0</v>
      </c>
      <c r="P1002" s="4" t="str">
        <f t="shared" si="15"/>
        <v>WST_NTX.ROW_UID</v>
      </c>
      <c r="Q1002" s="4" t="e">
        <f>VLOOKUP(Cobra8.6[[#This Row],[Table.Column]],ColumnMapping[Old Table.Column],1,)</f>
        <v>#N/A</v>
      </c>
    </row>
    <row r="1003" spans="1:17" hidden="1" x14ac:dyDescent="0.2">
      <c r="A1003" s="4" t="s">
        <v>2289</v>
      </c>
      <c r="B1003" s="4">
        <v>0</v>
      </c>
      <c r="C1003" s="4" t="s">
        <v>2290</v>
      </c>
      <c r="D1003" s="4" t="s">
        <v>2005</v>
      </c>
      <c r="E1003" s="4" t="s">
        <v>86</v>
      </c>
      <c r="F1003" s="4">
        <v>30</v>
      </c>
      <c r="G1003" s="4">
        <v>0</v>
      </c>
      <c r="H1003" s="4">
        <v>0</v>
      </c>
      <c r="K1003" s="4">
        <v>30526</v>
      </c>
      <c r="N1003" s="4">
        <v>0</v>
      </c>
      <c r="O1003" s="4">
        <v>0</v>
      </c>
      <c r="P1003" s="4" t="str">
        <f t="shared" si="15"/>
        <v>WST_NTX.TABLE_TYPE</v>
      </c>
      <c r="Q1003" s="4" t="e">
        <f>VLOOKUP(Cobra8.6[[#This Row],[Table.Column]],ColumnMapping[Old Table.Column],1,)</f>
        <v>#N/A</v>
      </c>
    </row>
    <row r="1004" spans="1:17" hidden="1" x14ac:dyDescent="0.2">
      <c r="A1004" s="4" t="s">
        <v>2292</v>
      </c>
      <c r="B1004" s="4">
        <v>2</v>
      </c>
      <c r="C1004" s="4" t="s">
        <v>2293</v>
      </c>
      <c r="D1004" s="4" t="s">
        <v>15</v>
      </c>
      <c r="E1004" s="4" t="s">
        <v>86</v>
      </c>
      <c r="F1004" s="4">
        <v>60</v>
      </c>
      <c r="G1004" s="4">
        <v>0</v>
      </c>
      <c r="H1004" s="4">
        <v>0</v>
      </c>
      <c r="K1004" s="4">
        <v>30525</v>
      </c>
      <c r="N1004" s="4">
        <v>0</v>
      </c>
      <c r="O1004" s="4">
        <v>0</v>
      </c>
      <c r="P1004" s="4" t="str">
        <f t="shared" si="15"/>
        <v>WST_ROL.DESCRIPTION</v>
      </c>
      <c r="Q1004" s="4" t="e">
        <f>VLOOKUP(Cobra8.6[[#This Row],[Table.Column]],ColumnMapping[Old Table.Column],1,)</f>
        <v>#N/A</v>
      </c>
    </row>
    <row r="1005" spans="1:17" hidden="1" x14ac:dyDescent="0.2">
      <c r="A1005" s="4" t="s">
        <v>2292</v>
      </c>
      <c r="B1005" s="4">
        <v>2</v>
      </c>
      <c r="C1005" s="4" t="s">
        <v>2293</v>
      </c>
      <c r="D1005" s="4" t="s">
        <v>2181</v>
      </c>
      <c r="E1005" s="4" t="s">
        <v>86</v>
      </c>
      <c r="F1005" s="4">
        <v>20</v>
      </c>
      <c r="G1005" s="4">
        <v>0</v>
      </c>
      <c r="H1005" s="4">
        <v>0</v>
      </c>
      <c r="K1005" s="4">
        <v>0</v>
      </c>
      <c r="N1005" s="4">
        <v>0</v>
      </c>
      <c r="O1005" s="4">
        <v>0</v>
      </c>
      <c r="P1005" s="4" t="str">
        <f t="shared" si="15"/>
        <v>WST_ROL.MANAGER</v>
      </c>
      <c r="Q1005" s="4" t="e">
        <f>VLOOKUP(Cobra8.6[[#This Row],[Table.Column]],ColumnMapping[Old Table.Column],1,)</f>
        <v>#N/A</v>
      </c>
    </row>
    <row r="1006" spans="1:17" hidden="1" x14ac:dyDescent="0.2">
      <c r="A1006" s="4" t="s">
        <v>2292</v>
      </c>
      <c r="B1006" s="4">
        <v>2</v>
      </c>
      <c r="C1006" s="4" t="s">
        <v>2293</v>
      </c>
      <c r="D1006" s="4" t="s">
        <v>2265</v>
      </c>
      <c r="E1006" s="4" t="s">
        <v>86</v>
      </c>
      <c r="F1006" s="4">
        <v>20</v>
      </c>
      <c r="G1006" s="4">
        <v>0</v>
      </c>
      <c r="H1006" s="4">
        <v>0</v>
      </c>
      <c r="K1006" s="4">
        <v>0</v>
      </c>
      <c r="N1006" s="4">
        <v>0</v>
      </c>
      <c r="O1006" s="4">
        <v>0</v>
      </c>
      <c r="P1006" s="4" t="str">
        <f t="shared" si="15"/>
        <v>WST_ROL.ROL_ID</v>
      </c>
      <c r="Q1006" s="4" t="e">
        <f>VLOOKUP(Cobra8.6[[#This Row],[Table.Column]],ColumnMapping[Old Table.Column],1,)</f>
        <v>#N/A</v>
      </c>
    </row>
    <row r="1007" spans="1:17" hidden="1" x14ac:dyDescent="0.2">
      <c r="A1007" s="4" t="s">
        <v>2294</v>
      </c>
      <c r="B1007" s="4">
        <v>0</v>
      </c>
      <c r="C1007" s="4" t="s">
        <v>2295</v>
      </c>
      <c r="D1007" s="4" t="s">
        <v>15</v>
      </c>
      <c r="E1007" s="4" t="s">
        <v>86</v>
      </c>
      <c r="F1007" s="4">
        <v>60</v>
      </c>
      <c r="G1007" s="4">
        <v>0</v>
      </c>
      <c r="H1007" s="4">
        <v>0</v>
      </c>
      <c r="K1007" s="4">
        <v>30525</v>
      </c>
      <c r="N1007" s="4">
        <v>0</v>
      </c>
      <c r="O1007" s="4">
        <v>0</v>
      </c>
      <c r="P1007" s="4" t="str">
        <f t="shared" si="15"/>
        <v>WST_UDF.DESCRIPTION</v>
      </c>
      <c r="Q1007" s="4" t="str">
        <f>VLOOKUP(Cobra8.6[[#This Row],[Table.Column]],ColumnMapping[Old Table.Column],1,)</f>
        <v>WST_UDF.DESCRIPTION</v>
      </c>
    </row>
    <row r="1008" spans="1:17" hidden="1" x14ac:dyDescent="0.2">
      <c r="A1008" s="4" t="s">
        <v>2294</v>
      </c>
      <c r="B1008" s="4">
        <v>0</v>
      </c>
      <c r="C1008" s="4" t="s">
        <v>2295</v>
      </c>
      <c r="D1008" s="4" t="s">
        <v>98</v>
      </c>
      <c r="E1008" s="4" t="s">
        <v>86</v>
      </c>
      <c r="F1008" s="4">
        <v>60</v>
      </c>
      <c r="G1008" s="4">
        <v>0</v>
      </c>
      <c r="H1008" s="4">
        <v>0</v>
      </c>
      <c r="K1008" s="4">
        <v>0</v>
      </c>
      <c r="N1008" s="4">
        <v>0</v>
      </c>
      <c r="O1008" s="4">
        <v>0</v>
      </c>
      <c r="P1008" s="4" t="str">
        <f t="shared" si="15"/>
        <v>WST_UDF.FIELD_NAME</v>
      </c>
      <c r="Q1008" s="4" t="e">
        <f>VLOOKUP(Cobra8.6[[#This Row],[Table.Column]],ColumnMapping[Old Table.Column],1,)</f>
        <v>#N/A</v>
      </c>
    </row>
    <row r="1009" spans="1:17" hidden="1" x14ac:dyDescent="0.2">
      <c r="A1009" s="4" t="s">
        <v>2294</v>
      </c>
      <c r="B1009" s="4">
        <v>0</v>
      </c>
      <c r="C1009" s="4" t="s">
        <v>2295</v>
      </c>
      <c r="D1009" s="4" t="s">
        <v>2296</v>
      </c>
      <c r="E1009" s="4" t="s">
        <v>86</v>
      </c>
      <c r="F1009" s="4">
        <v>4</v>
      </c>
      <c r="G1009" s="4">
        <v>0</v>
      </c>
      <c r="H1009" s="4">
        <v>0</v>
      </c>
      <c r="K1009" s="4">
        <v>0</v>
      </c>
      <c r="N1009" s="4">
        <v>0</v>
      </c>
      <c r="O1009" s="4">
        <v>0</v>
      </c>
      <c r="P1009" s="4" t="str">
        <f t="shared" si="15"/>
        <v>WST_UDF.FIELD_TYPE</v>
      </c>
      <c r="Q1009" s="4" t="str">
        <f>VLOOKUP(Cobra8.6[[#This Row],[Table.Column]],ColumnMapping[Old Table.Column],1,)</f>
        <v>WST_UDF.FIELD_TYPE</v>
      </c>
    </row>
    <row r="1010" spans="1:17" hidden="1" x14ac:dyDescent="0.2">
      <c r="A1010" s="4" t="s">
        <v>2294</v>
      </c>
      <c r="B1010" s="4">
        <v>0</v>
      </c>
      <c r="C1010" s="4" t="s">
        <v>2295</v>
      </c>
      <c r="D1010" s="4" t="s">
        <v>2297</v>
      </c>
      <c r="E1010" s="4" t="s">
        <v>86</v>
      </c>
      <c r="F1010" s="4">
        <v>30</v>
      </c>
      <c r="G1010" s="4">
        <v>0</v>
      </c>
      <c r="H1010" s="4">
        <v>0</v>
      </c>
      <c r="K1010" s="4">
        <v>0</v>
      </c>
      <c r="N1010" s="4">
        <v>0</v>
      </c>
      <c r="O1010" s="4">
        <v>0</v>
      </c>
      <c r="P1010" s="4" t="str">
        <f t="shared" si="15"/>
        <v>WST_UDF.LOOKUP_FIELD</v>
      </c>
      <c r="Q1010" s="4" t="str">
        <f>VLOOKUP(Cobra8.6[[#This Row],[Table.Column]],ColumnMapping[Old Table.Column],1,)</f>
        <v>WST_UDF.LOOKUP_FIELD</v>
      </c>
    </row>
    <row r="1011" spans="1:17" hidden="1" x14ac:dyDescent="0.2">
      <c r="A1011" s="4" t="s">
        <v>2294</v>
      </c>
      <c r="B1011" s="4">
        <v>0</v>
      </c>
      <c r="C1011" s="4" t="s">
        <v>2295</v>
      </c>
      <c r="D1011" s="4" t="s">
        <v>2298</v>
      </c>
      <c r="E1011" s="4" t="s">
        <v>86</v>
      </c>
      <c r="F1011" s="4">
        <v>30</v>
      </c>
      <c r="G1011" s="4">
        <v>0</v>
      </c>
      <c r="H1011" s="4">
        <v>0</v>
      </c>
      <c r="K1011" s="4">
        <v>0</v>
      </c>
      <c r="N1011" s="4">
        <v>0</v>
      </c>
      <c r="O1011" s="4">
        <v>0</v>
      </c>
      <c r="P1011" s="4" t="str">
        <f t="shared" si="15"/>
        <v>WST_UDF.LOOKUP_TABLE_NAME</v>
      </c>
      <c r="Q1011" s="4" t="str">
        <f>VLOOKUP(Cobra8.6[[#This Row],[Table.Column]],ColumnMapping[Old Table.Column],1,)</f>
        <v>WST_UDF.LOOKUP_TABLE_NAME</v>
      </c>
    </row>
    <row r="1012" spans="1:17" hidden="1" x14ac:dyDescent="0.2">
      <c r="A1012" s="4" t="s">
        <v>2294</v>
      </c>
      <c r="B1012" s="4">
        <v>0</v>
      </c>
      <c r="C1012" s="4" t="s">
        <v>2295</v>
      </c>
      <c r="D1012" s="4" t="s">
        <v>2299</v>
      </c>
      <c r="E1012" s="4" t="s">
        <v>86</v>
      </c>
      <c r="F1012" s="4">
        <v>30</v>
      </c>
      <c r="G1012" s="4">
        <v>0</v>
      </c>
      <c r="H1012" s="4">
        <v>0</v>
      </c>
      <c r="K1012" s="4">
        <v>0</v>
      </c>
      <c r="N1012" s="4">
        <v>0</v>
      </c>
      <c r="O1012" s="4">
        <v>0</v>
      </c>
      <c r="P1012" s="4" t="str">
        <f t="shared" si="15"/>
        <v>WST_UDF.LOOKUP_TABLE_TYPE</v>
      </c>
      <c r="Q1012" s="4" t="str">
        <f>VLOOKUP(Cobra8.6[[#This Row],[Table.Column]],ColumnMapping[Old Table.Column],1,)</f>
        <v>WST_UDF.LOOKUP_TABLE_TYPE</v>
      </c>
    </row>
    <row r="1013" spans="1:17" hidden="1" x14ac:dyDescent="0.2">
      <c r="A1013" s="4" t="s">
        <v>2294</v>
      </c>
      <c r="B1013" s="4">
        <v>0</v>
      </c>
      <c r="C1013" s="4" t="s">
        <v>2295</v>
      </c>
      <c r="D1013" s="4" t="s">
        <v>35</v>
      </c>
      <c r="E1013" s="4" t="s">
        <v>2108</v>
      </c>
      <c r="F1013" s="4">
        <v>4</v>
      </c>
      <c r="G1013" s="4">
        <v>0</v>
      </c>
      <c r="H1013" s="4">
        <v>196608</v>
      </c>
      <c r="K1013" s="4">
        <v>30042</v>
      </c>
      <c r="N1013" s="4">
        <v>0</v>
      </c>
      <c r="O1013" s="4">
        <v>0</v>
      </c>
      <c r="P1013" s="4" t="str">
        <f t="shared" si="15"/>
        <v>WST_UDF.SEQUENCE</v>
      </c>
      <c r="Q1013" s="4" t="e">
        <f>VLOOKUP(Cobra8.6[[#This Row],[Table.Column]],ColumnMapping[Old Table.Column],1,)</f>
        <v>#N/A</v>
      </c>
    </row>
    <row r="1014" spans="1:17" hidden="1" x14ac:dyDescent="0.2">
      <c r="A1014" s="4" t="s">
        <v>2294</v>
      </c>
      <c r="B1014" s="4">
        <v>0</v>
      </c>
      <c r="C1014" s="4" t="s">
        <v>2295</v>
      </c>
      <c r="D1014" s="4" t="s">
        <v>2005</v>
      </c>
      <c r="E1014" s="4" t="s">
        <v>86</v>
      </c>
      <c r="F1014" s="4">
        <v>30</v>
      </c>
      <c r="G1014" s="4">
        <v>0</v>
      </c>
      <c r="H1014" s="4">
        <v>0</v>
      </c>
      <c r="K1014" s="4">
        <v>30526</v>
      </c>
      <c r="N1014" s="4">
        <v>0</v>
      </c>
      <c r="O1014" s="4">
        <v>0</v>
      </c>
      <c r="P1014" s="4" t="str">
        <f t="shared" si="15"/>
        <v>WST_UDF.TABLE_TYPE</v>
      </c>
      <c r="Q1014" s="4" t="e">
        <f>VLOOKUP(Cobra8.6[[#This Row],[Table.Column]],ColumnMapping[Old Table.Column],1,)</f>
        <v>#N/A</v>
      </c>
    </row>
    <row r="1015" spans="1:17" hidden="1" x14ac:dyDescent="0.2">
      <c r="A1015" s="4" t="s">
        <v>2294</v>
      </c>
      <c r="B1015" s="4">
        <v>0</v>
      </c>
      <c r="C1015" s="4" t="s">
        <v>2295</v>
      </c>
      <c r="D1015" s="4" t="s">
        <v>2300</v>
      </c>
      <c r="E1015" s="4" t="s">
        <v>31</v>
      </c>
      <c r="F1015" s="4">
        <v>22</v>
      </c>
      <c r="G1015" s="4">
        <v>0</v>
      </c>
      <c r="H1015" s="4">
        <v>0</v>
      </c>
      <c r="K1015" s="4">
        <v>0</v>
      </c>
      <c r="N1015" s="4">
        <v>0</v>
      </c>
      <c r="O1015" s="4">
        <v>0</v>
      </c>
      <c r="P1015" s="4" t="str">
        <f t="shared" si="15"/>
        <v>WST_UDF.UDF_UID</v>
      </c>
      <c r="Q1015" s="4" t="e">
        <f>VLOOKUP(Cobra8.6[[#This Row],[Table.Column]],ColumnMapping[Old Table.Column],1,)</f>
        <v>#N/A</v>
      </c>
    </row>
    <row r="1016" spans="1:17" hidden="1" x14ac:dyDescent="0.2">
      <c r="A1016" s="4" t="s">
        <v>2301</v>
      </c>
      <c r="B1016" s="4">
        <v>0</v>
      </c>
      <c r="C1016" s="4" t="s">
        <v>2302</v>
      </c>
      <c r="D1016" s="4" t="s">
        <v>1997</v>
      </c>
      <c r="E1016" s="4" t="s">
        <v>31</v>
      </c>
      <c r="F1016" s="4">
        <v>22</v>
      </c>
      <c r="G1016" s="4">
        <v>0</v>
      </c>
      <c r="H1016" s="4">
        <v>0</v>
      </c>
      <c r="K1016" s="4">
        <v>0</v>
      </c>
      <c r="L1016" s="4">
        <v>0</v>
      </c>
      <c r="M1016" s="4" t="s">
        <v>1997</v>
      </c>
      <c r="N1016" s="4">
        <v>1</v>
      </c>
      <c r="O1016" s="4">
        <v>0</v>
      </c>
      <c r="P1016" s="4" t="str">
        <f t="shared" si="15"/>
        <v>WST_UDT.DIR_UID</v>
      </c>
      <c r="Q1016" s="4" t="e">
        <f>VLOOKUP(Cobra8.6[[#This Row],[Table.Column]],ColumnMapping[Old Table.Column],1,)</f>
        <v>#N/A</v>
      </c>
    </row>
    <row r="1017" spans="1:17" hidden="1" x14ac:dyDescent="0.2">
      <c r="A1017" s="4" t="s">
        <v>2301</v>
      </c>
      <c r="B1017" s="4">
        <v>0</v>
      </c>
      <c r="C1017" s="4" t="s">
        <v>2302</v>
      </c>
      <c r="D1017" s="4" t="s">
        <v>98</v>
      </c>
      <c r="E1017" s="4" t="s">
        <v>86</v>
      </c>
      <c r="F1017" s="4">
        <v>60</v>
      </c>
      <c r="G1017" s="4">
        <v>0</v>
      </c>
      <c r="H1017" s="4">
        <v>0</v>
      </c>
      <c r="K1017" s="4">
        <v>0</v>
      </c>
      <c r="N1017" s="4">
        <v>0</v>
      </c>
      <c r="O1017" s="4">
        <v>0</v>
      </c>
      <c r="P1017" s="4" t="str">
        <f t="shared" si="15"/>
        <v>WST_UDT.FIELD_NAME</v>
      </c>
      <c r="Q1017" s="4" t="e">
        <f>VLOOKUP(Cobra8.6[[#This Row],[Table.Column]],ColumnMapping[Old Table.Column],1,)</f>
        <v>#N/A</v>
      </c>
    </row>
    <row r="1018" spans="1:17" hidden="1" x14ac:dyDescent="0.2">
      <c r="A1018" s="4" t="s">
        <v>2301</v>
      </c>
      <c r="B1018" s="4">
        <v>0</v>
      </c>
      <c r="C1018" s="4" t="s">
        <v>2302</v>
      </c>
      <c r="D1018" s="4" t="s">
        <v>1796</v>
      </c>
      <c r="E1018" s="4" t="s">
        <v>356</v>
      </c>
      <c r="F1018" s="4">
        <v>20</v>
      </c>
      <c r="G1018" s="4">
        <v>0</v>
      </c>
      <c r="H1018" s="4">
        <v>0</v>
      </c>
      <c r="K1018" s="4">
        <v>0</v>
      </c>
      <c r="N1018" s="4">
        <v>0</v>
      </c>
      <c r="O1018" s="4">
        <v>0</v>
      </c>
      <c r="P1018" s="4" t="str">
        <f t="shared" si="15"/>
        <v>WST_UDT.FIELD_VALUE</v>
      </c>
      <c r="Q1018" s="4" t="e">
        <f>VLOOKUP(Cobra8.6[[#This Row],[Table.Column]],ColumnMapping[Old Table.Column],1,)</f>
        <v>#N/A</v>
      </c>
    </row>
    <row r="1019" spans="1:17" hidden="1" x14ac:dyDescent="0.2">
      <c r="A1019" s="4" t="s">
        <v>2301</v>
      </c>
      <c r="B1019" s="4">
        <v>0</v>
      </c>
      <c r="C1019" s="4" t="s">
        <v>2302</v>
      </c>
      <c r="D1019" s="4" t="s">
        <v>2291</v>
      </c>
      <c r="E1019" s="4" t="s">
        <v>31</v>
      </c>
      <c r="F1019" s="4">
        <v>22</v>
      </c>
      <c r="G1019" s="4">
        <v>0</v>
      </c>
      <c r="H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 t="str">
        <f t="shared" si="15"/>
        <v>WST_UDT.FK_UID</v>
      </c>
      <c r="Q1019" s="4" t="e">
        <f>VLOOKUP(Cobra8.6[[#This Row],[Table.Column]],ColumnMapping[Old Table.Column],1,)</f>
        <v>#N/A</v>
      </c>
    </row>
    <row r="1020" spans="1:17" hidden="1" x14ac:dyDescent="0.2">
      <c r="A1020" s="4" t="s">
        <v>2301</v>
      </c>
      <c r="B1020" s="4">
        <v>0</v>
      </c>
      <c r="C1020" s="4" t="s">
        <v>2302</v>
      </c>
      <c r="D1020" s="4" t="s">
        <v>30</v>
      </c>
      <c r="E1020" s="4" t="s">
        <v>31</v>
      </c>
      <c r="F1020" s="4">
        <v>22</v>
      </c>
      <c r="G1020" s="4">
        <v>0</v>
      </c>
      <c r="H1020" s="4">
        <v>0</v>
      </c>
      <c r="K1020" s="4">
        <v>0</v>
      </c>
      <c r="N1020" s="4">
        <v>0</v>
      </c>
      <c r="O1020" s="4">
        <v>0</v>
      </c>
      <c r="P1020" s="4" t="str">
        <f t="shared" si="15"/>
        <v>WST_UDT.ROW_UID</v>
      </c>
      <c r="Q1020" s="4" t="e">
        <f>VLOOKUP(Cobra8.6[[#This Row],[Table.Column]],ColumnMapping[Old Table.Column],1,)</f>
        <v>#N/A</v>
      </c>
    </row>
    <row r="1021" spans="1:17" hidden="1" x14ac:dyDescent="0.2">
      <c r="A1021" s="4" t="s">
        <v>2301</v>
      </c>
      <c r="B1021" s="4">
        <v>0</v>
      </c>
      <c r="C1021" s="4" t="s">
        <v>2302</v>
      </c>
      <c r="D1021" s="4" t="s">
        <v>2005</v>
      </c>
      <c r="E1021" s="4" t="s">
        <v>86</v>
      </c>
      <c r="F1021" s="4">
        <v>30</v>
      </c>
      <c r="G1021" s="4">
        <v>0</v>
      </c>
      <c r="H1021" s="4">
        <v>0</v>
      </c>
      <c r="K1021" s="4">
        <v>30526</v>
      </c>
      <c r="N1021" s="4">
        <v>0</v>
      </c>
      <c r="O1021" s="4">
        <v>0</v>
      </c>
      <c r="P1021" s="4" t="str">
        <f t="shared" si="15"/>
        <v>WST_UDT.TABLE_TYPE</v>
      </c>
      <c r="Q1021" s="4" t="e">
        <f>VLOOKUP(Cobra8.6[[#This Row],[Table.Column]],ColumnMapping[Old Table.Column],1,)</f>
        <v>#N/A</v>
      </c>
    </row>
    <row r="1022" spans="1:17" hidden="1" x14ac:dyDescent="0.2">
      <c r="A1022" s="4" t="s">
        <v>2303</v>
      </c>
      <c r="B1022" s="4">
        <v>0</v>
      </c>
      <c r="C1022" s="4" t="s">
        <v>2304</v>
      </c>
      <c r="D1022" s="4" t="s">
        <v>1997</v>
      </c>
      <c r="E1022" s="4" t="s">
        <v>31</v>
      </c>
      <c r="F1022" s="4">
        <v>22</v>
      </c>
      <c r="G1022" s="4">
        <v>0</v>
      </c>
      <c r="H1022" s="4">
        <v>0</v>
      </c>
      <c r="K1022" s="4">
        <v>0</v>
      </c>
      <c r="L1022" s="4">
        <v>0</v>
      </c>
      <c r="M1022" s="4" t="s">
        <v>1997</v>
      </c>
      <c r="N1022" s="4">
        <v>1</v>
      </c>
      <c r="O1022" s="4">
        <v>0</v>
      </c>
      <c r="P1022" s="4" t="str">
        <f t="shared" si="15"/>
        <v>WST_UDU.DIR_UID</v>
      </c>
      <c r="Q1022" s="4" t="e">
        <f>VLOOKUP(Cobra8.6[[#This Row],[Table.Column]],ColumnMapping[Old Table.Column],1,)</f>
        <v>#N/A</v>
      </c>
    </row>
    <row r="1023" spans="1:17" hidden="1" x14ac:dyDescent="0.2">
      <c r="A1023" s="4" t="s">
        <v>2303</v>
      </c>
      <c r="B1023" s="4">
        <v>0</v>
      </c>
      <c r="C1023" s="4" t="s">
        <v>2304</v>
      </c>
      <c r="D1023" s="4" t="s">
        <v>98</v>
      </c>
      <c r="E1023" s="4" t="s">
        <v>86</v>
      </c>
      <c r="F1023" s="4">
        <v>60</v>
      </c>
      <c r="G1023" s="4">
        <v>0</v>
      </c>
      <c r="H1023" s="4">
        <v>0</v>
      </c>
      <c r="K1023" s="4">
        <v>0</v>
      </c>
      <c r="N1023" s="4">
        <v>0</v>
      </c>
      <c r="O1023" s="4">
        <v>0</v>
      </c>
      <c r="P1023" s="4" t="str">
        <f t="shared" si="15"/>
        <v>WST_UDU.FIELD_NAME</v>
      </c>
      <c r="Q1023" s="4" t="e">
        <f>VLOOKUP(Cobra8.6[[#This Row],[Table.Column]],ColumnMapping[Old Table.Column],1,)</f>
        <v>#N/A</v>
      </c>
    </row>
    <row r="1024" spans="1:17" hidden="1" x14ac:dyDescent="0.2">
      <c r="A1024" s="4" t="s">
        <v>2303</v>
      </c>
      <c r="B1024" s="4">
        <v>0</v>
      </c>
      <c r="C1024" s="4" t="s">
        <v>2304</v>
      </c>
      <c r="D1024" s="4" t="s">
        <v>1796</v>
      </c>
      <c r="E1024" s="4" t="s">
        <v>2305</v>
      </c>
      <c r="F1024" s="4">
        <v>8</v>
      </c>
      <c r="G1024" s="4">
        <v>0</v>
      </c>
      <c r="H1024" s="4">
        <v>0</v>
      </c>
      <c r="K1024" s="4">
        <v>0</v>
      </c>
      <c r="N1024" s="4">
        <v>0</v>
      </c>
      <c r="O1024" s="4">
        <v>0</v>
      </c>
      <c r="P1024" s="4" t="str">
        <f t="shared" si="15"/>
        <v>WST_UDU.FIELD_VALUE</v>
      </c>
      <c r="Q1024" s="4" t="e">
        <f>VLOOKUP(Cobra8.6[[#This Row],[Table.Column]],ColumnMapping[Old Table.Column],1,)</f>
        <v>#N/A</v>
      </c>
    </row>
    <row r="1025" spans="1:17" hidden="1" x14ac:dyDescent="0.2">
      <c r="A1025" s="4" t="s">
        <v>2303</v>
      </c>
      <c r="B1025" s="4">
        <v>0</v>
      </c>
      <c r="C1025" s="4" t="s">
        <v>2304</v>
      </c>
      <c r="D1025" s="4" t="s">
        <v>2291</v>
      </c>
      <c r="E1025" s="4" t="s">
        <v>31</v>
      </c>
      <c r="F1025" s="4">
        <v>22</v>
      </c>
      <c r="G1025" s="4">
        <v>0</v>
      </c>
      <c r="H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 t="str">
        <f t="shared" si="15"/>
        <v>WST_UDU.FK_UID</v>
      </c>
      <c r="Q1025" s="4" t="e">
        <f>VLOOKUP(Cobra8.6[[#This Row],[Table.Column]],ColumnMapping[Old Table.Column],1,)</f>
        <v>#N/A</v>
      </c>
    </row>
    <row r="1026" spans="1:17" hidden="1" x14ac:dyDescent="0.2">
      <c r="A1026" s="4" t="s">
        <v>2303</v>
      </c>
      <c r="B1026" s="4">
        <v>0</v>
      </c>
      <c r="C1026" s="4" t="s">
        <v>2304</v>
      </c>
      <c r="D1026" s="4" t="s">
        <v>30</v>
      </c>
      <c r="E1026" s="4" t="s">
        <v>31</v>
      </c>
      <c r="F1026" s="4">
        <v>22</v>
      </c>
      <c r="G1026" s="4">
        <v>0</v>
      </c>
      <c r="H1026" s="4">
        <v>0</v>
      </c>
      <c r="K1026" s="4">
        <v>0</v>
      </c>
      <c r="N1026" s="4">
        <v>0</v>
      </c>
      <c r="O1026" s="4">
        <v>0</v>
      </c>
      <c r="P1026" s="4" t="str">
        <f t="shared" ref="P1026:P1078" si="16">_xlfn.CONCAT(A1026,".",D1026)</f>
        <v>WST_UDU.ROW_UID</v>
      </c>
      <c r="Q1026" s="4" t="e">
        <f>VLOOKUP(Cobra8.6[[#This Row],[Table.Column]],ColumnMapping[Old Table.Column],1,)</f>
        <v>#N/A</v>
      </c>
    </row>
    <row r="1027" spans="1:17" hidden="1" x14ac:dyDescent="0.2">
      <c r="A1027" s="4" t="s">
        <v>2303</v>
      </c>
      <c r="B1027" s="4">
        <v>0</v>
      </c>
      <c r="C1027" s="4" t="s">
        <v>2304</v>
      </c>
      <c r="D1027" s="4" t="s">
        <v>2005</v>
      </c>
      <c r="E1027" s="4" t="s">
        <v>86</v>
      </c>
      <c r="F1027" s="4">
        <v>30</v>
      </c>
      <c r="G1027" s="4">
        <v>0</v>
      </c>
      <c r="H1027" s="4">
        <v>0</v>
      </c>
      <c r="K1027" s="4">
        <v>30526</v>
      </c>
      <c r="N1027" s="4">
        <v>0</v>
      </c>
      <c r="O1027" s="4">
        <v>0</v>
      </c>
      <c r="P1027" s="4" t="str">
        <f t="shared" si="16"/>
        <v>WST_UDU.TABLE_TYPE</v>
      </c>
      <c r="Q1027" s="4" t="e">
        <f>VLOOKUP(Cobra8.6[[#This Row],[Table.Column]],ColumnMapping[Old Table.Column],1,)</f>
        <v>#N/A</v>
      </c>
    </row>
    <row r="1028" spans="1:17" hidden="1" x14ac:dyDescent="0.2">
      <c r="A1028" s="4" t="s">
        <v>2306</v>
      </c>
      <c r="B1028" s="4">
        <v>0</v>
      </c>
      <c r="C1028" s="4" t="s">
        <v>2307</v>
      </c>
      <c r="D1028" s="4" t="s">
        <v>2308</v>
      </c>
      <c r="E1028" s="4" t="s">
        <v>2108</v>
      </c>
      <c r="F1028" s="4">
        <v>4</v>
      </c>
      <c r="G1028" s="4">
        <v>0</v>
      </c>
      <c r="H1028" s="4">
        <v>0</v>
      </c>
      <c r="K1028" s="4">
        <v>0</v>
      </c>
      <c r="N1028" s="4">
        <v>0</v>
      </c>
      <c r="O1028" s="4">
        <v>0</v>
      </c>
      <c r="P1028" s="4" t="str">
        <f t="shared" si="16"/>
        <v>WST_ULI.LICENSEREVOKED</v>
      </c>
      <c r="Q1028" s="4" t="e">
        <f>VLOOKUP(Cobra8.6[[#This Row],[Table.Column]],ColumnMapping[Old Table.Column],1,)</f>
        <v>#N/A</v>
      </c>
    </row>
    <row r="1029" spans="1:17" hidden="1" x14ac:dyDescent="0.2">
      <c r="A1029" s="4" t="s">
        <v>2306</v>
      </c>
      <c r="B1029" s="4">
        <v>0</v>
      </c>
      <c r="C1029" s="4" t="s">
        <v>2307</v>
      </c>
      <c r="D1029" s="4" t="s">
        <v>2309</v>
      </c>
      <c r="E1029" s="4" t="s">
        <v>356</v>
      </c>
      <c r="F1029" s="4">
        <v>8</v>
      </c>
      <c r="G1029" s="4">
        <v>0</v>
      </c>
      <c r="H1029" s="4">
        <v>0</v>
      </c>
      <c r="K1029" s="4">
        <v>12418</v>
      </c>
      <c r="N1029" s="4">
        <v>0</v>
      </c>
      <c r="O1029" s="4">
        <v>0</v>
      </c>
      <c r="P1029" s="4" t="str">
        <f t="shared" si="16"/>
        <v>WST_ULI.LOGINTIME</v>
      </c>
      <c r="Q1029" s="4" t="e">
        <f>VLOOKUP(Cobra8.6[[#This Row],[Table.Column]],ColumnMapping[Old Table.Column],1,)</f>
        <v>#N/A</v>
      </c>
    </row>
    <row r="1030" spans="1:17" hidden="1" x14ac:dyDescent="0.2">
      <c r="A1030" s="4" t="s">
        <v>2306</v>
      </c>
      <c r="B1030" s="4">
        <v>0</v>
      </c>
      <c r="C1030" s="4" t="s">
        <v>2307</v>
      </c>
      <c r="D1030" s="4" t="s">
        <v>2001</v>
      </c>
      <c r="E1030" s="4" t="s">
        <v>86</v>
      </c>
      <c r="F1030" s="4">
        <v>48</v>
      </c>
      <c r="G1030" s="4">
        <v>0</v>
      </c>
      <c r="H1030" s="4">
        <v>0</v>
      </c>
      <c r="K1030" s="4">
        <v>5085</v>
      </c>
      <c r="N1030" s="4">
        <v>0</v>
      </c>
      <c r="O1030" s="4">
        <v>0</v>
      </c>
      <c r="P1030" s="4" t="str">
        <f t="shared" si="16"/>
        <v>WST_ULI.MACHINE_ID</v>
      </c>
      <c r="Q1030" s="4" t="e">
        <f>VLOOKUP(Cobra8.6[[#This Row],[Table.Column]],ColumnMapping[Old Table.Column],1,)</f>
        <v>#N/A</v>
      </c>
    </row>
    <row r="1031" spans="1:17" hidden="1" x14ac:dyDescent="0.2">
      <c r="A1031" s="4" t="s">
        <v>2306</v>
      </c>
      <c r="B1031" s="4">
        <v>0</v>
      </c>
      <c r="C1031" s="4" t="s">
        <v>2307</v>
      </c>
      <c r="D1031" s="4" t="s">
        <v>2002</v>
      </c>
      <c r="E1031" s="4" t="s">
        <v>2108</v>
      </c>
      <c r="F1031" s="4">
        <v>4</v>
      </c>
      <c r="G1031" s="4">
        <v>0</v>
      </c>
      <c r="H1031" s="4">
        <v>0</v>
      </c>
      <c r="K1031" s="4">
        <v>15032</v>
      </c>
      <c r="N1031" s="4">
        <v>0</v>
      </c>
      <c r="O1031" s="4">
        <v>0</v>
      </c>
      <c r="P1031" s="4" t="str">
        <f t="shared" si="16"/>
        <v>WST_ULI.PRD_UID</v>
      </c>
      <c r="Q1031" s="4" t="e">
        <f>VLOOKUP(Cobra8.6[[#This Row],[Table.Column]],ColumnMapping[Old Table.Column],1,)</f>
        <v>#N/A</v>
      </c>
    </row>
    <row r="1032" spans="1:17" hidden="1" x14ac:dyDescent="0.2">
      <c r="A1032" s="4" t="s">
        <v>2306</v>
      </c>
      <c r="B1032" s="4">
        <v>0</v>
      </c>
      <c r="C1032" s="4" t="s">
        <v>2307</v>
      </c>
      <c r="D1032" s="4" t="s">
        <v>2003</v>
      </c>
      <c r="E1032" s="4" t="s">
        <v>31</v>
      </c>
      <c r="F1032" s="4">
        <v>22</v>
      </c>
      <c r="G1032" s="4">
        <v>0</v>
      </c>
      <c r="H1032" s="4">
        <v>0</v>
      </c>
      <c r="K1032" s="4">
        <v>0</v>
      </c>
      <c r="N1032" s="4">
        <v>0</v>
      </c>
      <c r="O1032" s="4">
        <v>0</v>
      </c>
      <c r="P1032" s="4" t="str">
        <f t="shared" si="16"/>
        <v>WST_ULI.ULI_UID</v>
      </c>
      <c r="Q1032" s="4" t="e">
        <f>VLOOKUP(Cobra8.6[[#This Row],[Table.Column]],ColumnMapping[Old Table.Column],1,)</f>
        <v>#N/A</v>
      </c>
    </row>
    <row r="1033" spans="1:17" hidden="1" x14ac:dyDescent="0.2">
      <c r="A1033" s="4" t="s">
        <v>2306</v>
      </c>
      <c r="B1033" s="4">
        <v>0</v>
      </c>
      <c r="C1033" s="4" t="s">
        <v>2307</v>
      </c>
      <c r="D1033" s="4" t="s">
        <v>2112</v>
      </c>
      <c r="E1033" s="4" t="s">
        <v>86</v>
      </c>
      <c r="F1033" s="4">
        <v>20</v>
      </c>
      <c r="G1033" s="4">
        <v>0</v>
      </c>
      <c r="H1033" s="4">
        <v>131072</v>
      </c>
      <c r="K1033" s="4">
        <v>10422</v>
      </c>
      <c r="N1033" s="4">
        <v>0</v>
      </c>
      <c r="O1033" s="4">
        <v>0</v>
      </c>
      <c r="P1033" s="4" t="str">
        <f t="shared" si="16"/>
        <v>WST_ULI.USR_ID</v>
      </c>
      <c r="Q1033" s="4" t="e">
        <f>VLOOKUP(Cobra8.6[[#This Row],[Table.Column]],ColumnMapping[Old Table.Column],1,)</f>
        <v>#N/A</v>
      </c>
    </row>
    <row r="1034" spans="1:17" hidden="1" x14ac:dyDescent="0.2">
      <c r="A1034" s="4" t="s">
        <v>2310</v>
      </c>
      <c r="B1034" s="4">
        <v>0</v>
      </c>
      <c r="C1034" s="4" t="s">
        <v>2311</v>
      </c>
      <c r="D1034" s="4" t="s">
        <v>1997</v>
      </c>
      <c r="E1034" s="4" t="s">
        <v>31</v>
      </c>
      <c r="F1034" s="4">
        <v>22</v>
      </c>
      <c r="G1034" s="4">
        <v>0</v>
      </c>
      <c r="H1034" s="4">
        <v>0</v>
      </c>
      <c r="K1034" s="4">
        <v>0</v>
      </c>
      <c r="L1034" s="4">
        <v>0</v>
      </c>
      <c r="M1034" s="4" t="s">
        <v>1997</v>
      </c>
      <c r="N1034" s="4">
        <v>1</v>
      </c>
      <c r="O1034" s="4">
        <v>0</v>
      </c>
      <c r="P1034" s="4" t="str">
        <f t="shared" si="16"/>
        <v>WST_UNM.DIR_UID</v>
      </c>
      <c r="Q1034" s="4" t="e">
        <f>VLOOKUP(Cobra8.6[[#This Row],[Table.Column]],ColumnMapping[Old Table.Column],1,)</f>
        <v>#N/A</v>
      </c>
    </row>
    <row r="1035" spans="1:17" hidden="1" x14ac:dyDescent="0.2">
      <c r="A1035" s="4" t="s">
        <v>2310</v>
      </c>
      <c r="B1035" s="4">
        <v>0</v>
      </c>
      <c r="C1035" s="4" t="s">
        <v>2311</v>
      </c>
      <c r="D1035" s="4" t="s">
        <v>98</v>
      </c>
      <c r="E1035" s="4" t="s">
        <v>86</v>
      </c>
      <c r="F1035" s="4">
        <v>60</v>
      </c>
      <c r="G1035" s="4">
        <v>0</v>
      </c>
      <c r="H1035" s="4">
        <v>0</v>
      </c>
      <c r="K1035" s="4">
        <v>0</v>
      </c>
      <c r="N1035" s="4">
        <v>0</v>
      </c>
      <c r="O1035" s="4">
        <v>0</v>
      </c>
      <c r="P1035" s="4" t="str">
        <f t="shared" si="16"/>
        <v>WST_UNM.FIELD_NAME</v>
      </c>
      <c r="Q1035" s="4" t="e">
        <f>VLOOKUP(Cobra8.6[[#This Row],[Table.Column]],ColumnMapping[Old Table.Column],1,)</f>
        <v>#N/A</v>
      </c>
    </row>
    <row r="1036" spans="1:17" hidden="1" x14ac:dyDescent="0.2">
      <c r="A1036" s="4" t="s">
        <v>2310</v>
      </c>
      <c r="B1036" s="4">
        <v>0</v>
      </c>
      <c r="C1036" s="4" t="s">
        <v>2311</v>
      </c>
      <c r="D1036" s="4" t="s">
        <v>1796</v>
      </c>
      <c r="E1036" s="4" t="s">
        <v>2312</v>
      </c>
      <c r="F1036" s="4">
        <v>15</v>
      </c>
      <c r="G1036" s="4">
        <v>2</v>
      </c>
      <c r="H1036" s="4">
        <v>0</v>
      </c>
      <c r="K1036" s="4">
        <v>0</v>
      </c>
      <c r="N1036" s="4">
        <v>0</v>
      </c>
      <c r="O1036" s="4">
        <v>0</v>
      </c>
      <c r="P1036" s="4" t="str">
        <f t="shared" si="16"/>
        <v>WST_UNM.FIELD_VALUE</v>
      </c>
      <c r="Q1036" s="4" t="e">
        <f>VLOOKUP(Cobra8.6[[#This Row],[Table.Column]],ColumnMapping[Old Table.Column],1,)</f>
        <v>#N/A</v>
      </c>
    </row>
    <row r="1037" spans="1:17" hidden="1" x14ac:dyDescent="0.2">
      <c r="A1037" s="4" t="s">
        <v>2310</v>
      </c>
      <c r="B1037" s="4">
        <v>0</v>
      </c>
      <c r="C1037" s="4" t="s">
        <v>2311</v>
      </c>
      <c r="D1037" s="4" t="s">
        <v>2291</v>
      </c>
      <c r="E1037" s="4" t="s">
        <v>31</v>
      </c>
      <c r="F1037" s="4">
        <v>22</v>
      </c>
      <c r="G1037" s="4">
        <v>0</v>
      </c>
      <c r="H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 t="str">
        <f t="shared" si="16"/>
        <v>WST_UNM.FK_UID</v>
      </c>
      <c r="Q1037" s="4" t="e">
        <f>VLOOKUP(Cobra8.6[[#This Row],[Table.Column]],ColumnMapping[Old Table.Column],1,)</f>
        <v>#N/A</v>
      </c>
    </row>
    <row r="1038" spans="1:17" hidden="1" x14ac:dyDescent="0.2">
      <c r="A1038" s="4" t="s">
        <v>2310</v>
      </c>
      <c r="B1038" s="4">
        <v>0</v>
      </c>
      <c r="C1038" s="4" t="s">
        <v>2311</v>
      </c>
      <c r="D1038" s="4" t="s">
        <v>30</v>
      </c>
      <c r="E1038" s="4" t="s">
        <v>31</v>
      </c>
      <c r="F1038" s="4">
        <v>22</v>
      </c>
      <c r="G1038" s="4">
        <v>0</v>
      </c>
      <c r="H1038" s="4">
        <v>0</v>
      </c>
      <c r="K1038" s="4">
        <v>0</v>
      </c>
      <c r="N1038" s="4">
        <v>0</v>
      </c>
      <c r="O1038" s="4">
        <v>0</v>
      </c>
      <c r="P1038" s="4" t="str">
        <f t="shared" si="16"/>
        <v>WST_UNM.ROW_UID</v>
      </c>
      <c r="Q1038" s="4" t="e">
        <f>VLOOKUP(Cobra8.6[[#This Row],[Table.Column]],ColumnMapping[Old Table.Column],1,)</f>
        <v>#N/A</v>
      </c>
    </row>
    <row r="1039" spans="1:17" hidden="1" x14ac:dyDescent="0.2">
      <c r="A1039" s="4" t="s">
        <v>2310</v>
      </c>
      <c r="B1039" s="4">
        <v>0</v>
      </c>
      <c r="C1039" s="4" t="s">
        <v>2311</v>
      </c>
      <c r="D1039" s="4" t="s">
        <v>2005</v>
      </c>
      <c r="E1039" s="4" t="s">
        <v>86</v>
      </c>
      <c r="F1039" s="4">
        <v>30</v>
      </c>
      <c r="G1039" s="4">
        <v>0</v>
      </c>
      <c r="H1039" s="4">
        <v>0</v>
      </c>
      <c r="K1039" s="4">
        <v>30526</v>
      </c>
      <c r="N1039" s="4">
        <v>0</v>
      </c>
      <c r="O1039" s="4">
        <v>0</v>
      </c>
      <c r="P1039" s="4" t="str">
        <f t="shared" si="16"/>
        <v>WST_UNM.TABLE_TYPE</v>
      </c>
      <c r="Q1039" s="4" t="e">
        <f>VLOOKUP(Cobra8.6[[#This Row],[Table.Column]],ColumnMapping[Old Table.Column],1,)</f>
        <v>#N/A</v>
      </c>
    </row>
    <row r="1040" spans="1:17" hidden="1" x14ac:dyDescent="0.2">
      <c r="A1040" s="4" t="s">
        <v>2313</v>
      </c>
      <c r="B1040" s="4">
        <v>0</v>
      </c>
      <c r="C1040" s="4" t="s">
        <v>2314</v>
      </c>
      <c r="D1040" s="4" t="s">
        <v>2170</v>
      </c>
      <c r="E1040" s="4" t="s">
        <v>2108</v>
      </c>
      <c r="F1040" s="4">
        <v>4</v>
      </c>
      <c r="G1040" s="4">
        <v>0</v>
      </c>
      <c r="H1040" s="4">
        <v>0</v>
      </c>
      <c r="K1040" s="4">
        <v>0</v>
      </c>
      <c r="N1040" s="4">
        <v>0</v>
      </c>
      <c r="O1040" s="4">
        <v>0</v>
      </c>
      <c r="P1040" s="4" t="str">
        <f t="shared" si="16"/>
        <v>WST_UPA.FLAGS</v>
      </c>
      <c r="Q1040" s="4" t="e">
        <f>VLOOKUP(Cobra8.6[[#This Row],[Table.Column]],ColumnMapping[Old Table.Column],1,)</f>
        <v>#N/A</v>
      </c>
    </row>
    <row r="1041" spans="1:17" hidden="1" x14ac:dyDescent="0.2">
      <c r="A1041" s="4" t="s">
        <v>2313</v>
      </c>
      <c r="B1041" s="4">
        <v>0</v>
      </c>
      <c r="C1041" s="4" t="s">
        <v>2314</v>
      </c>
      <c r="D1041" s="4" t="s">
        <v>2315</v>
      </c>
      <c r="E1041" s="4" t="s">
        <v>31</v>
      </c>
      <c r="F1041" s="4">
        <v>22</v>
      </c>
      <c r="G1041" s="4">
        <v>0</v>
      </c>
      <c r="H1041" s="4">
        <v>0</v>
      </c>
      <c r="K1041" s="4">
        <v>0</v>
      </c>
      <c r="N1041" s="4">
        <v>0</v>
      </c>
      <c r="O1041" s="4">
        <v>0</v>
      </c>
      <c r="P1041" s="4" t="str">
        <f t="shared" si="16"/>
        <v>WST_UPA.LICN_UID</v>
      </c>
      <c r="Q1041" s="4" t="e">
        <f>VLOOKUP(Cobra8.6[[#This Row],[Table.Column]],ColumnMapping[Old Table.Column],1,)</f>
        <v>#N/A</v>
      </c>
    </row>
    <row r="1042" spans="1:17" hidden="1" x14ac:dyDescent="0.2">
      <c r="A1042" s="4" t="s">
        <v>2313</v>
      </c>
      <c r="B1042" s="4">
        <v>0</v>
      </c>
      <c r="C1042" s="4" t="s">
        <v>2314</v>
      </c>
      <c r="D1042" s="4" t="s">
        <v>2002</v>
      </c>
      <c r="E1042" s="4" t="s">
        <v>2108</v>
      </c>
      <c r="F1042" s="4">
        <v>4</v>
      </c>
      <c r="G1042" s="4">
        <v>0</v>
      </c>
      <c r="H1042" s="4">
        <v>0</v>
      </c>
      <c r="K1042" s="4">
        <v>15032</v>
      </c>
      <c r="N1042" s="4">
        <v>0</v>
      </c>
      <c r="O1042" s="4">
        <v>0</v>
      </c>
      <c r="P1042" s="4" t="str">
        <f t="shared" si="16"/>
        <v>WST_UPA.PRD_UID</v>
      </c>
      <c r="Q1042" s="4" t="e">
        <f>VLOOKUP(Cobra8.6[[#This Row],[Table.Column]],ColumnMapping[Old Table.Column],1,)</f>
        <v>#N/A</v>
      </c>
    </row>
    <row r="1043" spans="1:17" hidden="1" x14ac:dyDescent="0.2">
      <c r="A1043" s="4" t="s">
        <v>2313</v>
      </c>
      <c r="B1043" s="4">
        <v>0</v>
      </c>
      <c r="C1043" s="4" t="s">
        <v>2314</v>
      </c>
      <c r="D1043" s="4" t="s">
        <v>2112</v>
      </c>
      <c r="E1043" s="4" t="s">
        <v>86</v>
      </c>
      <c r="F1043" s="4">
        <v>20</v>
      </c>
      <c r="G1043" s="4">
        <v>0</v>
      </c>
      <c r="H1043" s="4">
        <v>0</v>
      </c>
      <c r="K1043" s="4">
        <v>10422</v>
      </c>
      <c r="N1043" s="4">
        <v>0</v>
      </c>
      <c r="O1043" s="4">
        <v>0</v>
      </c>
      <c r="P1043" s="4" t="str">
        <f t="shared" si="16"/>
        <v>WST_UPA.USR_ID</v>
      </c>
      <c r="Q1043" s="4" t="e">
        <f>VLOOKUP(Cobra8.6[[#This Row],[Table.Column]],ColumnMapping[Old Table.Column],1,)</f>
        <v>#N/A</v>
      </c>
    </row>
    <row r="1044" spans="1:17" hidden="1" x14ac:dyDescent="0.2">
      <c r="A1044" s="4" t="s">
        <v>2316</v>
      </c>
      <c r="B1044" s="4">
        <v>0</v>
      </c>
      <c r="C1044" s="4" t="s">
        <v>2317</v>
      </c>
      <c r="D1044" s="4" t="s">
        <v>1935</v>
      </c>
      <c r="E1044" s="4" t="s">
        <v>86</v>
      </c>
      <c r="F1044" s="4">
        <v>20</v>
      </c>
      <c r="G1044" s="4">
        <v>0</v>
      </c>
      <c r="H1044" s="4">
        <v>0</v>
      </c>
      <c r="K1044" s="4">
        <v>0</v>
      </c>
      <c r="N1044" s="4">
        <v>0</v>
      </c>
      <c r="O1044" s="4">
        <v>0</v>
      </c>
      <c r="P1044" s="4" t="str">
        <f t="shared" si="16"/>
        <v>WST_USG.GRP_ID</v>
      </c>
      <c r="Q1044" s="4" t="e">
        <f>VLOOKUP(Cobra8.6[[#This Row],[Table.Column]],ColumnMapping[Old Table.Column],1,)</f>
        <v>#N/A</v>
      </c>
    </row>
    <row r="1045" spans="1:17" hidden="1" x14ac:dyDescent="0.2">
      <c r="A1045" s="4" t="s">
        <v>2316</v>
      </c>
      <c r="B1045" s="4">
        <v>0</v>
      </c>
      <c r="C1045" s="4" t="s">
        <v>2317</v>
      </c>
      <c r="D1045" s="4" t="s">
        <v>2318</v>
      </c>
      <c r="E1045" s="4" t="s">
        <v>31</v>
      </c>
      <c r="F1045" s="4">
        <v>22</v>
      </c>
      <c r="G1045" s="4">
        <v>0</v>
      </c>
      <c r="H1045" s="4">
        <v>0</v>
      </c>
      <c r="K1045" s="4">
        <v>0</v>
      </c>
      <c r="N1045" s="4">
        <v>0</v>
      </c>
      <c r="O1045" s="4">
        <v>0</v>
      </c>
      <c r="P1045" s="4" t="str">
        <f t="shared" si="16"/>
        <v>WST_USG.USG_UID</v>
      </c>
      <c r="Q1045" s="4" t="e">
        <f>VLOOKUP(Cobra8.6[[#This Row],[Table.Column]],ColumnMapping[Old Table.Column],1,)</f>
        <v>#N/A</v>
      </c>
    </row>
    <row r="1046" spans="1:17" hidden="1" x14ac:dyDescent="0.2">
      <c r="A1046" s="4" t="s">
        <v>2316</v>
      </c>
      <c r="B1046" s="4">
        <v>0</v>
      </c>
      <c r="C1046" s="4" t="s">
        <v>2317</v>
      </c>
      <c r="D1046" s="4" t="s">
        <v>2112</v>
      </c>
      <c r="E1046" s="4" t="s">
        <v>86</v>
      </c>
      <c r="F1046" s="4">
        <v>20</v>
      </c>
      <c r="G1046" s="4">
        <v>0</v>
      </c>
      <c r="H1046" s="4">
        <v>131072</v>
      </c>
      <c r="K1046" s="4">
        <v>30451</v>
      </c>
      <c r="N1046" s="4">
        <v>0</v>
      </c>
      <c r="O1046" s="4">
        <v>0</v>
      </c>
      <c r="P1046" s="4" t="str">
        <f t="shared" si="16"/>
        <v>WST_USG.USR_ID</v>
      </c>
      <c r="Q1046" s="4" t="e">
        <f>VLOOKUP(Cobra8.6[[#This Row],[Table.Column]],ColumnMapping[Old Table.Column],1,)</f>
        <v>#N/A</v>
      </c>
    </row>
    <row r="1047" spans="1:17" hidden="1" x14ac:dyDescent="0.2">
      <c r="A1047" s="4" t="s">
        <v>2319</v>
      </c>
      <c r="B1047" s="4">
        <v>2</v>
      </c>
      <c r="C1047" s="4" t="s">
        <v>2320</v>
      </c>
      <c r="D1047" s="4" t="s">
        <v>2321</v>
      </c>
      <c r="E1047" s="4" t="s">
        <v>86</v>
      </c>
      <c r="F1047" s="4">
        <v>4</v>
      </c>
      <c r="G1047" s="4">
        <v>0</v>
      </c>
      <c r="H1047" s="4">
        <v>0</v>
      </c>
      <c r="K1047" s="4">
        <v>0</v>
      </c>
      <c r="N1047" s="4">
        <v>0</v>
      </c>
      <c r="O1047" s="4">
        <v>0</v>
      </c>
      <c r="P1047" s="4" t="str">
        <f t="shared" si="16"/>
        <v>WST_USR.ACT_COMPARE</v>
      </c>
      <c r="Q1047" s="4" t="e">
        <f>VLOOKUP(Cobra8.6[[#This Row],[Table.Column]],ColumnMapping[Old Table.Column],1,)</f>
        <v>#N/A</v>
      </c>
    </row>
    <row r="1048" spans="1:17" hidden="1" x14ac:dyDescent="0.2">
      <c r="A1048" s="4" t="s">
        <v>2319</v>
      </c>
      <c r="B1048" s="4">
        <v>2</v>
      </c>
      <c r="C1048" s="4" t="s">
        <v>2320</v>
      </c>
      <c r="D1048" s="4" t="s">
        <v>2322</v>
      </c>
      <c r="E1048" s="4" t="s">
        <v>86</v>
      </c>
      <c r="F1048" s="4">
        <v>30</v>
      </c>
      <c r="G1048" s="4">
        <v>0</v>
      </c>
      <c r="H1048" s="4">
        <v>0</v>
      </c>
      <c r="K1048" s="4">
        <v>0</v>
      </c>
      <c r="N1048" s="4">
        <v>0</v>
      </c>
      <c r="O1048" s="4">
        <v>0</v>
      </c>
      <c r="P1048" s="4" t="str">
        <f t="shared" si="16"/>
        <v>WST_USR.ACT_FIELD</v>
      </c>
      <c r="Q1048" s="4" t="e">
        <f>VLOOKUP(Cobra8.6[[#This Row],[Table.Column]],ColumnMapping[Old Table.Column],1,)</f>
        <v>#N/A</v>
      </c>
    </row>
    <row r="1049" spans="1:17" hidden="1" x14ac:dyDescent="0.2">
      <c r="A1049" s="4" t="s">
        <v>2319</v>
      </c>
      <c r="B1049" s="4">
        <v>2</v>
      </c>
      <c r="C1049" s="4" t="s">
        <v>2320</v>
      </c>
      <c r="D1049" s="4" t="s">
        <v>2323</v>
      </c>
      <c r="E1049" s="4" t="s">
        <v>2108</v>
      </c>
      <c r="F1049" s="4">
        <v>4</v>
      </c>
      <c r="G1049" s="4">
        <v>0</v>
      </c>
      <c r="H1049" s="4">
        <v>0</v>
      </c>
      <c r="K1049" s="4">
        <v>0</v>
      </c>
      <c r="N1049" s="4">
        <v>0</v>
      </c>
      <c r="O1049" s="4">
        <v>0</v>
      </c>
      <c r="P1049" s="4" t="str">
        <f t="shared" si="16"/>
        <v>WST_USR.ACT_RULE</v>
      </c>
      <c r="Q1049" s="4" t="e">
        <f>VLOOKUP(Cobra8.6[[#This Row],[Table.Column]],ColumnMapping[Old Table.Column],1,)</f>
        <v>#N/A</v>
      </c>
    </row>
    <row r="1050" spans="1:17" hidden="1" x14ac:dyDescent="0.2">
      <c r="A1050" s="4" t="s">
        <v>2319</v>
      </c>
      <c r="B1050" s="4">
        <v>2</v>
      </c>
      <c r="C1050" s="4" t="s">
        <v>2320</v>
      </c>
      <c r="D1050" s="4" t="s">
        <v>2324</v>
      </c>
      <c r="E1050" s="4" t="s">
        <v>86</v>
      </c>
      <c r="F1050" s="4">
        <v>30</v>
      </c>
      <c r="G1050" s="4">
        <v>0</v>
      </c>
      <c r="H1050" s="4">
        <v>0</v>
      </c>
      <c r="K1050" s="4">
        <v>0</v>
      </c>
      <c r="N1050" s="4">
        <v>0</v>
      </c>
      <c r="O1050" s="4">
        <v>0</v>
      </c>
      <c r="P1050" s="4" t="str">
        <f t="shared" si="16"/>
        <v>WST_USR.ACT_VALUE</v>
      </c>
      <c r="Q1050" s="4" t="e">
        <f>VLOOKUP(Cobra8.6[[#This Row],[Table.Column]],ColumnMapping[Old Table.Column],1,)</f>
        <v>#N/A</v>
      </c>
    </row>
    <row r="1051" spans="1:17" hidden="1" x14ac:dyDescent="0.2">
      <c r="A1051" s="4" t="s">
        <v>2319</v>
      </c>
      <c r="B1051" s="4">
        <v>2</v>
      </c>
      <c r="C1051" s="4" t="s">
        <v>2320</v>
      </c>
      <c r="D1051" s="4" t="s">
        <v>2325</v>
      </c>
      <c r="E1051" s="4" t="s">
        <v>86</v>
      </c>
      <c r="F1051" s="4">
        <v>60</v>
      </c>
      <c r="G1051" s="4">
        <v>0</v>
      </c>
      <c r="H1051" s="4">
        <v>0</v>
      </c>
      <c r="K1051" s="4">
        <v>0</v>
      </c>
      <c r="N1051" s="4">
        <v>0</v>
      </c>
      <c r="O1051" s="4">
        <v>0</v>
      </c>
      <c r="P1051" s="4" t="str">
        <f t="shared" si="16"/>
        <v>WST_USR.ADDRESS1</v>
      </c>
      <c r="Q1051" s="4" t="e">
        <f>VLOOKUP(Cobra8.6[[#This Row],[Table.Column]],ColumnMapping[Old Table.Column],1,)</f>
        <v>#N/A</v>
      </c>
    </row>
    <row r="1052" spans="1:17" hidden="1" x14ac:dyDescent="0.2">
      <c r="A1052" s="4" t="s">
        <v>2319</v>
      </c>
      <c r="B1052" s="4">
        <v>2</v>
      </c>
      <c r="C1052" s="4" t="s">
        <v>2320</v>
      </c>
      <c r="D1052" s="4" t="s">
        <v>2326</v>
      </c>
      <c r="E1052" s="4" t="s">
        <v>86</v>
      </c>
      <c r="F1052" s="4">
        <v>60</v>
      </c>
      <c r="G1052" s="4">
        <v>0</v>
      </c>
      <c r="H1052" s="4">
        <v>0</v>
      </c>
      <c r="K1052" s="4">
        <v>0</v>
      </c>
      <c r="N1052" s="4">
        <v>0</v>
      </c>
      <c r="O1052" s="4">
        <v>0</v>
      </c>
      <c r="P1052" s="4" t="str">
        <f t="shared" si="16"/>
        <v>WST_USR.ADDRESS2</v>
      </c>
      <c r="Q1052" s="4" t="e">
        <f>VLOOKUP(Cobra8.6[[#This Row],[Table.Column]],ColumnMapping[Old Table.Column],1,)</f>
        <v>#N/A</v>
      </c>
    </row>
    <row r="1053" spans="1:17" hidden="1" x14ac:dyDescent="0.2">
      <c r="A1053" s="4" t="s">
        <v>2319</v>
      </c>
      <c r="B1053" s="4">
        <v>2</v>
      </c>
      <c r="C1053" s="4" t="s">
        <v>2320</v>
      </c>
      <c r="D1053" s="4" t="s">
        <v>2327</v>
      </c>
      <c r="E1053" s="4" t="s">
        <v>86</v>
      </c>
      <c r="F1053" s="4">
        <v>20</v>
      </c>
      <c r="G1053" s="4">
        <v>0</v>
      </c>
      <c r="H1053" s="4">
        <v>0</v>
      </c>
      <c r="K1053" s="4">
        <v>0</v>
      </c>
      <c r="N1053" s="4">
        <v>0</v>
      </c>
      <c r="O1053" s="4">
        <v>0</v>
      </c>
      <c r="P1053" s="4" t="str">
        <f t="shared" si="16"/>
        <v>WST_USR.ALTMANAGER</v>
      </c>
      <c r="Q1053" s="4" t="e">
        <f>VLOOKUP(Cobra8.6[[#This Row],[Table.Column]],ColumnMapping[Old Table.Column],1,)</f>
        <v>#N/A</v>
      </c>
    </row>
    <row r="1054" spans="1:17" hidden="1" x14ac:dyDescent="0.2">
      <c r="A1054" s="4" t="s">
        <v>2319</v>
      </c>
      <c r="B1054" s="4">
        <v>2</v>
      </c>
      <c r="C1054" s="4" t="s">
        <v>2320</v>
      </c>
      <c r="D1054" s="4" t="s">
        <v>645</v>
      </c>
      <c r="E1054" s="4" t="s">
        <v>86</v>
      </c>
      <c r="F1054" s="4">
        <v>20</v>
      </c>
      <c r="G1054" s="4">
        <v>0</v>
      </c>
      <c r="H1054" s="4">
        <v>0</v>
      </c>
      <c r="K1054" s="4">
        <v>0</v>
      </c>
      <c r="N1054" s="4">
        <v>0</v>
      </c>
      <c r="O1054" s="4">
        <v>0</v>
      </c>
      <c r="P1054" s="4" t="str">
        <f t="shared" si="16"/>
        <v>WST_USR.CITY</v>
      </c>
      <c r="Q1054" s="4" t="e">
        <f>VLOOKUP(Cobra8.6[[#This Row],[Table.Column]],ColumnMapping[Old Table.Column],1,)</f>
        <v>#N/A</v>
      </c>
    </row>
    <row r="1055" spans="1:17" hidden="1" x14ac:dyDescent="0.2">
      <c r="A1055" s="4" t="s">
        <v>2319</v>
      </c>
      <c r="B1055" s="4">
        <v>2</v>
      </c>
      <c r="C1055" s="4" t="s">
        <v>2320</v>
      </c>
      <c r="D1055" s="4" t="s">
        <v>21</v>
      </c>
      <c r="E1055" s="4" t="s">
        <v>86</v>
      </c>
      <c r="F1055" s="4">
        <v>255</v>
      </c>
      <c r="G1055" s="4">
        <v>0</v>
      </c>
      <c r="H1055" s="4">
        <v>0</v>
      </c>
      <c r="K1055" s="4">
        <v>0</v>
      </c>
      <c r="N1055" s="4">
        <v>0</v>
      </c>
      <c r="O1055" s="4">
        <v>0</v>
      </c>
      <c r="P1055" s="4" t="str">
        <f t="shared" si="16"/>
        <v>WST_USR.COMMENTS</v>
      </c>
      <c r="Q1055" s="4" t="e">
        <f>VLOOKUP(Cobra8.6[[#This Row],[Table.Column]],ColumnMapping[Old Table.Column],1,)</f>
        <v>#N/A</v>
      </c>
    </row>
    <row r="1056" spans="1:17" hidden="1" x14ac:dyDescent="0.2">
      <c r="A1056" s="4" t="s">
        <v>2319</v>
      </c>
      <c r="B1056" s="4">
        <v>2</v>
      </c>
      <c r="C1056" s="4" t="s">
        <v>2320</v>
      </c>
      <c r="D1056" s="4" t="s">
        <v>688</v>
      </c>
      <c r="E1056" s="4" t="s">
        <v>86</v>
      </c>
      <c r="F1056" s="4">
        <v>20</v>
      </c>
      <c r="G1056" s="4">
        <v>0</v>
      </c>
      <c r="H1056" s="4">
        <v>0</v>
      </c>
      <c r="K1056" s="4">
        <v>0</v>
      </c>
      <c r="N1056" s="4">
        <v>0</v>
      </c>
      <c r="O1056" s="4">
        <v>0</v>
      </c>
      <c r="P1056" s="4" t="str">
        <f t="shared" si="16"/>
        <v>WST_USR.COUNTRY</v>
      </c>
      <c r="Q1056" s="4" t="e">
        <f>VLOOKUP(Cobra8.6[[#This Row],[Table.Column]],ColumnMapping[Old Table.Column],1,)</f>
        <v>#N/A</v>
      </c>
    </row>
    <row r="1057" spans="1:17" hidden="1" x14ac:dyDescent="0.2">
      <c r="A1057" s="4" t="s">
        <v>2319</v>
      </c>
      <c r="B1057" s="4">
        <v>2</v>
      </c>
      <c r="C1057" s="4" t="s">
        <v>2320</v>
      </c>
      <c r="D1057" s="4" t="s">
        <v>2328</v>
      </c>
      <c r="E1057" s="4" t="s">
        <v>86</v>
      </c>
      <c r="F1057" s="4">
        <v>60</v>
      </c>
      <c r="G1057" s="4">
        <v>0</v>
      </c>
      <c r="H1057" s="4">
        <v>0</v>
      </c>
      <c r="K1057" s="4">
        <v>0</v>
      </c>
      <c r="N1057" s="4">
        <v>0</v>
      </c>
      <c r="O1057" s="4">
        <v>0</v>
      </c>
      <c r="P1057" s="4" t="str">
        <f t="shared" si="16"/>
        <v>WST_USR.DEPARTMENT</v>
      </c>
      <c r="Q1057" s="4" t="e">
        <f>VLOOKUP(Cobra8.6[[#This Row],[Table.Column]],ColumnMapping[Old Table.Column],1,)</f>
        <v>#N/A</v>
      </c>
    </row>
    <row r="1058" spans="1:17" hidden="1" x14ac:dyDescent="0.2">
      <c r="A1058" s="4" t="s">
        <v>2319</v>
      </c>
      <c r="B1058" s="4">
        <v>2</v>
      </c>
      <c r="C1058" s="4" t="s">
        <v>2320</v>
      </c>
      <c r="D1058" s="4" t="s">
        <v>15</v>
      </c>
      <c r="E1058" s="4" t="s">
        <v>86</v>
      </c>
      <c r="F1058" s="4">
        <v>60</v>
      </c>
      <c r="G1058" s="4">
        <v>0</v>
      </c>
      <c r="H1058" s="4">
        <v>0</v>
      </c>
      <c r="K1058" s="4">
        <v>30525</v>
      </c>
      <c r="N1058" s="4">
        <v>0</v>
      </c>
      <c r="O1058" s="4">
        <v>0</v>
      </c>
      <c r="P1058" s="4" t="str">
        <f t="shared" si="16"/>
        <v>WST_USR.DESCRIPTION</v>
      </c>
      <c r="Q1058" s="4" t="e">
        <f>VLOOKUP(Cobra8.6[[#This Row],[Table.Column]],ColumnMapping[Old Table.Column],1,)</f>
        <v>#N/A</v>
      </c>
    </row>
    <row r="1059" spans="1:17" hidden="1" x14ac:dyDescent="0.2">
      <c r="A1059" s="4" t="s">
        <v>2319</v>
      </c>
      <c r="B1059" s="4">
        <v>2</v>
      </c>
      <c r="C1059" s="4" t="s">
        <v>2320</v>
      </c>
      <c r="D1059" s="4" t="s">
        <v>0</v>
      </c>
      <c r="E1059" s="4" t="s">
        <v>86</v>
      </c>
      <c r="F1059" s="4">
        <v>80</v>
      </c>
      <c r="G1059" s="4">
        <v>0</v>
      </c>
      <c r="H1059" s="4">
        <v>0</v>
      </c>
      <c r="K1059" s="4">
        <v>0</v>
      </c>
      <c r="N1059" s="4">
        <v>0</v>
      </c>
      <c r="O1059" s="4">
        <v>0</v>
      </c>
      <c r="P1059" s="4" t="str">
        <f t="shared" si="16"/>
        <v>WST_USR.DOMAIN</v>
      </c>
      <c r="Q1059" s="4" t="e">
        <f>VLOOKUP(Cobra8.6[[#This Row],[Table.Column]],ColumnMapping[Old Table.Column],1,)</f>
        <v>#N/A</v>
      </c>
    </row>
    <row r="1060" spans="1:17" hidden="1" x14ac:dyDescent="0.2">
      <c r="A1060" s="4" t="s">
        <v>2319</v>
      </c>
      <c r="B1060" s="4">
        <v>2</v>
      </c>
      <c r="C1060" s="4" t="s">
        <v>2320</v>
      </c>
      <c r="D1060" s="4" t="s">
        <v>2329</v>
      </c>
      <c r="E1060" s="4" t="s">
        <v>86</v>
      </c>
      <c r="F1060" s="4">
        <v>60</v>
      </c>
      <c r="G1060" s="4">
        <v>0</v>
      </c>
      <c r="H1060" s="4">
        <v>0</v>
      </c>
      <c r="K1060" s="4">
        <v>31487</v>
      </c>
      <c r="N1060" s="4">
        <v>0</v>
      </c>
      <c r="O1060" s="4">
        <v>0</v>
      </c>
      <c r="P1060" s="4" t="str">
        <f t="shared" si="16"/>
        <v>WST_USR.EMAIL</v>
      </c>
      <c r="Q1060" s="4" t="e">
        <f>VLOOKUP(Cobra8.6[[#This Row],[Table.Column]],ColumnMapping[Old Table.Column],1,)</f>
        <v>#N/A</v>
      </c>
    </row>
    <row r="1061" spans="1:17" hidden="1" x14ac:dyDescent="0.2">
      <c r="A1061" s="4" t="s">
        <v>2319</v>
      </c>
      <c r="B1061" s="4">
        <v>2</v>
      </c>
      <c r="C1061" s="4" t="s">
        <v>2320</v>
      </c>
      <c r="D1061" s="4" t="s">
        <v>2330</v>
      </c>
      <c r="E1061" s="4" t="s">
        <v>86</v>
      </c>
      <c r="F1061" s="4">
        <v>20</v>
      </c>
      <c r="G1061" s="4">
        <v>0</v>
      </c>
      <c r="H1061" s="4">
        <v>0</v>
      </c>
      <c r="K1061" s="4">
        <v>0</v>
      </c>
      <c r="N1061" s="4">
        <v>0</v>
      </c>
      <c r="O1061" s="4">
        <v>0</v>
      </c>
      <c r="P1061" s="4" t="str">
        <f t="shared" si="16"/>
        <v>WST_USR.FAX</v>
      </c>
      <c r="Q1061" s="4" t="e">
        <f>VLOOKUP(Cobra8.6[[#This Row],[Table.Column]],ColumnMapping[Old Table.Column],1,)</f>
        <v>#N/A</v>
      </c>
    </row>
    <row r="1062" spans="1:17" hidden="1" x14ac:dyDescent="0.2">
      <c r="A1062" s="4" t="s">
        <v>2319</v>
      </c>
      <c r="B1062" s="4">
        <v>2</v>
      </c>
      <c r="C1062" s="4" t="s">
        <v>2320</v>
      </c>
      <c r="D1062" s="4" t="s">
        <v>2224</v>
      </c>
      <c r="E1062" s="4" t="s">
        <v>86</v>
      </c>
      <c r="F1062" s="4">
        <v>10</v>
      </c>
      <c r="G1062" s="4">
        <v>0</v>
      </c>
      <c r="H1062" s="4">
        <v>0</v>
      </c>
      <c r="K1062" s="4">
        <v>0</v>
      </c>
      <c r="N1062" s="4">
        <v>0</v>
      </c>
      <c r="O1062" s="4">
        <v>0</v>
      </c>
      <c r="P1062" s="4" t="str">
        <f t="shared" si="16"/>
        <v>WST_USR.FILTER</v>
      </c>
      <c r="Q1062" s="4" t="e">
        <f>VLOOKUP(Cobra8.6[[#This Row],[Table.Column]],ColumnMapping[Old Table.Column],1,)</f>
        <v>#N/A</v>
      </c>
    </row>
    <row r="1063" spans="1:17" hidden="1" x14ac:dyDescent="0.2">
      <c r="A1063" s="4" t="s">
        <v>2319</v>
      </c>
      <c r="B1063" s="4">
        <v>2</v>
      </c>
      <c r="C1063" s="4" t="s">
        <v>2320</v>
      </c>
      <c r="D1063" s="4" t="s">
        <v>2331</v>
      </c>
      <c r="E1063" s="4" t="s">
        <v>86</v>
      </c>
      <c r="F1063" s="4">
        <v>50</v>
      </c>
      <c r="G1063" s="4">
        <v>0</v>
      </c>
      <c r="H1063" s="4">
        <v>0</v>
      </c>
      <c r="K1063" s="4">
        <v>0</v>
      </c>
      <c r="N1063" s="4">
        <v>0</v>
      </c>
      <c r="O1063" s="4">
        <v>0</v>
      </c>
      <c r="P1063" s="4" t="str">
        <f t="shared" si="16"/>
        <v>WST_USR.FIRST_NAME</v>
      </c>
      <c r="Q1063" s="4" t="e">
        <f>VLOOKUP(Cobra8.6[[#This Row],[Table.Column]],ColumnMapping[Old Table.Column],1,)</f>
        <v>#N/A</v>
      </c>
    </row>
    <row r="1064" spans="1:17" hidden="1" x14ac:dyDescent="0.2">
      <c r="A1064" s="4" t="s">
        <v>2319</v>
      </c>
      <c r="B1064" s="4">
        <v>2</v>
      </c>
      <c r="C1064" s="4" t="s">
        <v>2320</v>
      </c>
      <c r="D1064" s="4" t="s">
        <v>2332</v>
      </c>
      <c r="E1064" s="4" t="s">
        <v>86</v>
      </c>
      <c r="F1064" s="4">
        <v>50</v>
      </c>
      <c r="G1064" s="4">
        <v>0</v>
      </c>
      <c r="H1064" s="4">
        <v>0</v>
      </c>
      <c r="K1064" s="4">
        <v>0</v>
      </c>
      <c r="N1064" s="4">
        <v>0</v>
      </c>
      <c r="O1064" s="4">
        <v>0</v>
      </c>
      <c r="P1064" s="4" t="str">
        <f t="shared" si="16"/>
        <v>WST_USR.LAST_NAME</v>
      </c>
      <c r="Q1064" s="4" t="e">
        <f>VLOOKUP(Cobra8.6[[#This Row],[Table.Column]],ColumnMapping[Old Table.Column],1,)</f>
        <v>#N/A</v>
      </c>
    </row>
    <row r="1065" spans="1:17" hidden="1" x14ac:dyDescent="0.2">
      <c r="A1065" s="4" t="s">
        <v>2319</v>
      </c>
      <c r="B1065" s="4">
        <v>2</v>
      </c>
      <c r="C1065" s="4" t="s">
        <v>2320</v>
      </c>
      <c r="D1065" s="4" t="s">
        <v>2333</v>
      </c>
      <c r="E1065" s="4" t="s">
        <v>86</v>
      </c>
      <c r="F1065" s="4">
        <v>60</v>
      </c>
      <c r="G1065" s="4">
        <v>0</v>
      </c>
      <c r="H1065" s="4">
        <v>0</v>
      </c>
      <c r="K1065" s="4">
        <v>0</v>
      </c>
      <c r="N1065" s="4">
        <v>0</v>
      </c>
      <c r="O1065" s="4">
        <v>0</v>
      </c>
      <c r="P1065" s="4" t="str">
        <f t="shared" si="16"/>
        <v>WST_USR.LOCATION</v>
      </c>
      <c r="Q1065" s="4" t="e">
        <f>VLOOKUP(Cobra8.6[[#This Row],[Table.Column]],ColumnMapping[Old Table.Column],1,)</f>
        <v>#N/A</v>
      </c>
    </row>
    <row r="1066" spans="1:17" hidden="1" x14ac:dyDescent="0.2">
      <c r="A1066" s="4" t="s">
        <v>2319</v>
      </c>
      <c r="B1066" s="4">
        <v>2</v>
      </c>
      <c r="C1066" s="4" t="s">
        <v>2320</v>
      </c>
      <c r="D1066" s="4" t="s">
        <v>2181</v>
      </c>
      <c r="E1066" s="4" t="s">
        <v>86</v>
      </c>
      <c r="F1066" s="4">
        <v>20</v>
      </c>
      <c r="G1066" s="4">
        <v>0</v>
      </c>
      <c r="H1066" s="4">
        <v>0</v>
      </c>
      <c r="K1066" s="4">
        <v>0</v>
      </c>
      <c r="N1066" s="4">
        <v>0</v>
      </c>
      <c r="O1066" s="4">
        <v>0</v>
      </c>
      <c r="P1066" s="4" t="str">
        <f t="shared" si="16"/>
        <v>WST_USR.MANAGER</v>
      </c>
      <c r="Q1066" s="4" t="e">
        <f>VLOOKUP(Cobra8.6[[#This Row],[Table.Column]],ColumnMapping[Old Table.Column],1,)</f>
        <v>#N/A</v>
      </c>
    </row>
    <row r="1067" spans="1:17" hidden="1" x14ac:dyDescent="0.2">
      <c r="A1067" s="4" t="s">
        <v>2319</v>
      </c>
      <c r="B1067" s="4">
        <v>2</v>
      </c>
      <c r="C1067" s="4" t="s">
        <v>2320</v>
      </c>
      <c r="D1067" s="4" t="s">
        <v>2334</v>
      </c>
      <c r="E1067" s="4" t="s">
        <v>86</v>
      </c>
      <c r="F1067" s="4">
        <v>178</v>
      </c>
      <c r="G1067" s="4">
        <v>0</v>
      </c>
      <c r="H1067" s="4">
        <v>0</v>
      </c>
      <c r="K1067" s="4">
        <v>0</v>
      </c>
      <c r="N1067" s="4">
        <v>0</v>
      </c>
      <c r="O1067" s="4">
        <v>0</v>
      </c>
      <c r="P1067" s="4" t="str">
        <f t="shared" si="16"/>
        <v>WST_USR.PASSWD</v>
      </c>
      <c r="Q1067" s="4" t="e">
        <f>VLOOKUP(Cobra8.6[[#This Row],[Table.Column]],ColumnMapping[Old Table.Column],1,)</f>
        <v>#N/A</v>
      </c>
    </row>
    <row r="1068" spans="1:17" hidden="1" x14ac:dyDescent="0.2">
      <c r="A1068" s="4" t="s">
        <v>2319</v>
      </c>
      <c r="B1068" s="4">
        <v>2</v>
      </c>
      <c r="C1068" s="4" t="s">
        <v>2320</v>
      </c>
      <c r="D1068" s="4" t="s">
        <v>2335</v>
      </c>
      <c r="E1068" s="4" t="s">
        <v>86</v>
      </c>
      <c r="F1068" s="4">
        <v>20</v>
      </c>
      <c r="G1068" s="4">
        <v>0</v>
      </c>
      <c r="H1068" s="4">
        <v>0</v>
      </c>
      <c r="K1068" s="4">
        <v>0</v>
      </c>
      <c r="N1068" s="4">
        <v>0</v>
      </c>
      <c r="O1068" s="4">
        <v>0</v>
      </c>
      <c r="P1068" s="4" t="str">
        <f t="shared" si="16"/>
        <v>WST_USR.PHONE</v>
      </c>
      <c r="Q1068" s="4" t="e">
        <f>VLOOKUP(Cobra8.6[[#This Row],[Table.Column]],ColumnMapping[Old Table.Column],1,)</f>
        <v>#N/A</v>
      </c>
    </row>
    <row r="1069" spans="1:17" hidden="1" x14ac:dyDescent="0.2">
      <c r="A1069" s="4" t="s">
        <v>2319</v>
      </c>
      <c r="B1069" s="4">
        <v>2</v>
      </c>
      <c r="C1069" s="4" t="s">
        <v>2320</v>
      </c>
      <c r="D1069" s="4" t="s">
        <v>2265</v>
      </c>
      <c r="E1069" s="4" t="s">
        <v>86</v>
      </c>
      <c r="F1069" s="4">
        <v>20</v>
      </c>
      <c r="G1069" s="4">
        <v>0</v>
      </c>
      <c r="H1069" s="4">
        <v>0</v>
      </c>
      <c r="K1069" s="4">
        <v>0</v>
      </c>
      <c r="N1069" s="4">
        <v>0</v>
      </c>
      <c r="O1069" s="4">
        <v>0</v>
      </c>
      <c r="P1069" s="4" t="str">
        <f t="shared" si="16"/>
        <v>WST_USR.ROL_ID</v>
      </c>
      <c r="Q1069" s="4" t="e">
        <f>VLOOKUP(Cobra8.6[[#This Row],[Table.Column]],ColumnMapping[Old Table.Column],1,)</f>
        <v>#N/A</v>
      </c>
    </row>
    <row r="1070" spans="1:17" hidden="1" x14ac:dyDescent="0.2">
      <c r="A1070" s="4" t="s">
        <v>2319</v>
      </c>
      <c r="B1070" s="4">
        <v>2</v>
      </c>
      <c r="C1070" s="4" t="s">
        <v>2320</v>
      </c>
      <c r="D1070" s="4" t="s">
        <v>751</v>
      </c>
      <c r="E1070" s="4" t="s">
        <v>86</v>
      </c>
      <c r="F1070" s="4">
        <v>20</v>
      </c>
      <c r="G1070" s="4">
        <v>0</v>
      </c>
      <c r="H1070" s="4">
        <v>0</v>
      </c>
      <c r="K1070" s="4">
        <v>0</v>
      </c>
      <c r="N1070" s="4">
        <v>0</v>
      </c>
      <c r="O1070" s="4">
        <v>0</v>
      </c>
      <c r="P1070" s="4" t="str">
        <f t="shared" si="16"/>
        <v>WST_USR.STATE</v>
      </c>
      <c r="Q1070" s="4" t="e">
        <f>VLOOKUP(Cobra8.6[[#This Row],[Table.Column]],ColumnMapping[Old Table.Column],1,)</f>
        <v>#N/A</v>
      </c>
    </row>
    <row r="1071" spans="1:17" hidden="1" x14ac:dyDescent="0.2">
      <c r="A1071" s="4" t="s">
        <v>2319</v>
      </c>
      <c r="B1071" s="4">
        <v>2</v>
      </c>
      <c r="C1071" s="4" t="s">
        <v>2320</v>
      </c>
      <c r="D1071" s="4" t="s">
        <v>2112</v>
      </c>
      <c r="E1071" s="4" t="s">
        <v>86</v>
      </c>
      <c r="F1071" s="4">
        <v>20</v>
      </c>
      <c r="G1071" s="4">
        <v>0</v>
      </c>
      <c r="H1071" s="4">
        <v>131072</v>
      </c>
      <c r="K1071" s="4">
        <v>30451</v>
      </c>
      <c r="N1071" s="4">
        <v>0</v>
      </c>
      <c r="O1071" s="4">
        <v>0</v>
      </c>
      <c r="P1071" s="4" t="str">
        <f t="shared" si="16"/>
        <v>WST_USR.USR_ID</v>
      </c>
      <c r="Q1071" s="4" t="e">
        <f>VLOOKUP(Cobra8.6[[#This Row],[Table.Column]],ColumnMapping[Old Table.Column],1,)</f>
        <v>#N/A</v>
      </c>
    </row>
    <row r="1072" spans="1:17" hidden="1" x14ac:dyDescent="0.2">
      <c r="A1072" s="4" t="s">
        <v>2319</v>
      </c>
      <c r="B1072" s="4">
        <v>2</v>
      </c>
      <c r="C1072" s="4" t="s">
        <v>2320</v>
      </c>
      <c r="D1072" s="4" t="s">
        <v>757</v>
      </c>
      <c r="E1072" s="4" t="s">
        <v>86</v>
      </c>
      <c r="F1072" s="4">
        <v>20</v>
      </c>
      <c r="G1072" s="4">
        <v>0</v>
      </c>
      <c r="H1072" s="4">
        <v>0</v>
      </c>
      <c r="K1072" s="4">
        <v>0</v>
      </c>
      <c r="N1072" s="4">
        <v>0</v>
      </c>
      <c r="O1072" s="4">
        <v>0</v>
      </c>
      <c r="P1072" s="4" t="str">
        <f t="shared" si="16"/>
        <v>WST_USR.ZIP</v>
      </c>
      <c r="Q1072" s="4" t="e">
        <f>VLOOKUP(Cobra8.6[[#This Row],[Table.Column]],ColumnMapping[Old Table.Column],1,)</f>
        <v>#N/A</v>
      </c>
    </row>
    <row r="1073" spans="1:17" hidden="1" x14ac:dyDescent="0.2">
      <c r="A1073" s="4" t="s">
        <v>2336</v>
      </c>
      <c r="B1073" s="4">
        <v>0</v>
      </c>
      <c r="C1073" s="4" t="s">
        <v>2337</v>
      </c>
      <c r="D1073" s="4" t="s">
        <v>1997</v>
      </c>
      <c r="E1073" s="4" t="s">
        <v>31</v>
      </c>
      <c r="F1073" s="4">
        <v>22</v>
      </c>
      <c r="G1073" s="4">
        <v>0</v>
      </c>
      <c r="H1073" s="4">
        <v>0</v>
      </c>
      <c r="K1073" s="4">
        <v>0</v>
      </c>
      <c r="L1073" s="4">
        <v>0</v>
      </c>
      <c r="M1073" s="4" t="s">
        <v>1997</v>
      </c>
      <c r="N1073" s="4">
        <v>1</v>
      </c>
      <c r="O1073" s="4">
        <v>0</v>
      </c>
      <c r="P1073" s="4" t="str">
        <f t="shared" si="16"/>
        <v>WST_UTX.DIR_UID</v>
      </c>
      <c r="Q1073" s="4" t="e">
        <f>VLOOKUP(Cobra8.6[[#This Row],[Table.Column]],ColumnMapping[Old Table.Column],1,)</f>
        <v>#N/A</v>
      </c>
    </row>
    <row r="1074" spans="1:17" hidden="1" x14ac:dyDescent="0.2">
      <c r="A1074" s="4" t="s">
        <v>2336</v>
      </c>
      <c r="B1074" s="4">
        <v>0</v>
      </c>
      <c r="C1074" s="4" t="s">
        <v>2337</v>
      </c>
      <c r="D1074" s="4" t="s">
        <v>98</v>
      </c>
      <c r="E1074" s="4" t="s">
        <v>86</v>
      </c>
      <c r="F1074" s="4">
        <v>60</v>
      </c>
      <c r="G1074" s="4">
        <v>0</v>
      </c>
      <c r="H1074" s="4">
        <v>0</v>
      </c>
      <c r="K1074" s="4">
        <v>0</v>
      </c>
      <c r="N1074" s="4">
        <v>0</v>
      </c>
      <c r="O1074" s="4">
        <v>0</v>
      </c>
      <c r="P1074" s="4" t="str">
        <f t="shared" si="16"/>
        <v>WST_UTX.FIELD_NAME</v>
      </c>
      <c r="Q1074" s="4" t="e">
        <f>VLOOKUP(Cobra8.6[[#This Row],[Table.Column]],ColumnMapping[Old Table.Column],1,)</f>
        <v>#N/A</v>
      </c>
    </row>
    <row r="1075" spans="1:17" hidden="1" x14ac:dyDescent="0.2">
      <c r="A1075" s="4" t="s">
        <v>2336</v>
      </c>
      <c r="B1075" s="4">
        <v>0</v>
      </c>
      <c r="C1075" s="4" t="s">
        <v>2337</v>
      </c>
      <c r="D1075" s="4" t="s">
        <v>1796</v>
      </c>
      <c r="E1075" s="4" t="s">
        <v>86</v>
      </c>
      <c r="F1075" s="4">
        <v>255</v>
      </c>
      <c r="G1075" s="4">
        <v>0</v>
      </c>
      <c r="H1075" s="4">
        <v>0</v>
      </c>
      <c r="K1075" s="4">
        <v>0</v>
      </c>
      <c r="N1075" s="4">
        <v>0</v>
      </c>
      <c r="O1075" s="4">
        <v>0</v>
      </c>
      <c r="P1075" s="4" t="str">
        <f t="shared" si="16"/>
        <v>WST_UTX.FIELD_VALUE</v>
      </c>
      <c r="Q1075" s="4" t="e">
        <f>VLOOKUP(Cobra8.6[[#This Row],[Table.Column]],ColumnMapping[Old Table.Column],1,)</f>
        <v>#N/A</v>
      </c>
    </row>
    <row r="1076" spans="1:17" hidden="1" x14ac:dyDescent="0.2">
      <c r="A1076" s="4" t="s">
        <v>2336</v>
      </c>
      <c r="B1076" s="4">
        <v>0</v>
      </c>
      <c r="C1076" s="4" t="s">
        <v>2337</v>
      </c>
      <c r="D1076" s="4" t="s">
        <v>2291</v>
      </c>
      <c r="E1076" s="4" t="s">
        <v>31</v>
      </c>
      <c r="F1076" s="4">
        <v>22</v>
      </c>
      <c r="G1076" s="4">
        <v>0</v>
      </c>
      <c r="H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 t="str">
        <f t="shared" si="16"/>
        <v>WST_UTX.FK_UID</v>
      </c>
      <c r="Q1076" s="4" t="e">
        <f>VLOOKUP(Cobra8.6[[#This Row],[Table.Column]],ColumnMapping[Old Table.Column],1,)</f>
        <v>#N/A</v>
      </c>
    </row>
    <row r="1077" spans="1:17" hidden="1" x14ac:dyDescent="0.2">
      <c r="A1077" s="4" t="s">
        <v>2336</v>
      </c>
      <c r="B1077" s="4">
        <v>0</v>
      </c>
      <c r="C1077" s="4" t="s">
        <v>2337</v>
      </c>
      <c r="D1077" s="4" t="s">
        <v>30</v>
      </c>
      <c r="E1077" s="4" t="s">
        <v>31</v>
      </c>
      <c r="F1077" s="4">
        <v>22</v>
      </c>
      <c r="G1077" s="4">
        <v>0</v>
      </c>
      <c r="H1077" s="4">
        <v>0</v>
      </c>
      <c r="K1077" s="4">
        <v>0</v>
      </c>
      <c r="N1077" s="4">
        <v>0</v>
      </c>
      <c r="O1077" s="4">
        <v>0</v>
      </c>
      <c r="P1077" s="4" t="str">
        <f t="shared" si="16"/>
        <v>WST_UTX.ROW_UID</v>
      </c>
      <c r="Q1077" s="4" t="e">
        <f>VLOOKUP(Cobra8.6[[#This Row],[Table.Column]],ColumnMapping[Old Table.Column],1,)</f>
        <v>#N/A</v>
      </c>
    </row>
    <row r="1078" spans="1:17" hidden="1" x14ac:dyDescent="0.2">
      <c r="A1078" s="4" t="s">
        <v>2336</v>
      </c>
      <c r="B1078" s="4">
        <v>0</v>
      </c>
      <c r="C1078" s="4" t="s">
        <v>2337</v>
      </c>
      <c r="D1078" s="4" t="s">
        <v>2005</v>
      </c>
      <c r="E1078" s="4" t="s">
        <v>86</v>
      </c>
      <c r="F1078" s="4">
        <v>30</v>
      </c>
      <c r="G1078" s="4">
        <v>0</v>
      </c>
      <c r="H1078" s="4">
        <v>0</v>
      </c>
      <c r="K1078" s="4">
        <v>30526</v>
      </c>
      <c r="N1078" s="4">
        <v>0</v>
      </c>
      <c r="O1078" s="4">
        <v>0</v>
      </c>
      <c r="P1078" s="4" t="str">
        <f t="shared" si="16"/>
        <v>WST_UTX.TABLE_TYPE</v>
      </c>
      <c r="Q1078" s="4" t="e">
        <f>VLOOKUP(Cobra8.6[[#This Row],[Table.Column]],ColumnMapping[Old Table.Column],1,)</f>
        <v>#N/A</v>
      </c>
    </row>
    <row r="1079" spans="1:17" hidden="1" x14ac:dyDescent="0.2">
      <c r="A1079" s="4" t="s">
        <v>2338</v>
      </c>
      <c r="C1079" s="4" t="s">
        <v>2338</v>
      </c>
      <c r="D1079" s="4" t="s">
        <v>744</v>
      </c>
      <c r="E1079" s="4" t="s">
        <v>86</v>
      </c>
      <c r="F1079" s="4">
        <v>22</v>
      </c>
      <c r="G1079" s="4">
        <v>0</v>
      </c>
      <c r="H1079" s="4">
        <v>0</v>
      </c>
      <c r="N1079" s="4">
        <v>0</v>
      </c>
      <c r="P1079" s="4" t="str">
        <f t="shared" ref="P1079:P1088" si="17">_xlfn.CONCAT(A1079,".",D1079)</f>
        <v>NARRANALYSIS.PROGRAM</v>
      </c>
    </row>
    <row r="1080" spans="1:17" hidden="1" x14ac:dyDescent="0.2">
      <c r="A1080" s="4" t="s">
        <v>2338</v>
      </c>
      <c r="C1080" s="4" t="s">
        <v>2338</v>
      </c>
      <c r="D1080" s="4" t="s">
        <v>2139</v>
      </c>
      <c r="E1080" s="4" t="s">
        <v>356</v>
      </c>
      <c r="F1080" s="4">
        <v>-1</v>
      </c>
      <c r="G1080" s="4">
        <v>0</v>
      </c>
      <c r="H1080" s="4">
        <v>0</v>
      </c>
      <c r="N1080" s="4">
        <v>0</v>
      </c>
      <c r="P1080" s="4" t="str">
        <f t="shared" si="17"/>
        <v>NARRANALYSIS.STATUSDATE</v>
      </c>
    </row>
    <row r="1081" spans="1:17" hidden="1" x14ac:dyDescent="0.2">
      <c r="A1081" s="4" t="s">
        <v>2338</v>
      </c>
      <c r="C1081" s="4" t="s">
        <v>2338</v>
      </c>
      <c r="D1081" s="4" t="s">
        <v>1009</v>
      </c>
      <c r="E1081" s="4" t="s">
        <v>2108</v>
      </c>
      <c r="F1081" s="4">
        <v>-1</v>
      </c>
      <c r="G1081" s="4">
        <v>0</v>
      </c>
      <c r="H1081" s="4">
        <v>0</v>
      </c>
      <c r="N1081" s="4">
        <v>0</v>
      </c>
      <c r="P1081" s="4" t="str">
        <f t="shared" si="17"/>
        <v>NARRANALYSIS.CAWPID</v>
      </c>
    </row>
    <row r="1082" spans="1:17" hidden="1" x14ac:dyDescent="0.2">
      <c r="A1082" s="4" t="s">
        <v>2338</v>
      </c>
      <c r="C1082" s="4" t="s">
        <v>2338</v>
      </c>
      <c r="D1082" s="4" t="s">
        <v>29</v>
      </c>
      <c r="E1082" s="4" t="s">
        <v>86</v>
      </c>
      <c r="F1082" s="4">
        <v>59</v>
      </c>
      <c r="G1082" s="4">
        <v>0</v>
      </c>
      <c r="H1082" s="4">
        <v>0</v>
      </c>
      <c r="N1082" s="4">
        <v>0</v>
      </c>
      <c r="P1082" s="4" t="str">
        <f t="shared" si="17"/>
        <v>NARRANALYSIS.CODE</v>
      </c>
    </row>
    <row r="1083" spans="1:17" hidden="1" x14ac:dyDescent="0.2">
      <c r="A1083" s="4" t="s">
        <v>2338</v>
      </c>
      <c r="C1083" s="4" t="s">
        <v>2338</v>
      </c>
      <c r="D1083" s="4" t="s">
        <v>2233</v>
      </c>
      <c r="E1083" s="4" t="s">
        <v>86</v>
      </c>
      <c r="F1083" s="4">
        <v>20</v>
      </c>
      <c r="G1083" s="4">
        <v>0</v>
      </c>
      <c r="H1083" s="4">
        <v>0</v>
      </c>
      <c r="N1083" s="4">
        <v>0</v>
      </c>
      <c r="P1083" s="4" t="str">
        <f t="shared" si="17"/>
        <v>NARRANALYSIS.KEY_TYPE</v>
      </c>
    </row>
    <row r="1084" spans="1:17" hidden="1" x14ac:dyDescent="0.2">
      <c r="A1084" s="4" t="s">
        <v>2338</v>
      </c>
      <c r="C1084" s="4" t="s">
        <v>2338</v>
      </c>
      <c r="D1084" s="4" t="s">
        <v>2339</v>
      </c>
      <c r="E1084" s="4" t="s">
        <v>271</v>
      </c>
      <c r="F1084" s="4">
        <v>-1</v>
      </c>
      <c r="G1084" s="4">
        <v>0</v>
      </c>
      <c r="H1084" s="4">
        <v>0</v>
      </c>
      <c r="N1084" s="4">
        <v>0</v>
      </c>
      <c r="P1084" s="4" t="str">
        <f t="shared" si="17"/>
        <v>NARRANALYSIS.EXPLAN</v>
      </c>
    </row>
    <row r="1085" spans="1:17" hidden="1" x14ac:dyDescent="0.2">
      <c r="A1085" s="4" t="s">
        <v>2338</v>
      </c>
      <c r="C1085" s="4" t="s">
        <v>2338</v>
      </c>
      <c r="D1085" s="4" t="s">
        <v>2340</v>
      </c>
      <c r="E1085" s="4" t="s">
        <v>2124</v>
      </c>
      <c r="F1085" s="4">
        <v>5</v>
      </c>
      <c r="G1085" s="4">
        <v>2</v>
      </c>
      <c r="H1085" s="4">
        <v>0</v>
      </c>
      <c r="N1085" s="4">
        <v>0</v>
      </c>
      <c r="P1085" s="4" t="str">
        <f t="shared" si="17"/>
        <v>NARRANALYSIS.SCORE</v>
      </c>
    </row>
    <row r="1086" spans="1:17" hidden="1" x14ac:dyDescent="0.2">
      <c r="A1086" s="4" t="s">
        <v>2338</v>
      </c>
      <c r="C1086" s="4" t="s">
        <v>2338</v>
      </c>
      <c r="D1086" s="4" t="s">
        <v>35</v>
      </c>
      <c r="E1086" s="4" t="s">
        <v>2108</v>
      </c>
      <c r="F1086" s="4">
        <v>-1</v>
      </c>
      <c r="G1086" s="4">
        <v>0</v>
      </c>
      <c r="H1086" s="4">
        <v>0</v>
      </c>
      <c r="N1086" s="4">
        <v>0</v>
      </c>
      <c r="P1086" s="4" t="str">
        <f t="shared" si="17"/>
        <v>NARRANALYSIS.SEQUENCE</v>
      </c>
    </row>
    <row r="1087" spans="1:17" hidden="1" x14ac:dyDescent="0.2">
      <c r="A1087" s="4" t="s">
        <v>2338</v>
      </c>
      <c r="C1087" s="4" t="s">
        <v>2338</v>
      </c>
      <c r="D1087" s="4" t="s">
        <v>2111</v>
      </c>
      <c r="E1087" s="4" t="s">
        <v>356</v>
      </c>
      <c r="F1087" s="4">
        <v>-1</v>
      </c>
      <c r="G1087" s="4">
        <v>0</v>
      </c>
      <c r="H1087" s="4">
        <v>0</v>
      </c>
      <c r="N1087" s="4">
        <v>0</v>
      </c>
      <c r="P1087" s="4" t="str">
        <f t="shared" si="17"/>
        <v>NARRANALYSIS.LASTUPDATE</v>
      </c>
    </row>
    <row r="1088" spans="1:17" hidden="1" x14ac:dyDescent="0.2">
      <c r="A1088" s="4" t="s">
        <v>2338</v>
      </c>
      <c r="C1088" s="4" t="s">
        <v>2338</v>
      </c>
      <c r="D1088" s="4" t="s">
        <v>2112</v>
      </c>
      <c r="E1088" s="4" t="s">
        <v>86</v>
      </c>
      <c r="F1088" s="4">
        <v>20</v>
      </c>
      <c r="G1088" s="4">
        <v>0</v>
      </c>
      <c r="H1088" s="4">
        <v>0</v>
      </c>
      <c r="N1088" s="4">
        <v>0</v>
      </c>
      <c r="P1088" s="4" t="str">
        <f t="shared" si="17"/>
        <v>NARRANALYSIS.USR_ID</v>
      </c>
    </row>
    <row r="1091" spans="1:2" x14ac:dyDescent="0.2">
      <c r="A1091" s="4" t="s">
        <v>2341</v>
      </c>
    </row>
    <row r="1092" spans="1:2" x14ac:dyDescent="0.2">
      <c r="A1092" s="4" t="s">
        <v>2342</v>
      </c>
    </row>
    <row r="1093" spans="1:2" x14ac:dyDescent="0.2">
      <c r="A1093" s="4" t="s">
        <v>2343</v>
      </c>
    </row>
    <row r="1094" spans="1:2" x14ac:dyDescent="0.2">
      <c r="A1094" s="4" t="s">
        <v>2344</v>
      </c>
    </row>
    <row r="1095" spans="1:2" x14ac:dyDescent="0.2">
      <c r="A1095" s="4" t="s">
        <v>2345</v>
      </c>
    </row>
    <row r="1096" spans="1:2" x14ac:dyDescent="0.2">
      <c r="A1096" s="4" t="s">
        <v>2346</v>
      </c>
    </row>
    <row r="1097" spans="1:2" x14ac:dyDescent="0.2">
      <c r="A1097" s="4" t="s">
        <v>2347</v>
      </c>
      <c r="B1097" s="4" t="s">
        <v>2348</v>
      </c>
    </row>
    <row r="1098" spans="1:2" x14ac:dyDescent="0.2">
      <c r="B1098" s="4" t="s">
        <v>2349</v>
      </c>
    </row>
    <row r="1099" spans="1:2" x14ac:dyDescent="0.2">
      <c r="A1099" s="4" t="s">
        <v>2350</v>
      </c>
    </row>
    <row r="1100" spans="1:2" x14ac:dyDescent="0.2">
      <c r="A1100" s="4" t="s">
        <v>2351</v>
      </c>
    </row>
    <row r="1101" spans="1:2" x14ac:dyDescent="0.2">
      <c r="A1101" s="4" t="s">
        <v>2352</v>
      </c>
    </row>
    <row r="1102" spans="1:2" x14ac:dyDescent="0.2">
      <c r="A1102" s="4" t="s">
        <v>2353</v>
      </c>
    </row>
  </sheetData>
  <sheetProtection sheet="1" sort="0" autoFilter="0"/>
  <autoFilter ref="Q1:Q1078" xr:uid="{CA5D1A41-841B-466B-A1BD-86630A0FDC56}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A0E9-50B6-4C16-8A70-FDB26C544103}">
  <dimension ref="A1:G90"/>
  <sheetViews>
    <sheetView zoomScale="85" zoomScaleNormal="85" workbookViewId="0">
      <selection activeCell="B24" sqref="B24"/>
    </sheetView>
  </sheetViews>
  <sheetFormatPr baseColWidth="10" defaultColWidth="8.6640625" defaultRowHeight="15" x14ac:dyDescent="0.2"/>
  <cols>
    <col min="1" max="1" width="27.1640625" customWidth="1"/>
    <col min="2" max="2" width="72.6640625" customWidth="1"/>
    <col min="3" max="3" width="39.5" customWidth="1"/>
    <col min="4" max="4" width="94.6640625" customWidth="1"/>
    <col min="5" max="5" width="74.33203125" customWidth="1"/>
    <col min="6" max="6" width="97.6640625" bestFit="1" customWidth="1"/>
    <col min="7" max="7" width="20" style="49" customWidth="1"/>
  </cols>
  <sheetData>
    <row r="1" spans="1:7" x14ac:dyDescent="0.2">
      <c r="A1" s="27" t="s">
        <v>2354</v>
      </c>
      <c r="B1" s="1" t="s">
        <v>2355</v>
      </c>
      <c r="C1" s="1" t="s">
        <v>2356</v>
      </c>
      <c r="D1" s="1" t="s">
        <v>2357</v>
      </c>
      <c r="E1" s="1" t="s">
        <v>2358</v>
      </c>
      <c r="F1" s="1" t="s">
        <v>2359</v>
      </c>
      <c r="G1" s="48" t="s">
        <v>2360</v>
      </c>
    </row>
    <row r="2" spans="1:7" ht="16" x14ac:dyDescent="0.2">
      <c r="A2" t="s">
        <v>1913</v>
      </c>
      <c r="C2" t="s">
        <v>2361</v>
      </c>
      <c r="D2" t="s">
        <v>2362</v>
      </c>
      <c r="E2" s="21" t="str">
        <f>IF(AND(A2&lt;&gt;"",B2&lt;&gt;""),_xlfn.CONCAT("CREATE OR REPLACE VIEW ",A2," AS SELECT * FROM ",B2,";"),"")</f>
        <v/>
      </c>
      <c r="F2" t="s">
        <v>2363</v>
      </c>
      <c r="G2" s="49" t="s">
        <v>32</v>
      </c>
    </row>
    <row r="3" spans="1:7" ht="16" x14ac:dyDescent="0.2">
      <c r="A3" t="s">
        <v>2109</v>
      </c>
      <c r="C3" t="s">
        <v>2364</v>
      </c>
      <c r="D3" t="s">
        <v>2365</v>
      </c>
      <c r="E3" s="21" t="str">
        <f t="shared" ref="E3:E63" si="0">IF(AND(A3&lt;&gt;"",B3&lt;&gt;""),_xlfn.CONCAT("CREATE OR REPLACE VIEW ",A3," AS SELECT * FROM ",B3,";"),"")</f>
        <v/>
      </c>
      <c r="F3" t="s">
        <v>2366</v>
      </c>
      <c r="G3" s="49" t="s">
        <v>2367</v>
      </c>
    </row>
    <row r="4" spans="1:7" ht="16" x14ac:dyDescent="0.2">
      <c r="A4" t="s">
        <v>2113</v>
      </c>
      <c r="C4" t="s">
        <v>2364</v>
      </c>
      <c r="D4" t="s">
        <v>2365</v>
      </c>
      <c r="E4" s="21" t="str">
        <f t="shared" si="0"/>
        <v/>
      </c>
      <c r="F4" t="s">
        <v>2368</v>
      </c>
      <c r="G4" s="49" t="s">
        <v>2367</v>
      </c>
    </row>
    <row r="5" spans="1:7" ht="16" x14ac:dyDescent="0.2">
      <c r="A5" t="s">
        <v>2115</v>
      </c>
      <c r="C5" t="s">
        <v>2364</v>
      </c>
      <c r="D5" t="s">
        <v>2365</v>
      </c>
      <c r="E5" s="21" t="str">
        <f t="shared" si="0"/>
        <v/>
      </c>
      <c r="G5" s="49" t="s">
        <v>2367</v>
      </c>
    </row>
    <row r="6" spans="1:7" ht="16" x14ac:dyDescent="0.2">
      <c r="A6" t="s">
        <v>2121</v>
      </c>
      <c r="C6" t="s">
        <v>2364</v>
      </c>
      <c r="D6" t="s">
        <v>2365</v>
      </c>
      <c r="E6" s="21" t="str">
        <f t="shared" si="0"/>
        <v/>
      </c>
      <c r="G6" s="49" t="s">
        <v>2367</v>
      </c>
    </row>
    <row r="7" spans="1:7" ht="16" x14ac:dyDescent="0.2">
      <c r="A7" t="s">
        <v>2123</v>
      </c>
      <c r="B7" s="17" t="s">
        <v>852</v>
      </c>
      <c r="C7" s="17"/>
      <c r="D7" s="21" t="s">
        <v>2369</v>
      </c>
      <c r="E7" s="21" t="str">
        <f t="shared" si="0"/>
        <v>CREATE OR REPLACE VIEW BASEDETL AS SELECT * FROM PROJECT_AUDIT_LOG_TPHASE;</v>
      </c>
      <c r="G7" s="49" t="s">
        <v>32</v>
      </c>
    </row>
    <row r="8" spans="1:7" ht="48" x14ac:dyDescent="0.2">
      <c r="A8" t="s">
        <v>2127</v>
      </c>
      <c r="B8" s="17" t="s">
        <v>831</v>
      </c>
      <c r="C8" s="17"/>
      <c r="D8" s="21" t="s">
        <v>2370</v>
      </c>
      <c r="E8" s="21" t="str">
        <f t="shared" si="0"/>
        <v>CREATE OR REPLACE VIEW BASEHIST AS SELECT * FROM PROJECT_AUDIT_LOG_HISTORY;</v>
      </c>
      <c r="G8" s="49" t="s">
        <v>32</v>
      </c>
    </row>
    <row r="9" spans="1:7" ht="32" x14ac:dyDescent="0.2">
      <c r="A9" t="s">
        <v>2129</v>
      </c>
      <c r="B9" s="17" t="s">
        <v>815</v>
      </c>
      <c r="C9" s="17"/>
      <c r="D9" s="21" t="s">
        <v>2371</v>
      </c>
      <c r="E9" s="21" t="str">
        <f t="shared" si="0"/>
        <v>CREATE OR REPLACE VIEW BASELINE AS SELECT * FROM PROJECT_AUDIT_LOG_ACCOUNTS;</v>
      </c>
      <c r="G9" s="49" t="s">
        <v>32</v>
      </c>
    </row>
    <row r="10" spans="1:7" ht="32" x14ac:dyDescent="0.2">
      <c r="A10" t="s">
        <v>2133</v>
      </c>
      <c r="B10" s="17" t="s">
        <v>764</v>
      </c>
      <c r="C10" s="17"/>
      <c r="D10" s="21" t="s">
        <v>2372</v>
      </c>
      <c r="E10" s="21" t="str">
        <f t="shared" si="0"/>
        <v>CREATE OR REPLACE VIEW BASELOG AS SELECT * FROM PROJECT_AUDIT_LOG;</v>
      </c>
      <c r="G10" s="49" t="s">
        <v>32</v>
      </c>
    </row>
    <row r="11" spans="1:7" ht="16" x14ac:dyDescent="0.2">
      <c r="A11" t="s">
        <v>2016</v>
      </c>
      <c r="C11" t="s">
        <v>2361</v>
      </c>
      <c r="D11" t="s">
        <v>2373</v>
      </c>
      <c r="E11" s="21" t="str">
        <f t="shared" si="0"/>
        <v/>
      </c>
      <c r="G11" s="49" t="s">
        <v>2374</v>
      </c>
    </row>
    <row r="12" spans="1:7" ht="16" x14ac:dyDescent="0.2">
      <c r="A12" t="s">
        <v>2028</v>
      </c>
      <c r="C12" t="s">
        <v>2361</v>
      </c>
      <c r="D12" t="s">
        <v>2373</v>
      </c>
      <c r="E12" s="21" t="str">
        <f t="shared" si="0"/>
        <v/>
      </c>
      <c r="G12" s="49" t="s">
        <v>2374</v>
      </c>
    </row>
    <row r="13" spans="1:7" ht="16" x14ac:dyDescent="0.2">
      <c r="A13" t="s">
        <v>2142</v>
      </c>
      <c r="B13" t="s">
        <v>29</v>
      </c>
      <c r="E13" s="21" t="str">
        <f>IF(AND(A13&lt;&gt;"",B13&lt;&gt;""),_xlfn.CONCAT("CREATE OR REPLACE VIEW ",A13," AS SELECT * FROM ",B13,";"),"")</f>
        <v>CREATE OR REPLACE VIEW BDNDETL AS SELECT * FROM CODE;</v>
      </c>
      <c r="G13" s="49" t="s">
        <v>2367</v>
      </c>
    </row>
    <row r="14" spans="1:7" ht="16" x14ac:dyDescent="0.2">
      <c r="A14" t="s">
        <v>2142</v>
      </c>
      <c r="B14" t="s">
        <v>157</v>
      </c>
      <c r="E14" s="21" t="str">
        <f t="shared" si="0"/>
        <v>CREATE OR REPLACE VIEW BDNDETL AS SELECT * FROM CODE_THRESHOLD;</v>
      </c>
      <c r="G14" s="49" t="s">
        <v>2367</v>
      </c>
    </row>
    <row r="15" spans="1:7" ht="16" x14ac:dyDescent="0.2">
      <c r="A15" t="s">
        <v>2157</v>
      </c>
      <c r="B15" t="s">
        <v>40</v>
      </c>
      <c r="E15" s="21" t="str">
        <f t="shared" si="0"/>
        <v>CREATE OR REPLACE VIEW BREAKDWN AS SELECT * FROM CODE_FILE;</v>
      </c>
      <c r="G15" s="49" t="s">
        <v>2367</v>
      </c>
    </row>
    <row r="16" spans="1:7" ht="16" x14ac:dyDescent="0.2">
      <c r="A16" t="s">
        <v>2159</v>
      </c>
      <c r="B16" t="s">
        <v>472</v>
      </c>
      <c r="E16" s="21" t="str">
        <f t="shared" si="0"/>
        <v>CREATE OR REPLACE VIEW CALC AS SELECT * FROM RESOURCE_FILE;</v>
      </c>
      <c r="G16" s="49" t="s">
        <v>32</v>
      </c>
    </row>
    <row r="17" spans="1:7" ht="16" x14ac:dyDescent="0.2">
      <c r="A17" t="s">
        <v>2160</v>
      </c>
      <c r="B17" t="s">
        <v>1064</v>
      </c>
      <c r="E17" s="21" t="str">
        <f t="shared" si="0"/>
        <v>CREATE OR REPLACE VIEW CALCDESC AS SELECT * FROM RESOURCES;</v>
      </c>
      <c r="G17" s="49" t="s">
        <v>32</v>
      </c>
    </row>
    <row r="18" spans="1:7" ht="16" x14ac:dyDescent="0.2">
      <c r="A18" t="s">
        <v>2163</v>
      </c>
      <c r="B18" t="s">
        <v>1452</v>
      </c>
      <c r="E18" s="21" t="str">
        <f t="shared" si="0"/>
        <v>CREATE OR REPLACE VIEW CALCDETL AS SELECT * FROM RESOURCE_COST_CALCULATION;</v>
      </c>
      <c r="G18" s="49" t="s">
        <v>32</v>
      </c>
    </row>
    <row r="19" spans="1:7" ht="16" x14ac:dyDescent="0.2">
      <c r="A19" t="s">
        <v>2167</v>
      </c>
      <c r="C19" t="s">
        <v>2375</v>
      </c>
      <c r="D19" t="s">
        <v>2376</v>
      </c>
      <c r="E19" s="21" t="str">
        <f t="shared" si="0"/>
        <v/>
      </c>
      <c r="G19" s="49" t="s">
        <v>2367</v>
      </c>
    </row>
    <row r="20" spans="1:7" ht="16" x14ac:dyDescent="0.2">
      <c r="A20" t="s">
        <v>2171</v>
      </c>
      <c r="B20" t="s">
        <v>859</v>
      </c>
      <c r="E20" s="21" t="str">
        <f t="shared" si="0"/>
        <v>CREATE OR REPLACE VIEW CALCFLDS AS SELECT * FROM PROJECT_CALC_RESULT;</v>
      </c>
      <c r="G20" s="49" t="s">
        <v>32</v>
      </c>
    </row>
    <row r="21" spans="1:7" ht="16" x14ac:dyDescent="0.2">
      <c r="A21" t="s">
        <v>2174</v>
      </c>
      <c r="B21" t="s">
        <v>1520</v>
      </c>
      <c r="E21" s="21" t="str">
        <f t="shared" si="0"/>
        <v>CREATE OR REPLACE VIEW CALCRESULT AS SELECT * FROM RESOURCE_FILE_COST_RESULT;</v>
      </c>
      <c r="G21" s="49" t="s">
        <v>32</v>
      </c>
    </row>
    <row r="22" spans="1:7" ht="16" x14ac:dyDescent="0.2">
      <c r="A22" t="s">
        <v>849</v>
      </c>
      <c r="B22" t="s">
        <v>1218</v>
      </c>
      <c r="E22" s="21" t="str">
        <f t="shared" si="0"/>
        <v>CREATE OR REPLACE VIEW CAWP AS SELECT * FROM PROJECT_CONTROL_ACCOUNT;</v>
      </c>
      <c r="G22" s="49" t="s">
        <v>32</v>
      </c>
    </row>
    <row r="23" spans="1:7" ht="16" x14ac:dyDescent="0.2">
      <c r="A23" t="s">
        <v>849</v>
      </c>
      <c r="B23" t="s">
        <v>1219</v>
      </c>
      <c r="E23" s="21" t="str">
        <f t="shared" si="0"/>
        <v>CREATE OR REPLACE VIEW CAWP AS SELECT * FROM PROJECT_WORK_PACKAGE;</v>
      </c>
      <c r="G23" s="49" t="s">
        <v>32</v>
      </c>
    </row>
    <row r="24" spans="1:7" ht="16" x14ac:dyDescent="0.2">
      <c r="A24" t="s">
        <v>849</v>
      </c>
      <c r="B24" t="s">
        <v>1194</v>
      </c>
      <c r="E24" s="21" t="str">
        <f t="shared" si="0"/>
        <v>CREATE OR REPLACE VIEW CAWP AS SELECT * FROM PROJECT_CAWP_TOTAL;</v>
      </c>
      <c r="G24" s="49" t="s">
        <v>32</v>
      </c>
    </row>
    <row r="25" spans="1:7" ht="16" x14ac:dyDescent="0.2">
      <c r="A25" t="s">
        <v>849</v>
      </c>
      <c r="B25" t="s">
        <v>1655</v>
      </c>
      <c r="E25" s="21" t="str">
        <f t="shared" si="0"/>
        <v>CREATE OR REPLACE VIEW CAWP AS SELECT * FROM USER_FIELD_VALUE;</v>
      </c>
      <c r="G25" s="49" t="s">
        <v>32</v>
      </c>
    </row>
    <row r="26" spans="1:7" ht="16" x14ac:dyDescent="0.2">
      <c r="A26" t="s">
        <v>849</v>
      </c>
      <c r="B26" t="s">
        <v>1788</v>
      </c>
      <c r="E26" s="21" t="str">
        <f t="shared" si="0"/>
        <v>CREATE OR REPLACE VIEW CAWP AS SELECT * FROM USER_NOTE_VALUE;</v>
      </c>
      <c r="G26" s="49" t="s">
        <v>32</v>
      </c>
    </row>
    <row r="27" spans="1:7" ht="16" x14ac:dyDescent="0.2">
      <c r="A27" t="s">
        <v>1915</v>
      </c>
      <c r="C27" t="s">
        <v>2364</v>
      </c>
      <c r="D27" t="s">
        <v>2377</v>
      </c>
      <c r="E27" s="21" t="str">
        <f t="shared" si="0"/>
        <v/>
      </c>
      <c r="G27" s="49" t="s">
        <v>32</v>
      </c>
    </row>
    <row r="28" spans="1:7" ht="16" x14ac:dyDescent="0.2">
      <c r="A28" t="s">
        <v>1924</v>
      </c>
      <c r="C28" t="s">
        <v>2364</v>
      </c>
      <c r="D28" t="s">
        <v>2377</v>
      </c>
      <c r="E28" s="21" t="str">
        <f t="shared" si="0"/>
        <v/>
      </c>
      <c r="G28" s="49" t="s">
        <v>32</v>
      </c>
    </row>
    <row r="29" spans="1:7" ht="16" x14ac:dyDescent="0.2">
      <c r="A29" t="s">
        <v>1927</v>
      </c>
      <c r="C29" t="s">
        <v>2378</v>
      </c>
      <c r="D29" t="s">
        <v>2379</v>
      </c>
      <c r="E29" s="21" t="str">
        <f t="shared" si="0"/>
        <v/>
      </c>
      <c r="G29" s="49" t="s">
        <v>32</v>
      </c>
    </row>
    <row r="30" spans="1:7" ht="16" x14ac:dyDescent="0.2">
      <c r="A30" t="s">
        <v>2186</v>
      </c>
      <c r="B30" t="s">
        <v>1068</v>
      </c>
      <c r="E30" s="21" t="str">
        <f t="shared" si="0"/>
        <v>CREATE OR REPLACE VIEW CLASSES AS SELECT * FROM PROJECT_COST_CLASS;</v>
      </c>
      <c r="G30" s="49" t="s">
        <v>32</v>
      </c>
    </row>
    <row r="31" spans="1:7" ht="16" x14ac:dyDescent="0.2">
      <c r="A31" t="s">
        <v>2198</v>
      </c>
      <c r="B31" t="s">
        <v>1332</v>
      </c>
      <c r="E31" s="21" t="str">
        <f t="shared" si="0"/>
        <v>CREATE OR REPLACE VIEW CLASSESLINK AS SELECT * FROM PROJECT_COST_CLASS_LINK;</v>
      </c>
      <c r="G31" s="49" t="s">
        <v>32</v>
      </c>
    </row>
    <row r="32" spans="1:7" ht="16" x14ac:dyDescent="0.2">
      <c r="A32" t="s">
        <v>2199</v>
      </c>
      <c r="B32" t="s">
        <v>1634</v>
      </c>
      <c r="E32" s="21" t="str">
        <f t="shared" si="0"/>
        <v>CREATE OR REPLACE VIEW COB_CAT AS SELECT * FROM USER_FIELD_DEFINITION;</v>
      </c>
    </row>
    <row r="33" spans="1:7" ht="16" x14ac:dyDescent="0.2">
      <c r="A33" t="s">
        <v>2202</v>
      </c>
      <c r="B33" t="s">
        <v>1788</v>
      </c>
      <c r="E33" s="21" t="str">
        <f t="shared" si="0"/>
        <v>CREATE OR REPLACE VIEW COB_NTX AS SELECT * FROM USER_NOTE_VALUE;</v>
      </c>
    </row>
    <row r="34" spans="1:7" ht="16" x14ac:dyDescent="0.2">
      <c r="A34" t="s">
        <v>2207</v>
      </c>
      <c r="B34" t="s">
        <v>1634</v>
      </c>
      <c r="E34" s="21" t="str">
        <f t="shared" si="0"/>
        <v>CREATE OR REPLACE VIEW CODEFIELD AS SELECT * FROM USER_FIELD_DEFINITION;</v>
      </c>
    </row>
    <row r="35" spans="1:7" ht="16" x14ac:dyDescent="0.2">
      <c r="A35" t="s">
        <v>2213</v>
      </c>
      <c r="B35" t="s">
        <v>253</v>
      </c>
      <c r="E35" s="21" t="str">
        <f t="shared" si="0"/>
        <v>CREATE OR REPLACE VIEW CONFIG AS SELECT * FROM PRODUCT_CONFIG;</v>
      </c>
    </row>
    <row r="36" spans="1:7" ht="16" x14ac:dyDescent="0.2">
      <c r="A36" t="s">
        <v>1931</v>
      </c>
      <c r="C36" t="s">
        <v>2378</v>
      </c>
      <c r="D36" t="s">
        <v>2380</v>
      </c>
      <c r="E36" s="21" t="str">
        <f t="shared" si="0"/>
        <v/>
      </c>
      <c r="G36" s="49" t="s">
        <v>32</v>
      </c>
    </row>
    <row r="37" spans="1:7" ht="16" x14ac:dyDescent="0.2">
      <c r="A37" t="s">
        <v>1941</v>
      </c>
      <c r="C37" t="s">
        <v>2378</v>
      </c>
      <c r="D37" t="s">
        <v>2381</v>
      </c>
      <c r="E37" s="21" t="str">
        <f t="shared" si="0"/>
        <v/>
      </c>
      <c r="G37" s="49" t="s">
        <v>32</v>
      </c>
    </row>
    <row r="38" spans="1:7" ht="16" x14ac:dyDescent="0.2">
      <c r="A38" t="s">
        <v>2217</v>
      </c>
      <c r="B38" t="s">
        <v>1059</v>
      </c>
      <c r="E38" s="21" t="str">
        <f t="shared" si="0"/>
        <v>CREATE OR REPLACE VIEW COSTELEM AS SELECT * FROM PROJECT_CAWP_RESOURCE;</v>
      </c>
      <c r="G38" s="49" t="s">
        <v>32</v>
      </c>
    </row>
    <row r="39" spans="1:7" ht="16" x14ac:dyDescent="0.2">
      <c r="A39" t="s">
        <v>2217</v>
      </c>
      <c r="B39" t="s">
        <v>1620</v>
      </c>
      <c r="E39" s="21" t="str">
        <f t="shared" si="0"/>
        <v>CREATE OR REPLACE VIEW COSTELEM AS SELECT * FROM USER_CODE_VALUE;</v>
      </c>
    </row>
    <row r="40" spans="1:7" ht="16" x14ac:dyDescent="0.2">
      <c r="A40" t="s">
        <v>2219</v>
      </c>
      <c r="B40" t="s">
        <v>1347</v>
      </c>
      <c r="E40" s="21" t="str">
        <f t="shared" si="0"/>
        <v>CREATE OR REPLACE VIEW COSTREP AS SELECT * FROM PROJECT_COST_SET;</v>
      </c>
      <c r="G40" s="49" t="s">
        <v>32</v>
      </c>
    </row>
    <row r="41" spans="1:7" ht="16" x14ac:dyDescent="0.2">
      <c r="A41" t="s">
        <v>2221</v>
      </c>
      <c r="B41" t="s">
        <v>1358</v>
      </c>
      <c r="E41" s="21" t="str">
        <f t="shared" si="0"/>
        <v>CREATE OR REPLACE VIEW COSTREPCLASS AS SELECT * FROM PROJECT_COST_SET_CLASS;</v>
      </c>
      <c r="G41" s="49" t="s">
        <v>32</v>
      </c>
    </row>
    <row r="42" spans="1:7" ht="16" x14ac:dyDescent="0.2">
      <c r="A42" t="s">
        <v>2222</v>
      </c>
      <c r="C42" t="s">
        <v>2361</v>
      </c>
      <c r="D42" t="s">
        <v>2382</v>
      </c>
      <c r="E42" s="21" t="str">
        <f t="shared" si="0"/>
        <v/>
      </c>
    </row>
    <row r="43" spans="1:7" ht="16" x14ac:dyDescent="0.2">
      <c r="A43" t="s">
        <v>2224</v>
      </c>
      <c r="C43" t="s">
        <v>2361</v>
      </c>
      <c r="D43" t="s">
        <v>2373</v>
      </c>
      <c r="E43" s="21" t="str">
        <f t="shared" si="0"/>
        <v/>
      </c>
    </row>
    <row r="44" spans="1:7" ht="16" x14ac:dyDescent="0.2">
      <c r="A44" t="s">
        <v>2225</v>
      </c>
      <c r="B44" t="s">
        <v>294</v>
      </c>
      <c r="E44" s="21" t="str">
        <f t="shared" si="0"/>
        <v>CREATE OR REPLACE VIEW FISCAL AS SELECT * FROM FISCAL_CALENDAR;</v>
      </c>
      <c r="G44" s="49" t="s">
        <v>32</v>
      </c>
    </row>
    <row r="45" spans="1:7" ht="16" x14ac:dyDescent="0.2">
      <c r="A45" t="s">
        <v>2226</v>
      </c>
      <c r="B45" t="s">
        <v>364</v>
      </c>
      <c r="E45" s="21" t="str">
        <f t="shared" si="0"/>
        <v>CREATE OR REPLACE VIEW FISCDETL AS SELECT * FROM FISCAL_CALENDAR_PERIOD;</v>
      </c>
      <c r="G45" s="49" t="s">
        <v>2367</v>
      </c>
    </row>
    <row r="46" spans="1:7" ht="16" x14ac:dyDescent="0.2">
      <c r="A46" t="s">
        <v>2226</v>
      </c>
      <c r="B46" t="s">
        <v>415</v>
      </c>
      <c r="E46" s="21" t="str">
        <f t="shared" si="0"/>
        <v>CREATE OR REPLACE VIEW FISCDETL AS SELECT * FROM FISCAL_CALENDAR_SET;</v>
      </c>
      <c r="G46" s="49" t="s">
        <v>2367</v>
      </c>
    </row>
    <row r="47" spans="1:7" ht="16" x14ac:dyDescent="0.2">
      <c r="A47" t="s">
        <v>2226</v>
      </c>
      <c r="B47" t="s">
        <v>433</v>
      </c>
      <c r="E47" s="21" t="str">
        <f t="shared" si="0"/>
        <v>CREATE OR REPLACE VIEW FISCDETL AS SELECT * FROM FISCAL_CALENDAR_SET_LABEL;</v>
      </c>
      <c r="G47" s="49" t="s">
        <v>2367</v>
      </c>
    </row>
    <row r="48" spans="1:7" ht="16" x14ac:dyDescent="0.2">
      <c r="A48" t="s">
        <v>2228</v>
      </c>
      <c r="B48" t="s">
        <v>351</v>
      </c>
      <c r="E48" s="21" t="str">
        <f t="shared" si="0"/>
        <v>CREATE OR REPLACE VIEW FISCHOL AS SELECT * FROM FISCAL_CALENDAR_HOLIDAY;</v>
      </c>
      <c r="G48" s="49" t="s">
        <v>2367</v>
      </c>
    </row>
    <row r="49" spans="1:7" ht="16" x14ac:dyDescent="0.2">
      <c r="A49" t="s">
        <v>1945</v>
      </c>
      <c r="C49" t="s">
        <v>2378</v>
      </c>
      <c r="D49" t="s">
        <v>2383</v>
      </c>
      <c r="E49" s="21" t="str">
        <f t="shared" si="0"/>
        <v/>
      </c>
      <c r="G49" s="49" t="s">
        <v>32</v>
      </c>
    </row>
    <row r="50" spans="1:7" ht="16" x14ac:dyDescent="0.2">
      <c r="A50" t="s">
        <v>2230</v>
      </c>
      <c r="B50" t="s">
        <v>1399</v>
      </c>
      <c r="E50" s="21" t="str">
        <f t="shared" si="0"/>
        <v>CREATE OR REPLACE VIEW MILESTN AS SELECT * FROM PROJECT_WP_MILESTONE;</v>
      </c>
      <c r="G50" s="49" t="s">
        <v>32</v>
      </c>
    </row>
    <row r="51" spans="1:7" ht="16" x14ac:dyDescent="0.2">
      <c r="A51" t="s">
        <v>2231</v>
      </c>
      <c r="B51" t="s">
        <v>1385</v>
      </c>
      <c r="E51" s="21" t="str">
        <f t="shared" si="0"/>
        <v>CREATE OR REPLACE VIEW MULTPROG AS SELECT * FROM PROJECT_SUBPROJECT;</v>
      </c>
      <c r="G51" s="49" t="s">
        <v>32</v>
      </c>
    </row>
    <row r="52" spans="1:7" ht="16" x14ac:dyDescent="0.2">
      <c r="A52" t="s">
        <v>2232</v>
      </c>
      <c r="C52" t="s">
        <v>2375</v>
      </c>
      <c r="D52" t="s">
        <v>2384</v>
      </c>
      <c r="E52" s="21" t="str">
        <f t="shared" si="0"/>
        <v/>
      </c>
      <c r="G52" s="49" t="s">
        <v>2367</v>
      </c>
    </row>
    <row r="53" spans="1:7" ht="16" x14ac:dyDescent="0.2">
      <c r="A53" t="s">
        <v>1960</v>
      </c>
      <c r="C53" t="s">
        <v>2378</v>
      </c>
      <c r="D53" t="s">
        <v>2385</v>
      </c>
      <c r="E53" s="21" t="str">
        <f t="shared" si="0"/>
        <v/>
      </c>
      <c r="G53" s="49" t="s">
        <v>32</v>
      </c>
    </row>
    <row r="54" spans="1:7" ht="16" x14ac:dyDescent="0.2">
      <c r="A54" t="s">
        <v>1974</v>
      </c>
      <c r="C54" t="s">
        <v>2378</v>
      </c>
      <c r="D54" t="s">
        <v>2385</v>
      </c>
      <c r="E54" s="21" t="str">
        <f t="shared" si="0"/>
        <v/>
      </c>
      <c r="G54" s="49" t="s">
        <v>32</v>
      </c>
    </row>
    <row r="55" spans="1:7" ht="16" x14ac:dyDescent="0.2">
      <c r="A55" t="s">
        <v>744</v>
      </c>
      <c r="B55" t="s">
        <v>451</v>
      </c>
      <c r="E55" s="21" t="str">
        <f t="shared" si="0"/>
        <v>CREATE OR REPLACE VIEW PROGRAM AS SELECT * FROM PROJECT;</v>
      </c>
      <c r="G55" s="49" t="s">
        <v>32</v>
      </c>
    </row>
    <row r="56" spans="1:7" ht="16" x14ac:dyDescent="0.2">
      <c r="A56" t="s">
        <v>744</v>
      </c>
      <c r="B56" t="s">
        <v>1372</v>
      </c>
      <c r="E56" s="21" t="str">
        <f t="shared" si="0"/>
        <v>CREATE OR REPLACE VIEW PROGRAM AS SELECT * FROM PROJECT_COST_TOTAL;</v>
      </c>
    </row>
    <row r="57" spans="1:7" ht="16" x14ac:dyDescent="0.2">
      <c r="A57" t="s">
        <v>2246</v>
      </c>
      <c r="C57" t="s">
        <v>2361</v>
      </c>
      <c r="D57" t="s">
        <v>2373</v>
      </c>
      <c r="E57" s="21" t="str">
        <f t="shared" si="0"/>
        <v/>
      </c>
    </row>
    <row r="58" spans="1:7" ht="16" x14ac:dyDescent="0.2">
      <c r="A58" t="s">
        <v>1417</v>
      </c>
      <c r="B58" t="s">
        <v>476</v>
      </c>
      <c r="E58" s="21" t="str">
        <f t="shared" si="0"/>
        <v>CREATE OR REPLACE VIEW RATE AS SELECT * FROM RATE_FILE;</v>
      </c>
      <c r="G58" s="49" t="s">
        <v>32</v>
      </c>
    </row>
    <row r="59" spans="1:7" ht="16" x14ac:dyDescent="0.2">
      <c r="A59" t="s">
        <v>2243</v>
      </c>
      <c r="B59" t="s">
        <v>1420</v>
      </c>
      <c r="E59" s="21" t="str">
        <f t="shared" si="0"/>
        <v>CREATE OR REPLACE VIEW RATEDESC AS SELECT * FROM RATE_SET;</v>
      </c>
      <c r="G59" s="49" t="s">
        <v>32</v>
      </c>
    </row>
    <row r="60" spans="1:7" ht="16" x14ac:dyDescent="0.2">
      <c r="A60" t="s">
        <v>2245</v>
      </c>
      <c r="B60" t="s">
        <v>1417</v>
      </c>
      <c r="E60" s="21" t="str">
        <f t="shared" si="0"/>
        <v>CREATE OR REPLACE VIEW RATEDETL AS SELECT * FROM RATE;</v>
      </c>
      <c r="G60" s="49" t="s">
        <v>32</v>
      </c>
    </row>
    <row r="61" spans="1:7" ht="16" x14ac:dyDescent="0.2">
      <c r="A61" t="s">
        <v>1979</v>
      </c>
      <c r="C61" t="s">
        <v>2378</v>
      </c>
      <c r="D61" t="s">
        <v>2381</v>
      </c>
      <c r="E61" s="21" t="str">
        <f t="shared" si="0"/>
        <v/>
      </c>
      <c r="G61" s="49" t="s">
        <v>32</v>
      </c>
    </row>
    <row r="62" spans="1:7" ht="16" x14ac:dyDescent="0.2">
      <c r="A62" t="s">
        <v>2253</v>
      </c>
      <c r="C62" t="s">
        <v>2361</v>
      </c>
      <c r="E62" s="21" t="str">
        <f t="shared" si="0"/>
        <v/>
      </c>
    </row>
    <row r="63" spans="1:7" ht="16" x14ac:dyDescent="0.2">
      <c r="A63" t="s">
        <v>2254</v>
      </c>
      <c r="B63" t="s">
        <v>274</v>
      </c>
      <c r="E63" s="21" t="str">
        <f t="shared" si="0"/>
        <v>CREATE OR REPLACE VIEW SETTING AS SELECT * FROM PRODUCT_PREFERENCE;</v>
      </c>
      <c r="G63" s="49" t="s">
        <v>32</v>
      </c>
    </row>
    <row r="64" spans="1:7" ht="16" x14ac:dyDescent="0.2">
      <c r="A64" t="s">
        <v>2255</v>
      </c>
      <c r="C64" t="s">
        <v>2361</v>
      </c>
      <c r="E64" s="21" t="str">
        <f t="shared" ref="E64:E89" si="1">IF(AND(A64&lt;&gt;"",B64&lt;&gt;""),_xlfn.CONCAT("CREATE OR REPLACE VIEW ",A64," AS SELECT * FROM ",B64,";"),"")</f>
        <v/>
      </c>
    </row>
    <row r="65" spans="1:7" ht="16" x14ac:dyDescent="0.2">
      <c r="A65" t="s">
        <v>2256</v>
      </c>
      <c r="B65" t="s">
        <v>1072</v>
      </c>
      <c r="E65" s="21" t="str">
        <f t="shared" si="1"/>
        <v>CREATE OR REPLACE VIEW SPREAD AS SELECT * FROM SPREAD_CURVE;</v>
      </c>
      <c r="G65" s="49" t="s">
        <v>32</v>
      </c>
    </row>
    <row r="66" spans="1:7" ht="16" x14ac:dyDescent="0.2">
      <c r="A66" t="s">
        <v>1985</v>
      </c>
      <c r="C66" t="s">
        <v>2378</v>
      </c>
      <c r="D66" t="s">
        <v>2381</v>
      </c>
      <c r="E66" s="21" t="str">
        <f t="shared" si="1"/>
        <v/>
      </c>
      <c r="G66" s="49" t="s">
        <v>32</v>
      </c>
    </row>
    <row r="67" spans="1:7" ht="16" x14ac:dyDescent="0.2">
      <c r="A67" t="s">
        <v>1988</v>
      </c>
      <c r="C67" t="s">
        <v>2378</v>
      </c>
      <c r="D67" t="s">
        <v>2381</v>
      </c>
      <c r="E67" s="21" t="str">
        <f t="shared" si="1"/>
        <v/>
      </c>
      <c r="G67" s="49" t="s">
        <v>32</v>
      </c>
    </row>
    <row r="68" spans="1:7" ht="16" x14ac:dyDescent="0.2">
      <c r="A68" t="s">
        <v>1991</v>
      </c>
      <c r="C68" t="s">
        <v>2378</v>
      </c>
      <c r="D68" t="s">
        <v>2381</v>
      </c>
      <c r="E68" s="21" t="str">
        <f t="shared" si="1"/>
        <v/>
      </c>
      <c r="G68" s="49" t="s">
        <v>32</v>
      </c>
    </row>
    <row r="69" spans="1:7" ht="16" x14ac:dyDescent="0.2">
      <c r="A69" t="s">
        <v>2257</v>
      </c>
      <c r="B69" t="s">
        <v>1104</v>
      </c>
      <c r="E69" s="21" t="str">
        <f t="shared" si="1"/>
        <v>CREATE OR REPLACE VIEW TPHASE AS SELECT * FROM PROJECT_CAWP_RESOURCE_TPHASE;</v>
      </c>
      <c r="G69" s="49" t="s">
        <v>32</v>
      </c>
    </row>
    <row r="70" spans="1:7" ht="16" x14ac:dyDescent="0.2">
      <c r="A70" t="s">
        <v>2259</v>
      </c>
      <c r="C70" t="s">
        <v>2361</v>
      </c>
      <c r="D70" t="s">
        <v>2382</v>
      </c>
      <c r="E70" s="21" t="str">
        <f t="shared" si="1"/>
        <v/>
      </c>
    </row>
    <row r="71" spans="1:7" ht="16" x14ac:dyDescent="0.2">
      <c r="A71" t="s">
        <v>2262</v>
      </c>
      <c r="B71" t="s">
        <v>1600</v>
      </c>
      <c r="E71" s="21" t="str">
        <f t="shared" si="1"/>
        <v>CREATE OR REPLACE VIEW WST_ACL AS SELECT * FROM ACCESS_CONTROL_ENTRY;</v>
      </c>
    </row>
    <row r="72" spans="1:7" ht="16" x14ac:dyDescent="0.2">
      <c r="A72" t="s">
        <v>2266</v>
      </c>
      <c r="B72" t="s">
        <v>29</v>
      </c>
      <c r="E72" s="21" t="str">
        <f t="shared" si="1"/>
        <v>CREATE OR REPLACE VIEW WST_CDR AS SELECT * FROM CODE;</v>
      </c>
    </row>
    <row r="73" spans="1:7" ht="16" x14ac:dyDescent="0.2">
      <c r="A73" t="s">
        <v>2275</v>
      </c>
      <c r="B73" t="s">
        <v>253</v>
      </c>
      <c r="E73" s="21" t="str">
        <f t="shared" si="1"/>
        <v>CREATE OR REPLACE VIEW WST_CFG AS SELECT * FROM PRODUCT_CONFIG;</v>
      </c>
    </row>
    <row r="74" spans="1:7" ht="16" x14ac:dyDescent="0.2">
      <c r="A74" t="s">
        <v>2280</v>
      </c>
      <c r="B74" t="s">
        <v>40</v>
      </c>
      <c r="E74" s="21" t="str">
        <f t="shared" si="1"/>
        <v>CREATE OR REPLACE VIEW WST_COD AS SELECT * FROM CODE_FILE;</v>
      </c>
    </row>
    <row r="75" spans="1:7" ht="16" x14ac:dyDescent="0.2">
      <c r="A75" t="s">
        <v>2283</v>
      </c>
      <c r="C75" t="s">
        <v>2361</v>
      </c>
      <c r="D75" t="s">
        <v>2386</v>
      </c>
      <c r="E75" s="21" t="str">
        <f t="shared" si="1"/>
        <v/>
      </c>
    </row>
    <row r="76" spans="1:7" ht="16" x14ac:dyDescent="0.2">
      <c r="A76" t="s">
        <v>2286</v>
      </c>
      <c r="C76" t="s">
        <v>2361</v>
      </c>
      <c r="D76" t="s">
        <v>2387</v>
      </c>
      <c r="E76" s="21" t="str">
        <f t="shared" si="1"/>
        <v/>
      </c>
    </row>
    <row r="77" spans="1:7" ht="16" x14ac:dyDescent="0.2">
      <c r="A77" t="s">
        <v>1993</v>
      </c>
      <c r="C77" t="s">
        <v>2378</v>
      </c>
      <c r="D77" t="s">
        <v>2388</v>
      </c>
      <c r="E77" s="21" t="str">
        <f t="shared" si="1"/>
        <v/>
      </c>
      <c r="G77" s="49" t="s">
        <v>32</v>
      </c>
    </row>
    <row r="78" spans="1:7" ht="16" x14ac:dyDescent="0.2">
      <c r="A78" t="s">
        <v>2289</v>
      </c>
      <c r="B78" t="s">
        <v>1788</v>
      </c>
      <c r="D78" t="s">
        <v>2389</v>
      </c>
      <c r="E78" s="21" t="str">
        <f t="shared" si="1"/>
        <v>CREATE OR REPLACE VIEW WST_NTX AS SELECT * FROM USER_NOTE_VALUE;</v>
      </c>
    </row>
    <row r="79" spans="1:7" ht="16" x14ac:dyDescent="0.2">
      <c r="A79" t="s">
        <v>2292</v>
      </c>
      <c r="C79" t="s">
        <v>2361</v>
      </c>
      <c r="D79" t="s">
        <v>2390</v>
      </c>
      <c r="E79" s="21" t="str">
        <f t="shared" si="1"/>
        <v/>
      </c>
    </row>
    <row r="80" spans="1:7" ht="16" x14ac:dyDescent="0.2">
      <c r="A80" t="s">
        <v>2294</v>
      </c>
      <c r="B80" t="s">
        <v>1634</v>
      </c>
      <c r="D80" t="s">
        <v>2391</v>
      </c>
      <c r="E80" s="21" t="str">
        <f t="shared" si="1"/>
        <v>CREATE OR REPLACE VIEW WST_UDF AS SELECT * FROM USER_FIELD_DEFINITION;</v>
      </c>
    </row>
    <row r="81" spans="1:7" ht="16" x14ac:dyDescent="0.2">
      <c r="A81" t="s">
        <v>2301</v>
      </c>
      <c r="B81" t="s">
        <v>1655</v>
      </c>
      <c r="D81" t="s">
        <v>2392</v>
      </c>
      <c r="E81" s="21" t="str">
        <f t="shared" si="1"/>
        <v>CREATE OR REPLACE VIEW WST_UDT AS SELECT * FROM USER_FIELD_VALUE;</v>
      </c>
    </row>
    <row r="82" spans="1:7" s="15" customFormat="1" x14ac:dyDescent="0.2">
      <c r="A82" s="15" t="s">
        <v>2303</v>
      </c>
      <c r="B82" s="15" t="s">
        <v>1655</v>
      </c>
      <c r="D82" s="15" t="s">
        <v>2393</v>
      </c>
      <c r="E82" s="60"/>
      <c r="G82" s="61"/>
    </row>
    <row r="83" spans="1:7" ht="16" x14ac:dyDescent="0.2">
      <c r="A83" t="s">
        <v>2306</v>
      </c>
      <c r="C83" t="s">
        <v>2375</v>
      </c>
      <c r="D83" t="s">
        <v>2394</v>
      </c>
      <c r="E83" s="21" t="str">
        <f t="shared" si="1"/>
        <v/>
      </c>
    </row>
    <row r="84" spans="1:7" ht="16" x14ac:dyDescent="0.2">
      <c r="A84" t="s">
        <v>2310</v>
      </c>
      <c r="B84" t="s">
        <v>1655</v>
      </c>
      <c r="D84" t="s">
        <v>2395</v>
      </c>
      <c r="E84" s="21" t="str">
        <f t="shared" si="1"/>
        <v>CREATE OR REPLACE VIEW WST_UNM AS SELECT * FROM USER_FIELD_VALUE;</v>
      </c>
    </row>
    <row r="85" spans="1:7" ht="16" x14ac:dyDescent="0.2">
      <c r="A85" t="s">
        <v>2313</v>
      </c>
      <c r="C85" t="s">
        <v>2375</v>
      </c>
      <c r="D85" t="s">
        <v>2396</v>
      </c>
      <c r="E85" s="21" t="str">
        <f t="shared" si="1"/>
        <v/>
      </c>
    </row>
    <row r="86" spans="1:7" ht="16" x14ac:dyDescent="0.2">
      <c r="A86" t="s">
        <v>2397</v>
      </c>
      <c r="C86" t="s">
        <v>2361</v>
      </c>
      <c r="D86" t="s">
        <v>2398</v>
      </c>
      <c r="E86" s="21" t="str">
        <f t="shared" si="1"/>
        <v/>
      </c>
    </row>
    <row r="87" spans="1:7" ht="16" x14ac:dyDescent="0.2">
      <c r="A87" t="s">
        <v>2316</v>
      </c>
      <c r="C87" t="s">
        <v>2361</v>
      </c>
      <c r="D87" t="s">
        <v>2399</v>
      </c>
      <c r="E87" s="21" t="str">
        <f t="shared" si="1"/>
        <v/>
      </c>
    </row>
    <row r="88" spans="1:7" ht="16" x14ac:dyDescent="0.2">
      <c r="A88" t="s">
        <v>2319</v>
      </c>
      <c r="C88" t="s">
        <v>2361</v>
      </c>
      <c r="D88" t="s">
        <v>2400</v>
      </c>
      <c r="E88" s="21" t="str">
        <f t="shared" si="1"/>
        <v/>
      </c>
    </row>
    <row r="89" spans="1:7" ht="16" x14ac:dyDescent="0.2">
      <c r="A89" t="s">
        <v>2336</v>
      </c>
      <c r="B89" t="s">
        <v>1655</v>
      </c>
      <c r="D89" t="s">
        <v>2401</v>
      </c>
      <c r="E89" s="21" t="str">
        <f t="shared" si="1"/>
        <v>CREATE OR REPLACE VIEW WST_UTX AS SELECT * FROM USER_FIELD_VALUE;</v>
      </c>
    </row>
    <row r="90" spans="1:7" x14ac:dyDescent="0.2">
      <c r="E90" s="21"/>
    </row>
  </sheetData>
  <conditionalFormatting sqref="B51:C51">
    <cfRule type="expression" dxfId="12" priority="1">
      <formula>LEN($B51)&gt;30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D7AB-C6BE-4EBC-8B29-2556C80549C2}">
  <dimension ref="A1:K1479"/>
  <sheetViews>
    <sheetView zoomScale="85" zoomScaleNormal="85" workbookViewId="0">
      <selection activeCell="C4" sqref="C4"/>
    </sheetView>
  </sheetViews>
  <sheetFormatPr baseColWidth="10" defaultColWidth="8.6640625" defaultRowHeight="15" x14ac:dyDescent="0.2"/>
  <cols>
    <col min="1" max="1" width="15.6640625" customWidth="1"/>
    <col min="2" max="2" width="22.1640625" bestFit="1" customWidth="1"/>
    <col min="3" max="3" width="25.1640625" bestFit="1" customWidth="1"/>
    <col min="4" max="4" width="46.5" customWidth="1"/>
    <col min="5" max="5" width="34" customWidth="1"/>
    <col min="6" max="6" width="72.6640625" customWidth="1"/>
    <col min="7" max="7" width="28.6640625" customWidth="1"/>
    <col min="8" max="8" width="61.6640625" bestFit="1" customWidth="1"/>
    <col min="9" max="9" width="27.6640625" style="32" customWidth="1"/>
    <col min="10" max="10" width="43.1640625" bestFit="1" customWidth="1"/>
    <col min="11" max="11" width="8.6640625" bestFit="1" customWidth="1"/>
  </cols>
  <sheetData>
    <row r="1" spans="1:11" x14ac:dyDescent="0.2">
      <c r="A1" s="1" t="s">
        <v>2402</v>
      </c>
      <c r="B1" s="1" t="s">
        <v>2354</v>
      </c>
      <c r="C1" s="1" t="s">
        <v>2403</v>
      </c>
      <c r="D1" s="1" t="s">
        <v>2355</v>
      </c>
      <c r="E1" s="1" t="s">
        <v>2404</v>
      </c>
      <c r="F1" s="1" t="s">
        <v>2405</v>
      </c>
      <c r="G1" s="1" t="s">
        <v>24</v>
      </c>
      <c r="H1" s="1" t="s">
        <v>2406</v>
      </c>
      <c r="I1" s="28" t="s">
        <v>2407</v>
      </c>
      <c r="J1" s="1" t="s">
        <v>2408</v>
      </c>
      <c r="K1" s="1" t="s">
        <v>2409</v>
      </c>
    </row>
    <row r="2" spans="1:11" hidden="1" x14ac:dyDescent="0.2">
      <c r="A2" t="s">
        <v>28</v>
      </c>
      <c r="B2" t="s">
        <v>2142</v>
      </c>
      <c r="C2" t="s">
        <v>87</v>
      </c>
      <c r="D2" t="s">
        <v>29</v>
      </c>
      <c r="E2" t="s">
        <v>39</v>
      </c>
      <c r="G2" s="17" t="str">
        <f t="shared" ref="G2:G65" si="0">_xlfn.CONCAT(B2,".",C2)</f>
        <v>BDNDETL.BREAKFILE</v>
      </c>
      <c r="H2" s="17" t="str">
        <f t="shared" ref="H2:H65" si="1">_xlfn.CONCAT(D2,".",E2)</f>
        <v>CODE.CODE_FILE_UID</v>
      </c>
      <c r="I2" s="29"/>
      <c r="J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" s="17"/>
    </row>
    <row r="3" spans="1:11" hidden="1" x14ac:dyDescent="0.2">
      <c r="A3" t="s">
        <v>28</v>
      </c>
      <c r="B3" t="s">
        <v>2142</v>
      </c>
      <c r="C3" t="s">
        <v>29</v>
      </c>
      <c r="D3" t="s">
        <v>29</v>
      </c>
      <c r="E3" t="s">
        <v>47</v>
      </c>
      <c r="G3" s="17" t="str">
        <f t="shared" si="0"/>
        <v>BDNDETL.CODE</v>
      </c>
      <c r="H3" s="17" t="str">
        <f t="shared" si="1"/>
        <v>CODE.NAME</v>
      </c>
      <c r="I3" s="29"/>
      <c r="J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" s="17"/>
    </row>
    <row r="4" spans="1:11" hidden="1" x14ac:dyDescent="0.2">
      <c r="A4" s="14" t="s">
        <v>28</v>
      </c>
      <c r="B4" s="14" t="s">
        <v>2142</v>
      </c>
      <c r="C4" s="14" t="s">
        <v>85</v>
      </c>
      <c r="D4" s="14" t="s">
        <v>29</v>
      </c>
      <c r="E4" s="14" t="s">
        <v>85</v>
      </c>
      <c r="F4" s="14" t="s">
        <v>2410</v>
      </c>
      <c r="G4" s="23" t="str">
        <f t="shared" si="0"/>
        <v>BDNDETL.TAG</v>
      </c>
      <c r="H4" s="23" t="str">
        <f t="shared" si="1"/>
        <v>CODE.TAG</v>
      </c>
      <c r="I4" s="30" t="s">
        <v>2411</v>
      </c>
      <c r="J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CODE.TAG</v>
      </c>
      <c r="K4" s="17"/>
    </row>
    <row r="5" spans="1:11" hidden="1" x14ac:dyDescent="0.2">
      <c r="A5" t="s">
        <v>28</v>
      </c>
      <c r="B5" t="s">
        <v>2142</v>
      </c>
      <c r="C5" t="s">
        <v>2412</v>
      </c>
      <c r="D5" t="s">
        <v>29</v>
      </c>
      <c r="E5" t="s">
        <v>55</v>
      </c>
      <c r="G5" s="17" t="str">
        <f t="shared" si="0"/>
        <v>BDNDETL.NUM_CHILD</v>
      </c>
      <c r="H5" s="17" t="str">
        <f t="shared" si="1"/>
        <v>CODE.CHILD_COUNT</v>
      </c>
      <c r="I5" s="29"/>
      <c r="J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" s="17"/>
    </row>
    <row r="6" spans="1:11" hidden="1" x14ac:dyDescent="0.2">
      <c r="A6" t="s">
        <v>28</v>
      </c>
      <c r="B6" t="s">
        <v>2142</v>
      </c>
      <c r="C6" t="s">
        <v>2144</v>
      </c>
      <c r="D6" t="s">
        <v>29</v>
      </c>
      <c r="E6" t="s">
        <v>15</v>
      </c>
      <c r="G6" s="17" t="str">
        <f t="shared" si="0"/>
        <v>BDNDETL.CODEDESC</v>
      </c>
      <c r="H6" s="17" t="str">
        <f t="shared" si="1"/>
        <v>CODE.DESCRIPTION</v>
      </c>
      <c r="I6" s="29"/>
      <c r="J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" s="17"/>
    </row>
    <row r="7" spans="1:11" x14ac:dyDescent="0.2">
      <c r="A7" s="14" t="s">
        <v>28</v>
      </c>
      <c r="B7" s="14" t="s">
        <v>2142</v>
      </c>
      <c r="C7" s="14" t="s">
        <v>76</v>
      </c>
      <c r="D7" s="14" t="s">
        <v>1620</v>
      </c>
      <c r="E7" s="14" t="s">
        <v>1626</v>
      </c>
      <c r="F7" s="14" t="s">
        <v>2413</v>
      </c>
      <c r="G7" s="23" t="str">
        <f t="shared" si="0"/>
        <v>BDNDETL.D1</v>
      </c>
      <c r="H7" s="23" t="str">
        <f t="shared" si="1"/>
        <v>USER_CODE_VALUE.CODE_UID</v>
      </c>
      <c r="I7" s="30"/>
      <c r="J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" s="17"/>
    </row>
    <row r="8" spans="1:11" x14ac:dyDescent="0.2">
      <c r="A8" s="14" t="s">
        <v>28</v>
      </c>
      <c r="B8" s="14" t="s">
        <v>2142</v>
      </c>
      <c r="C8" s="14" t="s">
        <v>77</v>
      </c>
      <c r="D8" s="14" t="s">
        <v>1620</v>
      </c>
      <c r="E8" s="14" t="s">
        <v>1626</v>
      </c>
      <c r="F8" s="14" t="s">
        <v>2413</v>
      </c>
      <c r="G8" s="23" t="str">
        <f t="shared" si="0"/>
        <v>BDNDETL.D2</v>
      </c>
      <c r="H8" s="23" t="str">
        <f t="shared" si="1"/>
        <v>USER_CODE_VALUE.CODE_UID</v>
      </c>
      <c r="I8" s="30"/>
      <c r="J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" s="17"/>
    </row>
    <row r="9" spans="1:11" x14ac:dyDescent="0.2">
      <c r="A9" s="14" t="s">
        <v>28</v>
      </c>
      <c r="B9" s="14" t="s">
        <v>2142</v>
      </c>
      <c r="C9" s="14" t="s">
        <v>78</v>
      </c>
      <c r="D9" s="14" t="s">
        <v>1620</v>
      </c>
      <c r="E9" s="14" t="s">
        <v>1626</v>
      </c>
      <c r="F9" s="14" t="s">
        <v>2413</v>
      </c>
      <c r="G9" s="23" t="str">
        <f t="shared" si="0"/>
        <v>BDNDETL.D3</v>
      </c>
      <c r="H9" s="23" t="str">
        <f t="shared" si="1"/>
        <v>USER_CODE_VALUE.CODE_UID</v>
      </c>
      <c r="I9" s="30"/>
      <c r="J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" s="17"/>
    </row>
    <row r="10" spans="1:11" x14ac:dyDescent="0.2">
      <c r="A10" s="14" t="s">
        <v>28</v>
      </c>
      <c r="B10" s="14" t="s">
        <v>2142</v>
      </c>
      <c r="C10" s="14" t="s">
        <v>79</v>
      </c>
      <c r="D10" s="14" t="s">
        <v>1620</v>
      </c>
      <c r="E10" s="14" t="s">
        <v>1626</v>
      </c>
      <c r="F10" s="14" t="s">
        <v>2413</v>
      </c>
      <c r="G10" s="23" t="str">
        <f t="shared" si="0"/>
        <v>BDNDETL.D4</v>
      </c>
      <c r="H10" s="23" t="str">
        <f t="shared" si="1"/>
        <v>USER_CODE_VALUE.CODE_UID</v>
      </c>
      <c r="I10" s="30"/>
      <c r="J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" s="17"/>
    </row>
    <row r="11" spans="1:11" x14ac:dyDescent="0.2">
      <c r="A11" s="14" t="s">
        <v>28</v>
      </c>
      <c r="B11" s="14" t="s">
        <v>2142</v>
      </c>
      <c r="C11" s="14" t="s">
        <v>80</v>
      </c>
      <c r="D11" s="14" t="s">
        <v>1620</v>
      </c>
      <c r="E11" s="14" t="s">
        <v>1626</v>
      </c>
      <c r="F11" s="14" t="s">
        <v>2413</v>
      </c>
      <c r="G11" s="23" t="str">
        <f t="shared" si="0"/>
        <v>BDNDETL.D5</v>
      </c>
      <c r="H11" s="23" t="str">
        <f t="shared" si="1"/>
        <v>USER_CODE_VALUE.CODE_UID</v>
      </c>
      <c r="I11" s="30"/>
      <c r="J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" s="17"/>
    </row>
    <row r="12" spans="1:11" x14ac:dyDescent="0.2">
      <c r="A12" s="14" t="s">
        <v>28</v>
      </c>
      <c r="B12" s="14" t="s">
        <v>2142</v>
      </c>
      <c r="C12" s="14" t="s">
        <v>81</v>
      </c>
      <c r="D12" s="14" t="s">
        <v>1620</v>
      </c>
      <c r="E12" s="14" t="s">
        <v>1626</v>
      </c>
      <c r="F12" s="14" t="s">
        <v>2413</v>
      </c>
      <c r="G12" s="23" t="str">
        <f t="shared" si="0"/>
        <v>BDNDETL.D6</v>
      </c>
      <c r="H12" s="23" t="str">
        <f t="shared" si="1"/>
        <v>USER_CODE_VALUE.CODE_UID</v>
      </c>
      <c r="I12" s="30"/>
      <c r="J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" s="17"/>
    </row>
    <row r="13" spans="1:11" x14ac:dyDescent="0.2">
      <c r="A13" s="14" t="s">
        <v>28</v>
      </c>
      <c r="B13" s="14" t="s">
        <v>2142</v>
      </c>
      <c r="C13" s="14" t="s">
        <v>82</v>
      </c>
      <c r="D13" s="14" t="s">
        <v>1620</v>
      </c>
      <c r="E13" s="14" t="s">
        <v>1626</v>
      </c>
      <c r="F13" s="14" t="s">
        <v>2413</v>
      </c>
      <c r="G13" s="23" t="str">
        <f t="shared" si="0"/>
        <v>BDNDETL.D7</v>
      </c>
      <c r="H13" s="23" t="str">
        <f t="shared" si="1"/>
        <v>USER_CODE_VALUE.CODE_UID</v>
      </c>
      <c r="I13" s="30"/>
      <c r="J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" s="17"/>
    </row>
    <row r="14" spans="1:11" x14ac:dyDescent="0.2">
      <c r="A14" s="14" t="s">
        <v>28</v>
      </c>
      <c r="B14" s="14" t="s">
        <v>2142</v>
      </c>
      <c r="C14" s="14" t="s">
        <v>83</v>
      </c>
      <c r="D14" s="14" t="s">
        <v>1620</v>
      </c>
      <c r="E14" s="14" t="s">
        <v>1626</v>
      </c>
      <c r="F14" s="14" t="s">
        <v>2413</v>
      </c>
      <c r="G14" s="23" t="str">
        <f t="shared" si="0"/>
        <v>BDNDETL.D8</v>
      </c>
      <c r="H14" s="23" t="str">
        <f t="shared" si="1"/>
        <v>USER_CODE_VALUE.CODE_UID</v>
      </c>
      <c r="I14" s="30"/>
      <c r="J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" s="17"/>
    </row>
    <row r="15" spans="1:11" x14ac:dyDescent="0.2">
      <c r="A15" s="14" t="s">
        <v>28</v>
      </c>
      <c r="B15" s="14" t="s">
        <v>2142</v>
      </c>
      <c r="C15" s="14" t="s">
        <v>84</v>
      </c>
      <c r="D15" s="14" t="s">
        <v>1620</v>
      </c>
      <c r="E15" s="14" t="s">
        <v>1626</v>
      </c>
      <c r="F15" s="14" t="s">
        <v>2413</v>
      </c>
      <c r="G15" s="23" t="str">
        <f t="shared" si="0"/>
        <v>BDNDETL.D9</v>
      </c>
      <c r="H15" s="23" t="str">
        <f t="shared" si="1"/>
        <v>USER_CODE_VALUE.CODE_UID</v>
      </c>
      <c r="I15" s="30"/>
      <c r="J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" s="17"/>
    </row>
    <row r="16" spans="1:11" hidden="1" x14ac:dyDescent="0.2">
      <c r="A16" t="s">
        <v>28</v>
      </c>
      <c r="B16" t="s">
        <v>2142</v>
      </c>
      <c r="C16" t="s">
        <v>2146</v>
      </c>
      <c r="D16" t="s">
        <v>29</v>
      </c>
      <c r="E16" t="s">
        <v>44</v>
      </c>
      <c r="G16" s="17" t="str">
        <f t="shared" si="0"/>
        <v>BDNDETL.PARENT</v>
      </c>
      <c r="H16" s="17" t="str">
        <f t="shared" si="1"/>
        <v>CODE.PARENT_CODE_UID</v>
      </c>
      <c r="I16" s="29"/>
      <c r="J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" s="17"/>
    </row>
    <row r="17" spans="1:11" hidden="1" x14ac:dyDescent="0.2">
      <c r="A17" t="s">
        <v>28</v>
      </c>
      <c r="B17" t="s">
        <v>2142</v>
      </c>
      <c r="C17" t="s">
        <v>2143</v>
      </c>
      <c r="D17" t="s">
        <v>29</v>
      </c>
      <c r="E17" t="s">
        <v>51</v>
      </c>
      <c r="G17" s="17" t="str">
        <f t="shared" si="0"/>
        <v>BDNDETL.BDN_LEVEL</v>
      </c>
      <c r="H17" s="17" t="str">
        <f t="shared" si="1"/>
        <v>CODE.CODE_LEVEL</v>
      </c>
      <c r="I17" s="29"/>
      <c r="J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" s="17"/>
    </row>
    <row r="18" spans="1:11" hidden="1" x14ac:dyDescent="0.2">
      <c r="A18" t="s">
        <v>28</v>
      </c>
      <c r="B18" t="s">
        <v>2142</v>
      </c>
      <c r="C18" t="s">
        <v>35</v>
      </c>
      <c r="D18" t="s">
        <v>29</v>
      </c>
      <c r="E18" t="s">
        <v>35</v>
      </c>
      <c r="G18" s="17" t="str">
        <f t="shared" si="0"/>
        <v>BDNDETL.SEQUENCE</v>
      </c>
      <c r="H18" s="17" t="str">
        <f t="shared" si="1"/>
        <v>CODE.SEQUENCE</v>
      </c>
      <c r="I18" s="29"/>
      <c r="J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" s="17"/>
    </row>
    <row r="19" spans="1:11" hidden="1" x14ac:dyDescent="0.2">
      <c r="A19" t="s">
        <v>28</v>
      </c>
      <c r="B19" t="s">
        <v>2142</v>
      </c>
      <c r="C19" t="s">
        <v>2111</v>
      </c>
      <c r="D19" t="s">
        <v>29</v>
      </c>
      <c r="E19" t="s">
        <v>71</v>
      </c>
      <c r="G19" s="17" t="str">
        <f t="shared" si="0"/>
        <v>BDNDETL.LASTUPDATE</v>
      </c>
      <c r="H19" s="17" t="str">
        <f t="shared" si="1"/>
        <v>CODE.LAST_MODIFIED_DATE</v>
      </c>
      <c r="I19" s="29"/>
      <c r="J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" s="17"/>
    </row>
    <row r="20" spans="1:11" hidden="1" x14ac:dyDescent="0.2">
      <c r="A20" t="s">
        <v>28</v>
      </c>
      <c r="B20" t="s">
        <v>2142</v>
      </c>
      <c r="C20" t="s">
        <v>2112</v>
      </c>
      <c r="D20" t="s">
        <v>29</v>
      </c>
      <c r="E20" s="18" t="s">
        <v>68</v>
      </c>
      <c r="G20" s="17" t="str">
        <f t="shared" si="0"/>
        <v>BDNDETL.USR_ID</v>
      </c>
      <c r="H20" s="17" t="str">
        <f t="shared" si="1"/>
        <v>CODE.LAST_MODIFIED_BY_USER_UID</v>
      </c>
      <c r="I20" s="29"/>
      <c r="J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" s="17"/>
    </row>
    <row r="21" spans="1:11" hidden="1" x14ac:dyDescent="0.2">
      <c r="A21" s="14" t="s">
        <v>28</v>
      </c>
      <c r="B21" s="14" t="s">
        <v>2142</v>
      </c>
      <c r="C21" s="14" t="s">
        <v>87</v>
      </c>
      <c r="D21" s="14"/>
      <c r="E21" s="14"/>
      <c r="F21" s="14" t="s">
        <v>2414</v>
      </c>
      <c r="G21" s="23" t="str">
        <f t="shared" si="0"/>
        <v>BDNDETL.BREAKFILE</v>
      </c>
      <c r="H21" s="23" t="str">
        <f t="shared" si="1"/>
        <v>.</v>
      </c>
      <c r="I21" s="30" t="s">
        <v>2411</v>
      </c>
      <c r="J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CODE.BREAKFILE</v>
      </c>
      <c r="K21" s="17"/>
    </row>
    <row r="22" spans="1:11" hidden="1" x14ac:dyDescent="0.2">
      <c r="A22" t="s">
        <v>28</v>
      </c>
      <c r="B22" t="s">
        <v>2142</v>
      </c>
      <c r="C22" t="s">
        <v>1588</v>
      </c>
      <c r="D22" t="s">
        <v>157</v>
      </c>
      <c r="E22" t="s">
        <v>160</v>
      </c>
      <c r="G22" s="17" t="str">
        <f t="shared" si="0"/>
        <v>BDNDETL.TH_SPVF</v>
      </c>
      <c r="H22" s="17" t="str">
        <f t="shared" si="1"/>
        <v>CODE_THRESHOLD.SPVF</v>
      </c>
      <c r="I22" s="29"/>
      <c r="J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" s="17"/>
    </row>
    <row r="23" spans="1:11" hidden="1" x14ac:dyDescent="0.2">
      <c r="A23" t="s">
        <v>28</v>
      </c>
      <c r="B23" t="s">
        <v>2142</v>
      </c>
      <c r="C23" t="s">
        <v>1590</v>
      </c>
      <c r="D23" t="s">
        <v>157</v>
      </c>
      <c r="E23" t="s">
        <v>164</v>
      </c>
      <c r="G23" s="17" t="str">
        <f t="shared" si="0"/>
        <v>BDNDETL.TH_SPVU</v>
      </c>
      <c r="H23" s="17" t="str">
        <f t="shared" si="1"/>
        <v>CODE_THRESHOLD.SPVU</v>
      </c>
      <c r="I23" s="29"/>
      <c r="J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" s="17"/>
    </row>
    <row r="24" spans="1:11" hidden="1" x14ac:dyDescent="0.2">
      <c r="A24" t="s">
        <v>28</v>
      </c>
      <c r="B24" t="s">
        <v>2142</v>
      </c>
      <c r="C24" t="s">
        <v>1584</v>
      </c>
      <c r="D24" t="s">
        <v>157</v>
      </c>
      <c r="E24" t="s">
        <v>167</v>
      </c>
      <c r="G24" s="17" t="str">
        <f t="shared" si="0"/>
        <v>BDNDETL.TH_SPPF</v>
      </c>
      <c r="H24" s="17" t="str">
        <f t="shared" si="1"/>
        <v>CODE_THRESHOLD.SPPF</v>
      </c>
      <c r="I24" s="29"/>
      <c r="J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" s="17"/>
    </row>
    <row r="25" spans="1:11" hidden="1" x14ac:dyDescent="0.2">
      <c r="A25" t="s">
        <v>28</v>
      </c>
      <c r="B25" t="s">
        <v>2142</v>
      </c>
      <c r="C25" t="s">
        <v>1586</v>
      </c>
      <c r="D25" t="s">
        <v>157</v>
      </c>
      <c r="E25" t="s">
        <v>171</v>
      </c>
      <c r="G25" s="17" t="str">
        <f t="shared" si="0"/>
        <v>BDNDETL.TH_SPPU</v>
      </c>
      <c r="H25" s="17" t="str">
        <f t="shared" si="1"/>
        <v>CODE_THRESHOLD.SPPU</v>
      </c>
      <c r="I25" s="29"/>
      <c r="J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" s="17"/>
    </row>
    <row r="26" spans="1:11" hidden="1" x14ac:dyDescent="0.2">
      <c r="A26" t="s">
        <v>28</v>
      </c>
      <c r="B26" t="s">
        <v>2142</v>
      </c>
      <c r="C26" t="s">
        <v>1580</v>
      </c>
      <c r="D26" t="s">
        <v>157</v>
      </c>
      <c r="E26" t="s">
        <v>174</v>
      </c>
      <c r="G26" s="17" t="str">
        <f t="shared" si="0"/>
        <v>BDNDETL.TH_SCVF</v>
      </c>
      <c r="H26" s="17" t="str">
        <f t="shared" si="1"/>
        <v>CODE_THRESHOLD.SCVF</v>
      </c>
      <c r="I26" s="29"/>
      <c r="J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" s="17"/>
    </row>
    <row r="27" spans="1:11" hidden="1" x14ac:dyDescent="0.2">
      <c r="A27" t="s">
        <v>28</v>
      </c>
      <c r="B27" t="s">
        <v>2142</v>
      </c>
      <c r="C27" t="s">
        <v>1582</v>
      </c>
      <c r="D27" t="s">
        <v>157</v>
      </c>
      <c r="E27" t="s">
        <v>177</v>
      </c>
      <c r="G27" s="17" t="str">
        <f t="shared" si="0"/>
        <v>BDNDETL.TH_SCVU</v>
      </c>
      <c r="H27" s="17" t="str">
        <f t="shared" si="1"/>
        <v>CODE_THRESHOLD.SCVU</v>
      </c>
      <c r="I27" s="29"/>
      <c r="J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" s="17"/>
    </row>
    <row r="28" spans="1:11" hidden="1" x14ac:dyDescent="0.2">
      <c r="A28" t="s">
        <v>28</v>
      </c>
      <c r="B28" t="s">
        <v>2142</v>
      </c>
      <c r="C28" t="s">
        <v>1576</v>
      </c>
      <c r="D28" t="s">
        <v>157</v>
      </c>
      <c r="E28" t="s">
        <v>180</v>
      </c>
      <c r="G28" s="17" t="str">
        <f t="shared" si="0"/>
        <v>BDNDETL.TH_SCPF</v>
      </c>
      <c r="H28" s="17" t="str">
        <f t="shared" si="1"/>
        <v>CODE_THRESHOLD.SCPF</v>
      </c>
      <c r="I28" s="29"/>
      <c r="J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" s="17"/>
    </row>
    <row r="29" spans="1:11" hidden="1" x14ac:dyDescent="0.2">
      <c r="A29" t="s">
        <v>28</v>
      </c>
      <c r="B29" t="s">
        <v>2142</v>
      </c>
      <c r="C29" t="s">
        <v>1578</v>
      </c>
      <c r="D29" t="s">
        <v>157</v>
      </c>
      <c r="E29" t="s">
        <v>183</v>
      </c>
      <c r="G29" s="17" t="str">
        <f t="shared" si="0"/>
        <v>BDNDETL.TH_SCPU</v>
      </c>
      <c r="H29" s="17" t="str">
        <f t="shared" si="1"/>
        <v>CODE_THRESHOLD.SCPU</v>
      </c>
      <c r="I29" s="29"/>
      <c r="J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" s="17"/>
    </row>
    <row r="30" spans="1:11" hidden="1" x14ac:dyDescent="0.2">
      <c r="A30" t="s">
        <v>28</v>
      </c>
      <c r="B30" t="s">
        <v>2142</v>
      </c>
      <c r="C30" t="s">
        <v>1572</v>
      </c>
      <c r="D30" t="s">
        <v>157</v>
      </c>
      <c r="E30" t="s">
        <v>186</v>
      </c>
      <c r="G30" s="17" t="str">
        <f t="shared" si="0"/>
        <v>BDNDETL.TH_CPVF</v>
      </c>
      <c r="H30" s="17" t="str">
        <f t="shared" si="1"/>
        <v>CODE_THRESHOLD.CPVF</v>
      </c>
      <c r="I30" s="29"/>
      <c r="J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" s="17"/>
    </row>
    <row r="31" spans="1:11" hidden="1" x14ac:dyDescent="0.2">
      <c r="A31" t="s">
        <v>28</v>
      </c>
      <c r="B31" t="s">
        <v>2142</v>
      </c>
      <c r="C31" t="s">
        <v>1574</v>
      </c>
      <c r="D31" t="s">
        <v>157</v>
      </c>
      <c r="E31" t="s">
        <v>189</v>
      </c>
      <c r="G31" s="17" t="str">
        <f t="shared" si="0"/>
        <v>BDNDETL.TH_CPVU</v>
      </c>
      <c r="H31" s="17" t="str">
        <f t="shared" si="1"/>
        <v>CODE_THRESHOLD.CPVU</v>
      </c>
      <c r="I31" s="29"/>
      <c r="J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" s="17"/>
    </row>
    <row r="32" spans="1:11" hidden="1" x14ac:dyDescent="0.2">
      <c r="A32" t="s">
        <v>28</v>
      </c>
      <c r="B32" t="s">
        <v>2142</v>
      </c>
      <c r="C32" t="s">
        <v>1568</v>
      </c>
      <c r="D32" t="s">
        <v>157</v>
      </c>
      <c r="E32" t="s">
        <v>192</v>
      </c>
      <c r="G32" s="17" t="str">
        <f t="shared" si="0"/>
        <v>BDNDETL.TH_CPPF</v>
      </c>
      <c r="H32" s="17" t="str">
        <f t="shared" si="1"/>
        <v>CODE_THRESHOLD.CPPF</v>
      </c>
      <c r="I32" s="29"/>
      <c r="J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" s="17"/>
    </row>
    <row r="33" spans="1:11" hidden="1" x14ac:dyDescent="0.2">
      <c r="A33" t="s">
        <v>28</v>
      </c>
      <c r="B33" t="s">
        <v>2142</v>
      </c>
      <c r="C33" t="s">
        <v>1570</v>
      </c>
      <c r="D33" t="s">
        <v>157</v>
      </c>
      <c r="E33" t="s">
        <v>195</v>
      </c>
      <c r="G33" s="17" t="str">
        <f t="shared" si="0"/>
        <v>BDNDETL.TH_CPPU</v>
      </c>
      <c r="H33" s="17" t="str">
        <f t="shared" si="1"/>
        <v>CODE_THRESHOLD.CPPU</v>
      </c>
      <c r="I33" s="29"/>
      <c r="J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" s="17"/>
    </row>
    <row r="34" spans="1:11" hidden="1" x14ac:dyDescent="0.2">
      <c r="A34" t="s">
        <v>28</v>
      </c>
      <c r="B34" t="s">
        <v>2142</v>
      </c>
      <c r="C34" t="s">
        <v>1564</v>
      </c>
      <c r="D34" t="s">
        <v>157</v>
      </c>
      <c r="E34" t="s">
        <v>198</v>
      </c>
      <c r="G34" s="17" t="str">
        <f t="shared" si="0"/>
        <v>BDNDETL.TH_CCVF</v>
      </c>
      <c r="H34" s="17" t="str">
        <f t="shared" si="1"/>
        <v>CODE_THRESHOLD.CCVF</v>
      </c>
      <c r="I34" s="29"/>
      <c r="J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" s="17"/>
    </row>
    <row r="35" spans="1:11" hidden="1" x14ac:dyDescent="0.2">
      <c r="A35" t="s">
        <v>28</v>
      </c>
      <c r="B35" t="s">
        <v>2142</v>
      </c>
      <c r="C35" t="s">
        <v>1566</v>
      </c>
      <c r="D35" t="s">
        <v>157</v>
      </c>
      <c r="E35" t="s">
        <v>201</v>
      </c>
      <c r="G35" s="17" t="str">
        <f t="shared" si="0"/>
        <v>BDNDETL.TH_CCVU</v>
      </c>
      <c r="H35" s="17" t="str">
        <f t="shared" si="1"/>
        <v>CODE_THRESHOLD.CCVU</v>
      </c>
      <c r="I35" s="29"/>
      <c r="J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" s="17"/>
    </row>
    <row r="36" spans="1:11" hidden="1" x14ac:dyDescent="0.2">
      <c r="A36" t="s">
        <v>28</v>
      </c>
      <c r="B36" t="s">
        <v>2142</v>
      </c>
      <c r="C36" t="s">
        <v>1560</v>
      </c>
      <c r="D36" t="s">
        <v>157</v>
      </c>
      <c r="E36" t="s">
        <v>204</v>
      </c>
      <c r="G36" s="17" t="str">
        <f t="shared" si="0"/>
        <v>BDNDETL.TH_CCPF</v>
      </c>
      <c r="H36" s="17" t="str">
        <f t="shared" si="1"/>
        <v>CODE_THRESHOLD.CCPF</v>
      </c>
      <c r="I36" s="29"/>
      <c r="J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" s="17"/>
    </row>
    <row r="37" spans="1:11" hidden="1" x14ac:dyDescent="0.2">
      <c r="A37" t="s">
        <v>28</v>
      </c>
      <c r="B37" t="s">
        <v>2142</v>
      </c>
      <c r="C37" t="s">
        <v>1562</v>
      </c>
      <c r="D37" t="s">
        <v>157</v>
      </c>
      <c r="E37" t="s">
        <v>207</v>
      </c>
      <c r="G37" s="17" t="str">
        <f t="shared" si="0"/>
        <v>BDNDETL.TH_CCPU</v>
      </c>
      <c r="H37" s="17" t="str">
        <f t="shared" si="1"/>
        <v>CODE_THRESHOLD.CCPU</v>
      </c>
      <c r="I37" s="29"/>
      <c r="J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7" s="17"/>
    </row>
    <row r="38" spans="1:11" hidden="1" x14ac:dyDescent="0.2">
      <c r="A38" t="s">
        <v>28</v>
      </c>
      <c r="B38" t="s">
        <v>2142</v>
      </c>
      <c r="C38" t="s">
        <v>1556</v>
      </c>
      <c r="D38" t="s">
        <v>157</v>
      </c>
      <c r="E38" t="s">
        <v>210</v>
      </c>
      <c r="G38" s="17" t="str">
        <f t="shared" si="0"/>
        <v>BDNDETL.TH_CAVF</v>
      </c>
      <c r="H38" s="17" t="str">
        <f t="shared" si="1"/>
        <v>CODE_THRESHOLD.CAVF</v>
      </c>
      <c r="I38" s="29"/>
      <c r="J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8" s="17"/>
    </row>
    <row r="39" spans="1:11" hidden="1" x14ac:dyDescent="0.2">
      <c r="A39" t="s">
        <v>28</v>
      </c>
      <c r="B39" t="s">
        <v>2142</v>
      </c>
      <c r="C39" t="s">
        <v>1558</v>
      </c>
      <c r="D39" t="s">
        <v>157</v>
      </c>
      <c r="E39" t="s">
        <v>213</v>
      </c>
      <c r="G39" s="17" t="str">
        <f t="shared" si="0"/>
        <v>BDNDETL.TH_CAVU</v>
      </c>
      <c r="H39" s="17" t="str">
        <f t="shared" si="1"/>
        <v>CODE_THRESHOLD.CAVU</v>
      </c>
      <c r="I39" s="29"/>
      <c r="J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9" s="17"/>
    </row>
    <row r="40" spans="1:11" hidden="1" x14ac:dyDescent="0.2">
      <c r="A40" t="s">
        <v>28</v>
      </c>
      <c r="B40" t="s">
        <v>2142</v>
      </c>
      <c r="C40" t="s">
        <v>1552</v>
      </c>
      <c r="D40" t="s">
        <v>157</v>
      </c>
      <c r="E40" t="s">
        <v>216</v>
      </c>
      <c r="G40" s="17" t="str">
        <f t="shared" si="0"/>
        <v>BDNDETL.TH_CAPF</v>
      </c>
      <c r="H40" s="17" t="str">
        <f t="shared" si="1"/>
        <v>CODE_THRESHOLD.CAPF</v>
      </c>
      <c r="I40" s="29"/>
      <c r="J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0" s="17"/>
    </row>
    <row r="41" spans="1:11" hidden="1" x14ac:dyDescent="0.2">
      <c r="A41" t="s">
        <v>28</v>
      </c>
      <c r="B41" t="s">
        <v>2142</v>
      </c>
      <c r="C41" t="s">
        <v>1554</v>
      </c>
      <c r="D41" t="s">
        <v>157</v>
      </c>
      <c r="E41" t="s">
        <v>219</v>
      </c>
      <c r="G41" s="17" t="str">
        <f t="shared" si="0"/>
        <v>BDNDETL.TH_CAPU</v>
      </c>
      <c r="H41" s="17" t="str">
        <f t="shared" si="1"/>
        <v>CODE_THRESHOLD.CAPU</v>
      </c>
      <c r="I41" s="29"/>
      <c r="J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1" s="17"/>
    </row>
    <row r="42" spans="1:11" hidden="1" x14ac:dyDescent="0.2">
      <c r="A42" t="s">
        <v>28</v>
      </c>
      <c r="B42" t="s">
        <v>2142</v>
      </c>
      <c r="C42" t="s">
        <v>2155</v>
      </c>
      <c r="D42" t="s">
        <v>157</v>
      </c>
      <c r="E42" t="s">
        <v>222</v>
      </c>
      <c r="G42" s="17" t="str">
        <f t="shared" si="0"/>
        <v>BDNDETL.TH_SPF_TL</v>
      </c>
      <c r="H42" s="17" t="str">
        <f t="shared" si="1"/>
        <v>CODE_THRESHOLD.SPF_TL</v>
      </c>
      <c r="I42" s="29"/>
      <c r="J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2" s="17"/>
    </row>
    <row r="43" spans="1:11" hidden="1" x14ac:dyDescent="0.2">
      <c r="A43" t="s">
        <v>28</v>
      </c>
      <c r="B43" t="s">
        <v>2142</v>
      </c>
      <c r="C43" t="s">
        <v>2156</v>
      </c>
      <c r="D43" t="s">
        <v>157</v>
      </c>
      <c r="E43" t="s">
        <v>225</v>
      </c>
      <c r="G43" s="17" t="str">
        <f t="shared" si="0"/>
        <v>BDNDETL.TH_SPU_TL</v>
      </c>
      <c r="H43" s="17" t="str">
        <f t="shared" si="1"/>
        <v>CODE_THRESHOLD.SPU_TL</v>
      </c>
      <c r="I43" s="29"/>
      <c r="J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3" s="17"/>
    </row>
    <row r="44" spans="1:11" hidden="1" x14ac:dyDescent="0.2">
      <c r="A44" t="s">
        <v>28</v>
      </c>
      <c r="B44" t="s">
        <v>2142</v>
      </c>
      <c r="C44" t="s">
        <v>2153</v>
      </c>
      <c r="D44" t="s">
        <v>157</v>
      </c>
      <c r="E44" t="s">
        <v>228</v>
      </c>
      <c r="G44" s="17" t="str">
        <f t="shared" si="0"/>
        <v>BDNDETL.TH_SCF_TL</v>
      </c>
      <c r="H44" s="17" t="str">
        <f t="shared" si="1"/>
        <v>CODE_THRESHOLD.SCF_TL</v>
      </c>
      <c r="I44" s="29"/>
      <c r="J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" s="17"/>
    </row>
    <row r="45" spans="1:11" hidden="1" x14ac:dyDescent="0.2">
      <c r="A45" t="s">
        <v>28</v>
      </c>
      <c r="B45" t="s">
        <v>2142</v>
      </c>
      <c r="C45" t="s">
        <v>2154</v>
      </c>
      <c r="D45" t="s">
        <v>157</v>
      </c>
      <c r="E45" t="s">
        <v>231</v>
      </c>
      <c r="G45" s="17" t="str">
        <f t="shared" si="0"/>
        <v>BDNDETL.TH_SCU_TL</v>
      </c>
      <c r="H45" s="17" t="str">
        <f t="shared" si="1"/>
        <v>CODE_THRESHOLD.SCU_TL</v>
      </c>
      <c r="I45" s="29"/>
      <c r="J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5" s="17"/>
    </row>
    <row r="46" spans="1:11" hidden="1" x14ac:dyDescent="0.2">
      <c r="A46" t="s">
        <v>28</v>
      </c>
      <c r="B46" t="s">
        <v>2142</v>
      </c>
      <c r="C46" t="s">
        <v>2151</v>
      </c>
      <c r="D46" t="s">
        <v>157</v>
      </c>
      <c r="E46" t="s">
        <v>234</v>
      </c>
      <c r="G46" s="17" t="str">
        <f t="shared" si="0"/>
        <v>BDNDETL.TH_CPF_TL</v>
      </c>
      <c r="H46" s="17" t="str">
        <f t="shared" si="1"/>
        <v>CODE_THRESHOLD.CPF_TL</v>
      </c>
      <c r="I46" s="29"/>
      <c r="J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" s="17"/>
    </row>
    <row r="47" spans="1:11" hidden="1" x14ac:dyDescent="0.2">
      <c r="A47" t="s">
        <v>28</v>
      </c>
      <c r="B47" t="s">
        <v>2142</v>
      </c>
      <c r="C47" t="s">
        <v>2152</v>
      </c>
      <c r="D47" t="s">
        <v>157</v>
      </c>
      <c r="E47" t="s">
        <v>237</v>
      </c>
      <c r="G47" s="17" t="str">
        <f t="shared" si="0"/>
        <v>BDNDETL.TH_CPU_TL</v>
      </c>
      <c r="H47" s="17" t="str">
        <f t="shared" si="1"/>
        <v>CODE_THRESHOLD.CPU_TL</v>
      </c>
      <c r="I47" s="29"/>
      <c r="J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7" s="17"/>
    </row>
    <row r="48" spans="1:11" hidden="1" x14ac:dyDescent="0.2">
      <c r="A48" t="s">
        <v>28</v>
      </c>
      <c r="B48" t="s">
        <v>2142</v>
      </c>
      <c r="C48" t="s">
        <v>2149</v>
      </c>
      <c r="D48" t="s">
        <v>157</v>
      </c>
      <c r="E48" t="s">
        <v>240</v>
      </c>
      <c r="G48" s="17" t="str">
        <f t="shared" si="0"/>
        <v>BDNDETL.TH_CCF_TL</v>
      </c>
      <c r="H48" s="17" t="str">
        <f t="shared" si="1"/>
        <v>CODE_THRESHOLD.CCF_TL</v>
      </c>
      <c r="I48" s="29"/>
      <c r="J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8" s="17"/>
    </row>
    <row r="49" spans="1:11" hidden="1" x14ac:dyDescent="0.2">
      <c r="A49" t="s">
        <v>28</v>
      </c>
      <c r="B49" t="s">
        <v>2142</v>
      </c>
      <c r="C49" t="s">
        <v>2150</v>
      </c>
      <c r="D49" t="s">
        <v>157</v>
      </c>
      <c r="E49" t="s">
        <v>243</v>
      </c>
      <c r="G49" s="17" t="str">
        <f t="shared" si="0"/>
        <v>BDNDETL.TH_CCU_TL</v>
      </c>
      <c r="H49" s="17" t="str">
        <f t="shared" si="1"/>
        <v>CODE_THRESHOLD.CCU_TL</v>
      </c>
      <c r="I49" s="29"/>
      <c r="J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9" s="17"/>
    </row>
    <row r="50" spans="1:11" hidden="1" x14ac:dyDescent="0.2">
      <c r="A50" t="s">
        <v>28</v>
      </c>
      <c r="B50" t="s">
        <v>2142</v>
      </c>
      <c r="C50" t="s">
        <v>2147</v>
      </c>
      <c r="D50" t="s">
        <v>157</v>
      </c>
      <c r="E50" t="s">
        <v>246</v>
      </c>
      <c r="G50" s="17" t="str">
        <f t="shared" si="0"/>
        <v>BDNDETL.TH_CAF_TL</v>
      </c>
      <c r="H50" s="17" t="str">
        <f t="shared" si="1"/>
        <v>CODE_THRESHOLD.CAF_TL</v>
      </c>
      <c r="I50" s="29"/>
      <c r="J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0" s="17"/>
    </row>
    <row r="51" spans="1:11" hidden="1" x14ac:dyDescent="0.2">
      <c r="A51" t="s">
        <v>28</v>
      </c>
      <c r="B51" t="s">
        <v>2142</v>
      </c>
      <c r="C51" t="s">
        <v>2148</v>
      </c>
      <c r="D51" t="s">
        <v>157</v>
      </c>
      <c r="E51" t="s">
        <v>249</v>
      </c>
      <c r="G51" s="17" t="str">
        <f t="shared" si="0"/>
        <v>BDNDETL.TH_CAU_TL</v>
      </c>
      <c r="H51" s="17" t="str">
        <f t="shared" si="1"/>
        <v>CODE_THRESHOLD.CAU_TL</v>
      </c>
      <c r="I51" s="29"/>
      <c r="J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1" s="17"/>
    </row>
    <row r="52" spans="1:11" hidden="1" x14ac:dyDescent="0.2">
      <c r="A52" t="s">
        <v>28</v>
      </c>
      <c r="B52" t="s">
        <v>2157</v>
      </c>
      <c r="C52" t="s">
        <v>87</v>
      </c>
      <c r="D52" t="s">
        <v>40</v>
      </c>
      <c r="E52" t="s">
        <v>47</v>
      </c>
      <c r="G52" s="17" t="str">
        <f t="shared" si="0"/>
        <v>BREAKDWN.BREAKFILE</v>
      </c>
      <c r="H52" s="17" t="str">
        <f t="shared" si="1"/>
        <v>CODE_FILE.NAME</v>
      </c>
      <c r="I52" s="29"/>
      <c r="J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" s="17"/>
    </row>
    <row r="53" spans="1:11" hidden="1" x14ac:dyDescent="0.2">
      <c r="A53" t="s">
        <v>28</v>
      </c>
      <c r="B53" t="s">
        <v>2157</v>
      </c>
      <c r="C53" t="s">
        <v>2415</v>
      </c>
      <c r="D53" t="s">
        <v>40</v>
      </c>
      <c r="E53" t="s">
        <v>90</v>
      </c>
      <c r="G53" s="17" t="str">
        <f t="shared" si="0"/>
        <v>BREAKDWN.BREAKTYPE</v>
      </c>
      <c r="H53" s="17" t="str">
        <f t="shared" si="1"/>
        <v>CODE_FILE.CODE_TYPE</v>
      </c>
      <c r="I53" s="29"/>
      <c r="J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" s="17"/>
    </row>
    <row r="54" spans="1:11" hidden="1" x14ac:dyDescent="0.2">
      <c r="A54" s="14" t="s">
        <v>28</v>
      </c>
      <c r="B54" s="14" t="s">
        <v>2157</v>
      </c>
      <c r="C54" s="14" t="s">
        <v>155</v>
      </c>
      <c r="D54" t="s">
        <v>40</v>
      </c>
      <c r="E54" s="14" t="s">
        <v>155</v>
      </c>
      <c r="F54" s="14" t="s">
        <v>2416</v>
      </c>
      <c r="G54" s="23" t="str">
        <f t="shared" si="0"/>
        <v>BREAKDWN.CODELENGTH</v>
      </c>
      <c r="H54" s="23" t="str">
        <f t="shared" si="1"/>
        <v>CODE_FILE.CODELENGTH</v>
      </c>
      <c r="I54" s="30" t="s">
        <v>2411</v>
      </c>
      <c r="J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CODE_FILE.CODELENGTH</v>
      </c>
      <c r="K54" s="17"/>
    </row>
    <row r="55" spans="1:11" hidden="1" x14ac:dyDescent="0.2">
      <c r="A55" s="14" t="s">
        <v>28</v>
      </c>
      <c r="B55" s="14" t="s">
        <v>2157</v>
      </c>
      <c r="C55" s="14" t="s">
        <v>113</v>
      </c>
      <c r="D55" t="s">
        <v>40</v>
      </c>
      <c r="E55" s="14" t="s">
        <v>113</v>
      </c>
      <c r="F55" s="14" t="s">
        <v>2416</v>
      </c>
      <c r="G55" s="23" t="str">
        <f t="shared" si="0"/>
        <v>BREAKDWN.MAX_LEVEL</v>
      </c>
      <c r="H55" s="23" t="str">
        <f t="shared" si="1"/>
        <v>CODE_FILE.MAX_LEVEL</v>
      </c>
      <c r="I55" s="30" t="s">
        <v>2411</v>
      </c>
      <c r="J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CODE_FILE.MAX_LEVEL</v>
      </c>
      <c r="K55" s="17"/>
    </row>
    <row r="56" spans="1:11" hidden="1" x14ac:dyDescent="0.2">
      <c r="A56" s="14" t="s">
        <v>28</v>
      </c>
      <c r="B56" s="14" t="s">
        <v>2157</v>
      </c>
      <c r="C56" s="14" t="s">
        <v>111</v>
      </c>
      <c r="D56" t="s">
        <v>40</v>
      </c>
      <c r="E56" s="14" t="s">
        <v>111</v>
      </c>
      <c r="F56" s="14" t="s">
        <v>2417</v>
      </c>
      <c r="G56" s="23" t="str">
        <f t="shared" si="0"/>
        <v>BREAKDWN.PAD_CHAR</v>
      </c>
      <c r="H56" s="23" t="str">
        <f t="shared" si="1"/>
        <v>CODE_FILE.PAD_CHAR</v>
      </c>
      <c r="I56" s="30" t="s">
        <v>2411</v>
      </c>
      <c r="J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CODE_FILE.PAD_CHAR</v>
      </c>
      <c r="K56" s="17"/>
    </row>
    <row r="57" spans="1:11" hidden="1" x14ac:dyDescent="0.2">
      <c r="A57" t="s">
        <v>28</v>
      </c>
      <c r="B57" t="s">
        <v>2157</v>
      </c>
      <c r="C57" t="s">
        <v>93</v>
      </c>
      <c r="D57" t="s">
        <v>40</v>
      </c>
      <c r="E57" t="s">
        <v>93</v>
      </c>
      <c r="G57" s="17" t="str">
        <f t="shared" si="0"/>
        <v>BREAKDWN.TH_FLAGS</v>
      </c>
      <c r="H57" s="17" t="str">
        <f t="shared" si="1"/>
        <v>CODE_FILE.TH_FLAGS</v>
      </c>
      <c r="I57" s="29"/>
      <c r="J57" s="17" t="s">
        <v>2418</v>
      </c>
      <c r="K57" s="17"/>
    </row>
    <row r="58" spans="1:11" hidden="1" x14ac:dyDescent="0.2">
      <c r="A58" s="14" t="s">
        <v>28</v>
      </c>
      <c r="B58" s="14" t="s">
        <v>2157</v>
      </c>
      <c r="C58" s="14" t="s">
        <v>115</v>
      </c>
      <c r="D58" t="s">
        <v>40</v>
      </c>
      <c r="E58" s="14" t="s">
        <v>115</v>
      </c>
      <c r="F58" s="14" t="s">
        <v>2416</v>
      </c>
      <c r="G58" s="23" t="str">
        <f t="shared" si="0"/>
        <v>BREAKDWN.LEVEL1</v>
      </c>
      <c r="H58" s="23" t="str">
        <f t="shared" si="1"/>
        <v>CODE_FILE.LEVEL1</v>
      </c>
      <c r="I58" s="30" t="s">
        <v>2411</v>
      </c>
      <c r="J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</v>
      </c>
      <c r="K58" s="17"/>
    </row>
    <row r="59" spans="1:11" hidden="1" x14ac:dyDescent="0.2">
      <c r="A59" s="14" t="s">
        <v>28</v>
      </c>
      <c r="B59" s="14" t="s">
        <v>2157</v>
      </c>
      <c r="C59" s="14" t="s">
        <v>117</v>
      </c>
      <c r="D59" t="s">
        <v>40</v>
      </c>
      <c r="E59" s="14" t="s">
        <v>117</v>
      </c>
      <c r="F59" s="14" t="s">
        <v>2416</v>
      </c>
      <c r="G59" s="23" t="str">
        <f t="shared" si="0"/>
        <v>BREAKDWN.LEVEL2</v>
      </c>
      <c r="H59" s="23" t="str">
        <f t="shared" si="1"/>
        <v>CODE_FILE.LEVEL2</v>
      </c>
      <c r="I59" s="30" t="s">
        <v>2411</v>
      </c>
      <c r="J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CODE_FILE.LEVEL2</v>
      </c>
      <c r="K59" s="17"/>
    </row>
    <row r="60" spans="1:11" hidden="1" x14ac:dyDescent="0.2">
      <c r="A60" s="14" t="s">
        <v>28</v>
      </c>
      <c r="B60" s="14" t="s">
        <v>2157</v>
      </c>
      <c r="C60" s="14" t="s">
        <v>119</v>
      </c>
      <c r="D60" t="s">
        <v>40</v>
      </c>
      <c r="E60" s="14" t="s">
        <v>119</v>
      </c>
      <c r="F60" s="14" t="s">
        <v>2416</v>
      </c>
      <c r="G60" s="23" t="str">
        <f t="shared" si="0"/>
        <v>BREAKDWN.LEVEL3</v>
      </c>
      <c r="H60" s="23" t="str">
        <f t="shared" si="1"/>
        <v>CODE_FILE.LEVEL3</v>
      </c>
      <c r="I60" s="30" t="s">
        <v>2411</v>
      </c>
      <c r="J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CODE_FILE.LEVEL3</v>
      </c>
      <c r="K60" s="17"/>
    </row>
    <row r="61" spans="1:11" hidden="1" x14ac:dyDescent="0.2">
      <c r="A61" s="14" t="s">
        <v>28</v>
      </c>
      <c r="B61" s="14" t="s">
        <v>2157</v>
      </c>
      <c r="C61" s="14" t="s">
        <v>121</v>
      </c>
      <c r="D61" t="s">
        <v>40</v>
      </c>
      <c r="E61" s="14" t="s">
        <v>121</v>
      </c>
      <c r="F61" s="14" t="s">
        <v>2416</v>
      </c>
      <c r="G61" s="23" t="str">
        <f t="shared" si="0"/>
        <v>BREAKDWN.LEVEL4</v>
      </c>
      <c r="H61" s="23" t="str">
        <f t="shared" si="1"/>
        <v>CODE_FILE.LEVEL4</v>
      </c>
      <c r="I61" s="30" t="s">
        <v>2411</v>
      </c>
      <c r="J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CODE_FILE.LEVEL4</v>
      </c>
      <c r="K61" s="17"/>
    </row>
    <row r="62" spans="1:11" hidden="1" x14ac:dyDescent="0.2">
      <c r="A62" s="14" t="s">
        <v>28</v>
      </c>
      <c r="B62" s="14" t="s">
        <v>2157</v>
      </c>
      <c r="C62" s="14" t="s">
        <v>123</v>
      </c>
      <c r="D62" t="s">
        <v>40</v>
      </c>
      <c r="E62" s="14" t="s">
        <v>123</v>
      </c>
      <c r="F62" s="14" t="s">
        <v>2416</v>
      </c>
      <c r="G62" s="23" t="str">
        <f t="shared" si="0"/>
        <v>BREAKDWN.LEVEL5</v>
      </c>
      <c r="H62" s="23" t="str">
        <f t="shared" si="1"/>
        <v>CODE_FILE.LEVEL5</v>
      </c>
      <c r="I62" s="30" t="s">
        <v>2411</v>
      </c>
      <c r="J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CODE_FILE.LEVEL5</v>
      </c>
      <c r="K62" s="17"/>
    </row>
    <row r="63" spans="1:11" hidden="1" x14ac:dyDescent="0.2">
      <c r="A63" s="14" t="s">
        <v>28</v>
      </c>
      <c r="B63" s="14" t="s">
        <v>2157</v>
      </c>
      <c r="C63" s="14" t="s">
        <v>125</v>
      </c>
      <c r="D63" t="s">
        <v>40</v>
      </c>
      <c r="E63" s="14" t="s">
        <v>125</v>
      </c>
      <c r="F63" s="14" t="s">
        <v>2416</v>
      </c>
      <c r="G63" s="23" t="str">
        <f t="shared" si="0"/>
        <v>BREAKDWN.LEVEL6</v>
      </c>
      <c r="H63" s="23" t="str">
        <f t="shared" si="1"/>
        <v>CODE_FILE.LEVEL6</v>
      </c>
      <c r="I63" s="30" t="s">
        <v>2411</v>
      </c>
      <c r="J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CODE_FILE.LEVEL6</v>
      </c>
      <c r="K63" s="17"/>
    </row>
    <row r="64" spans="1:11" hidden="1" x14ac:dyDescent="0.2">
      <c r="A64" s="14" t="s">
        <v>28</v>
      </c>
      <c r="B64" s="14" t="s">
        <v>2157</v>
      </c>
      <c r="C64" s="14" t="s">
        <v>127</v>
      </c>
      <c r="D64" t="s">
        <v>40</v>
      </c>
      <c r="E64" s="14" t="s">
        <v>127</v>
      </c>
      <c r="F64" s="14" t="s">
        <v>2416</v>
      </c>
      <c r="G64" s="23" t="str">
        <f t="shared" si="0"/>
        <v>BREAKDWN.LEVEL7</v>
      </c>
      <c r="H64" s="23" t="str">
        <f t="shared" si="1"/>
        <v>CODE_FILE.LEVEL7</v>
      </c>
      <c r="I64" s="30" t="s">
        <v>2411</v>
      </c>
      <c r="J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CODE_FILE.LEVEL7</v>
      </c>
      <c r="K64" s="17"/>
    </row>
    <row r="65" spans="1:11" hidden="1" x14ac:dyDescent="0.2">
      <c r="A65" s="14" t="s">
        <v>28</v>
      </c>
      <c r="B65" s="14" t="s">
        <v>2157</v>
      </c>
      <c r="C65" s="14" t="s">
        <v>129</v>
      </c>
      <c r="D65" t="s">
        <v>40</v>
      </c>
      <c r="E65" s="14" t="s">
        <v>129</v>
      </c>
      <c r="F65" s="14" t="s">
        <v>2416</v>
      </c>
      <c r="G65" s="23" t="str">
        <f t="shared" si="0"/>
        <v>BREAKDWN.LEVEL8</v>
      </c>
      <c r="H65" s="23" t="str">
        <f t="shared" si="1"/>
        <v>CODE_FILE.LEVEL8</v>
      </c>
      <c r="I65" s="30" t="s">
        <v>2411</v>
      </c>
      <c r="J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CODE_FILE.LEVEL8</v>
      </c>
      <c r="K65" s="17"/>
    </row>
    <row r="66" spans="1:11" hidden="1" x14ac:dyDescent="0.2">
      <c r="A66" s="14" t="s">
        <v>28</v>
      </c>
      <c r="B66" s="14" t="s">
        <v>2157</v>
      </c>
      <c r="C66" s="14" t="s">
        <v>131</v>
      </c>
      <c r="D66" t="s">
        <v>40</v>
      </c>
      <c r="E66" s="14" t="s">
        <v>131</v>
      </c>
      <c r="F66" s="14" t="s">
        <v>2416</v>
      </c>
      <c r="G66" s="23" t="str">
        <f t="shared" ref="G66:G129" si="2">_xlfn.CONCAT(B66,".",C66)</f>
        <v>BREAKDWN.LEVEL9</v>
      </c>
      <c r="H66" s="23" t="str">
        <f t="shared" ref="H66:H129" si="3">_xlfn.CONCAT(D66,".",E66)</f>
        <v>CODE_FILE.LEVEL9</v>
      </c>
      <c r="I66" s="30" t="s">
        <v>2411</v>
      </c>
      <c r="J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CODE_FILE.LEVEL9</v>
      </c>
      <c r="K66" s="17"/>
    </row>
    <row r="67" spans="1:11" hidden="1" x14ac:dyDescent="0.2">
      <c r="A67" s="14" t="s">
        <v>28</v>
      </c>
      <c r="B67" s="14" t="s">
        <v>2157</v>
      </c>
      <c r="C67" s="14" t="s">
        <v>133</v>
      </c>
      <c r="D67" t="s">
        <v>40</v>
      </c>
      <c r="E67" s="14" t="s">
        <v>133</v>
      </c>
      <c r="F67" s="14" t="s">
        <v>2416</v>
      </c>
      <c r="G67" s="23" t="str">
        <f t="shared" si="2"/>
        <v>BREAKDWN.LEVEL10</v>
      </c>
      <c r="H67" s="23" t="str">
        <f t="shared" si="3"/>
        <v>CODE_FILE.LEVEL10</v>
      </c>
      <c r="I67" s="30" t="s">
        <v>2411</v>
      </c>
      <c r="J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CODE_FILE.LEVEL10</v>
      </c>
      <c r="K67" s="17"/>
    </row>
    <row r="68" spans="1:11" hidden="1" x14ac:dyDescent="0.2">
      <c r="A68" s="14" t="s">
        <v>28</v>
      </c>
      <c r="B68" s="14" t="s">
        <v>2157</v>
      </c>
      <c r="C68" s="14" t="s">
        <v>135</v>
      </c>
      <c r="D68" t="s">
        <v>40</v>
      </c>
      <c r="E68" s="14" t="s">
        <v>135</v>
      </c>
      <c r="F68" s="14" t="s">
        <v>2416</v>
      </c>
      <c r="G68" s="23" t="str">
        <f t="shared" si="2"/>
        <v>BREAKDWN.LEVEL11</v>
      </c>
      <c r="H68" s="23" t="str">
        <f t="shared" si="3"/>
        <v>CODE_FILE.LEVEL11</v>
      </c>
      <c r="I68" s="30" t="s">
        <v>2411</v>
      </c>
      <c r="J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CODE_FILE.LEVEL11</v>
      </c>
      <c r="K68" s="17"/>
    </row>
    <row r="69" spans="1:11" hidden="1" x14ac:dyDescent="0.2">
      <c r="A69" s="14" t="s">
        <v>28</v>
      </c>
      <c r="B69" s="14" t="s">
        <v>2157</v>
      </c>
      <c r="C69" s="14" t="s">
        <v>137</v>
      </c>
      <c r="D69" t="s">
        <v>40</v>
      </c>
      <c r="E69" s="14" t="s">
        <v>137</v>
      </c>
      <c r="F69" s="14" t="s">
        <v>2416</v>
      </c>
      <c r="G69" s="23" t="str">
        <f t="shared" si="2"/>
        <v>BREAKDWN.LEVEL12</v>
      </c>
      <c r="H69" s="23" t="str">
        <f t="shared" si="3"/>
        <v>CODE_FILE.LEVEL12</v>
      </c>
      <c r="I69" s="30" t="s">
        <v>2411</v>
      </c>
      <c r="J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CODE_FILE.LEVEL12</v>
      </c>
      <c r="K69" s="17"/>
    </row>
    <row r="70" spans="1:11" hidden="1" x14ac:dyDescent="0.2">
      <c r="A70" s="14" t="s">
        <v>28</v>
      </c>
      <c r="B70" s="14" t="s">
        <v>2157</v>
      </c>
      <c r="C70" s="14" t="s">
        <v>139</v>
      </c>
      <c r="D70" t="s">
        <v>40</v>
      </c>
      <c r="E70" s="14" t="s">
        <v>139</v>
      </c>
      <c r="F70" s="14" t="s">
        <v>2416</v>
      </c>
      <c r="G70" s="23" t="str">
        <f t="shared" si="2"/>
        <v>BREAKDWN.LEVEL13</v>
      </c>
      <c r="H70" s="23" t="str">
        <f t="shared" si="3"/>
        <v>CODE_FILE.LEVEL13</v>
      </c>
      <c r="I70" s="30" t="s">
        <v>2411</v>
      </c>
      <c r="J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CODE_FILE.LEVEL13</v>
      </c>
      <c r="K70" s="17"/>
    </row>
    <row r="71" spans="1:11" hidden="1" x14ac:dyDescent="0.2">
      <c r="A71" s="14" t="s">
        <v>28</v>
      </c>
      <c r="B71" s="14" t="s">
        <v>2157</v>
      </c>
      <c r="C71" s="14" t="s">
        <v>141</v>
      </c>
      <c r="D71" t="s">
        <v>40</v>
      </c>
      <c r="E71" s="14" t="s">
        <v>141</v>
      </c>
      <c r="F71" s="14" t="s">
        <v>2416</v>
      </c>
      <c r="G71" s="23" t="str">
        <f t="shared" si="2"/>
        <v>BREAKDWN.LEVEL14</v>
      </c>
      <c r="H71" s="23" t="str">
        <f t="shared" si="3"/>
        <v>CODE_FILE.LEVEL14</v>
      </c>
      <c r="I71" s="30" t="s">
        <v>2411</v>
      </c>
      <c r="J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CODE_FILE.LEVEL14</v>
      </c>
      <c r="K71" s="17"/>
    </row>
    <row r="72" spans="1:11" hidden="1" x14ac:dyDescent="0.2">
      <c r="A72" s="14" t="s">
        <v>28</v>
      </c>
      <c r="B72" s="14" t="s">
        <v>2157</v>
      </c>
      <c r="C72" s="14" t="s">
        <v>143</v>
      </c>
      <c r="D72" t="s">
        <v>40</v>
      </c>
      <c r="E72" s="14" t="s">
        <v>143</v>
      </c>
      <c r="F72" s="14" t="s">
        <v>2416</v>
      </c>
      <c r="G72" s="23" t="str">
        <f t="shared" si="2"/>
        <v>BREAKDWN.LEVEL15</v>
      </c>
      <c r="H72" s="23" t="str">
        <f t="shared" si="3"/>
        <v>CODE_FILE.LEVEL15</v>
      </c>
      <c r="I72" s="30" t="s">
        <v>2411</v>
      </c>
      <c r="J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CODE_FILE.LEVEL15</v>
      </c>
      <c r="K72" s="17"/>
    </row>
    <row r="73" spans="1:11" hidden="1" x14ac:dyDescent="0.2">
      <c r="A73" s="14" t="s">
        <v>28</v>
      </c>
      <c r="B73" s="14" t="s">
        <v>2157</v>
      </c>
      <c r="C73" s="14" t="s">
        <v>145</v>
      </c>
      <c r="D73" t="s">
        <v>40</v>
      </c>
      <c r="E73" s="14" t="s">
        <v>145</v>
      </c>
      <c r="F73" s="14" t="s">
        <v>2416</v>
      </c>
      <c r="G73" s="23" t="str">
        <f t="shared" si="2"/>
        <v>BREAKDWN.LEVEL16</v>
      </c>
      <c r="H73" s="23" t="str">
        <f t="shared" si="3"/>
        <v>CODE_FILE.LEVEL16</v>
      </c>
      <c r="I73" s="30" t="s">
        <v>2411</v>
      </c>
      <c r="J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CODE_FILE.LEVEL16</v>
      </c>
      <c r="K73" s="17"/>
    </row>
    <row r="74" spans="1:11" hidden="1" x14ac:dyDescent="0.2">
      <c r="A74" s="14" t="s">
        <v>28</v>
      </c>
      <c r="B74" s="14" t="s">
        <v>2157</v>
      </c>
      <c r="C74" s="14" t="s">
        <v>147</v>
      </c>
      <c r="D74" t="s">
        <v>40</v>
      </c>
      <c r="E74" s="14" t="s">
        <v>147</v>
      </c>
      <c r="F74" s="14" t="s">
        <v>2416</v>
      </c>
      <c r="G74" s="23" t="str">
        <f t="shared" si="2"/>
        <v>BREAKDWN.LEVEL17</v>
      </c>
      <c r="H74" s="23" t="str">
        <f t="shared" si="3"/>
        <v>CODE_FILE.LEVEL17</v>
      </c>
      <c r="I74" s="30" t="s">
        <v>2411</v>
      </c>
      <c r="J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CODE_FILE.LEVEL17</v>
      </c>
      <c r="K74" s="17"/>
    </row>
    <row r="75" spans="1:11" hidden="1" x14ac:dyDescent="0.2">
      <c r="A75" s="14" t="s">
        <v>28</v>
      </c>
      <c r="B75" s="14" t="s">
        <v>2157</v>
      </c>
      <c r="C75" s="14" t="s">
        <v>149</v>
      </c>
      <c r="D75" t="s">
        <v>40</v>
      </c>
      <c r="E75" s="14" t="s">
        <v>149</v>
      </c>
      <c r="F75" s="14" t="s">
        <v>2416</v>
      </c>
      <c r="G75" s="23" t="str">
        <f t="shared" si="2"/>
        <v>BREAKDWN.LEVEL18</v>
      </c>
      <c r="H75" s="23" t="str">
        <f t="shared" si="3"/>
        <v>CODE_FILE.LEVEL18</v>
      </c>
      <c r="I75" s="30" t="s">
        <v>2411</v>
      </c>
      <c r="J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CODE_FILE.LEVEL18</v>
      </c>
      <c r="K75" s="17"/>
    </row>
    <row r="76" spans="1:11" hidden="1" x14ac:dyDescent="0.2">
      <c r="A76" s="14" t="s">
        <v>28</v>
      </c>
      <c r="B76" s="14" t="s">
        <v>2157</v>
      </c>
      <c r="C76" s="14" t="s">
        <v>151</v>
      </c>
      <c r="D76" t="s">
        <v>40</v>
      </c>
      <c r="E76" s="14" t="s">
        <v>151</v>
      </c>
      <c r="F76" s="14" t="s">
        <v>2416</v>
      </c>
      <c r="G76" s="23" t="str">
        <f t="shared" si="2"/>
        <v>BREAKDWN.LEVEL19</v>
      </c>
      <c r="H76" s="23" t="str">
        <f t="shared" si="3"/>
        <v>CODE_FILE.LEVEL19</v>
      </c>
      <c r="I76" s="30" t="s">
        <v>2411</v>
      </c>
      <c r="J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CODE_FILE.LEVEL19</v>
      </c>
      <c r="K76" s="17"/>
    </row>
    <row r="77" spans="1:11" hidden="1" x14ac:dyDescent="0.2">
      <c r="A77" s="14" t="s">
        <v>28</v>
      </c>
      <c r="B77" s="14" t="s">
        <v>2157</v>
      </c>
      <c r="C77" s="14" t="s">
        <v>153</v>
      </c>
      <c r="D77" t="s">
        <v>40</v>
      </c>
      <c r="E77" s="14" t="s">
        <v>153</v>
      </c>
      <c r="F77" s="14" t="s">
        <v>2416</v>
      </c>
      <c r="G77" s="23" t="str">
        <f t="shared" si="2"/>
        <v>BREAKDWN.LEVEL20</v>
      </c>
      <c r="H77" s="23" t="str">
        <f t="shared" si="3"/>
        <v>CODE_FILE.LEVEL20</v>
      </c>
      <c r="I77" s="30" t="s">
        <v>2411</v>
      </c>
      <c r="J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CODE_FILE.LEVEL20</v>
      </c>
      <c r="K77" s="17"/>
    </row>
    <row r="78" spans="1:11" hidden="1" x14ac:dyDescent="0.2">
      <c r="A78" t="s">
        <v>28</v>
      </c>
      <c r="B78" t="s">
        <v>2157</v>
      </c>
      <c r="C78" t="s">
        <v>35</v>
      </c>
      <c r="D78" t="s">
        <v>40</v>
      </c>
      <c r="E78" t="s">
        <v>35</v>
      </c>
      <c r="G78" s="17" t="str">
        <f t="shared" si="2"/>
        <v>BREAKDWN.SEQUENCE</v>
      </c>
      <c r="H78" s="17" t="str">
        <f t="shared" si="3"/>
        <v>CODE_FILE.SEQUENCE</v>
      </c>
      <c r="I78" s="29"/>
      <c r="J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" s="17"/>
    </row>
    <row r="79" spans="1:11" hidden="1" x14ac:dyDescent="0.2">
      <c r="A79" t="s">
        <v>28</v>
      </c>
      <c r="B79" t="s">
        <v>2157</v>
      </c>
      <c r="C79" t="s">
        <v>2111</v>
      </c>
      <c r="D79" t="s">
        <v>40</v>
      </c>
      <c r="E79" t="s">
        <v>71</v>
      </c>
      <c r="G79" s="17" t="str">
        <f t="shared" si="2"/>
        <v>BREAKDWN.LASTUPDATE</v>
      </c>
      <c r="H79" s="17" t="str">
        <f t="shared" si="3"/>
        <v>CODE_FILE.LAST_MODIFIED_DATE</v>
      </c>
      <c r="I79" s="29"/>
      <c r="J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" s="17"/>
    </row>
    <row r="80" spans="1:11" hidden="1" x14ac:dyDescent="0.2">
      <c r="A80" t="s">
        <v>28</v>
      </c>
      <c r="B80" t="s">
        <v>2157</v>
      </c>
      <c r="C80" t="s">
        <v>2112</v>
      </c>
      <c r="D80" t="s">
        <v>40</v>
      </c>
      <c r="E80" s="18" t="s">
        <v>68</v>
      </c>
      <c r="G80" s="17" t="str">
        <f t="shared" si="2"/>
        <v>BREAKDWN.USR_ID</v>
      </c>
      <c r="H80" s="17" t="str">
        <f t="shared" si="3"/>
        <v>CODE_FILE.LAST_MODIFIED_BY_USER_UID</v>
      </c>
      <c r="I80" s="29"/>
      <c r="J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0" s="17"/>
    </row>
    <row r="81" spans="1:11" hidden="1" x14ac:dyDescent="0.2">
      <c r="A81" t="s">
        <v>28</v>
      </c>
      <c r="D81" t="s">
        <v>29</v>
      </c>
      <c r="E81" t="s">
        <v>30</v>
      </c>
      <c r="F81" s="7"/>
      <c r="G81" s="17" t="str">
        <f t="shared" si="2"/>
        <v>.</v>
      </c>
      <c r="H81" s="17" t="str">
        <f t="shared" si="3"/>
        <v>CODE.ROW_UID</v>
      </c>
      <c r="I81" s="29"/>
      <c r="J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" s="17"/>
    </row>
    <row r="82" spans="1:11" hidden="1" x14ac:dyDescent="0.2">
      <c r="A82" t="s">
        <v>28</v>
      </c>
      <c r="D82" t="s">
        <v>29</v>
      </c>
      <c r="E82" t="s">
        <v>58</v>
      </c>
      <c r="G82" s="17" t="str">
        <f t="shared" si="2"/>
        <v>.</v>
      </c>
      <c r="H82" s="17" t="str">
        <f t="shared" si="3"/>
        <v>CODE.CHILD_POS</v>
      </c>
      <c r="I82" s="29"/>
      <c r="J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" s="17"/>
    </row>
    <row r="83" spans="1:11" hidden="1" x14ac:dyDescent="0.2">
      <c r="A83" t="s">
        <v>28</v>
      </c>
      <c r="D83" t="s">
        <v>29</v>
      </c>
      <c r="E83" s="18" t="s">
        <v>61</v>
      </c>
      <c r="G83" s="17" t="str">
        <f t="shared" si="2"/>
        <v>.</v>
      </c>
      <c r="H83" s="17" t="str">
        <f t="shared" si="3"/>
        <v>CODE.CREATED_BY_USER_UID</v>
      </c>
      <c r="I83" s="29"/>
      <c r="J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" s="17"/>
    </row>
    <row r="84" spans="1:11" hidden="1" x14ac:dyDescent="0.2">
      <c r="A84" t="s">
        <v>28</v>
      </c>
      <c r="D84" t="s">
        <v>29</v>
      </c>
      <c r="E84" t="s">
        <v>64</v>
      </c>
      <c r="G84" s="17" t="str">
        <f t="shared" si="2"/>
        <v>.</v>
      </c>
      <c r="H84" s="17" t="str">
        <f t="shared" si="3"/>
        <v>CODE.CREATED_DATE</v>
      </c>
      <c r="I84" s="29"/>
      <c r="J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" s="17"/>
    </row>
    <row r="85" spans="1:11" hidden="1" x14ac:dyDescent="0.2">
      <c r="A85" t="s">
        <v>28</v>
      </c>
      <c r="D85" t="s">
        <v>157</v>
      </c>
      <c r="E85" t="s">
        <v>30</v>
      </c>
      <c r="F85" t="s">
        <v>2419</v>
      </c>
      <c r="G85" s="17" t="str">
        <f t="shared" si="2"/>
        <v>.</v>
      </c>
      <c r="H85" s="17" t="str">
        <f t="shared" si="3"/>
        <v>CODE_THRESHOLD.ROW_UID</v>
      </c>
      <c r="I85" s="29"/>
      <c r="J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5" s="17"/>
    </row>
    <row r="86" spans="1:11" hidden="1" x14ac:dyDescent="0.2">
      <c r="A86" t="s">
        <v>28</v>
      </c>
      <c r="D86" t="s">
        <v>157</v>
      </c>
      <c r="E86" t="s">
        <v>35</v>
      </c>
      <c r="G86" s="17" t="str">
        <f t="shared" si="2"/>
        <v>.</v>
      </c>
      <c r="H86" s="17" t="str">
        <f t="shared" si="3"/>
        <v>CODE_THRESHOLD.SEQUENCE</v>
      </c>
      <c r="I86" s="29"/>
      <c r="J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" s="17"/>
    </row>
    <row r="87" spans="1:11" hidden="1" x14ac:dyDescent="0.2">
      <c r="A87" t="s">
        <v>28</v>
      </c>
      <c r="D87" t="s">
        <v>40</v>
      </c>
      <c r="E87" t="s">
        <v>30</v>
      </c>
      <c r="G87" s="17" t="str">
        <f t="shared" si="2"/>
        <v>.</v>
      </c>
      <c r="H87" s="17" t="str">
        <f t="shared" si="3"/>
        <v>CODE_FILE.ROW_UID</v>
      </c>
      <c r="I87" s="29"/>
      <c r="J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" s="17"/>
    </row>
    <row r="88" spans="1:11" hidden="1" x14ac:dyDescent="0.2">
      <c r="A88" t="s">
        <v>28</v>
      </c>
      <c r="D88" t="s">
        <v>40</v>
      </c>
      <c r="E88" t="s">
        <v>15</v>
      </c>
      <c r="F88" t="s">
        <v>2420</v>
      </c>
      <c r="G88" s="17" t="str">
        <f t="shared" si="2"/>
        <v>.</v>
      </c>
      <c r="H88" s="17" t="str">
        <f t="shared" si="3"/>
        <v>CODE_FILE.DESCRIPTION</v>
      </c>
      <c r="I88" s="29"/>
      <c r="J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" s="17"/>
    </row>
    <row r="89" spans="1:11" hidden="1" x14ac:dyDescent="0.2">
      <c r="A89" t="s">
        <v>28</v>
      </c>
      <c r="D89" t="s">
        <v>40</v>
      </c>
      <c r="E89" t="s">
        <v>98</v>
      </c>
      <c r="G89" s="17" t="str">
        <f t="shared" si="2"/>
        <v>.</v>
      </c>
      <c r="H89" s="17" t="str">
        <f t="shared" si="3"/>
        <v>CODE_FILE.FIELD_NAME</v>
      </c>
      <c r="I89" s="29"/>
      <c r="J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" s="17"/>
    </row>
    <row r="90" spans="1:11" hidden="1" x14ac:dyDescent="0.2">
      <c r="A90" t="s">
        <v>28</v>
      </c>
      <c r="D90" t="s">
        <v>40</v>
      </c>
      <c r="E90" t="s">
        <v>101</v>
      </c>
      <c r="G90" s="17" t="str">
        <f t="shared" si="2"/>
        <v>.</v>
      </c>
      <c r="H90" s="17" t="str">
        <f t="shared" si="3"/>
        <v>CODE_FILE.FIELD_DESCRIPTION</v>
      </c>
      <c r="I90" s="29"/>
      <c r="J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" s="17"/>
    </row>
    <row r="91" spans="1:11" hidden="1" x14ac:dyDescent="0.2">
      <c r="A91" t="s">
        <v>28</v>
      </c>
      <c r="D91" t="s">
        <v>40</v>
      </c>
      <c r="E91" t="s">
        <v>104</v>
      </c>
      <c r="F91" t="s">
        <v>2420</v>
      </c>
      <c r="G91" s="17" t="str">
        <f t="shared" si="2"/>
        <v>.</v>
      </c>
      <c r="H91" s="17" t="str">
        <f t="shared" si="3"/>
        <v>CODE_FILE.OWNER_USER_UID</v>
      </c>
      <c r="I91" s="29"/>
      <c r="J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" s="17"/>
    </row>
    <row r="92" spans="1:11" hidden="1" x14ac:dyDescent="0.2">
      <c r="A92" t="s">
        <v>28</v>
      </c>
      <c r="D92" t="s">
        <v>40</v>
      </c>
      <c r="E92" s="18" t="s">
        <v>61</v>
      </c>
      <c r="G92" s="17" t="str">
        <f t="shared" si="2"/>
        <v>.</v>
      </c>
      <c r="H92" s="17" t="str">
        <f t="shared" si="3"/>
        <v>CODE_FILE.CREATED_BY_USER_UID</v>
      </c>
      <c r="I92" s="29"/>
      <c r="J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" s="17"/>
    </row>
    <row r="93" spans="1:11" hidden="1" x14ac:dyDescent="0.2">
      <c r="A93" t="s">
        <v>28</v>
      </c>
      <c r="D93" t="s">
        <v>40</v>
      </c>
      <c r="E93" t="s">
        <v>64</v>
      </c>
      <c r="G93" s="17" t="str">
        <f t="shared" si="2"/>
        <v>.</v>
      </c>
      <c r="H93" s="17" t="str">
        <f t="shared" si="3"/>
        <v>CODE_FILE.CREATED_DATE</v>
      </c>
      <c r="I93" s="29"/>
      <c r="J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" s="17"/>
    </row>
    <row r="94" spans="1:11" hidden="1" x14ac:dyDescent="0.2">
      <c r="A94" t="s">
        <v>2421</v>
      </c>
      <c r="B94" t="s">
        <v>2225</v>
      </c>
      <c r="C94" t="s">
        <v>375</v>
      </c>
      <c r="D94" t="s">
        <v>294</v>
      </c>
      <c r="E94" t="s">
        <v>47</v>
      </c>
      <c r="G94" s="17" t="str">
        <f t="shared" si="2"/>
        <v>FISCAL.FISCFILE</v>
      </c>
      <c r="H94" s="17" t="str">
        <f t="shared" si="3"/>
        <v>FISCAL_CALENDAR.NAME</v>
      </c>
      <c r="I94" s="29"/>
      <c r="J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" s="17"/>
    </row>
    <row r="95" spans="1:11" hidden="1" x14ac:dyDescent="0.2">
      <c r="A95" t="s">
        <v>2421</v>
      </c>
      <c r="B95" t="s">
        <v>2225</v>
      </c>
      <c r="C95" t="s">
        <v>320</v>
      </c>
      <c r="D95" t="s">
        <v>294</v>
      </c>
      <c r="E95" t="s">
        <v>320</v>
      </c>
      <c r="G95" s="17" t="str">
        <f t="shared" si="2"/>
        <v>FISCAL.PATTERN</v>
      </c>
      <c r="H95" s="17" t="str">
        <f t="shared" si="3"/>
        <v>FISCAL_CALENDAR.PATTERN</v>
      </c>
      <c r="I95" s="29"/>
      <c r="J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" s="17"/>
    </row>
    <row r="96" spans="1:11" hidden="1" x14ac:dyDescent="0.2">
      <c r="A96" s="14" t="s">
        <v>2421</v>
      </c>
      <c r="B96" s="14" t="s">
        <v>2225</v>
      </c>
      <c r="C96" s="14" t="s">
        <v>328</v>
      </c>
      <c r="D96" s="14"/>
      <c r="E96" s="14"/>
      <c r="F96" s="14" t="s">
        <v>2422</v>
      </c>
      <c r="G96" s="23" t="str">
        <f t="shared" si="2"/>
        <v>FISCAL.DOW_HOURS</v>
      </c>
      <c r="H96" s="23" t="str">
        <f t="shared" si="3"/>
        <v>.</v>
      </c>
      <c r="I96" s="30"/>
      <c r="J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" s="17"/>
    </row>
    <row r="97" spans="1:11" hidden="1" x14ac:dyDescent="0.2">
      <c r="A97" t="s">
        <v>2421</v>
      </c>
      <c r="B97" t="s">
        <v>2225</v>
      </c>
      <c r="C97" t="s">
        <v>35</v>
      </c>
      <c r="D97" t="s">
        <v>294</v>
      </c>
      <c r="E97" t="s">
        <v>35</v>
      </c>
      <c r="G97" s="17" t="str">
        <f t="shared" si="2"/>
        <v>FISCAL.SEQUENCE</v>
      </c>
      <c r="H97" s="17" t="str">
        <f t="shared" si="3"/>
        <v>FISCAL_CALENDAR.SEQUENCE</v>
      </c>
      <c r="I97" s="29"/>
      <c r="J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" s="17"/>
    </row>
    <row r="98" spans="1:11" hidden="1" x14ac:dyDescent="0.2">
      <c r="A98" t="s">
        <v>2421</v>
      </c>
      <c r="B98" t="s">
        <v>2225</v>
      </c>
      <c r="C98" t="s">
        <v>2111</v>
      </c>
      <c r="D98" t="s">
        <v>294</v>
      </c>
      <c r="E98" t="s">
        <v>71</v>
      </c>
      <c r="G98" s="17" t="str">
        <f t="shared" si="2"/>
        <v>FISCAL.LASTUPDATE</v>
      </c>
      <c r="H98" s="17" t="str">
        <f t="shared" si="3"/>
        <v>FISCAL_CALENDAR.LAST_MODIFIED_DATE</v>
      </c>
      <c r="I98" s="29"/>
      <c r="J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" s="17"/>
    </row>
    <row r="99" spans="1:11" hidden="1" x14ac:dyDescent="0.2">
      <c r="A99" t="s">
        <v>2421</v>
      </c>
      <c r="B99" t="s">
        <v>2225</v>
      </c>
      <c r="C99" t="s">
        <v>2112</v>
      </c>
      <c r="D99" t="s">
        <v>294</v>
      </c>
      <c r="E99" t="s">
        <v>68</v>
      </c>
      <c r="G99" s="17" t="str">
        <f t="shared" si="2"/>
        <v>FISCAL.USR_ID</v>
      </c>
      <c r="H99" s="17" t="str">
        <f t="shared" si="3"/>
        <v>FISCAL_CALENDAR.LAST_MODIFIED_BY_USER_UID</v>
      </c>
      <c r="I99" s="29"/>
      <c r="J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" s="17"/>
    </row>
    <row r="100" spans="1:11" hidden="1" x14ac:dyDescent="0.2">
      <c r="A100" t="s">
        <v>2421</v>
      </c>
      <c r="B100" t="s">
        <v>2225</v>
      </c>
      <c r="C100" t="s">
        <v>329</v>
      </c>
      <c r="D100" t="s">
        <v>415</v>
      </c>
      <c r="E100" t="s">
        <v>15</v>
      </c>
      <c r="F100" t="s">
        <v>2423</v>
      </c>
      <c r="G100" s="17" t="str">
        <f t="shared" si="2"/>
        <v>FISCAL.DESC00</v>
      </c>
      <c r="H100" s="17" t="str">
        <f t="shared" si="3"/>
        <v>FISCAL_CALENDAR_SET.DESCRIPTION</v>
      </c>
      <c r="I100" s="29"/>
      <c r="J1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" s="17"/>
    </row>
    <row r="101" spans="1:11" hidden="1" x14ac:dyDescent="0.2">
      <c r="A101" t="s">
        <v>2421</v>
      </c>
      <c r="B101" t="s">
        <v>2225</v>
      </c>
      <c r="C101" t="s">
        <v>330</v>
      </c>
      <c r="D101" t="s">
        <v>415</v>
      </c>
      <c r="E101" t="s">
        <v>15</v>
      </c>
      <c r="F101" t="s">
        <v>2423</v>
      </c>
      <c r="G101" s="17" t="str">
        <f t="shared" si="2"/>
        <v>FISCAL.DESC01</v>
      </c>
      <c r="H101" s="17" t="str">
        <f t="shared" si="3"/>
        <v>FISCAL_CALENDAR_SET.DESCRIPTION</v>
      </c>
      <c r="I101" s="29"/>
      <c r="J1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" s="17"/>
    </row>
    <row r="102" spans="1:11" hidden="1" x14ac:dyDescent="0.2">
      <c r="A102" t="s">
        <v>2421</v>
      </c>
      <c r="B102" t="s">
        <v>2225</v>
      </c>
      <c r="C102" t="s">
        <v>331</v>
      </c>
      <c r="D102" t="s">
        <v>415</v>
      </c>
      <c r="E102" t="s">
        <v>15</v>
      </c>
      <c r="F102" t="s">
        <v>2423</v>
      </c>
      <c r="G102" s="17" t="str">
        <f t="shared" si="2"/>
        <v>FISCAL.DESC02</v>
      </c>
      <c r="H102" s="17" t="str">
        <f t="shared" si="3"/>
        <v>FISCAL_CALENDAR_SET.DESCRIPTION</v>
      </c>
      <c r="I102" s="29"/>
      <c r="J1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2" s="17"/>
    </row>
    <row r="103" spans="1:11" hidden="1" x14ac:dyDescent="0.2">
      <c r="A103" t="s">
        <v>2421</v>
      </c>
      <c r="B103" t="s">
        <v>2225</v>
      </c>
      <c r="C103" t="s">
        <v>332</v>
      </c>
      <c r="D103" t="s">
        <v>415</v>
      </c>
      <c r="E103" t="s">
        <v>15</v>
      </c>
      <c r="F103" t="s">
        <v>2423</v>
      </c>
      <c r="G103" s="17" t="str">
        <f t="shared" si="2"/>
        <v>FISCAL.DESC03</v>
      </c>
      <c r="H103" s="17" t="str">
        <f t="shared" si="3"/>
        <v>FISCAL_CALENDAR_SET.DESCRIPTION</v>
      </c>
      <c r="I103" s="29"/>
      <c r="J1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3" s="17"/>
    </row>
    <row r="104" spans="1:11" hidden="1" x14ac:dyDescent="0.2">
      <c r="A104" t="s">
        <v>2421</v>
      </c>
      <c r="B104" t="s">
        <v>2225</v>
      </c>
      <c r="C104" t="s">
        <v>333</v>
      </c>
      <c r="D104" t="s">
        <v>415</v>
      </c>
      <c r="E104" t="s">
        <v>15</v>
      </c>
      <c r="F104" t="s">
        <v>2423</v>
      </c>
      <c r="G104" s="17" t="str">
        <f t="shared" si="2"/>
        <v>FISCAL.DESC04</v>
      </c>
      <c r="H104" s="17" t="str">
        <f t="shared" si="3"/>
        <v>FISCAL_CALENDAR_SET.DESCRIPTION</v>
      </c>
      <c r="I104" s="29"/>
      <c r="J1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" s="17"/>
    </row>
    <row r="105" spans="1:11" hidden="1" x14ac:dyDescent="0.2">
      <c r="A105" t="s">
        <v>2421</v>
      </c>
      <c r="B105" t="s">
        <v>2225</v>
      </c>
      <c r="C105" t="s">
        <v>334</v>
      </c>
      <c r="D105" t="s">
        <v>415</v>
      </c>
      <c r="E105" t="s">
        <v>15</v>
      </c>
      <c r="F105" t="s">
        <v>2423</v>
      </c>
      <c r="G105" s="17" t="str">
        <f t="shared" si="2"/>
        <v>FISCAL.DESC05</v>
      </c>
      <c r="H105" s="17" t="str">
        <f t="shared" si="3"/>
        <v>FISCAL_CALENDAR_SET.DESCRIPTION</v>
      </c>
      <c r="I105" s="29"/>
      <c r="J1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5" s="17"/>
    </row>
    <row r="106" spans="1:11" hidden="1" x14ac:dyDescent="0.2">
      <c r="A106" t="s">
        <v>2421</v>
      </c>
      <c r="B106" t="s">
        <v>2225</v>
      </c>
      <c r="C106" t="s">
        <v>335</v>
      </c>
      <c r="D106" t="s">
        <v>415</v>
      </c>
      <c r="E106" t="s">
        <v>15</v>
      </c>
      <c r="F106" t="s">
        <v>2423</v>
      </c>
      <c r="G106" s="17" t="str">
        <f t="shared" si="2"/>
        <v>FISCAL.DESC06</v>
      </c>
      <c r="H106" s="17" t="str">
        <f t="shared" si="3"/>
        <v>FISCAL_CALENDAR_SET.DESCRIPTION</v>
      </c>
      <c r="I106" s="29"/>
      <c r="J1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6" s="17"/>
    </row>
    <row r="107" spans="1:11" hidden="1" x14ac:dyDescent="0.2">
      <c r="A107" t="s">
        <v>2421</v>
      </c>
      <c r="B107" t="s">
        <v>2225</v>
      </c>
      <c r="C107" t="s">
        <v>336</v>
      </c>
      <c r="D107" t="s">
        <v>415</v>
      </c>
      <c r="E107" t="s">
        <v>15</v>
      </c>
      <c r="F107" t="s">
        <v>2423</v>
      </c>
      <c r="G107" s="17" t="str">
        <f t="shared" si="2"/>
        <v>FISCAL.DESC07</v>
      </c>
      <c r="H107" s="17" t="str">
        <f t="shared" si="3"/>
        <v>FISCAL_CALENDAR_SET.DESCRIPTION</v>
      </c>
      <c r="I107" s="29"/>
      <c r="J1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7" s="17"/>
    </row>
    <row r="108" spans="1:11" hidden="1" x14ac:dyDescent="0.2">
      <c r="A108" t="s">
        <v>2421</v>
      </c>
      <c r="B108" t="s">
        <v>2225</v>
      </c>
      <c r="C108" t="s">
        <v>337</v>
      </c>
      <c r="D108" t="s">
        <v>415</v>
      </c>
      <c r="E108" t="s">
        <v>15</v>
      </c>
      <c r="F108" t="s">
        <v>2423</v>
      </c>
      <c r="G108" s="17" t="str">
        <f t="shared" si="2"/>
        <v>FISCAL.DESC08</v>
      </c>
      <c r="H108" s="17" t="str">
        <f t="shared" si="3"/>
        <v>FISCAL_CALENDAR_SET.DESCRIPTION</v>
      </c>
      <c r="I108" s="29"/>
      <c r="J1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" s="17"/>
    </row>
    <row r="109" spans="1:11" hidden="1" x14ac:dyDescent="0.2">
      <c r="A109" t="s">
        <v>2421</v>
      </c>
      <c r="B109" t="s">
        <v>2225</v>
      </c>
      <c r="C109" t="s">
        <v>338</v>
      </c>
      <c r="D109" t="s">
        <v>415</v>
      </c>
      <c r="E109" t="s">
        <v>15</v>
      </c>
      <c r="F109" t="s">
        <v>2423</v>
      </c>
      <c r="G109" s="17" t="str">
        <f t="shared" si="2"/>
        <v>FISCAL.DESC09</v>
      </c>
      <c r="H109" s="17" t="str">
        <f t="shared" si="3"/>
        <v>FISCAL_CALENDAR_SET.DESCRIPTION</v>
      </c>
      <c r="I109" s="29"/>
      <c r="J1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" s="17"/>
    </row>
    <row r="110" spans="1:11" hidden="1" x14ac:dyDescent="0.2">
      <c r="A110" t="s">
        <v>2421</v>
      </c>
      <c r="B110" t="s">
        <v>2225</v>
      </c>
      <c r="C110" t="s">
        <v>339</v>
      </c>
      <c r="D110" t="s">
        <v>415</v>
      </c>
      <c r="E110" t="s">
        <v>15</v>
      </c>
      <c r="F110" t="s">
        <v>2423</v>
      </c>
      <c r="G110" s="17" t="str">
        <f t="shared" si="2"/>
        <v>FISCAL.DESC10</v>
      </c>
      <c r="H110" s="17" t="str">
        <f t="shared" si="3"/>
        <v>FISCAL_CALENDAR_SET.DESCRIPTION</v>
      </c>
      <c r="I110" s="29"/>
      <c r="J1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" s="17"/>
    </row>
    <row r="111" spans="1:11" hidden="1" x14ac:dyDescent="0.2">
      <c r="A111" t="s">
        <v>2421</v>
      </c>
      <c r="B111" t="s">
        <v>2225</v>
      </c>
      <c r="C111" t="s">
        <v>340</v>
      </c>
      <c r="D111" t="s">
        <v>415</v>
      </c>
      <c r="E111" t="s">
        <v>15</v>
      </c>
      <c r="F111" t="s">
        <v>2423</v>
      </c>
      <c r="G111" s="17" t="str">
        <f t="shared" si="2"/>
        <v>FISCAL.DESC11</v>
      </c>
      <c r="H111" s="17" t="str">
        <f t="shared" si="3"/>
        <v>FISCAL_CALENDAR_SET.DESCRIPTION</v>
      </c>
      <c r="I111" s="29"/>
      <c r="J1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" s="17"/>
    </row>
    <row r="112" spans="1:11" hidden="1" x14ac:dyDescent="0.2">
      <c r="A112" t="s">
        <v>2421</v>
      </c>
      <c r="B112" t="s">
        <v>2225</v>
      </c>
      <c r="C112" t="s">
        <v>341</v>
      </c>
      <c r="D112" t="s">
        <v>415</v>
      </c>
      <c r="E112" t="s">
        <v>15</v>
      </c>
      <c r="F112" t="s">
        <v>2423</v>
      </c>
      <c r="G112" s="17" t="str">
        <f t="shared" si="2"/>
        <v>FISCAL.DESC12</v>
      </c>
      <c r="H112" s="17" t="str">
        <f t="shared" si="3"/>
        <v>FISCAL_CALENDAR_SET.DESCRIPTION</v>
      </c>
      <c r="I112" s="29"/>
      <c r="J1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" s="17"/>
    </row>
    <row r="113" spans="1:11" hidden="1" x14ac:dyDescent="0.2">
      <c r="A113" t="s">
        <v>2421</v>
      </c>
      <c r="B113" t="s">
        <v>2225</v>
      </c>
      <c r="C113" t="s">
        <v>342</v>
      </c>
      <c r="D113" t="s">
        <v>415</v>
      </c>
      <c r="E113" t="s">
        <v>15</v>
      </c>
      <c r="F113" t="s">
        <v>2423</v>
      </c>
      <c r="G113" s="17" t="str">
        <f t="shared" si="2"/>
        <v>FISCAL.DESC13</v>
      </c>
      <c r="H113" s="17" t="str">
        <f t="shared" si="3"/>
        <v>FISCAL_CALENDAR_SET.DESCRIPTION</v>
      </c>
      <c r="I113" s="29"/>
      <c r="J1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3" s="17"/>
    </row>
    <row r="114" spans="1:11" hidden="1" x14ac:dyDescent="0.2">
      <c r="A114" t="s">
        <v>2421</v>
      </c>
      <c r="B114" t="s">
        <v>2225</v>
      </c>
      <c r="C114" t="s">
        <v>343</v>
      </c>
      <c r="D114" t="s">
        <v>415</v>
      </c>
      <c r="E114" t="s">
        <v>15</v>
      </c>
      <c r="F114" t="s">
        <v>2423</v>
      </c>
      <c r="G114" s="17" t="str">
        <f t="shared" si="2"/>
        <v>FISCAL.DESC14</v>
      </c>
      <c r="H114" s="17" t="str">
        <f t="shared" si="3"/>
        <v>FISCAL_CALENDAR_SET.DESCRIPTION</v>
      </c>
      <c r="I114" s="29"/>
      <c r="J1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4" s="17"/>
    </row>
    <row r="115" spans="1:11" hidden="1" x14ac:dyDescent="0.2">
      <c r="A115" t="s">
        <v>2421</v>
      </c>
      <c r="B115" t="s">
        <v>2225</v>
      </c>
      <c r="C115" t="s">
        <v>344</v>
      </c>
      <c r="D115" t="s">
        <v>415</v>
      </c>
      <c r="E115" t="s">
        <v>15</v>
      </c>
      <c r="F115" t="s">
        <v>2423</v>
      </c>
      <c r="G115" s="17" t="str">
        <f t="shared" si="2"/>
        <v>FISCAL.DESC15</v>
      </c>
      <c r="H115" s="17" t="str">
        <f t="shared" si="3"/>
        <v>FISCAL_CALENDAR_SET.DESCRIPTION</v>
      </c>
      <c r="I115" s="29"/>
      <c r="J1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5" s="17"/>
    </row>
    <row r="116" spans="1:11" hidden="1" x14ac:dyDescent="0.2">
      <c r="A116" t="s">
        <v>2421</v>
      </c>
      <c r="B116" t="s">
        <v>2225</v>
      </c>
      <c r="C116" t="s">
        <v>345</v>
      </c>
      <c r="D116" t="s">
        <v>415</v>
      </c>
      <c r="E116" t="s">
        <v>15</v>
      </c>
      <c r="F116" t="s">
        <v>2423</v>
      </c>
      <c r="G116" s="17" t="str">
        <f t="shared" si="2"/>
        <v>FISCAL.DESC16</v>
      </c>
      <c r="H116" s="17" t="str">
        <f t="shared" si="3"/>
        <v>FISCAL_CALENDAR_SET.DESCRIPTION</v>
      </c>
      <c r="I116" s="29"/>
      <c r="J1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6" s="17"/>
    </row>
    <row r="117" spans="1:11" hidden="1" x14ac:dyDescent="0.2">
      <c r="A117" t="s">
        <v>2421</v>
      </c>
      <c r="B117" t="s">
        <v>2225</v>
      </c>
      <c r="C117" t="s">
        <v>346</v>
      </c>
      <c r="D117" t="s">
        <v>415</v>
      </c>
      <c r="E117" t="s">
        <v>15</v>
      </c>
      <c r="F117" t="s">
        <v>2423</v>
      </c>
      <c r="G117" s="17" t="str">
        <f t="shared" si="2"/>
        <v>FISCAL.DESC17</v>
      </c>
      <c r="H117" s="17" t="str">
        <f t="shared" si="3"/>
        <v>FISCAL_CALENDAR_SET.DESCRIPTION</v>
      </c>
      <c r="I117" s="29"/>
      <c r="J1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7" s="17"/>
    </row>
    <row r="118" spans="1:11" hidden="1" x14ac:dyDescent="0.2">
      <c r="A118" t="s">
        <v>2421</v>
      </c>
      <c r="B118" t="s">
        <v>2225</v>
      </c>
      <c r="C118" t="s">
        <v>347</v>
      </c>
      <c r="D118" t="s">
        <v>415</v>
      </c>
      <c r="E118" t="s">
        <v>15</v>
      </c>
      <c r="F118" t="s">
        <v>2423</v>
      </c>
      <c r="G118" s="17" t="str">
        <f t="shared" si="2"/>
        <v>FISCAL.DESC18</v>
      </c>
      <c r="H118" s="17" t="str">
        <f t="shared" si="3"/>
        <v>FISCAL_CALENDAR_SET.DESCRIPTION</v>
      </c>
      <c r="I118" s="29"/>
      <c r="J1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" s="17"/>
    </row>
    <row r="119" spans="1:11" hidden="1" x14ac:dyDescent="0.2">
      <c r="A119" t="s">
        <v>2421</v>
      </c>
      <c r="B119" t="s">
        <v>2225</v>
      </c>
      <c r="C119" t="s">
        <v>348</v>
      </c>
      <c r="D119" t="s">
        <v>415</v>
      </c>
      <c r="E119" t="s">
        <v>15</v>
      </c>
      <c r="F119" t="s">
        <v>2423</v>
      </c>
      <c r="G119" s="17" t="str">
        <f t="shared" si="2"/>
        <v>FISCAL.DESC19</v>
      </c>
      <c r="H119" s="17" t="str">
        <f t="shared" si="3"/>
        <v>FISCAL_CALENDAR_SET.DESCRIPTION</v>
      </c>
      <c r="I119" s="29"/>
      <c r="J1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9" s="17"/>
    </row>
    <row r="120" spans="1:11" hidden="1" x14ac:dyDescent="0.2">
      <c r="A120" t="s">
        <v>2421</v>
      </c>
      <c r="B120" t="s">
        <v>2226</v>
      </c>
      <c r="C120" t="s">
        <v>375</v>
      </c>
      <c r="D120" t="s">
        <v>364</v>
      </c>
      <c r="E120" t="s">
        <v>353</v>
      </c>
      <c r="G120" s="17" t="str">
        <f t="shared" si="2"/>
        <v>FISCDETL.FISCFILE</v>
      </c>
      <c r="H120" s="17" t="str">
        <f t="shared" si="3"/>
        <v>FISCAL_CALENDAR_PERIOD.FISCAL_CALENDAR_UID</v>
      </c>
      <c r="I120" s="29"/>
      <c r="J1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0" s="17"/>
    </row>
    <row r="121" spans="1:11" hidden="1" x14ac:dyDescent="0.2">
      <c r="A121" t="s">
        <v>2421</v>
      </c>
      <c r="B121" t="s">
        <v>2226</v>
      </c>
      <c r="C121" t="s">
        <v>2424</v>
      </c>
      <c r="D121" t="s">
        <v>364</v>
      </c>
      <c r="E121" t="s">
        <v>366</v>
      </c>
      <c r="G121" s="17" t="str">
        <f t="shared" si="2"/>
        <v>FISCDETL.FISC_DATE</v>
      </c>
      <c r="H121" s="17" t="str">
        <f t="shared" si="3"/>
        <v>FISCAL_CALENDAR_PERIOD.END_DATE</v>
      </c>
      <c r="I121" s="29"/>
      <c r="J1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1" s="17"/>
    </row>
    <row r="122" spans="1:11" hidden="1" x14ac:dyDescent="0.2">
      <c r="A122" t="s">
        <v>2421</v>
      </c>
      <c r="B122" t="s">
        <v>2226</v>
      </c>
      <c r="C122" t="s">
        <v>299</v>
      </c>
      <c r="D122" t="s">
        <v>364</v>
      </c>
      <c r="E122" t="s">
        <v>299</v>
      </c>
      <c r="G122" s="17" t="str">
        <f t="shared" si="2"/>
        <v>FISCDETL.HOURS</v>
      </c>
      <c r="H122" s="17" t="str">
        <f t="shared" si="3"/>
        <v>FISCAL_CALENDAR_PERIOD.HOURS</v>
      </c>
      <c r="I122" s="29"/>
      <c r="J1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2" s="17"/>
    </row>
    <row r="123" spans="1:11" hidden="1" x14ac:dyDescent="0.2">
      <c r="A123" s="14" t="s">
        <v>2421</v>
      </c>
      <c r="B123" s="14" t="s">
        <v>2226</v>
      </c>
      <c r="C123" s="14" t="s">
        <v>396</v>
      </c>
      <c r="D123" t="s">
        <v>433</v>
      </c>
      <c r="E123" s="14" t="s">
        <v>443</v>
      </c>
      <c r="F123" s="14" t="s">
        <v>2425</v>
      </c>
      <c r="G123" s="23" t="str">
        <f t="shared" si="2"/>
        <v>FISCDETL.FLAG01</v>
      </c>
      <c r="H123" s="23" t="str">
        <f t="shared" si="3"/>
        <v>FISCAL_CALENDAR_SET_LABEL.FLAG</v>
      </c>
      <c r="I123" s="30"/>
      <c r="J1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3" s="17"/>
    </row>
    <row r="124" spans="1:11" hidden="1" x14ac:dyDescent="0.2">
      <c r="A124" s="14" t="s">
        <v>2421</v>
      </c>
      <c r="B124" s="14" t="s">
        <v>2226</v>
      </c>
      <c r="C124" s="14" t="s">
        <v>397</v>
      </c>
      <c r="D124" t="s">
        <v>433</v>
      </c>
      <c r="E124" s="14" t="s">
        <v>443</v>
      </c>
      <c r="F124" s="14" t="s">
        <v>2425</v>
      </c>
      <c r="G124" s="23" t="str">
        <f t="shared" si="2"/>
        <v>FISCDETL.FLAG02</v>
      </c>
      <c r="H124" s="23" t="str">
        <f t="shared" si="3"/>
        <v>FISCAL_CALENDAR_SET_LABEL.FLAG</v>
      </c>
      <c r="I124" s="30"/>
      <c r="J1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4" s="17"/>
    </row>
    <row r="125" spans="1:11" hidden="1" x14ac:dyDescent="0.2">
      <c r="A125" s="14" t="s">
        <v>2421</v>
      </c>
      <c r="B125" s="14" t="s">
        <v>2226</v>
      </c>
      <c r="C125" s="14" t="s">
        <v>398</v>
      </c>
      <c r="D125" t="s">
        <v>433</v>
      </c>
      <c r="E125" s="14" t="s">
        <v>443</v>
      </c>
      <c r="F125" s="14" t="s">
        <v>2425</v>
      </c>
      <c r="G125" s="23" t="str">
        <f t="shared" si="2"/>
        <v>FISCDETL.FLAG03</v>
      </c>
      <c r="H125" s="23" t="str">
        <f t="shared" si="3"/>
        <v>FISCAL_CALENDAR_SET_LABEL.FLAG</v>
      </c>
      <c r="I125" s="30"/>
      <c r="J1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5" s="17"/>
    </row>
    <row r="126" spans="1:11" hidden="1" x14ac:dyDescent="0.2">
      <c r="A126" s="14" t="s">
        <v>2421</v>
      </c>
      <c r="B126" s="14" t="s">
        <v>2226</v>
      </c>
      <c r="C126" s="14" t="s">
        <v>399</v>
      </c>
      <c r="D126" t="s">
        <v>433</v>
      </c>
      <c r="E126" s="14" t="s">
        <v>443</v>
      </c>
      <c r="F126" s="14" t="s">
        <v>2425</v>
      </c>
      <c r="G126" s="23" t="str">
        <f t="shared" si="2"/>
        <v>FISCDETL.FLAG04</v>
      </c>
      <c r="H126" s="23" t="str">
        <f t="shared" si="3"/>
        <v>FISCAL_CALENDAR_SET_LABEL.FLAG</v>
      </c>
      <c r="I126" s="30"/>
      <c r="J1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6" s="17"/>
    </row>
    <row r="127" spans="1:11" hidden="1" x14ac:dyDescent="0.2">
      <c r="A127" s="14" t="s">
        <v>2421</v>
      </c>
      <c r="B127" s="14" t="s">
        <v>2226</v>
      </c>
      <c r="C127" s="14" t="s">
        <v>400</v>
      </c>
      <c r="D127" t="s">
        <v>433</v>
      </c>
      <c r="E127" s="14" t="s">
        <v>443</v>
      </c>
      <c r="F127" s="14" t="s">
        <v>2425</v>
      </c>
      <c r="G127" s="23" t="str">
        <f t="shared" si="2"/>
        <v>FISCDETL.FLAG05</v>
      </c>
      <c r="H127" s="23" t="str">
        <f t="shared" si="3"/>
        <v>FISCAL_CALENDAR_SET_LABEL.FLAG</v>
      </c>
      <c r="I127" s="30"/>
      <c r="J1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7" s="17"/>
    </row>
    <row r="128" spans="1:11" hidden="1" x14ac:dyDescent="0.2">
      <c r="A128" s="14" t="s">
        <v>2421</v>
      </c>
      <c r="B128" s="14" t="s">
        <v>2226</v>
      </c>
      <c r="C128" s="14" t="s">
        <v>401</v>
      </c>
      <c r="D128" t="s">
        <v>433</v>
      </c>
      <c r="E128" s="14" t="s">
        <v>443</v>
      </c>
      <c r="F128" s="14" t="s">
        <v>2425</v>
      </c>
      <c r="G128" s="23" t="str">
        <f t="shared" si="2"/>
        <v>FISCDETL.FLAG06</v>
      </c>
      <c r="H128" s="23" t="str">
        <f t="shared" si="3"/>
        <v>FISCAL_CALENDAR_SET_LABEL.FLAG</v>
      </c>
      <c r="I128" s="30"/>
      <c r="J1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8" s="17"/>
    </row>
    <row r="129" spans="1:11" hidden="1" x14ac:dyDescent="0.2">
      <c r="A129" s="14" t="s">
        <v>2421</v>
      </c>
      <c r="B129" s="14" t="s">
        <v>2226</v>
      </c>
      <c r="C129" s="14" t="s">
        <v>402</v>
      </c>
      <c r="D129" t="s">
        <v>433</v>
      </c>
      <c r="E129" s="14" t="s">
        <v>443</v>
      </c>
      <c r="F129" s="14" t="s">
        <v>2425</v>
      </c>
      <c r="G129" s="23" t="str">
        <f t="shared" si="2"/>
        <v>FISCDETL.FLAG07</v>
      </c>
      <c r="H129" s="23" t="str">
        <f t="shared" si="3"/>
        <v>FISCAL_CALENDAR_SET_LABEL.FLAG</v>
      </c>
      <c r="I129" s="30"/>
      <c r="J1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29" s="17"/>
    </row>
    <row r="130" spans="1:11" hidden="1" x14ac:dyDescent="0.2">
      <c r="A130" s="14" t="s">
        <v>2421</v>
      </c>
      <c r="B130" s="14" t="s">
        <v>2226</v>
      </c>
      <c r="C130" s="14" t="s">
        <v>403</v>
      </c>
      <c r="D130" t="s">
        <v>433</v>
      </c>
      <c r="E130" s="14" t="s">
        <v>443</v>
      </c>
      <c r="F130" s="14" t="s">
        <v>2425</v>
      </c>
      <c r="G130" s="23" t="str">
        <f t="shared" ref="G130:G193" si="4">_xlfn.CONCAT(B130,".",C130)</f>
        <v>FISCDETL.FLAG08</v>
      </c>
      <c r="H130" s="23" t="str">
        <f t="shared" ref="H130:H193" si="5">_xlfn.CONCAT(D130,".",E130)</f>
        <v>FISCAL_CALENDAR_SET_LABEL.FLAG</v>
      </c>
      <c r="I130" s="30"/>
      <c r="J1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0" s="17"/>
    </row>
    <row r="131" spans="1:11" hidden="1" x14ac:dyDescent="0.2">
      <c r="A131" s="14" t="s">
        <v>2421</v>
      </c>
      <c r="B131" s="14" t="s">
        <v>2226</v>
      </c>
      <c r="C131" s="14" t="s">
        <v>404</v>
      </c>
      <c r="D131" t="s">
        <v>433</v>
      </c>
      <c r="E131" s="14" t="s">
        <v>443</v>
      </c>
      <c r="F131" s="14" t="s">
        <v>2425</v>
      </c>
      <c r="G131" s="23" t="str">
        <f t="shared" si="4"/>
        <v>FISCDETL.FLAG09</v>
      </c>
      <c r="H131" s="23" t="str">
        <f t="shared" si="5"/>
        <v>FISCAL_CALENDAR_SET_LABEL.FLAG</v>
      </c>
      <c r="I131" s="30"/>
      <c r="J1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1" s="17"/>
    </row>
    <row r="132" spans="1:11" hidden="1" x14ac:dyDescent="0.2">
      <c r="A132" s="14" t="s">
        <v>2421</v>
      </c>
      <c r="B132" s="14" t="s">
        <v>2226</v>
      </c>
      <c r="C132" s="14" t="s">
        <v>405</v>
      </c>
      <c r="D132" t="s">
        <v>433</v>
      </c>
      <c r="E132" s="14" t="s">
        <v>443</v>
      </c>
      <c r="F132" s="14" t="s">
        <v>2425</v>
      </c>
      <c r="G132" s="23" t="str">
        <f t="shared" si="4"/>
        <v>FISCDETL.FLAG10</v>
      </c>
      <c r="H132" s="23" t="str">
        <f t="shared" si="5"/>
        <v>FISCAL_CALENDAR_SET_LABEL.FLAG</v>
      </c>
      <c r="I132" s="30"/>
      <c r="J1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2" s="17"/>
    </row>
    <row r="133" spans="1:11" hidden="1" x14ac:dyDescent="0.2">
      <c r="A133" s="14" t="s">
        <v>2421</v>
      </c>
      <c r="B133" s="14" t="s">
        <v>2226</v>
      </c>
      <c r="C133" s="14" t="s">
        <v>406</v>
      </c>
      <c r="D133" t="s">
        <v>433</v>
      </c>
      <c r="E133" s="14" t="s">
        <v>443</v>
      </c>
      <c r="F133" s="14" t="s">
        <v>2425</v>
      </c>
      <c r="G133" s="23" t="str">
        <f t="shared" si="4"/>
        <v>FISCDETL.FLAG11</v>
      </c>
      <c r="H133" s="23" t="str">
        <f t="shared" si="5"/>
        <v>FISCAL_CALENDAR_SET_LABEL.FLAG</v>
      </c>
      <c r="I133" s="30"/>
      <c r="J1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3" s="17"/>
    </row>
    <row r="134" spans="1:11" hidden="1" x14ac:dyDescent="0.2">
      <c r="A134" s="14" t="s">
        <v>2421</v>
      </c>
      <c r="B134" s="14" t="s">
        <v>2226</v>
      </c>
      <c r="C134" s="14" t="s">
        <v>407</v>
      </c>
      <c r="D134" t="s">
        <v>433</v>
      </c>
      <c r="E134" s="14" t="s">
        <v>443</v>
      </c>
      <c r="F134" s="14" t="s">
        <v>2425</v>
      </c>
      <c r="G134" s="23" t="str">
        <f t="shared" si="4"/>
        <v>FISCDETL.FLAG12</v>
      </c>
      <c r="H134" s="23" t="str">
        <f t="shared" si="5"/>
        <v>FISCAL_CALENDAR_SET_LABEL.FLAG</v>
      </c>
      <c r="I134" s="30"/>
      <c r="J1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4" s="17"/>
    </row>
    <row r="135" spans="1:11" hidden="1" x14ac:dyDescent="0.2">
      <c r="A135" s="14" t="s">
        <v>2421</v>
      </c>
      <c r="B135" s="14" t="s">
        <v>2226</v>
      </c>
      <c r="C135" s="14" t="s">
        <v>408</v>
      </c>
      <c r="D135" t="s">
        <v>433</v>
      </c>
      <c r="E135" s="14" t="s">
        <v>443</v>
      </c>
      <c r="F135" s="14" t="s">
        <v>2425</v>
      </c>
      <c r="G135" s="23" t="str">
        <f t="shared" si="4"/>
        <v>FISCDETL.FLAG13</v>
      </c>
      <c r="H135" s="23" t="str">
        <f t="shared" si="5"/>
        <v>FISCAL_CALENDAR_SET_LABEL.FLAG</v>
      </c>
      <c r="I135" s="30"/>
      <c r="J1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5" s="17"/>
    </row>
    <row r="136" spans="1:11" hidden="1" x14ac:dyDescent="0.2">
      <c r="A136" s="14" t="s">
        <v>2421</v>
      </c>
      <c r="B136" s="14" t="s">
        <v>2226</v>
      </c>
      <c r="C136" s="14" t="s">
        <v>409</v>
      </c>
      <c r="D136" t="s">
        <v>433</v>
      </c>
      <c r="E136" s="14" t="s">
        <v>443</v>
      </c>
      <c r="F136" s="14" t="s">
        <v>2425</v>
      </c>
      <c r="G136" s="23" t="str">
        <f t="shared" si="4"/>
        <v>FISCDETL.FLAG14</v>
      </c>
      <c r="H136" s="23" t="str">
        <f t="shared" si="5"/>
        <v>FISCAL_CALENDAR_SET_LABEL.FLAG</v>
      </c>
      <c r="I136" s="30"/>
      <c r="J1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6" s="17"/>
    </row>
    <row r="137" spans="1:11" hidden="1" x14ac:dyDescent="0.2">
      <c r="A137" s="14" t="s">
        <v>2421</v>
      </c>
      <c r="B137" s="14" t="s">
        <v>2226</v>
      </c>
      <c r="C137" s="14" t="s">
        <v>410</v>
      </c>
      <c r="D137" t="s">
        <v>433</v>
      </c>
      <c r="E137" s="14" t="s">
        <v>443</v>
      </c>
      <c r="F137" s="14" t="s">
        <v>2425</v>
      </c>
      <c r="G137" s="23" t="str">
        <f t="shared" si="4"/>
        <v>FISCDETL.FLAG15</v>
      </c>
      <c r="H137" s="23" t="str">
        <f t="shared" si="5"/>
        <v>FISCAL_CALENDAR_SET_LABEL.FLAG</v>
      </c>
      <c r="I137" s="30"/>
      <c r="J1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7" s="17"/>
    </row>
    <row r="138" spans="1:11" hidden="1" x14ac:dyDescent="0.2">
      <c r="A138" s="14" t="s">
        <v>2421</v>
      </c>
      <c r="B138" s="14" t="s">
        <v>2226</v>
      </c>
      <c r="C138" s="14" t="s">
        <v>411</v>
      </c>
      <c r="D138" t="s">
        <v>433</v>
      </c>
      <c r="E138" s="14" t="s">
        <v>443</v>
      </c>
      <c r="F138" s="14" t="s">
        <v>2425</v>
      </c>
      <c r="G138" s="23" t="str">
        <f t="shared" si="4"/>
        <v>FISCDETL.FLAG16</v>
      </c>
      <c r="H138" s="23" t="str">
        <f t="shared" si="5"/>
        <v>FISCAL_CALENDAR_SET_LABEL.FLAG</v>
      </c>
      <c r="I138" s="30"/>
      <c r="J1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8" s="17"/>
    </row>
    <row r="139" spans="1:11" hidden="1" x14ac:dyDescent="0.2">
      <c r="A139" s="14" t="s">
        <v>2421</v>
      </c>
      <c r="B139" s="14" t="s">
        <v>2226</v>
      </c>
      <c r="C139" s="14" t="s">
        <v>412</v>
      </c>
      <c r="D139" t="s">
        <v>433</v>
      </c>
      <c r="E139" s="14" t="s">
        <v>443</v>
      </c>
      <c r="F139" s="14" t="s">
        <v>2425</v>
      </c>
      <c r="G139" s="23" t="str">
        <f t="shared" si="4"/>
        <v>FISCDETL.FLAG17</v>
      </c>
      <c r="H139" s="23" t="str">
        <f t="shared" si="5"/>
        <v>FISCAL_CALENDAR_SET_LABEL.FLAG</v>
      </c>
      <c r="I139" s="30"/>
      <c r="J1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39" s="17"/>
    </row>
    <row r="140" spans="1:11" hidden="1" x14ac:dyDescent="0.2">
      <c r="A140" s="14" t="s">
        <v>2421</v>
      </c>
      <c r="B140" s="14" t="s">
        <v>2226</v>
      </c>
      <c r="C140" s="14" t="s">
        <v>413</v>
      </c>
      <c r="D140" t="s">
        <v>433</v>
      </c>
      <c r="E140" s="14" t="s">
        <v>443</v>
      </c>
      <c r="F140" s="14" t="s">
        <v>2425</v>
      </c>
      <c r="G140" s="23" t="str">
        <f t="shared" si="4"/>
        <v>FISCDETL.FLAG18</v>
      </c>
      <c r="H140" s="23" t="str">
        <f t="shared" si="5"/>
        <v>FISCAL_CALENDAR_SET_LABEL.FLAG</v>
      </c>
      <c r="I140" s="30"/>
      <c r="J1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0" s="17"/>
    </row>
    <row r="141" spans="1:11" hidden="1" x14ac:dyDescent="0.2">
      <c r="A141" s="14" t="s">
        <v>2421</v>
      </c>
      <c r="B141" s="14" t="s">
        <v>2226</v>
      </c>
      <c r="C141" s="14" t="s">
        <v>414</v>
      </c>
      <c r="D141" t="s">
        <v>433</v>
      </c>
      <c r="E141" s="14" t="s">
        <v>443</v>
      </c>
      <c r="F141" s="14" t="s">
        <v>2425</v>
      </c>
      <c r="G141" s="23" t="str">
        <f t="shared" si="4"/>
        <v>FISCDETL.FLAG19</v>
      </c>
      <c r="H141" s="23" t="str">
        <f t="shared" si="5"/>
        <v>FISCAL_CALENDAR_SET_LABEL.FLAG</v>
      </c>
      <c r="I141" s="30"/>
      <c r="J1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1" s="17"/>
    </row>
    <row r="142" spans="1:11" hidden="1" x14ac:dyDescent="0.2">
      <c r="A142" s="14" t="s">
        <v>2421</v>
      </c>
      <c r="B142" s="14" t="s">
        <v>2226</v>
      </c>
      <c r="C142" s="14" t="s">
        <v>376</v>
      </c>
      <c r="D142" t="s">
        <v>433</v>
      </c>
      <c r="E142" s="14" t="s">
        <v>440</v>
      </c>
      <c r="F142" s="14" t="s">
        <v>2425</v>
      </c>
      <c r="G142" s="23" t="str">
        <f t="shared" si="4"/>
        <v>FISCDETL.FIELD00</v>
      </c>
      <c r="H142" s="23" t="str">
        <f t="shared" si="5"/>
        <v>FISCAL_CALENDAR_SET_LABEL.LABEL</v>
      </c>
      <c r="I142" s="30"/>
      <c r="J1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2" s="17"/>
    </row>
    <row r="143" spans="1:11" hidden="1" x14ac:dyDescent="0.2">
      <c r="A143" s="14" t="s">
        <v>2421</v>
      </c>
      <c r="B143" s="14" t="s">
        <v>2226</v>
      </c>
      <c r="C143" s="14" t="s">
        <v>377</v>
      </c>
      <c r="D143" t="s">
        <v>433</v>
      </c>
      <c r="E143" s="14" t="s">
        <v>440</v>
      </c>
      <c r="F143" s="14" t="s">
        <v>2425</v>
      </c>
      <c r="G143" s="23" t="str">
        <f t="shared" si="4"/>
        <v>FISCDETL.FIELD01</v>
      </c>
      <c r="H143" s="23" t="str">
        <f t="shared" si="5"/>
        <v>FISCAL_CALENDAR_SET_LABEL.LABEL</v>
      </c>
      <c r="I143" s="30"/>
      <c r="J1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3" s="17"/>
    </row>
    <row r="144" spans="1:11" hidden="1" x14ac:dyDescent="0.2">
      <c r="A144" s="14" t="s">
        <v>2421</v>
      </c>
      <c r="B144" s="14" t="s">
        <v>2226</v>
      </c>
      <c r="C144" s="14" t="s">
        <v>378</v>
      </c>
      <c r="D144" t="s">
        <v>433</v>
      </c>
      <c r="E144" s="14" t="s">
        <v>440</v>
      </c>
      <c r="F144" s="14" t="s">
        <v>2425</v>
      </c>
      <c r="G144" s="23" t="str">
        <f t="shared" si="4"/>
        <v>FISCDETL.FIELD02</v>
      </c>
      <c r="H144" s="23" t="str">
        <f t="shared" si="5"/>
        <v>FISCAL_CALENDAR_SET_LABEL.LABEL</v>
      </c>
      <c r="I144" s="30"/>
      <c r="J1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4" s="17"/>
    </row>
    <row r="145" spans="1:11" hidden="1" x14ac:dyDescent="0.2">
      <c r="A145" s="14" t="s">
        <v>2421</v>
      </c>
      <c r="B145" s="14" t="s">
        <v>2226</v>
      </c>
      <c r="C145" s="14" t="s">
        <v>379</v>
      </c>
      <c r="D145" t="s">
        <v>433</v>
      </c>
      <c r="E145" s="14" t="s">
        <v>440</v>
      </c>
      <c r="F145" s="14" t="s">
        <v>2425</v>
      </c>
      <c r="G145" s="23" t="str">
        <f t="shared" si="4"/>
        <v>FISCDETL.FIELD03</v>
      </c>
      <c r="H145" s="23" t="str">
        <f t="shared" si="5"/>
        <v>FISCAL_CALENDAR_SET_LABEL.LABEL</v>
      </c>
      <c r="I145" s="30"/>
      <c r="J1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5" s="17"/>
    </row>
    <row r="146" spans="1:11" hidden="1" x14ac:dyDescent="0.2">
      <c r="A146" s="14" t="s">
        <v>2421</v>
      </c>
      <c r="B146" s="14" t="s">
        <v>2226</v>
      </c>
      <c r="C146" s="14" t="s">
        <v>380</v>
      </c>
      <c r="D146" t="s">
        <v>433</v>
      </c>
      <c r="E146" s="14" t="s">
        <v>440</v>
      </c>
      <c r="F146" s="14" t="s">
        <v>2425</v>
      </c>
      <c r="G146" s="23" t="str">
        <f t="shared" si="4"/>
        <v>FISCDETL.FIELD04</v>
      </c>
      <c r="H146" s="23" t="str">
        <f t="shared" si="5"/>
        <v>FISCAL_CALENDAR_SET_LABEL.LABEL</v>
      </c>
      <c r="I146" s="30"/>
      <c r="J1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6" s="17"/>
    </row>
    <row r="147" spans="1:11" hidden="1" x14ac:dyDescent="0.2">
      <c r="A147" s="14" t="s">
        <v>2421</v>
      </c>
      <c r="B147" s="14" t="s">
        <v>2226</v>
      </c>
      <c r="C147" s="14" t="s">
        <v>381</v>
      </c>
      <c r="D147" t="s">
        <v>433</v>
      </c>
      <c r="E147" s="14" t="s">
        <v>440</v>
      </c>
      <c r="F147" s="14" t="s">
        <v>2425</v>
      </c>
      <c r="G147" s="23" t="str">
        <f t="shared" si="4"/>
        <v>FISCDETL.FIELD05</v>
      </c>
      <c r="H147" s="23" t="str">
        <f t="shared" si="5"/>
        <v>FISCAL_CALENDAR_SET_LABEL.LABEL</v>
      </c>
      <c r="I147" s="30"/>
      <c r="J1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7" s="17"/>
    </row>
    <row r="148" spans="1:11" hidden="1" x14ac:dyDescent="0.2">
      <c r="A148" s="14" t="s">
        <v>2421</v>
      </c>
      <c r="B148" s="14" t="s">
        <v>2226</v>
      </c>
      <c r="C148" s="14" t="s">
        <v>382</v>
      </c>
      <c r="D148" t="s">
        <v>433</v>
      </c>
      <c r="E148" s="14" t="s">
        <v>440</v>
      </c>
      <c r="F148" s="14" t="s">
        <v>2425</v>
      </c>
      <c r="G148" s="23" t="str">
        <f t="shared" si="4"/>
        <v>FISCDETL.FIELD06</v>
      </c>
      <c r="H148" s="23" t="str">
        <f t="shared" si="5"/>
        <v>FISCAL_CALENDAR_SET_LABEL.LABEL</v>
      </c>
      <c r="I148" s="30"/>
      <c r="J1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8" s="17"/>
    </row>
    <row r="149" spans="1:11" hidden="1" x14ac:dyDescent="0.2">
      <c r="A149" s="14" t="s">
        <v>2421</v>
      </c>
      <c r="B149" s="14" t="s">
        <v>2226</v>
      </c>
      <c r="C149" s="14" t="s">
        <v>383</v>
      </c>
      <c r="D149" t="s">
        <v>433</v>
      </c>
      <c r="E149" s="14" t="s">
        <v>440</v>
      </c>
      <c r="F149" s="14" t="s">
        <v>2425</v>
      </c>
      <c r="G149" s="23" t="str">
        <f t="shared" si="4"/>
        <v>FISCDETL.FIELD07</v>
      </c>
      <c r="H149" s="23" t="str">
        <f t="shared" si="5"/>
        <v>FISCAL_CALENDAR_SET_LABEL.LABEL</v>
      </c>
      <c r="I149" s="30"/>
      <c r="J1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49" s="17"/>
    </row>
    <row r="150" spans="1:11" hidden="1" x14ac:dyDescent="0.2">
      <c r="A150" s="14" t="s">
        <v>2421</v>
      </c>
      <c r="B150" s="14" t="s">
        <v>2226</v>
      </c>
      <c r="C150" s="14" t="s">
        <v>384</v>
      </c>
      <c r="D150" t="s">
        <v>433</v>
      </c>
      <c r="E150" s="14" t="s">
        <v>440</v>
      </c>
      <c r="F150" s="14" t="s">
        <v>2425</v>
      </c>
      <c r="G150" s="23" t="str">
        <f t="shared" si="4"/>
        <v>FISCDETL.FIELD08</v>
      </c>
      <c r="H150" s="23" t="str">
        <f t="shared" si="5"/>
        <v>FISCAL_CALENDAR_SET_LABEL.LABEL</v>
      </c>
      <c r="I150" s="30"/>
      <c r="J1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0" s="17"/>
    </row>
    <row r="151" spans="1:11" hidden="1" x14ac:dyDescent="0.2">
      <c r="A151" s="14" t="s">
        <v>2421</v>
      </c>
      <c r="B151" s="14" t="s">
        <v>2226</v>
      </c>
      <c r="C151" s="14" t="s">
        <v>385</v>
      </c>
      <c r="D151" t="s">
        <v>433</v>
      </c>
      <c r="E151" s="14" t="s">
        <v>440</v>
      </c>
      <c r="F151" s="14" t="s">
        <v>2425</v>
      </c>
      <c r="G151" s="23" t="str">
        <f t="shared" si="4"/>
        <v>FISCDETL.FIELD09</v>
      </c>
      <c r="H151" s="23" t="str">
        <f t="shared" si="5"/>
        <v>FISCAL_CALENDAR_SET_LABEL.LABEL</v>
      </c>
      <c r="I151" s="30"/>
      <c r="J1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1" s="17"/>
    </row>
    <row r="152" spans="1:11" hidden="1" x14ac:dyDescent="0.2">
      <c r="A152" s="14" t="s">
        <v>2421</v>
      </c>
      <c r="B152" s="14" t="s">
        <v>2226</v>
      </c>
      <c r="C152" s="14" t="s">
        <v>386</v>
      </c>
      <c r="D152" t="s">
        <v>433</v>
      </c>
      <c r="E152" s="14" t="s">
        <v>440</v>
      </c>
      <c r="F152" s="14" t="s">
        <v>2425</v>
      </c>
      <c r="G152" s="23" t="str">
        <f t="shared" si="4"/>
        <v>FISCDETL.FIELD10</v>
      </c>
      <c r="H152" s="23" t="str">
        <f t="shared" si="5"/>
        <v>FISCAL_CALENDAR_SET_LABEL.LABEL</v>
      </c>
      <c r="I152" s="30"/>
      <c r="J1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2" s="17"/>
    </row>
    <row r="153" spans="1:11" hidden="1" x14ac:dyDescent="0.2">
      <c r="A153" s="14" t="s">
        <v>2421</v>
      </c>
      <c r="B153" s="14" t="s">
        <v>2226</v>
      </c>
      <c r="C153" s="14" t="s">
        <v>387</v>
      </c>
      <c r="D153" t="s">
        <v>433</v>
      </c>
      <c r="E153" s="14" t="s">
        <v>440</v>
      </c>
      <c r="F153" s="14" t="s">
        <v>2425</v>
      </c>
      <c r="G153" s="23" t="str">
        <f t="shared" si="4"/>
        <v>FISCDETL.FIELD11</v>
      </c>
      <c r="H153" s="23" t="str">
        <f t="shared" si="5"/>
        <v>FISCAL_CALENDAR_SET_LABEL.LABEL</v>
      </c>
      <c r="I153" s="30"/>
      <c r="J1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3" s="17"/>
    </row>
    <row r="154" spans="1:11" hidden="1" x14ac:dyDescent="0.2">
      <c r="A154" s="14" t="s">
        <v>2421</v>
      </c>
      <c r="B154" s="14" t="s">
        <v>2226</v>
      </c>
      <c r="C154" s="14" t="s">
        <v>388</v>
      </c>
      <c r="D154" t="s">
        <v>433</v>
      </c>
      <c r="E154" s="14" t="s">
        <v>440</v>
      </c>
      <c r="F154" s="14" t="s">
        <v>2425</v>
      </c>
      <c r="G154" s="23" t="str">
        <f t="shared" si="4"/>
        <v>FISCDETL.FIELD12</v>
      </c>
      <c r="H154" s="23" t="str">
        <f t="shared" si="5"/>
        <v>FISCAL_CALENDAR_SET_LABEL.LABEL</v>
      </c>
      <c r="I154" s="30"/>
      <c r="J1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4" s="17"/>
    </row>
    <row r="155" spans="1:11" hidden="1" x14ac:dyDescent="0.2">
      <c r="A155" s="14" t="s">
        <v>2421</v>
      </c>
      <c r="B155" s="14" t="s">
        <v>2226</v>
      </c>
      <c r="C155" s="14" t="s">
        <v>389</v>
      </c>
      <c r="D155" t="s">
        <v>433</v>
      </c>
      <c r="E155" s="14" t="s">
        <v>440</v>
      </c>
      <c r="F155" s="14" t="s">
        <v>2425</v>
      </c>
      <c r="G155" s="23" t="str">
        <f t="shared" si="4"/>
        <v>FISCDETL.FIELD13</v>
      </c>
      <c r="H155" s="23" t="str">
        <f t="shared" si="5"/>
        <v>FISCAL_CALENDAR_SET_LABEL.LABEL</v>
      </c>
      <c r="I155" s="30"/>
      <c r="J1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5" s="17"/>
    </row>
    <row r="156" spans="1:11" hidden="1" x14ac:dyDescent="0.2">
      <c r="A156" s="14" t="s">
        <v>2421</v>
      </c>
      <c r="B156" s="14" t="s">
        <v>2226</v>
      </c>
      <c r="C156" s="14" t="s">
        <v>390</v>
      </c>
      <c r="D156" t="s">
        <v>433</v>
      </c>
      <c r="E156" s="14" t="s">
        <v>440</v>
      </c>
      <c r="F156" s="14" t="s">
        <v>2425</v>
      </c>
      <c r="G156" s="23" t="str">
        <f t="shared" si="4"/>
        <v>FISCDETL.FIELD14</v>
      </c>
      <c r="H156" s="23" t="str">
        <f t="shared" si="5"/>
        <v>FISCAL_CALENDAR_SET_LABEL.LABEL</v>
      </c>
      <c r="I156" s="30"/>
      <c r="J1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6" s="17"/>
    </row>
    <row r="157" spans="1:11" hidden="1" x14ac:dyDescent="0.2">
      <c r="A157" s="14" t="s">
        <v>2421</v>
      </c>
      <c r="B157" s="14" t="s">
        <v>2226</v>
      </c>
      <c r="C157" s="14" t="s">
        <v>391</v>
      </c>
      <c r="D157" t="s">
        <v>433</v>
      </c>
      <c r="E157" s="14" t="s">
        <v>440</v>
      </c>
      <c r="F157" s="14" t="s">
        <v>2425</v>
      </c>
      <c r="G157" s="23" t="str">
        <f t="shared" si="4"/>
        <v>FISCDETL.FIELD15</v>
      </c>
      <c r="H157" s="23" t="str">
        <f t="shared" si="5"/>
        <v>FISCAL_CALENDAR_SET_LABEL.LABEL</v>
      </c>
      <c r="I157" s="30"/>
      <c r="J1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7" s="17"/>
    </row>
    <row r="158" spans="1:11" hidden="1" x14ac:dyDescent="0.2">
      <c r="A158" s="14" t="s">
        <v>2421</v>
      </c>
      <c r="B158" s="14" t="s">
        <v>2226</v>
      </c>
      <c r="C158" s="14" t="s">
        <v>392</v>
      </c>
      <c r="D158" t="s">
        <v>433</v>
      </c>
      <c r="E158" s="14" t="s">
        <v>440</v>
      </c>
      <c r="F158" s="14" t="s">
        <v>2425</v>
      </c>
      <c r="G158" s="23" t="str">
        <f t="shared" si="4"/>
        <v>FISCDETL.FIELD16</v>
      </c>
      <c r="H158" s="23" t="str">
        <f t="shared" si="5"/>
        <v>FISCAL_CALENDAR_SET_LABEL.LABEL</v>
      </c>
      <c r="I158" s="30"/>
      <c r="J1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8" s="17"/>
    </row>
    <row r="159" spans="1:11" hidden="1" x14ac:dyDescent="0.2">
      <c r="A159" s="14" t="s">
        <v>2421</v>
      </c>
      <c r="B159" s="14" t="s">
        <v>2226</v>
      </c>
      <c r="C159" s="14" t="s">
        <v>393</v>
      </c>
      <c r="D159" t="s">
        <v>433</v>
      </c>
      <c r="E159" s="14" t="s">
        <v>440</v>
      </c>
      <c r="F159" s="14" t="s">
        <v>2425</v>
      </c>
      <c r="G159" s="23" t="str">
        <f t="shared" si="4"/>
        <v>FISCDETL.FIELD17</v>
      </c>
      <c r="H159" s="23" t="str">
        <f t="shared" si="5"/>
        <v>FISCAL_CALENDAR_SET_LABEL.LABEL</v>
      </c>
      <c r="I159" s="30"/>
      <c r="J1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59" s="17"/>
    </row>
    <row r="160" spans="1:11" hidden="1" x14ac:dyDescent="0.2">
      <c r="A160" s="14" t="s">
        <v>2421</v>
      </c>
      <c r="B160" s="14" t="s">
        <v>2226</v>
      </c>
      <c r="C160" s="14" t="s">
        <v>394</v>
      </c>
      <c r="D160" t="s">
        <v>433</v>
      </c>
      <c r="E160" s="14" t="s">
        <v>440</v>
      </c>
      <c r="F160" s="14" t="s">
        <v>2425</v>
      </c>
      <c r="G160" s="23" t="str">
        <f t="shared" si="4"/>
        <v>FISCDETL.FIELD18</v>
      </c>
      <c r="H160" s="23" t="str">
        <f t="shared" si="5"/>
        <v>FISCAL_CALENDAR_SET_LABEL.LABEL</v>
      </c>
      <c r="I160" s="30"/>
      <c r="J1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0" s="17"/>
    </row>
    <row r="161" spans="1:11" hidden="1" x14ac:dyDescent="0.2">
      <c r="A161" s="14" t="s">
        <v>2421</v>
      </c>
      <c r="B161" s="14" t="s">
        <v>2226</v>
      </c>
      <c r="C161" s="14" t="s">
        <v>395</v>
      </c>
      <c r="D161" t="s">
        <v>433</v>
      </c>
      <c r="E161" s="14" t="s">
        <v>440</v>
      </c>
      <c r="F161" s="14" t="s">
        <v>2425</v>
      </c>
      <c r="G161" s="23" t="str">
        <f t="shared" si="4"/>
        <v>FISCDETL.FIELD19</v>
      </c>
      <c r="H161" s="23" t="str">
        <f t="shared" si="5"/>
        <v>FISCAL_CALENDAR_SET_LABEL.LABEL</v>
      </c>
      <c r="I161" s="30"/>
      <c r="J1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1" s="17"/>
    </row>
    <row r="162" spans="1:11" hidden="1" x14ac:dyDescent="0.2">
      <c r="A162" t="s">
        <v>2421</v>
      </c>
      <c r="B162" t="s">
        <v>2226</v>
      </c>
      <c r="C162" t="s">
        <v>2112</v>
      </c>
      <c r="D162" t="s">
        <v>364</v>
      </c>
      <c r="E162" t="s">
        <v>68</v>
      </c>
      <c r="G162" s="17" t="str">
        <f t="shared" si="4"/>
        <v>FISCDETL.USR_ID</v>
      </c>
      <c r="H162" s="17" t="str">
        <f t="shared" si="5"/>
        <v>FISCAL_CALENDAR_PERIOD.LAST_MODIFIED_BY_USER_UID</v>
      </c>
      <c r="I162" s="29"/>
      <c r="J1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2" s="17"/>
    </row>
    <row r="163" spans="1:11" hidden="1" x14ac:dyDescent="0.2">
      <c r="A163" t="s">
        <v>2421</v>
      </c>
      <c r="B163" t="s">
        <v>2226</v>
      </c>
      <c r="C163" t="s">
        <v>2111</v>
      </c>
      <c r="D163" t="s">
        <v>364</v>
      </c>
      <c r="E163" t="s">
        <v>71</v>
      </c>
      <c r="G163" s="17" t="str">
        <f t="shared" si="4"/>
        <v>FISCDETL.LASTUPDATE</v>
      </c>
      <c r="H163" s="17" t="str">
        <f t="shared" si="5"/>
        <v>FISCAL_CALENDAR_PERIOD.LAST_MODIFIED_DATE</v>
      </c>
      <c r="I163" s="29"/>
      <c r="J1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3" s="17"/>
    </row>
    <row r="164" spans="1:11" hidden="1" x14ac:dyDescent="0.2">
      <c r="A164" t="s">
        <v>2421</v>
      </c>
      <c r="B164" t="s">
        <v>2226</v>
      </c>
      <c r="C164" t="s">
        <v>35</v>
      </c>
      <c r="D164" t="s">
        <v>364</v>
      </c>
      <c r="E164" t="s">
        <v>35</v>
      </c>
      <c r="G164" s="17" t="str">
        <f t="shared" si="4"/>
        <v>FISCDETL.SEQUENCE</v>
      </c>
      <c r="H164" s="17" t="str">
        <f t="shared" si="5"/>
        <v>FISCAL_CALENDAR_PERIOD.SEQUENCE</v>
      </c>
      <c r="I164" s="29"/>
      <c r="J1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4" s="17"/>
    </row>
    <row r="165" spans="1:11" hidden="1" x14ac:dyDescent="0.2">
      <c r="A165" s="14" t="s">
        <v>2421</v>
      </c>
      <c r="B165" s="14" t="s">
        <v>2226</v>
      </c>
      <c r="C165" s="14" t="s">
        <v>375</v>
      </c>
      <c r="D165" s="14"/>
      <c r="E165" s="14"/>
      <c r="F165" s="14" t="s">
        <v>2426</v>
      </c>
      <c r="G165" s="23" t="str">
        <f t="shared" si="4"/>
        <v>FISCDETL.FISCFILE</v>
      </c>
      <c r="H165" s="23" t="str">
        <f t="shared" si="5"/>
        <v>.</v>
      </c>
      <c r="I165" s="30"/>
      <c r="J1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5" s="17"/>
    </row>
    <row r="166" spans="1:11" hidden="1" x14ac:dyDescent="0.2">
      <c r="A166" t="s">
        <v>2421</v>
      </c>
      <c r="B166" t="s">
        <v>2228</v>
      </c>
      <c r="C166" t="s">
        <v>375</v>
      </c>
      <c r="D166" t="s">
        <v>351</v>
      </c>
      <c r="E166" t="s">
        <v>353</v>
      </c>
      <c r="G166" s="17" t="str">
        <f t="shared" si="4"/>
        <v>FISCHOL.FISCFILE</v>
      </c>
      <c r="H166" s="17" t="str">
        <f t="shared" si="5"/>
        <v>FISCAL_CALENDAR_HOLIDAY.FISCAL_CALENDAR_UID</v>
      </c>
      <c r="I166" s="29"/>
      <c r="J1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6" s="17"/>
    </row>
    <row r="167" spans="1:11" hidden="1" x14ac:dyDescent="0.2">
      <c r="A167" t="s">
        <v>2421</v>
      </c>
      <c r="B167" t="s">
        <v>2228</v>
      </c>
      <c r="C167" t="s">
        <v>2229</v>
      </c>
      <c r="D167" t="s">
        <v>351</v>
      </c>
      <c r="E167" t="s">
        <v>355</v>
      </c>
      <c r="G167" s="17" t="str">
        <f t="shared" si="4"/>
        <v>FISCHOL.HOLIDAY</v>
      </c>
      <c r="H167" s="17" t="str">
        <f t="shared" si="5"/>
        <v>FISCAL_CALENDAR_HOLIDAY.HOLIDAY_DATE</v>
      </c>
      <c r="I167" s="29"/>
      <c r="J1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7" s="17"/>
    </row>
    <row r="168" spans="1:11" hidden="1" x14ac:dyDescent="0.2">
      <c r="A168" t="s">
        <v>2421</v>
      </c>
      <c r="D168" t="s">
        <v>294</v>
      </c>
      <c r="E168" t="s">
        <v>30</v>
      </c>
      <c r="G168" s="17" t="str">
        <f t="shared" si="4"/>
        <v>.</v>
      </c>
      <c r="H168" s="17" t="str">
        <f t="shared" si="5"/>
        <v>FISCAL_CALENDAR.ROW_UID</v>
      </c>
      <c r="I168" s="29"/>
      <c r="J1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8" s="17"/>
    </row>
    <row r="169" spans="1:11" hidden="1" x14ac:dyDescent="0.2">
      <c r="A169" t="s">
        <v>2421</v>
      </c>
      <c r="D169" t="s">
        <v>294</v>
      </c>
      <c r="E169" t="s">
        <v>15</v>
      </c>
      <c r="G169" s="17" t="str">
        <f t="shared" si="4"/>
        <v>.</v>
      </c>
      <c r="H169" s="17" t="str">
        <f t="shared" si="5"/>
        <v>FISCAL_CALENDAR.DESCRIPTION</v>
      </c>
      <c r="I169" s="29"/>
      <c r="J1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69" s="17"/>
    </row>
    <row r="170" spans="1:11" hidden="1" x14ac:dyDescent="0.2">
      <c r="A170" t="s">
        <v>2421</v>
      </c>
      <c r="D170" t="s">
        <v>294</v>
      </c>
      <c r="E170" t="s">
        <v>298</v>
      </c>
      <c r="G170" s="17" t="str">
        <f t="shared" si="4"/>
        <v>.</v>
      </c>
      <c r="H170" s="17" t="str">
        <f t="shared" si="5"/>
        <v>FISCAL_CALENDAR.HOURS_MONDAY</v>
      </c>
      <c r="I170" s="29"/>
      <c r="J1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0" s="17"/>
    </row>
    <row r="171" spans="1:11" hidden="1" x14ac:dyDescent="0.2">
      <c r="A171" t="s">
        <v>2421</v>
      </c>
      <c r="D171" t="s">
        <v>294</v>
      </c>
      <c r="E171" t="s">
        <v>302</v>
      </c>
      <c r="G171" s="17" t="str">
        <f t="shared" si="4"/>
        <v>.</v>
      </c>
      <c r="H171" s="17" t="str">
        <f t="shared" si="5"/>
        <v>FISCAL_CALENDAR.HOURS_TUESDAY</v>
      </c>
      <c r="I171" s="29"/>
      <c r="J1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1" s="17"/>
    </row>
    <row r="172" spans="1:11" hidden="1" x14ac:dyDescent="0.2">
      <c r="A172" t="s">
        <v>2421</v>
      </c>
      <c r="D172" t="s">
        <v>294</v>
      </c>
      <c r="E172" t="s">
        <v>305</v>
      </c>
      <c r="G172" s="17" t="str">
        <f t="shared" si="4"/>
        <v>.</v>
      </c>
      <c r="H172" s="17" t="str">
        <f t="shared" si="5"/>
        <v>FISCAL_CALENDAR.HOURS_WEDNESDAY</v>
      </c>
      <c r="I172" s="29"/>
      <c r="J1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2" s="17"/>
    </row>
    <row r="173" spans="1:11" hidden="1" x14ac:dyDescent="0.2">
      <c r="A173" t="s">
        <v>2421</v>
      </c>
      <c r="D173" t="s">
        <v>294</v>
      </c>
      <c r="E173" t="s">
        <v>308</v>
      </c>
      <c r="G173" s="17" t="str">
        <f t="shared" si="4"/>
        <v>.</v>
      </c>
      <c r="H173" s="17" t="str">
        <f t="shared" si="5"/>
        <v>FISCAL_CALENDAR.HOURS_THURSDAY</v>
      </c>
      <c r="I173" s="29"/>
      <c r="J1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3" s="17"/>
    </row>
    <row r="174" spans="1:11" hidden="1" x14ac:dyDescent="0.2">
      <c r="A174" t="s">
        <v>2421</v>
      </c>
      <c r="D174" t="s">
        <v>294</v>
      </c>
      <c r="E174" t="s">
        <v>311</v>
      </c>
      <c r="G174" s="17" t="str">
        <f t="shared" si="4"/>
        <v>.</v>
      </c>
      <c r="H174" s="17" t="str">
        <f t="shared" si="5"/>
        <v>FISCAL_CALENDAR.HOURS_FRIDAY</v>
      </c>
      <c r="I174" s="29"/>
      <c r="J1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4" s="17"/>
    </row>
    <row r="175" spans="1:11" hidden="1" x14ac:dyDescent="0.2">
      <c r="A175" t="s">
        <v>2421</v>
      </c>
      <c r="D175" t="s">
        <v>294</v>
      </c>
      <c r="E175" t="s">
        <v>314</v>
      </c>
      <c r="G175" s="17" t="str">
        <f t="shared" si="4"/>
        <v>.</v>
      </c>
      <c r="H175" s="17" t="str">
        <f t="shared" si="5"/>
        <v>FISCAL_CALENDAR.HOURS_SATURDAY</v>
      </c>
      <c r="I175" s="29"/>
      <c r="J1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5" s="17"/>
    </row>
    <row r="176" spans="1:11" hidden="1" x14ac:dyDescent="0.2">
      <c r="A176" t="s">
        <v>2421</v>
      </c>
      <c r="D176" t="s">
        <v>294</v>
      </c>
      <c r="E176" t="s">
        <v>317</v>
      </c>
      <c r="G176" s="17" t="str">
        <f t="shared" si="4"/>
        <v>.</v>
      </c>
      <c r="H176" s="17" t="str">
        <f t="shared" si="5"/>
        <v>FISCAL_CALENDAR.HOURS_SUNDAY</v>
      </c>
      <c r="I176" s="29"/>
      <c r="J1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6" s="17"/>
    </row>
    <row r="177" spans="1:11" hidden="1" x14ac:dyDescent="0.2">
      <c r="A177" t="s">
        <v>2421</v>
      </c>
      <c r="D177" t="s">
        <v>294</v>
      </c>
      <c r="E177" t="s">
        <v>104</v>
      </c>
      <c r="G177" s="17" t="str">
        <f t="shared" si="4"/>
        <v>.</v>
      </c>
      <c r="H177" s="17" t="str">
        <f t="shared" si="5"/>
        <v>FISCAL_CALENDAR.OWNER_USER_UID</v>
      </c>
      <c r="I177" s="29"/>
      <c r="J1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7" s="17"/>
    </row>
    <row r="178" spans="1:11" hidden="1" x14ac:dyDescent="0.2">
      <c r="A178" t="s">
        <v>2421</v>
      </c>
      <c r="D178" t="s">
        <v>294</v>
      </c>
      <c r="E178" s="18" t="s">
        <v>61</v>
      </c>
      <c r="G178" s="17" t="str">
        <f t="shared" si="4"/>
        <v>.</v>
      </c>
      <c r="H178" s="17" t="str">
        <f t="shared" si="5"/>
        <v>FISCAL_CALENDAR.CREATED_BY_USER_UID</v>
      </c>
      <c r="I178" s="29"/>
      <c r="J1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8" s="17"/>
    </row>
    <row r="179" spans="1:11" hidden="1" x14ac:dyDescent="0.2">
      <c r="A179" t="s">
        <v>2421</v>
      </c>
      <c r="D179" t="s">
        <v>294</v>
      </c>
      <c r="E179" t="s">
        <v>64</v>
      </c>
      <c r="G179" s="17" t="str">
        <f t="shared" si="4"/>
        <v>.</v>
      </c>
      <c r="H179" s="17" t="str">
        <f t="shared" si="5"/>
        <v>FISCAL_CALENDAR.CREATED_DATE</v>
      </c>
      <c r="I179" s="29"/>
      <c r="J1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79" s="17"/>
    </row>
    <row r="180" spans="1:11" hidden="1" x14ac:dyDescent="0.2">
      <c r="A180" t="s">
        <v>2421</v>
      </c>
      <c r="D180" t="s">
        <v>415</v>
      </c>
      <c r="E180" t="s">
        <v>30</v>
      </c>
      <c r="G180" s="17" t="str">
        <f t="shared" si="4"/>
        <v>.</v>
      </c>
      <c r="H180" s="17" t="str">
        <f t="shared" si="5"/>
        <v>FISCAL_CALENDAR_SET.ROW_UID</v>
      </c>
      <c r="I180" s="29"/>
      <c r="J1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0" s="17"/>
    </row>
    <row r="181" spans="1:11" hidden="1" x14ac:dyDescent="0.2">
      <c r="A181" t="s">
        <v>2421</v>
      </c>
      <c r="D181" t="s">
        <v>415</v>
      </c>
      <c r="E181" t="s">
        <v>35</v>
      </c>
      <c r="G181" s="17" t="str">
        <f t="shared" si="4"/>
        <v>.</v>
      </c>
      <c r="H181" s="17" t="str">
        <f t="shared" si="5"/>
        <v>FISCAL_CALENDAR_SET.SEQUENCE</v>
      </c>
      <c r="I181" s="29"/>
      <c r="J1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1" s="17"/>
    </row>
    <row r="182" spans="1:11" hidden="1" x14ac:dyDescent="0.2">
      <c r="A182" t="s">
        <v>2421</v>
      </c>
      <c r="D182" t="s">
        <v>415</v>
      </c>
      <c r="E182" t="s">
        <v>353</v>
      </c>
      <c r="G182" s="17" t="str">
        <f t="shared" si="4"/>
        <v>.</v>
      </c>
      <c r="H182" s="17" t="str">
        <f t="shared" si="5"/>
        <v>FISCAL_CALENDAR_SET.FISCAL_CALENDAR_UID</v>
      </c>
      <c r="I182" s="29"/>
      <c r="J1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2" s="17"/>
    </row>
    <row r="183" spans="1:11" hidden="1" x14ac:dyDescent="0.2">
      <c r="A183" t="s">
        <v>2421</v>
      </c>
      <c r="D183" t="s">
        <v>415</v>
      </c>
      <c r="E183" t="s">
        <v>417</v>
      </c>
      <c r="F183" t="s">
        <v>2427</v>
      </c>
      <c r="G183" s="17" t="str">
        <f t="shared" si="4"/>
        <v>.</v>
      </c>
      <c r="H183" s="17" t="str">
        <f t="shared" si="5"/>
        <v>FISCAL_CALENDAR_SET.SET_ID</v>
      </c>
      <c r="I183" s="29"/>
      <c r="J1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3" s="17"/>
    </row>
    <row r="184" spans="1:11" hidden="1" x14ac:dyDescent="0.2">
      <c r="A184" t="s">
        <v>2421</v>
      </c>
      <c r="D184" t="s">
        <v>415</v>
      </c>
      <c r="E184" t="s">
        <v>421</v>
      </c>
      <c r="G184" s="17" t="str">
        <f t="shared" si="4"/>
        <v>.</v>
      </c>
      <c r="H184" s="17" t="str">
        <f t="shared" si="5"/>
        <v>FISCAL_CALENDAR_SET.LABEL_FORMAT</v>
      </c>
      <c r="I184" s="29"/>
      <c r="J1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4" s="17"/>
    </row>
    <row r="185" spans="1:11" hidden="1" x14ac:dyDescent="0.2">
      <c r="A185" t="s">
        <v>2421</v>
      </c>
      <c r="D185" t="s">
        <v>415</v>
      </c>
      <c r="E185" t="s">
        <v>425</v>
      </c>
      <c r="F185" t="s">
        <v>2428</v>
      </c>
      <c r="G185" s="17" t="str">
        <f t="shared" si="4"/>
        <v>.</v>
      </c>
      <c r="H185" s="17" t="str">
        <f t="shared" si="5"/>
        <v>FISCAL_CALENDAR_SET.LABEL_VALUE</v>
      </c>
      <c r="I185" s="29"/>
      <c r="J1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5" s="17"/>
    </row>
    <row r="186" spans="1:11" hidden="1" x14ac:dyDescent="0.2">
      <c r="A186" t="s">
        <v>2421</v>
      </c>
      <c r="D186" t="s">
        <v>415</v>
      </c>
      <c r="E186" s="18" t="s">
        <v>61</v>
      </c>
      <c r="G186" s="17" t="str">
        <f t="shared" si="4"/>
        <v>.</v>
      </c>
      <c r="H186" s="17" t="str">
        <f t="shared" si="5"/>
        <v>FISCAL_CALENDAR_SET.CREATED_BY_USER_UID</v>
      </c>
      <c r="I186" s="29"/>
      <c r="J1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6" s="17"/>
    </row>
    <row r="187" spans="1:11" hidden="1" x14ac:dyDescent="0.2">
      <c r="A187" t="s">
        <v>2421</v>
      </c>
      <c r="D187" t="s">
        <v>415</v>
      </c>
      <c r="E187" t="s">
        <v>64</v>
      </c>
      <c r="G187" s="17" t="str">
        <f t="shared" si="4"/>
        <v>.</v>
      </c>
      <c r="H187" s="17" t="str">
        <f t="shared" si="5"/>
        <v>FISCAL_CALENDAR_SET.CREATED_DATE</v>
      </c>
      <c r="I187" s="29"/>
      <c r="J1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7" s="17"/>
    </row>
    <row r="188" spans="1:11" hidden="1" x14ac:dyDescent="0.2">
      <c r="A188" t="s">
        <v>2421</v>
      </c>
      <c r="D188" t="s">
        <v>415</v>
      </c>
      <c r="E188" t="s">
        <v>68</v>
      </c>
      <c r="G188" s="17" t="str">
        <f t="shared" si="4"/>
        <v>.</v>
      </c>
      <c r="H188" s="17" t="str">
        <f t="shared" si="5"/>
        <v>FISCAL_CALENDAR_SET.LAST_MODIFIED_BY_USER_UID</v>
      </c>
      <c r="I188" s="29"/>
      <c r="J1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8" s="17"/>
    </row>
    <row r="189" spans="1:11" hidden="1" x14ac:dyDescent="0.2">
      <c r="A189" t="s">
        <v>2421</v>
      </c>
      <c r="D189" t="s">
        <v>415</v>
      </c>
      <c r="E189" t="s">
        <v>71</v>
      </c>
      <c r="G189" s="17" t="str">
        <f t="shared" si="4"/>
        <v>.</v>
      </c>
      <c r="H189" s="17" t="str">
        <f t="shared" si="5"/>
        <v>FISCAL_CALENDAR_SET.LAST_MODIFIED_DATE</v>
      </c>
      <c r="I189" s="29"/>
      <c r="J1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89" s="17"/>
    </row>
    <row r="190" spans="1:11" hidden="1" x14ac:dyDescent="0.2">
      <c r="A190" t="s">
        <v>2421</v>
      </c>
      <c r="D190" t="s">
        <v>364</v>
      </c>
      <c r="E190" t="s">
        <v>30</v>
      </c>
      <c r="G190" s="17" t="str">
        <f t="shared" si="4"/>
        <v>.</v>
      </c>
      <c r="H190" s="17" t="str">
        <f t="shared" si="5"/>
        <v>FISCAL_CALENDAR_PERIOD.ROW_UID</v>
      </c>
      <c r="I190" s="29"/>
      <c r="J1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0" s="17"/>
    </row>
    <row r="191" spans="1:11" hidden="1" x14ac:dyDescent="0.2">
      <c r="A191" t="s">
        <v>2421</v>
      </c>
      <c r="D191" t="s">
        <v>364</v>
      </c>
      <c r="E191" s="18" t="s">
        <v>61</v>
      </c>
      <c r="G191" s="17" t="str">
        <f t="shared" si="4"/>
        <v>.</v>
      </c>
      <c r="H191" s="17" t="str">
        <f t="shared" si="5"/>
        <v>FISCAL_CALENDAR_PERIOD.CREATED_BY_USER_UID</v>
      </c>
      <c r="I191" s="29"/>
      <c r="J1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1" s="17"/>
    </row>
    <row r="192" spans="1:11" hidden="1" x14ac:dyDescent="0.2">
      <c r="A192" t="s">
        <v>2421</v>
      </c>
      <c r="D192" t="s">
        <v>364</v>
      </c>
      <c r="E192" t="s">
        <v>64</v>
      </c>
      <c r="G192" s="17" t="str">
        <f t="shared" si="4"/>
        <v>.</v>
      </c>
      <c r="H192" s="17" t="str">
        <f t="shared" si="5"/>
        <v>FISCAL_CALENDAR_PERIOD.CREATED_DATE</v>
      </c>
      <c r="I192" s="29"/>
      <c r="J1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2" s="17"/>
    </row>
    <row r="193" spans="1:11" hidden="1" x14ac:dyDescent="0.2">
      <c r="A193" t="s">
        <v>2421</v>
      </c>
      <c r="D193" t="s">
        <v>433</v>
      </c>
      <c r="E193" t="s">
        <v>30</v>
      </c>
      <c r="G193" s="17" t="str">
        <f t="shared" si="4"/>
        <v>.</v>
      </c>
      <c r="H193" s="17" t="str">
        <f t="shared" si="5"/>
        <v>FISCAL_CALENDAR_SET_LABEL.ROW_UID</v>
      </c>
      <c r="I193" s="29"/>
      <c r="J1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3" s="17"/>
    </row>
    <row r="194" spans="1:11" hidden="1" x14ac:dyDescent="0.2">
      <c r="A194" t="s">
        <v>2421</v>
      </c>
      <c r="D194" t="s">
        <v>433</v>
      </c>
      <c r="E194" t="s">
        <v>435</v>
      </c>
      <c r="G194" s="17" t="str">
        <f t="shared" ref="G194:G257" si="6">_xlfn.CONCAT(B194,".",C194)</f>
        <v>.</v>
      </c>
      <c r="H194" s="17" t="str">
        <f t="shared" ref="H194:H257" si="7">_xlfn.CONCAT(D194,".",E194)</f>
        <v>FISCAL_CALENDAR_SET_LABEL.FISCAL_CALENDAR_SET_UID</v>
      </c>
      <c r="I194" s="29"/>
      <c r="J1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4" s="17"/>
    </row>
    <row r="195" spans="1:11" hidden="1" x14ac:dyDescent="0.2">
      <c r="A195" t="s">
        <v>2421</v>
      </c>
      <c r="D195" t="s">
        <v>433</v>
      </c>
      <c r="E195" t="s">
        <v>437</v>
      </c>
      <c r="G195" s="17" t="str">
        <f t="shared" si="6"/>
        <v>.</v>
      </c>
      <c r="H195" s="17" t="str">
        <f t="shared" si="7"/>
        <v>FISCAL_CALENDAR_SET_LABEL.FISCAL_CALENDAR_PERIOD_UID</v>
      </c>
      <c r="I195" s="29"/>
      <c r="J1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5" s="17"/>
    </row>
    <row r="196" spans="1:11" hidden="1" x14ac:dyDescent="0.2">
      <c r="A196" t="s">
        <v>2421</v>
      </c>
      <c r="D196" t="s">
        <v>433</v>
      </c>
      <c r="E196" t="s">
        <v>35</v>
      </c>
      <c r="G196" s="17" t="str">
        <f t="shared" si="6"/>
        <v>.</v>
      </c>
      <c r="H196" s="17" t="str">
        <f t="shared" si="7"/>
        <v>FISCAL_CALENDAR_SET_LABEL.SEQUENCE</v>
      </c>
      <c r="I196" s="29"/>
      <c r="J1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6" s="17"/>
    </row>
    <row r="197" spans="1:11" hidden="1" x14ac:dyDescent="0.2">
      <c r="A197" t="s">
        <v>2421</v>
      </c>
      <c r="D197" t="s">
        <v>433</v>
      </c>
      <c r="E197" s="18" t="s">
        <v>61</v>
      </c>
      <c r="G197" s="17" t="str">
        <f t="shared" si="6"/>
        <v>.</v>
      </c>
      <c r="H197" s="17" t="str">
        <f t="shared" si="7"/>
        <v>FISCAL_CALENDAR_SET_LABEL.CREATED_BY_USER_UID</v>
      </c>
      <c r="I197" s="29"/>
      <c r="J1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7" s="17"/>
    </row>
    <row r="198" spans="1:11" hidden="1" x14ac:dyDescent="0.2">
      <c r="A198" t="s">
        <v>2421</v>
      </c>
      <c r="D198" t="s">
        <v>433</v>
      </c>
      <c r="E198" t="s">
        <v>64</v>
      </c>
      <c r="G198" s="17" t="str">
        <f t="shared" si="6"/>
        <v>.</v>
      </c>
      <c r="H198" s="17" t="str">
        <f t="shared" si="7"/>
        <v>FISCAL_CALENDAR_SET_LABEL.CREATED_DATE</v>
      </c>
      <c r="I198" s="29"/>
      <c r="J1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8" s="17"/>
    </row>
    <row r="199" spans="1:11" hidden="1" x14ac:dyDescent="0.2">
      <c r="A199" t="s">
        <v>2421</v>
      </c>
      <c r="D199" t="s">
        <v>433</v>
      </c>
      <c r="E199" t="s">
        <v>68</v>
      </c>
      <c r="G199" s="17" t="str">
        <f t="shared" si="6"/>
        <v>.</v>
      </c>
      <c r="H199" s="17" t="str">
        <f t="shared" si="7"/>
        <v>FISCAL_CALENDAR_SET_LABEL.LAST_MODIFIED_BY_USER_UID</v>
      </c>
      <c r="I199" s="29"/>
      <c r="J1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99" s="17"/>
    </row>
    <row r="200" spans="1:11" hidden="1" x14ac:dyDescent="0.2">
      <c r="A200" t="s">
        <v>2421</v>
      </c>
      <c r="D200" t="s">
        <v>433</v>
      </c>
      <c r="E200" t="s">
        <v>71</v>
      </c>
      <c r="G200" s="17" t="str">
        <f t="shared" si="6"/>
        <v>.</v>
      </c>
      <c r="H200" s="17" t="str">
        <f t="shared" si="7"/>
        <v>FISCAL_CALENDAR_SET_LABEL.LAST_MODIFIED_DATE</v>
      </c>
      <c r="I200" s="29"/>
      <c r="J2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0" s="17"/>
    </row>
    <row r="201" spans="1:11" hidden="1" x14ac:dyDescent="0.2">
      <c r="A201" t="s">
        <v>2421</v>
      </c>
      <c r="D201" t="s">
        <v>351</v>
      </c>
      <c r="E201" t="s">
        <v>15</v>
      </c>
      <c r="G201" s="17" t="str">
        <f t="shared" si="6"/>
        <v>.</v>
      </c>
      <c r="H201" s="17" t="str">
        <f t="shared" si="7"/>
        <v>FISCAL_CALENDAR_HOLIDAY.DESCRIPTION</v>
      </c>
      <c r="I201" s="29"/>
      <c r="J2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1" s="17"/>
    </row>
    <row r="202" spans="1:11" hidden="1" x14ac:dyDescent="0.2">
      <c r="A202" t="s">
        <v>2421</v>
      </c>
      <c r="D202" t="s">
        <v>351</v>
      </c>
      <c r="E202" t="s">
        <v>30</v>
      </c>
      <c r="G202" s="17" t="str">
        <f t="shared" si="6"/>
        <v>.</v>
      </c>
      <c r="H202" s="17" t="str">
        <f t="shared" si="7"/>
        <v>FISCAL_CALENDAR_HOLIDAY.ROW_UID</v>
      </c>
      <c r="I202" s="29"/>
      <c r="J2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2" s="17"/>
    </row>
    <row r="203" spans="1:11" hidden="1" x14ac:dyDescent="0.2">
      <c r="A203" t="s">
        <v>2421</v>
      </c>
      <c r="D203" t="s">
        <v>351</v>
      </c>
      <c r="E203" t="s">
        <v>35</v>
      </c>
      <c r="G203" s="17" t="str">
        <f t="shared" si="6"/>
        <v>.</v>
      </c>
      <c r="H203" s="17" t="str">
        <f t="shared" si="7"/>
        <v>FISCAL_CALENDAR_HOLIDAY.SEQUENCE</v>
      </c>
      <c r="I203" s="29"/>
      <c r="J2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3" s="17"/>
    </row>
    <row r="204" spans="1:11" hidden="1" x14ac:dyDescent="0.2">
      <c r="A204" t="s">
        <v>2421</v>
      </c>
      <c r="D204" t="s">
        <v>351</v>
      </c>
      <c r="E204" s="18" t="s">
        <v>61</v>
      </c>
      <c r="G204" s="17" t="str">
        <f t="shared" si="6"/>
        <v>.</v>
      </c>
      <c r="H204" s="17" t="str">
        <f t="shared" si="7"/>
        <v>FISCAL_CALENDAR_HOLIDAY.CREATED_BY_USER_UID</v>
      </c>
      <c r="I204" s="29"/>
      <c r="J2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4" s="17"/>
    </row>
    <row r="205" spans="1:11" hidden="1" x14ac:dyDescent="0.2">
      <c r="A205" t="s">
        <v>2421</v>
      </c>
      <c r="D205" t="s">
        <v>351</v>
      </c>
      <c r="E205" t="s">
        <v>64</v>
      </c>
      <c r="G205" s="17" t="str">
        <f t="shared" si="6"/>
        <v>.</v>
      </c>
      <c r="H205" s="17" t="str">
        <f t="shared" si="7"/>
        <v>FISCAL_CALENDAR_HOLIDAY.CREATED_DATE</v>
      </c>
      <c r="I205" s="29"/>
      <c r="J2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5" s="17"/>
    </row>
    <row r="206" spans="1:11" hidden="1" x14ac:dyDescent="0.2">
      <c r="A206" t="s">
        <v>2421</v>
      </c>
      <c r="D206" t="s">
        <v>351</v>
      </c>
      <c r="E206" t="s">
        <v>68</v>
      </c>
      <c r="G206" s="17" t="str">
        <f t="shared" si="6"/>
        <v>.</v>
      </c>
      <c r="H206" s="17" t="str">
        <f t="shared" si="7"/>
        <v>FISCAL_CALENDAR_HOLIDAY.LAST_MODIFIED_BY_USER_UID</v>
      </c>
      <c r="I206" s="29"/>
      <c r="J2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6" s="17"/>
    </row>
    <row r="207" spans="1:11" hidden="1" x14ac:dyDescent="0.2">
      <c r="A207" t="s">
        <v>2421</v>
      </c>
      <c r="D207" t="s">
        <v>351</v>
      </c>
      <c r="E207" t="s">
        <v>71</v>
      </c>
      <c r="G207" s="17" t="str">
        <f t="shared" si="6"/>
        <v>.</v>
      </c>
      <c r="H207" s="17" t="str">
        <f t="shared" si="7"/>
        <v>FISCAL_CALENDAR_HOLIDAY.LAST_MODIFIED_DATE</v>
      </c>
      <c r="I207" s="29"/>
      <c r="J2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7" s="17"/>
    </row>
    <row r="208" spans="1:11" hidden="1" x14ac:dyDescent="0.2">
      <c r="A208" t="s">
        <v>2429</v>
      </c>
      <c r="B208" t="s">
        <v>2213</v>
      </c>
      <c r="C208" t="s">
        <v>2214</v>
      </c>
      <c r="D208" t="s">
        <v>253</v>
      </c>
      <c r="E208" t="s">
        <v>47</v>
      </c>
      <c r="F208" t="s">
        <v>2430</v>
      </c>
      <c r="G208" s="17" t="str">
        <f t="shared" si="6"/>
        <v>CONFIG.CONFIG_ID</v>
      </c>
      <c r="H208" s="17" t="str">
        <f t="shared" si="7"/>
        <v>PRODUCT_CONFIG.NAME</v>
      </c>
      <c r="I208" s="29"/>
      <c r="J2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8" s="17"/>
    </row>
    <row r="209" spans="1:11" hidden="1" x14ac:dyDescent="0.2">
      <c r="A209" t="s">
        <v>2429</v>
      </c>
      <c r="B209" t="s">
        <v>2213</v>
      </c>
      <c r="C209" t="s">
        <v>2215</v>
      </c>
      <c r="D209" t="s">
        <v>253</v>
      </c>
      <c r="E209" t="s">
        <v>258</v>
      </c>
      <c r="F209" t="s">
        <v>2431</v>
      </c>
      <c r="G209" s="17" t="str">
        <f t="shared" si="6"/>
        <v>CONFIG.CONFIG_TYPE</v>
      </c>
      <c r="H209" s="17" t="str">
        <f t="shared" si="7"/>
        <v>PRODUCT_CONFIG.TYPE</v>
      </c>
      <c r="I209" s="29"/>
      <c r="J2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09" s="17"/>
    </row>
    <row r="210" spans="1:11" hidden="1" x14ac:dyDescent="0.2">
      <c r="A210" t="s">
        <v>2429</v>
      </c>
      <c r="B210" t="s">
        <v>2213</v>
      </c>
      <c r="C210" t="s">
        <v>1936</v>
      </c>
      <c r="D210" t="s">
        <v>253</v>
      </c>
      <c r="E210" s="9" t="s">
        <v>104</v>
      </c>
      <c r="F210" s="9" t="s">
        <v>2432</v>
      </c>
      <c r="G210" s="25" t="str">
        <f t="shared" si="6"/>
        <v>CONFIG.OWNER_ID</v>
      </c>
      <c r="H210" s="25" t="str">
        <f t="shared" si="7"/>
        <v>PRODUCT_CONFIG.OWNER_USER_UID</v>
      </c>
      <c r="I210" s="33"/>
      <c r="J2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0" s="17"/>
    </row>
    <row r="211" spans="1:11" hidden="1" x14ac:dyDescent="0.2">
      <c r="A211" t="s">
        <v>2429</v>
      </c>
      <c r="B211" t="s">
        <v>2213</v>
      </c>
      <c r="C211" t="s">
        <v>2141</v>
      </c>
      <c r="D211" t="s">
        <v>253</v>
      </c>
      <c r="E211" t="s">
        <v>15</v>
      </c>
      <c r="F211" t="s">
        <v>2433</v>
      </c>
      <c r="G211" s="17" t="str">
        <f t="shared" si="6"/>
        <v>CONFIG.DESCRIP</v>
      </c>
      <c r="H211" s="17" t="str">
        <f t="shared" si="7"/>
        <v>PRODUCT_CONFIG.DESCRIPTION</v>
      </c>
      <c r="I211" s="29"/>
      <c r="J2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1" s="17"/>
    </row>
    <row r="212" spans="1:11" hidden="1" x14ac:dyDescent="0.2">
      <c r="A212" t="s">
        <v>2429</v>
      </c>
      <c r="B212" t="s">
        <v>2213</v>
      </c>
      <c r="C212" t="s">
        <v>270</v>
      </c>
      <c r="D212" t="s">
        <v>253</v>
      </c>
      <c r="E212" t="s">
        <v>270</v>
      </c>
      <c r="F212" t="s">
        <v>2434</v>
      </c>
      <c r="G212" s="17" t="str">
        <f t="shared" si="6"/>
        <v>CONFIG.DATA</v>
      </c>
      <c r="H212" s="17" t="str">
        <f t="shared" si="7"/>
        <v>PRODUCT_CONFIG.DATA</v>
      </c>
      <c r="I212" s="29"/>
      <c r="J2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2" s="17"/>
    </row>
    <row r="213" spans="1:11" hidden="1" x14ac:dyDescent="0.2">
      <c r="A213" t="s">
        <v>2429</v>
      </c>
      <c r="B213" t="s">
        <v>2213</v>
      </c>
      <c r="C213" t="s">
        <v>2112</v>
      </c>
      <c r="D213" t="s">
        <v>253</v>
      </c>
      <c r="E213" t="s">
        <v>68</v>
      </c>
      <c r="F213" t="s">
        <v>2435</v>
      </c>
      <c r="G213" s="17" t="str">
        <f t="shared" si="6"/>
        <v>CONFIG.USR_ID</v>
      </c>
      <c r="H213" s="17" t="str">
        <f t="shared" si="7"/>
        <v>PRODUCT_CONFIG.LAST_MODIFIED_BY_USER_UID</v>
      </c>
      <c r="I213" s="29"/>
      <c r="J2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3" s="17"/>
    </row>
    <row r="214" spans="1:11" hidden="1" x14ac:dyDescent="0.2">
      <c r="A214" t="s">
        <v>2429</v>
      </c>
      <c r="B214" t="s">
        <v>2213</v>
      </c>
      <c r="C214" t="s">
        <v>35</v>
      </c>
      <c r="D214" t="s">
        <v>253</v>
      </c>
      <c r="E214" t="s">
        <v>35</v>
      </c>
      <c r="F214" t="s">
        <v>2436</v>
      </c>
      <c r="G214" s="17" t="str">
        <f t="shared" si="6"/>
        <v>CONFIG.SEQUENCE</v>
      </c>
      <c r="H214" s="17" t="str">
        <f t="shared" si="7"/>
        <v>PRODUCT_CONFIG.SEQUENCE</v>
      </c>
      <c r="I214" s="29"/>
      <c r="J2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4" s="17"/>
    </row>
    <row r="215" spans="1:11" hidden="1" x14ac:dyDescent="0.2">
      <c r="A215" t="s">
        <v>2429</v>
      </c>
      <c r="B215" t="s">
        <v>2213</v>
      </c>
      <c r="C215" t="s">
        <v>2111</v>
      </c>
      <c r="D215" t="s">
        <v>253</v>
      </c>
      <c r="E215" t="s">
        <v>71</v>
      </c>
      <c r="F215" t="s">
        <v>2437</v>
      </c>
      <c r="G215" s="17" t="str">
        <f t="shared" si="6"/>
        <v>CONFIG.LASTUPDATE</v>
      </c>
      <c r="H215" s="17" t="str">
        <f t="shared" si="7"/>
        <v>PRODUCT_CONFIG.LAST_MODIFIED_DATE</v>
      </c>
      <c r="I215" s="29"/>
      <c r="J2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5" s="17"/>
    </row>
    <row r="216" spans="1:11" hidden="1" x14ac:dyDescent="0.2">
      <c r="A216" t="s">
        <v>2429</v>
      </c>
      <c r="B216" t="s">
        <v>2213</v>
      </c>
      <c r="C216" t="s">
        <v>2216</v>
      </c>
      <c r="D216" t="s">
        <v>253</v>
      </c>
      <c r="E216" t="s">
        <v>30</v>
      </c>
      <c r="G216" s="17" t="str">
        <f t="shared" si="6"/>
        <v>CONFIG.CONFIG_UID</v>
      </c>
      <c r="H216" s="17" t="str">
        <f t="shared" si="7"/>
        <v>PRODUCT_CONFIG.ROW_UID</v>
      </c>
      <c r="I216" s="29"/>
      <c r="J2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6" s="17"/>
    </row>
    <row r="217" spans="1:11" hidden="1" x14ac:dyDescent="0.2">
      <c r="A217" t="s">
        <v>2429</v>
      </c>
      <c r="B217" t="s">
        <v>2254</v>
      </c>
      <c r="C217" t="s">
        <v>1962</v>
      </c>
      <c r="D217" t="s">
        <v>274</v>
      </c>
      <c r="E217" t="s">
        <v>278</v>
      </c>
      <c r="G217" s="17" t="str">
        <f t="shared" si="6"/>
        <v>SETTING.DIR_ID</v>
      </c>
      <c r="H217" s="17" t="str">
        <f t="shared" si="7"/>
        <v>PRODUCT_PREFERENCE.PRIMARY_ENTITY_UID</v>
      </c>
      <c r="I217" s="29"/>
      <c r="J2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7" s="17"/>
    </row>
    <row r="218" spans="1:11" hidden="1" x14ac:dyDescent="0.2">
      <c r="A218" t="s">
        <v>2429</v>
      </c>
      <c r="B218" t="s">
        <v>2254</v>
      </c>
      <c r="C218" t="s">
        <v>1961</v>
      </c>
      <c r="D218" t="s">
        <v>274</v>
      </c>
      <c r="E218" t="s">
        <v>47</v>
      </c>
      <c r="G218" s="17" t="str">
        <f t="shared" si="6"/>
        <v>SETTING.CONTEXT</v>
      </c>
      <c r="H218" s="17" t="str">
        <f t="shared" si="7"/>
        <v>PRODUCT_PREFERENCE.NAME</v>
      </c>
      <c r="I218" s="29"/>
      <c r="J2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8" s="17"/>
    </row>
    <row r="219" spans="1:11" hidden="1" x14ac:dyDescent="0.2">
      <c r="A219" s="15" t="s">
        <v>2429</v>
      </c>
      <c r="B219" s="15" t="s">
        <v>2254</v>
      </c>
      <c r="C219" s="15" t="s">
        <v>1936</v>
      </c>
      <c r="D219" s="15" t="s">
        <v>274</v>
      </c>
      <c r="E219" s="9" t="s">
        <v>2438</v>
      </c>
      <c r="F219" s="9" t="s">
        <v>2439</v>
      </c>
      <c r="G219" s="25" t="str">
        <f t="shared" si="6"/>
        <v>SETTING.OWNER_ID</v>
      </c>
      <c r="H219" s="25" t="str">
        <f t="shared" si="7"/>
        <v>PRODUCT_PREFERENCE.OWNER_UID</v>
      </c>
      <c r="I219" s="33"/>
      <c r="J2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19" s="17"/>
    </row>
    <row r="220" spans="1:11" hidden="1" x14ac:dyDescent="0.2">
      <c r="A220" t="s">
        <v>2429</v>
      </c>
      <c r="B220" t="s">
        <v>2254</v>
      </c>
      <c r="C220" t="s">
        <v>270</v>
      </c>
      <c r="D220" t="s">
        <v>274</v>
      </c>
      <c r="E220" t="s">
        <v>270</v>
      </c>
      <c r="G220" s="17" t="str">
        <f t="shared" si="6"/>
        <v>SETTING.DATA</v>
      </c>
      <c r="H220" s="17" t="str">
        <f t="shared" si="7"/>
        <v>PRODUCT_PREFERENCE.DATA</v>
      </c>
      <c r="I220" s="29"/>
      <c r="J2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0" s="17"/>
    </row>
    <row r="221" spans="1:11" hidden="1" x14ac:dyDescent="0.2">
      <c r="A221" t="s">
        <v>2429</v>
      </c>
      <c r="B221" t="s">
        <v>2254</v>
      </c>
      <c r="C221" t="s">
        <v>2112</v>
      </c>
      <c r="D221" t="s">
        <v>274</v>
      </c>
      <c r="E221" t="s">
        <v>68</v>
      </c>
      <c r="G221" s="17" t="str">
        <f t="shared" si="6"/>
        <v>SETTING.USR_ID</v>
      </c>
      <c r="H221" s="17" t="str">
        <f t="shared" si="7"/>
        <v>PRODUCT_PREFERENCE.LAST_MODIFIED_BY_USER_UID</v>
      </c>
      <c r="I221" s="29"/>
      <c r="J2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1" s="17"/>
    </row>
    <row r="222" spans="1:11" hidden="1" x14ac:dyDescent="0.2">
      <c r="A222" t="s">
        <v>2429</v>
      </c>
      <c r="B222" t="s">
        <v>2254</v>
      </c>
      <c r="C222" t="s">
        <v>35</v>
      </c>
      <c r="D222" t="s">
        <v>274</v>
      </c>
      <c r="E222" t="s">
        <v>35</v>
      </c>
      <c r="G222" s="17" t="str">
        <f t="shared" si="6"/>
        <v>SETTING.SEQUENCE</v>
      </c>
      <c r="H222" s="17" t="str">
        <f t="shared" si="7"/>
        <v>PRODUCT_PREFERENCE.SEQUENCE</v>
      </c>
      <c r="I222" s="29"/>
      <c r="J2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2" s="17"/>
    </row>
    <row r="223" spans="1:11" hidden="1" x14ac:dyDescent="0.2">
      <c r="A223" t="s">
        <v>2429</v>
      </c>
      <c r="B223" t="s">
        <v>2254</v>
      </c>
      <c r="C223" t="s">
        <v>2111</v>
      </c>
      <c r="D223" t="s">
        <v>274</v>
      </c>
      <c r="E223" t="s">
        <v>71</v>
      </c>
      <c r="G223" s="17" t="str">
        <f t="shared" si="6"/>
        <v>SETTING.LASTUPDATE</v>
      </c>
      <c r="H223" s="17" t="str">
        <f t="shared" si="7"/>
        <v>PRODUCT_PREFERENCE.LAST_MODIFIED_DATE</v>
      </c>
      <c r="I223" s="29"/>
      <c r="J2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3" s="17"/>
    </row>
    <row r="224" spans="1:11" s="52" customFormat="1" hidden="1" x14ac:dyDescent="0.2">
      <c r="A224" s="52" t="s">
        <v>2429</v>
      </c>
      <c r="B224" s="52" t="s">
        <v>2275</v>
      </c>
      <c r="C224" s="52" t="s">
        <v>2002</v>
      </c>
      <c r="D224" s="52" t="s">
        <v>253</v>
      </c>
      <c r="E224" s="52" t="s">
        <v>255</v>
      </c>
      <c r="G224" s="52" t="str">
        <f t="shared" si="6"/>
        <v>WST_CFG.PRD_UID</v>
      </c>
      <c r="H224" s="52" t="str">
        <f t="shared" si="7"/>
        <v>PRODUCT_CONFIG.PRODUCT_ID</v>
      </c>
      <c r="I224" s="59"/>
      <c r="J224" s="52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</row>
    <row r="225" spans="1:11" hidden="1" x14ac:dyDescent="0.2">
      <c r="A225" t="s">
        <v>2429</v>
      </c>
      <c r="D225" t="s">
        <v>274</v>
      </c>
      <c r="E225" t="s">
        <v>30</v>
      </c>
      <c r="G225" s="17" t="str">
        <f t="shared" si="6"/>
        <v>.</v>
      </c>
      <c r="H225" s="17" t="str">
        <f t="shared" si="7"/>
        <v>PRODUCT_PREFERENCE.ROW_UID</v>
      </c>
      <c r="I225" s="29"/>
      <c r="J2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5" s="17"/>
    </row>
    <row r="226" spans="1:11" hidden="1" x14ac:dyDescent="0.2">
      <c r="A226" t="s">
        <v>2429</v>
      </c>
      <c r="D226" t="s">
        <v>274</v>
      </c>
      <c r="E226" t="s">
        <v>255</v>
      </c>
      <c r="G226" s="17" t="str">
        <f t="shared" si="6"/>
        <v>.</v>
      </c>
      <c r="H226" s="17" t="str">
        <f t="shared" si="7"/>
        <v>PRODUCT_PREFERENCE.PRODUCT_ID</v>
      </c>
      <c r="I226" s="29"/>
      <c r="J2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6" s="17"/>
    </row>
    <row r="227" spans="1:11" hidden="1" x14ac:dyDescent="0.2">
      <c r="A227" t="s">
        <v>2429</v>
      </c>
      <c r="D227" t="s">
        <v>274</v>
      </c>
      <c r="E227" t="s">
        <v>287</v>
      </c>
      <c r="G227" s="17" t="str">
        <f t="shared" si="6"/>
        <v>.</v>
      </c>
      <c r="H227" s="17" t="str">
        <f t="shared" si="7"/>
        <v>PRODUCT_PREFERENCE.SECURE</v>
      </c>
      <c r="I227" s="29"/>
      <c r="J2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7" s="17"/>
    </row>
    <row r="228" spans="1:11" hidden="1" x14ac:dyDescent="0.2">
      <c r="A228" t="s">
        <v>2429</v>
      </c>
      <c r="D228" t="s">
        <v>253</v>
      </c>
      <c r="E228" s="18" t="s">
        <v>61</v>
      </c>
      <c r="G228" s="17" t="str">
        <f t="shared" si="6"/>
        <v>.</v>
      </c>
      <c r="H228" s="17" t="str">
        <f t="shared" si="7"/>
        <v>PRODUCT_CONFIG.CREATED_BY_USER_UID</v>
      </c>
      <c r="I228" s="29"/>
      <c r="J2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8" s="17"/>
    </row>
    <row r="229" spans="1:11" hidden="1" x14ac:dyDescent="0.2">
      <c r="A229" t="s">
        <v>2429</v>
      </c>
      <c r="D229" t="s">
        <v>253</v>
      </c>
      <c r="E229" t="s">
        <v>64</v>
      </c>
      <c r="G229" s="17" t="str">
        <f t="shared" si="6"/>
        <v>.</v>
      </c>
      <c r="H229" s="17" t="str">
        <f t="shared" si="7"/>
        <v>PRODUCT_CONFIG.CREATED_DATE</v>
      </c>
      <c r="I229" s="29"/>
      <c r="J2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29" s="17"/>
    </row>
    <row r="230" spans="1:11" x14ac:dyDescent="0.2">
      <c r="A230" t="s">
        <v>2440</v>
      </c>
      <c r="B230" t="s">
        <v>2199</v>
      </c>
      <c r="C230" t="s">
        <v>30</v>
      </c>
      <c r="D230" t="s">
        <v>1634</v>
      </c>
      <c r="E230" t="s">
        <v>30</v>
      </c>
      <c r="G230" s="17" t="str">
        <f t="shared" si="6"/>
        <v>COB_CAT.ROW_UID</v>
      </c>
      <c r="H230" s="17" t="str">
        <f t="shared" si="7"/>
        <v>USER_FIELD_DEFINITION.ROW_UID</v>
      </c>
      <c r="I230" s="29"/>
      <c r="J2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0" s="17"/>
    </row>
    <row r="231" spans="1:11" x14ac:dyDescent="0.2">
      <c r="A231" t="s">
        <v>2440</v>
      </c>
      <c r="B231" t="s">
        <v>2199</v>
      </c>
      <c r="C231" t="s">
        <v>1961</v>
      </c>
      <c r="D231" t="s">
        <v>1634</v>
      </c>
      <c r="E231" t="s">
        <v>1638</v>
      </c>
      <c r="F231" t="s">
        <v>2441</v>
      </c>
      <c r="G231" s="17" t="str">
        <f t="shared" si="6"/>
        <v>COB_CAT.CONTEXT</v>
      </c>
      <c r="H231" s="17" t="str">
        <f t="shared" si="7"/>
        <v>USER_FIELD_DEFINITION.ENTITY_TYPE</v>
      </c>
      <c r="I231" s="29"/>
      <c r="J2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1" s="17"/>
    </row>
    <row r="232" spans="1:11" x14ac:dyDescent="0.2">
      <c r="A232" t="s">
        <v>2440</v>
      </c>
      <c r="B232" t="s">
        <v>2199</v>
      </c>
      <c r="C232" t="s">
        <v>2200</v>
      </c>
      <c r="D232" t="s">
        <v>1634</v>
      </c>
      <c r="E232" t="s">
        <v>98</v>
      </c>
      <c r="F232" t="s">
        <v>2442</v>
      </c>
      <c r="G232" s="17" t="str">
        <f t="shared" si="6"/>
        <v>COB_CAT.CAT_ID</v>
      </c>
      <c r="H232" s="17" t="str">
        <f t="shared" si="7"/>
        <v>USER_FIELD_DEFINITION.FIELD_NAME</v>
      </c>
      <c r="I232" s="29"/>
      <c r="J2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2" s="17"/>
    </row>
    <row r="233" spans="1:11" x14ac:dyDescent="0.2">
      <c r="A233" t="s">
        <v>2440</v>
      </c>
      <c r="B233" t="s">
        <v>2443</v>
      </c>
      <c r="C233" t="s">
        <v>2112</v>
      </c>
      <c r="D233" t="s">
        <v>1634</v>
      </c>
      <c r="E233" t="s">
        <v>68</v>
      </c>
      <c r="G233" s="17" t="str">
        <f t="shared" si="6"/>
        <v>COB_CAT .USR_ID</v>
      </c>
      <c r="H233" s="17" t="str">
        <f t="shared" si="7"/>
        <v>USER_FIELD_DEFINITION.LAST_MODIFIED_BY_USER_UID</v>
      </c>
      <c r="I233" s="29"/>
      <c r="J2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3" s="17"/>
    </row>
    <row r="234" spans="1:11" x14ac:dyDescent="0.2">
      <c r="A234" t="s">
        <v>2440</v>
      </c>
      <c r="B234" t="s">
        <v>2443</v>
      </c>
      <c r="C234" t="s">
        <v>35</v>
      </c>
      <c r="D234" t="s">
        <v>1634</v>
      </c>
      <c r="E234" t="s">
        <v>35</v>
      </c>
      <c r="G234" s="17" t="str">
        <f t="shared" si="6"/>
        <v>COB_CAT .SEQUENCE</v>
      </c>
      <c r="H234" s="17" t="str">
        <f t="shared" si="7"/>
        <v>USER_FIELD_DEFINITION.SEQUENCE</v>
      </c>
      <c r="I234" s="29"/>
      <c r="J2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4" s="17"/>
    </row>
    <row r="235" spans="1:11" x14ac:dyDescent="0.2">
      <c r="A235" t="s">
        <v>2440</v>
      </c>
      <c r="B235" t="s">
        <v>2443</v>
      </c>
      <c r="C235" t="s">
        <v>2111</v>
      </c>
      <c r="D235" t="s">
        <v>1634</v>
      </c>
      <c r="E235" t="s">
        <v>71</v>
      </c>
      <c r="G235" s="17" t="str">
        <f t="shared" si="6"/>
        <v>COB_CAT .LASTUPDATE</v>
      </c>
      <c r="H235" s="17" t="str">
        <f t="shared" si="7"/>
        <v>USER_FIELD_DEFINITION.LAST_MODIFIED_DATE</v>
      </c>
      <c r="I235" s="29"/>
      <c r="J2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5" s="17"/>
    </row>
    <row r="236" spans="1:11" x14ac:dyDescent="0.2">
      <c r="A236" t="s">
        <v>2440</v>
      </c>
      <c r="B236" t="s">
        <v>2207</v>
      </c>
      <c r="C236" t="s">
        <v>2208</v>
      </c>
      <c r="D236" t="s">
        <v>1634</v>
      </c>
      <c r="E236" t="s">
        <v>39</v>
      </c>
      <c r="F236" s="14" t="s">
        <v>2444</v>
      </c>
      <c r="G236" s="23" t="str">
        <f t="shared" si="6"/>
        <v>CODEFIELD.CODEFILE</v>
      </c>
      <c r="H236" s="23" t="str">
        <f t="shared" si="7"/>
        <v>USER_FIELD_DEFINITION.CODE_FILE_UID</v>
      </c>
      <c r="I236" s="30"/>
      <c r="J2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6" s="17"/>
    </row>
    <row r="237" spans="1:11" x14ac:dyDescent="0.2">
      <c r="A237" t="s">
        <v>2440</v>
      </c>
      <c r="B237" t="s">
        <v>2207</v>
      </c>
      <c r="C237" t="s">
        <v>2445</v>
      </c>
      <c r="D237" t="s">
        <v>1634</v>
      </c>
      <c r="E237" s="9" t="s">
        <v>1643</v>
      </c>
      <c r="F237" s="9" t="s">
        <v>2446</v>
      </c>
      <c r="G237" s="25" t="str">
        <f t="shared" si="6"/>
        <v>CODEFIELD.CODE_PROMPT</v>
      </c>
      <c r="H237" s="25" t="str">
        <f t="shared" si="7"/>
        <v>USER_FIELD_DEFINITION.FIELD_LABEL</v>
      </c>
      <c r="I237" s="33"/>
      <c r="J2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7" s="17"/>
    </row>
    <row r="238" spans="1:11" x14ac:dyDescent="0.2">
      <c r="A238" t="s">
        <v>2440</v>
      </c>
      <c r="B238" t="s">
        <v>2207</v>
      </c>
      <c r="C238" t="s">
        <v>2447</v>
      </c>
      <c r="D238" t="s">
        <v>1634</v>
      </c>
      <c r="E238" t="s">
        <v>1256</v>
      </c>
      <c r="G238" s="17" t="str">
        <f t="shared" si="6"/>
        <v>CODEFIELD.CODE_VALID</v>
      </c>
      <c r="H238" s="17" t="str">
        <f t="shared" si="7"/>
        <v>USER_FIELD_DEFINITION.REQUIRED</v>
      </c>
      <c r="I238" s="29"/>
      <c r="J2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8" s="17"/>
    </row>
    <row r="239" spans="1:11" x14ac:dyDescent="0.2">
      <c r="A239" t="s">
        <v>2440</v>
      </c>
      <c r="B239" t="s">
        <v>2448</v>
      </c>
      <c r="D239" t="s">
        <v>1620</v>
      </c>
      <c r="E239" t="s">
        <v>30</v>
      </c>
      <c r="G239" s="17" t="str">
        <f t="shared" si="6"/>
        <v>OPP_CRA.</v>
      </c>
      <c r="H239" s="17" t="str">
        <f t="shared" si="7"/>
        <v>USER_CODE_VALUE.ROW_UID</v>
      </c>
      <c r="I239" s="29"/>
      <c r="J2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39" s="17"/>
    </row>
    <row r="240" spans="1:11" hidden="1" x14ac:dyDescent="0.2">
      <c r="A240" t="s">
        <v>2440</v>
      </c>
      <c r="B240" t="s">
        <v>2262</v>
      </c>
      <c r="C240" t="s">
        <v>2264</v>
      </c>
      <c r="D240" t="s">
        <v>1600</v>
      </c>
      <c r="E240" t="s">
        <v>30</v>
      </c>
      <c r="G240" s="17" t="str">
        <f t="shared" si="6"/>
        <v>WST_ACL.ACL_UID</v>
      </c>
      <c r="H240" s="17" t="str">
        <f t="shared" si="7"/>
        <v>ACCESS_CONTROL_ENTRY.ROW_UID</v>
      </c>
      <c r="I240" s="29"/>
      <c r="J2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0" s="17"/>
    </row>
    <row r="241" spans="1:11" hidden="1" x14ac:dyDescent="0.2">
      <c r="A241" t="s">
        <v>2440</v>
      </c>
      <c r="B241" t="s">
        <v>2262</v>
      </c>
      <c r="C241" t="s">
        <v>1997</v>
      </c>
      <c r="D241" t="s">
        <v>1600</v>
      </c>
      <c r="E241" t="s">
        <v>1602</v>
      </c>
      <c r="G241" s="17" t="str">
        <f t="shared" si="6"/>
        <v>WST_ACL.DIR_UID</v>
      </c>
      <c r="H241" s="17" t="str">
        <f t="shared" si="7"/>
        <v>ACCESS_CONTROL_ENTRY.ENTITY_UID</v>
      </c>
      <c r="I241" s="29"/>
      <c r="J2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1" s="17"/>
    </row>
    <row r="242" spans="1:11" hidden="1" x14ac:dyDescent="0.2">
      <c r="A242" t="s">
        <v>2440</v>
      </c>
      <c r="B242" t="s">
        <v>2262</v>
      </c>
      <c r="C242" t="s">
        <v>1935</v>
      </c>
      <c r="D242" t="s">
        <v>1600</v>
      </c>
      <c r="E242" t="s">
        <v>2449</v>
      </c>
      <c r="G242" s="17" t="str">
        <f t="shared" si="6"/>
        <v>WST_ACL.GRP_ID</v>
      </c>
      <c r="H242" s="17" t="str">
        <f t="shared" si="7"/>
        <v>ACCESS_CONTROL_ENTRY.GROUP_ID</v>
      </c>
      <c r="I242" s="29"/>
      <c r="J2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2" s="17"/>
    </row>
    <row r="243" spans="1:11" hidden="1" x14ac:dyDescent="0.2">
      <c r="A243" t="s">
        <v>2440</v>
      </c>
      <c r="B243" t="s">
        <v>2262</v>
      </c>
      <c r="C243" t="s">
        <v>2112</v>
      </c>
      <c r="D243" t="s">
        <v>1600</v>
      </c>
      <c r="E243" t="s">
        <v>1605</v>
      </c>
      <c r="G243" s="17" t="str">
        <f t="shared" si="6"/>
        <v>WST_ACL.USR_ID</v>
      </c>
      <c r="H243" s="17" t="str">
        <f t="shared" si="7"/>
        <v>ACCESS_CONTROL_ENTRY.USER_UID</v>
      </c>
      <c r="I243" s="29"/>
      <c r="J2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3" s="17"/>
    </row>
    <row r="244" spans="1:11" hidden="1" x14ac:dyDescent="0.2">
      <c r="A244" t="s">
        <v>2440</v>
      </c>
      <c r="B244" t="s">
        <v>2262</v>
      </c>
      <c r="C244" t="s">
        <v>2265</v>
      </c>
      <c r="D244" t="s">
        <v>1600</v>
      </c>
      <c r="E244" t="s">
        <v>2450</v>
      </c>
      <c r="G244" s="17" t="str">
        <f t="shared" si="6"/>
        <v>WST_ACL.ROL_ID</v>
      </c>
      <c r="H244" s="17" t="str">
        <f t="shared" si="7"/>
        <v>ACCESS_CONTROL_ENTRY.ROLE_ID</v>
      </c>
      <c r="I244" s="29"/>
      <c r="J2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4" s="17"/>
    </row>
    <row r="245" spans="1:11" hidden="1" x14ac:dyDescent="0.2">
      <c r="A245" t="s">
        <v>2440</v>
      </c>
      <c r="B245" t="s">
        <v>2262</v>
      </c>
      <c r="C245" t="s">
        <v>1312</v>
      </c>
      <c r="D245" t="s">
        <v>1600</v>
      </c>
      <c r="E245" t="s">
        <v>1613</v>
      </c>
      <c r="G245" s="17" t="str">
        <f t="shared" si="6"/>
        <v>WST_ACL.READONLY</v>
      </c>
      <c r="H245" s="17" t="str">
        <f t="shared" si="7"/>
        <v>ACCESS_CONTROL_ENTRY.VIEWONLY</v>
      </c>
      <c r="I245" s="29"/>
      <c r="J2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45" s="17"/>
    </row>
    <row r="246" spans="1:11" hidden="1" x14ac:dyDescent="0.2">
      <c r="A246" t="s">
        <v>2440</v>
      </c>
      <c r="B246" t="s">
        <v>2262</v>
      </c>
      <c r="C246" t="s">
        <v>2264</v>
      </c>
      <c r="D246" t="s">
        <v>1600</v>
      </c>
      <c r="E246" t="s">
        <v>2264</v>
      </c>
      <c r="F246" s="40"/>
      <c r="G246" s="39" t="str">
        <f t="shared" si="6"/>
        <v>WST_ACL.ACL_UID</v>
      </c>
      <c r="H246" s="39" t="str">
        <f t="shared" si="7"/>
        <v>ACCESS_CONTROL_ENTRY.ACL_UID</v>
      </c>
      <c r="I246" s="35"/>
      <c r="J246" s="39"/>
      <c r="K246" s="39"/>
    </row>
    <row r="247" spans="1:11" hidden="1" x14ac:dyDescent="0.2">
      <c r="A247" t="s">
        <v>2440</v>
      </c>
      <c r="B247" t="s">
        <v>2262</v>
      </c>
      <c r="C247" t="s">
        <v>1997</v>
      </c>
      <c r="D247" t="s">
        <v>1600</v>
      </c>
      <c r="E247" t="s">
        <v>1997</v>
      </c>
      <c r="F247" s="40"/>
      <c r="G247" s="39" t="str">
        <f t="shared" si="6"/>
        <v>WST_ACL.DIR_UID</v>
      </c>
      <c r="H247" s="39" t="str">
        <f t="shared" si="7"/>
        <v>ACCESS_CONTROL_ENTRY.DIR_UID</v>
      </c>
      <c r="I247" s="35"/>
      <c r="J247" s="39"/>
      <c r="K247" s="39"/>
    </row>
    <row r="248" spans="1:11" hidden="1" x14ac:dyDescent="0.2">
      <c r="A248" t="s">
        <v>2440</v>
      </c>
      <c r="B248" t="s">
        <v>2262</v>
      </c>
      <c r="C248" t="s">
        <v>1935</v>
      </c>
      <c r="D248" t="s">
        <v>1600</v>
      </c>
      <c r="E248" t="s">
        <v>1935</v>
      </c>
      <c r="F248" s="40"/>
      <c r="G248" s="39" t="str">
        <f t="shared" si="6"/>
        <v>WST_ACL.GRP_ID</v>
      </c>
      <c r="H248" s="39" t="str">
        <f t="shared" si="7"/>
        <v>ACCESS_CONTROL_ENTRY.GRP_ID</v>
      </c>
      <c r="I248" s="35"/>
      <c r="J248" s="39"/>
      <c r="K248" s="39"/>
    </row>
    <row r="249" spans="1:11" hidden="1" x14ac:dyDescent="0.2">
      <c r="A249" t="s">
        <v>2440</v>
      </c>
      <c r="B249" t="s">
        <v>2262</v>
      </c>
      <c r="C249" t="s">
        <v>2112</v>
      </c>
      <c r="D249" t="s">
        <v>1600</v>
      </c>
      <c r="E249" t="s">
        <v>2112</v>
      </c>
      <c r="F249" s="40"/>
      <c r="G249" s="39" t="str">
        <f t="shared" si="6"/>
        <v>WST_ACL.USR_ID</v>
      </c>
      <c r="H249" s="39" t="str">
        <f t="shared" si="7"/>
        <v>ACCESS_CONTROL_ENTRY.USR_ID</v>
      </c>
      <c r="I249" s="35"/>
      <c r="J249" s="39"/>
      <c r="K249" s="39"/>
    </row>
    <row r="250" spans="1:11" hidden="1" x14ac:dyDescent="0.2">
      <c r="A250" t="s">
        <v>2440</v>
      </c>
      <c r="B250" t="s">
        <v>2262</v>
      </c>
      <c r="C250" t="s">
        <v>2265</v>
      </c>
      <c r="D250" t="s">
        <v>1600</v>
      </c>
      <c r="E250" t="s">
        <v>2265</v>
      </c>
      <c r="F250" s="40"/>
      <c r="G250" s="39" t="str">
        <f t="shared" si="6"/>
        <v>WST_ACL.ROL_ID</v>
      </c>
      <c r="H250" s="39" t="str">
        <f t="shared" si="7"/>
        <v>ACCESS_CONTROL_ENTRY.ROL_ID</v>
      </c>
      <c r="I250" s="35"/>
      <c r="J250" s="39"/>
      <c r="K250" s="39"/>
    </row>
    <row r="251" spans="1:11" x14ac:dyDescent="0.2">
      <c r="A251" t="s">
        <v>2440</v>
      </c>
      <c r="B251" t="s">
        <v>2289</v>
      </c>
      <c r="C251" t="s">
        <v>1312</v>
      </c>
      <c r="D251" t="s">
        <v>1655</v>
      </c>
      <c r="E251" t="s">
        <v>1312</v>
      </c>
      <c r="F251" t="s">
        <v>2451</v>
      </c>
      <c r="G251" s="17" t="str">
        <f t="shared" si="6"/>
        <v>WST_NTX.READONLY</v>
      </c>
      <c r="H251" s="17" t="str">
        <f t="shared" si="7"/>
        <v>USER_FIELD_VALUE.READONLY</v>
      </c>
      <c r="I251" s="29"/>
      <c r="J2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1" s="17"/>
    </row>
    <row r="252" spans="1:11" x14ac:dyDescent="0.2">
      <c r="A252" t="s">
        <v>2440</v>
      </c>
      <c r="B252" t="s">
        <v>2289</v>
      </c>
      <c r="D252" t="s">
        <v>1788</v>
      </c>
      <c r="E252" t="s">
        <v>30</v>
      </c>
      <c r="F252" t="s">
        <v>2452</v>
      </c>
      <c r="G252" s="17" t="str">
        <f t="shared" si="6"/>
        <v>WST_NTX.</v>
      </c>
      <c r="H252" s="17" t="str">
        <f t="shared" si="7"/>
        <v>USER_NOTE_VALUE.ROW_UID</v>
      </c>
      <c r="I252" s="29"/>
      <c r="J2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2" s="17"/>
    </row>
    <row r="253" spans="1:11" x14ac:dyDescent="0.2">
      <c r="A253" t="s">
        <v>2440</v>
      </c>
      <c r="B253" t="s">
        <v>2453</v>
      </c>
      <c r="C253" t="s">
        <v>1997</v>
      </c>
      <c r="D253" t="s">
        <v>1634</v>
      </c>
      <c r="E253" t="s">
        <v>278</v>
      </c>
      <c r="F253" t="s">
        <v>2454</v>
      </c>
      <c r="G253" s="17" t="str">
        <f t="shared" si="6"/>
        <v>WST_SCA.DIR_UID</v>
      </c>
      <c r="H253" s="17" t="str">
        <f t="shared" si="7"/>
        <v>USER_FIELD_DEFINITION.PRIMARY_ENTITY_UID</v>
      </c>
      <c r="I253" s="29"/>
      <c r="J2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3" s="17"/>
    </row>
    <row r="254" spans="1:11" x14ac:dyDescent="0.2">
      <c r="A254" t="s">
        <v>2440</v>
      </c>
      <c r="B254" t="s">
        <v>2294</v>
      </c>
      <c r="C254" t="s">
        <v>2296</v>
      </c>
      <c r="D254" t="s">
        <v>1634</v>
      </c>
      <c r="E254" t="s">
        <v>1646</v>
      </c>
      <c r="G254" s="17" t="str">
        <f t="shared" si="6"/>
        <v>WST_UDF.FIELD_TYPE</v>
      </c>
      <c r="H254" s="17" t="str">
        <f t="shared" si="7"/>
        <v>USER_FIELD_DEFINITION.FIELD_DATA_TYPE</v>
      </c>
      <c r="I254" s="29"/>
      <c r="J2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4" s="17"/>
    </row>
    <row r="255" spans="1:11" x14ac:dyDescent="0.2">
      <c r="A255" t="s">
        <v>2440</v>
      </c>
      <c r="B255" t="s">
        <v>2294</v>
      </c>
      <c r="C255" t="s">
        <v>15</v>
      </c>
      <c r="D255" t="s">
        <v>1634</v>
      </c>
      <c r="E255" t="s">
        <v>15</v>
      </c>
      <c r="G255" s="17" t="str">
        <f t="shared" si="6"/>
        <v>WST_UDF.DESCRIPTION</v>
      </c>
      <c r="H255" s="17" t="str">
        <f t="shared" si="7"/>
        <v>USER_FIELD_DEFINITION.DESCRIPTION</v>
      </c>
      <c r="I255" s="29"/>
      <c r="J2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5" s="17"/>
    </row>
    <row r="256" spans="1:11" hidden="1" x14ac:dyDescent="0.2">
      <c r="A256" t="s">
        <v>2440</v>
      </c>
      <c r="B256" s="14" t="s">
        <v>2294</v>
      </c>
      <c r="C256" s="14" t="s">
        <v>2299</v>
      </c>
      <c r="D256" s="14"/>
      <c r="E256" s="14"/>
      <c r="F256" s="14" t="s">
        <v>2455</v>
      </c>
      <c r="G256" s="23" t="str">
        <f t="shared" si="6"/>
        <v>WST_UDF.LOOKUP_TABLE_TYPE</v>
      </c>
      <c r="H256" s="23" t="str">
        <f t="shared" si="7"/>
        <v>.</v>
      </c>
      <c r="I256" s="30" t="s">
        <v>2411</v>
      </c>
      <c r="J2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USER_FIELD_DEFINITION.LOOKUP_TABLE_TYPE</v>
      </c>
      <c r="K256" s="17"/>
    </row>
    <row r="257" spans="1:11" hidden="1" x14ac:dyDescent="0.2">
      <c r="A257" t="s">
        <v>2440</v>
      </c>
      <c r="B257" s="14" t="s">
        <v>2294</v>
      </c>
      <c r="C257" s="14" t="s">
        <v>2298</v>
      </c>
      <c r="D257" s="14"/>
      <c r="E257" s="14"/>
      <c r="F257" s="14" t="s">
        <v>2455</v>
      </c>
      <c r="G257" s="23" t="str">
        <f t="shared" si="6"/>
        <v>WST_UDF.LOOKUP_TABLE_NAME</v>
      </c>
      <c r="H257" s="23" t="str">
        <f t="shared" si="7"/>
        <v>.</v>
      </c>
      <c r="I257" s="30" t="s">
        <v>2411</v>
      </c>
      <c r="J2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USER_FIELD_DEFINITION.LOOKUP_TABLE_NAME</v>
      </c>
      <c r="K257" s="17"/>
    </row>
    <row r="258" spans="1:11" hidden="1" x14ac:dyDescent="0.2">
      <c r="A258" t="s">
        <v>2440</v>
      </c>
      <c r="B258" s="14" t="s">
        <v>2294</v>
      </c>
      <c r="C258" s="14" t="s">
        <v>2297</v>
      </c>
      <c r="D258" s="14"/>
      <c r="E258" s="14"/>
      <c r="F258" s="14" t="s">
        <v>2455</v>
      </c>
      <c r="G258" s="23" t="str">
        <f t="shared" ref="G258:G326" si="8">_xlfn.CONCAT(B258,".",C258)</f>
        <v>WST_UDF.LOOKUP_FIELD</v>
      </c>
      <c r="H258" s="23" t="str">
        <f t="shared" ref="H258:H326" si="9">_xlfn.CONCAT(D258,".",E258)</f>
        <v>.</v>
      </c>
      <c r="I258" s="30" t="s">
        <v>2411</v>
      </c>
      <c r="J2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USER_FIELD_DEFINITION.LOOKUP_FIELD</v>
      </c>
      <c r="K258" s="17"/>
    </row>
    <row r="259" spans="1:11" hidden="1" x14ac:dyDescent="0.2">
      <c r="A259" t="s">
        <v>2440</v>
      </c>
      <c r="D259" t="s">
        <v>1600</v>
      </c>
      <c r="E259" t="s">
        <v>35</v>
      </c>
      <c r="G259" s="17" t="str">
        <f t="shared" si="8"/>
        <v>.</v>
      </c>
      <c r="H259" s="17" t="str">
        <f t="shared" si="9"/>
        <v>ACCESS_CONTROL_ENTRY.SEQUENCE</v>
      </c>
      <c r="I259" s="29"/>
      <c r="J2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59" s="17"/>
    </row>
    <row r="260" spans="1:11" hidden="1" x14ac:dyDescent="0.2">
      <c r="A260" t="s">
        <v>2440</v>
      </c>
      <c r="D260" t="s">
        <v>1600</v>
      </c>
      <c r="E260" s="18" t="s">
        <v>61</v>
      </c>
      <c r="G260" s="17" t="str">
        <f t="shared" si="8"/>
        <v>.</v>
      </c>
      <c r="H260" s="17" t="str">
        <f t="shared" si="9"/>
        <v>ACCESS_CONTROL_ENTRY.CREATED_BY_USER_UID</v>
      </c>
      <c r="I260" s="29"/>
      <c r="J2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0" s="17"/>
    </row>
    <row r="261" spans="1:11" hidden="1" x14ac:dyDescent="0.2">
      <c r="A261" t="s">
        <v>2440</v>
      </c>
      <c r="D261" t="s">
        <v>1600</v>
      </c>
      <c r="E261" t="s">
        <v>64</v>
      </c>
      <c r="G261" s="17" t="str">
        <f t="shared" si="8"/>
        <v>.</v>
      </c>
      <c r="H261" s="17" t="str">
        <f t="shared" si="9"/>
        <v>ACCESS_CONTROL_ENTRY.CREATED_DATE</v>
      </c>
      <c r="I261" s="29"/>
      <c r="J2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1" s="17"/>
    </row>
    <row r="262" spans="1:11" hidden="1" x14ac:dyDescent="0.2">
      <c r="A262" t="s">
        <v>2440</v>
      </c>
      <c r="D262" t="s">
        <v>1600</v>
      </c>
      <c r="E262" t="s">
        <v>68</v>
      </c>
      <c r="G262" s="17" t="str">
        <f t="shared" si="8"/>
        <v>.</v>
      </c>
      <c r="H262" s="17" t="str">
        <f t="shared" si="9"/>
        <v>ACCESS_CONTROL_ENTRY.LAST_MODIFIED_BY_USER_UID</v>
      </c>
      <c r="I262" s="29"/>
      <c r="J2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2" s="17"/>
    </row>
    <row r="263" spans="1:11" hidden="1" x14ac:dyDescent="0.2">
      <c r="A263" t="s">
        <v>2440</v>
      </c>
      <c r="D263" t="s">
        <v>1600</v>
      </c>
      <c r="E263" t="s">
        <v>71</v>
      </c>
      <c r="G263" s="17" t="str">
        <f t="shared" si="8"/>
        <v>.</v>
      </c>
      <c r="H263" s="17" t="str">
        <f t="shared" si="9"/>
        <v>ACCESS_CONTROL_ENTRY.LAST_MODIFIED_DATE</v>
      </c>
      <c r="I263" s="29"/>
      <c r="J2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3" s="17"/>
    </row>
    <row r="264" spans="1:11" x14ac:dyDescent="0.2">
      <c r="A264" t="s">
        <v>2440</v>
      </c>
      <c r="D264" t="s">
        <v>1634</v>
      </c>
      <c r="E264" s="18" t="s">
        <v>61</v>
      </c>
      <c r="G264" s="17" t="str">
        <f t="shared" si="8"/>
        <v>.</v>
      </c>
      <c r="H264" s="17" t="str">
        <f t="shared" si="9"/>
        <v>USER_FIELD_DEFINITION.CREATED_BY_USER_UID</v>
      </c>
      <c r="I264" s="29"/>
      <c r="J2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4" s="17"/>
    </row>
    <row r="265" spans="1:11" x14ac:dyDescent="0.2">
      <c r="A265" t="s">
        <v>2440</v>
      </c>
      <c r="D265" t="s">
        <v>1634</v>
      </c>
      <c r="E265" t="s">
        <v>64</v>
      </c>
      <c r="G265" s="17" t="str">
        <f t="shared" si="8"/>
        <v>.</v>
      </c>
      <c r="H265" s="17" t="str">
        <f t="shared" si="9"/>
        <v>USER_FIELD_DEFINITION.CREATED_DATE</v>
      </c>
      <c r="I265" s="29"/>
      <c r="J2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5" s="17"/>
    </row>
    <row r="266" spans="1:11" x14ac:dyDescent="0.2">
      <c r="A266" t="s">
        <v>2440</v>
      </c>
      <c r="D266" t="s">
        <v>1655</v>
      </c>
      <c r="E266" t="s">
        <v>1655</v>
      </c>
      <c r="F266" t="s">
        <v>2456</v>
      </c>
      <c r="G266" s="17" t="str">
        <f t="shared" si="8"/>
        <v>.</v>
      </c>
      <c r="H266" s="17" t="str">
        <f t="shared" si="9"/>
        <v>USER_FIELD_VALUE.USER_FIELD_VALUE</v>
      </c>
      <c r="I266" s="29"/>
      <c r="J2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6" s="17"/>
    </row>
    <row r="267" spans="1:11" x14ac:dyDescent="0.2">
      <c r="A267" t="s">
        <v>2440</v>
      </c>
      <c r="D267" t="s">
        <v>1788</v>
      </c>
      <c r="E267" t="s">
        <v>35</v>
      </c>
      <c r="G267" s="17" t="str">
        <f t="shared" si="8"/>
        <v>.</v>
      </c>
      <c r="H267" s="17" t="str">
        <f t="shared" si="9"/>
        <v>USER_NOTE_VALUE.SEQUENCE</v>
      </c>
      <c r="I267" s="29"/>
      <c r="J2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7" s="17"/>
    </row>
    <row r="268" spans="1:11" x14ac:dyDescent="0.2">
      <c r="A268" t="s">
        <v>2440</v>
      </c>
      <c r="D268" t="s">
        <v>1788</v>
      </c>
      <c r="E268" t="s">
        <v>1602</v>
      </c>
      <c r="G268" s="17" t="str">
        <f t="shared" si="8"/>
        <v>.</v>
      </c>
      <c r="H268" s="17" t="str">
        <f t="shared" si="9"/>
        <v>USER_NOTE_VALUE.ENTITY_UID</v>
      </c>
      <c r="I268" s="29"/>
      <c r="J2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8" s="17"/>
    </row>
    <row r="269" spans="1:11" x14ac:dyDescent="0.2">
      <c r="A269" t="s">
        <v>2440</v>
      </c>
      <c r="D269" t="s">
        <v>1788</v>
      </c>
      <c r="E269" t="s">
        <v>98</v>
      </c>
      <c r="G269" s="17" t="str">
        <f t="shared" si="8"/>
        <v>.</v>
      </c>
      <c r="H269" s="17" t="str">
        <f t="shared" si="9"/>
        <v>USER_NOTE_VALUE.FIELD_NAME</v>
      </c>
      <c r="I269" s="29"/>
      <c r="J2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69" s="17"/>
    </row>
    <row r="270" spans="1:11" x14ac:dyDescent="0.2">
      <c r="A270" t="s">
        <v>2440</v>
      </c>
      <c r="D270" t="s">
        <v>1788</v>
      </c>
      <c r="E270" s="18" t="s">
        <v>61</v>
      </c>
      <c r="G270" s="17" t="str">
        <f t="shared" si="8"/>
        <v>.</v>
      </c>
      <c r="H270" s="17" t="str">
        <f t="shared" si="9"/>
        <v>USER_NOTE_VALUE.CREATED_BY_USER_UID</v>
      </c>
      <c r="I270" s="29"/>
      <c r="J2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0" s="17"/>
    </row>
    <row r="271" spans="1:11" x14ac:dyDescent="0.2">
      <c r="A271" t="s">
        <v>2440</v>
      </c>
      <c r="D271" t="s">
        <v>1788</v>
      </c>
      <c r="E271" t="s">
        <v>64</v>
      </c>
      <c r="G271" s="17" t="str">
        <f t="shared" si="8"/>
        <v>.</v>
      </c>
      <c r="H271" s="17" t="str">
        <f t="shared" si="9"/>
        <v>USER_NOTE_VALUE.CREATED_DATE</v>
      </c>
      <c r="I271" s="29"/>
      <c r="J2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1" s="17"/>
    </row>
    <row r="272" spans="1:11" x14ac:dyDescent="0.2">
      <c r="A272" t="s">
        <v>2440</v>
      </c>
      <c r="D272" t="s">
        <v>1788</v>
      </c>
      <c r="E272" t="s">
        <v>68</v>
      </c>
      <c r="G272" s="17" t="str">
        <f t="shared" si="8"/>
        <v>.</v>
      </c>
      <c r="H272" s="17" t="str">
        <f t="shared" si="9"/>
        <v>USER_NOTE_VALUE.LAST_MODIFIED_BY_USER_UID</v>
      </c>
      <c r="I272" s="29"/>
      <c r="J2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2" s="17"/>
    </row>
    <row r="273" spans="1:11" x14ac:dyDescent="0.2">
      <c r="A273" t="s">
        <v>2440</v>
      </c>
      <c r="D273" t="s">
        <v>1788</v>
      </c>
      <c r="E273" t="s">
        <v>71</v>
      </c>
      <c r="G273" s="17" t="str">
        <f t="shared" si="8"/>
        <v>.</v>
      </c>
      <c r="H273" s="17" t="str">
        <f t="shared" si="9"/>
        <v>USER_NOTE_VALUE.LAST_MODIFIED_DATE</v>
      </c>
      <c r="I273" s="29"/>
      <c r="J2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3" s="17"/>
    </row>
    <row r="274" spans="1:11" x14ac:dyDescent="0.2">
      <c r="A274" t="s">
        <v>2440</v>
      </c>
      <c r="D274" t="s">
        <v>1788</v>
      </c>
      <c r="E274" t="s">
        <v>1796</v>
      </c>
      <c r="G274" s="17" t="str">
        <f t="shared" si="8"/>
        <v>.</v>
      </c>
      <c r="H274" s="17" t="str">
        <f t="shared" si="9"/>
        <v>USER_NOTE_VALUE.FIELD_VALUE</v>
      </c>
      <c r="I274" s="29"/>
      <c r="J2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4" s="17"/>
    </row>
    <row r="275" spans="1:11" x14ac:dyDescent="0.2">
      <c r="A275" t="s">
        <v>2440</v>
      </c>
      <c r="D275" t="s">
        <v>1620</v>
      </c>
      <c r="E275" t="s">
        <v>35</v>
      </c>
      <c r="G275" s="17" t="str">
        <f t="shared" si="8"/>
        <v>.</v>
      </c>
      <c r="H275" s="17" t="str">
        <f t="shared" si="9"/>
        <v>USER_CODE_VALUE.SEQUENCE</v>
      </c>
      <c r="I275" s="29"/>
      <c r="J2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5" s="17"/>
    </row>
    <row r="276" spans="1:11" x14ac:dyDescent="0.2">
      <c r="A276" t="s">
        <v>2440</v>
      </c>
      <c r="D276" t="s">
        <v>1620</v>
      </c>
      <c r="E276" t="s">
        <v>278</v>
      </c>
      <c r="G276" s="17" t="str">
        <f t="shared" si="8"/>
        <v>.</v>
      </c>
      <c r="H276" s="17" t="str">
        <f t="shared" si="9"/>
        <v>USER_CODE_VALUE.PRIMARY_ENTITY_UID</v>
      </c>
      <c r="I276" s="29"/>
      <c r="J2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6" s="17"/>
    </row>
    <row r="277" spans="1:11" x14ac:dyDescent="0.2">
      <c r="A277" t="s">
        <v>2440</v>
      </c>
      <c r="D277" t="s">
        <v>1620</v>
      </c>
      <c r="E277" t="s">
        <v>1602</v>
      </c>
      <c r="G277" s="17" t="str">
        <f t="shared" si="8"/>
        <v>.</v>
      </c>
      <c r="H277" s="17" t="str">
        <f t="shared" si="9"/>
        <v>USER_CODE_VALUE.ENTITY_UID</v>
      </c>
      <c r="I277" s="29"/>
      <c r="J2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7" s="17"/>
    </row>
    <row r="278" spans="1:11" x14ac:dyDescent="0.2">
      <c r="A278" t="s">
        <v>2440</v>
      </c>
      <c r="D278" t="s">
        <v>1620</v>
      </c>
      <c r="E278" t="s">
        <v>98</v>
      </c>
      <c r="G278" s="17" t="str">
        <f t="shared" si="8"/>
        <v>.</v>
      </c>
      <c r="H278" s="17" t="str">
        <f t="shared" si="9"/>
        <v>USER_CODE_VALUE.FIELD_NAME</v>
      </c>
      <c r="I278" s="29"/>
      <c r="J2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8" s="17"/>
    </row>
    <row r="279" spans="1:11" x14ac:dyDescent="0.2">
      <c r="A279" t="s">
        <v>2440</v>
      </c>
      <c r="D279" t="s">
        <v>1620</v>
      </c>
      <c r="E279" t="s">
        <v>1626</v>
      </c>
      <c r="G279" s="17" t="str">
        <f t="shared" si="8"/>
        <v>.</v>
      </c>
      <c r="H279" s="17" t="str">
        <f t="shared" si="9"/>
        <v>USER_CODE_VALUE.CODE_UID</v>
      </c>
      <c r="I279" s="29"/>
      <c r="J2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79" s="17"/>
    </row>
    <row r="280" spans="1:11" x14ac:dyDescent="0.2">
      <c r="A280" t="s">
        <v>2440</v>
      </c>
      <c r="D280" t="s">
        <v>1620</v>
      </c>
      <c r="E280" s="18" t="s">
        <v>61</v>
      </c>
      <c r="G280" s="17" t="str">
        <f t="shared" si="8"/>
        <v>.</v>
      </c>
      <c r="H280" s="17" t="str">
        <f t="shared" si="9"/>
        <v>USER_CODE_VALUE.CREATED_BY_USER_UID</v>
      </c>
      <c r="I280" s="29"/>
      <c r="J2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0" s="17"/>
    </row>
    <row r="281" spans="1:11" x14ac:dyDescent="0.2">
      <c r="A281" t="s">
        <v>2440</v>
      </c>
      <c r="D281" t="s">
        <v>1620</v>
      </c>
      <c r="E281" t="s">
        <v>64</v>
      </c>
      <c r="G281" s="17" t="str">
        <f t="shared" si="8"/>
        <v>.</v>
      </c>
      <c r="H281" s="17" t="str">
        <f t="shared" si="9"/>
        <v>USER_CODE_VALUE.CREATED_DATE</v>
      </c>
      <c r="I281" s="29"/>
      <c r="J2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1" s="17"/>
    </row>
    <row r="282" spans="1:11" s="14" customFormat="1" x14ac:dyDescent="0.2">
      <c r="A282" t="s">
        <v>2440</v>
      </c>
      <c r="B282"/>
      <c r="C282"/>
      <c r="D282" t="s">
        <v>1620</v>
      </c>
      <c r="E282" t="s">
        <v>68</v>
      </c>
      <c r="F282"/>
      <c r="G282" s="17" t="str">
        <f t="shared" si="8"/>
        <v>.</v>
      </c>
      <c r="H282" s="17" t="str">
        <f t="shared" si="9"/>
        <v>USER_CODE_VALUE.LAST_MODIFIED_BY_USER_UID</v>
      </c>
      <c r="I282" s="29"/>
      <c r="J2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2" s="17"/>
    </row>
    <row r="283" spans="1:11" x14ac:dyDescent="0.2">
      <c r="A283" t="s">
        <v>2440</v>
      </c>
      <c r="D283" t="s">
        <v>1620</v>
      </c>
      <c r="E283" t="s">
        <v>71</v>
      </c>
      <c r="G283" s="17" t="str">
        <f t="shared" si="8"/>
        <v>.</v>
      </c>
      <c r="H283" s="17" t="str">
        <f t="shared" si="9"/>
        <v>USER_CODE_VALUE.LAST_MODIFIED_DATE</v>
      </c>
      <c r="I283" s="29"/>
      <c r="J2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3" s="17"/>
    </row>
    <row r="284" spans="1:11" hidden="1" x14ac:dyDescent="0.2">
      <c r="A284" s="20" t="s">
        <v>450</v>
      </c>
      <c r="B284" s="17" t="s">
        <v>2123</v>
      </c>
      <c r="C284" s="17" t="s">
        <v>744</v>
      </c>
      <c r="D284" s="17" t="s">
        <v>852</v>
      </c>
      <c r="E284" s="17" t="s">
        <v>744</v>
      </c>
      <c r="F284" s="21"/>
      <c r="G284" s="21" t="str">
        <f t="shared" si="8"/>
        <v>BASEDETL.PROGRAM</v>
      </c>
      <c r="H284" s="21" t="str">
        <f t="shared" si="9"/>
        <v>PROJECT_AUDIT_LOG_TPHASE.PROGRAM</v>
      </c>
      <c r="I284" s="35"/>
      <c r="J2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4" s="17"/>
    </row>
    <row r="285" spans="1:11" hidden="1" x14ac:dyDescent="0.2">
      <c r="A285" s="20" t="s">
        <v>450</v>
      </c>
      <c r="B285" s="39" t="s">
        <v>2123</v>
      </c>
      <c r="C285" s="39" t="s">
        <v>744</v>
      </c>
      <c r="D285" s="39" t="s">
        <v>852</v>
      </c>
      <c r="E285" s="39" t="s">
        <v>770</v>
      </c>
      <c r="F285" s="40"/>
      <c r="G285" s="40" t="str">
        <f>_xlfn.CONCAT(B285,".",C285)</f>
        <v>BASEDETL.PROGRAM</v>
      </c>
      <c r="H285" s="40" t="str">
        <f>_xlfn.CONCAT(D285,".",E285)</f>
        <v>PROJECT_AUDIT_LOG_TPHASE.PROJECT_UID</v>
      </c>
      <c r="I285" s="35"/>
      <c r="J285" s="39"/>
      <c r="K285" s="39"/>
    </row>
    <row r="286" spans="1:11" ht="16" hidden="1" x14ac:dyDescent="0.2">
      <c r="A286" s="20" t="s">
        <v>450</v>
      </c>
      <c r="B286" s="17" t="s">
        <v>2123</v>
      </c>
      <c r="C286" s="17" t="s">
        <v>2125</v>
      </c>
      <c r="D286" s="17" t="s">
        <v>852</v>
      </c>
      <c r="E286" s="17" t="s">
        <v>857</v>
      </c>
      <c r="F286" s="21" t="s">
        <v>2457</v>
      </c>
      <c r="G286" s="21" t="str">
        <f t="shared" si="8"/>
        <v>BASEDETL.FSC_DATE</v>
      </c>
      <c r="H286" s="21" t="str">
        <f t="shared" si="9"/>
        <v>PROJECT_AUDIT_LOG_TPHASE.TPHASE_DATE</v>
      </c>
      <c r="I286" s="35"/>
      <c r="J2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6" s="17"/>
    </row>
    <row r="287" spans="1:11" hidden="1" x14ac:dyDescent="0.2">
      <c r="A287" s="20" t="s">
        <v>450</v>
      </c>
      <c r="B287" s="17" t="s">
        <v>2123</v>
      </c>
      <c r="C287" s="17" t="s">
        <v>299</v>
      </c>
      <c r="D287" s="17" t="s">
        <v>852</v>
      </c>
      <c r="E287" s="17" t="s">
        <v>299</v>
      </c>
      <c r="F287" s="21"/>
      <c r="G287" s="21" t="str">
        <f t="shared" si="8"/>
        <v>BASEDETL.HOURS</v>
      </c>
      <c r="H287" s="21" t="str">
        <f t="shared" si="9"/>
        <v>PROJECT_AUDIT_LOG_TPHASE.HOURS</v>
      </c>
      <c r="I287" s="35"/>
      <c r="J2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7" s="17"/>
    </row>
    <row r="288" spans="1:11" hidden="1" x14ac:dyDescent="0.2">
      <c r="A288" s="20" t="s">
        <v>450</v>
      </c>
      <c r="B288" s="17" t="s">
        <v>2123</v>
      </c>
      <c r="C288" s="17" t="s">
        <v>794</v>
      </c>
      <c r="D288" s="17" t="s">
        <v>852</v>
      </c>
      <c r="E288" s="17" t="s">
        <v>794</v>
      </c>
      <c r="F288" s="21"/>
      <c r="G288" s="21" t="str">
        <f t="shared" si="8"/>
        <v>BASEDETL.AMOUNT</v>
      </c>
      <c r="H288" s="21" t="str">
        <f t="shared" si="9"/>
        <v>PROJECT_AUDIT_LOG_TPHASE.AMOUNT</v>
      </c>
      <c r="I288" s="35"/>
      <c r="J2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8" s="17"/>
    </row>
    <row r="289" spans="1:11" hidden="1" x14ac:dyDescent="0.2">
      <c r="A289" s="14" t="s">
        <v>450</v>
      </c>
      <c r="B289" s="17" t="s">
        <v>2123</v>
      </c>
      <c r="C289" s="17" t="s">
        <v>2126</v>
      </c>
      <c r="D289" s="17" t="s">
        <v>852</v>
      </c>
      <c r="E289" s="17" t="s">
        <v>785</v>
      </c>
      <c r="F289" s="21"/>
      <c r="G289" s="21" t="str">
        <f t="shared" si="8"/>
        <v>BASEDETL.TRANS_UID</v>
      </c>
      <c r="H289" s="21" t="str">
        <f t="shared" si="9"/>
        <v>PROJECT_AUDIT_LOG_TPHASE.TRANSACTION_UID</v>
      </c>
      <c r="I289" s="35"/>
      <c r="J2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89" s="17"/>
    </row>
    <row r="290" spans="1:11" hidden="1" x14ac:dyDescent="0.2">
      <c r="A290" s="20" t="s">
        <v>450</v>
      </c>
      <c r="B290" s="17" t="s">
        <v>2127</v>
      </c>
      <c r="C290" s="17" t="s">
        <v>744</v>
      </c>
      <c r="D290" s="39" t="s">
        <v>831</v>
      </c>
      <c r="E290" s="17" t="s">
        <v>744</v>
      </c>
      <c r="F290" s="21"/>
      <c r="G290" s="21" t="str">
        <f t="shared" si="8"/>
        <v>BASEHIST.PROGRAM</v>
      </c>
      <c r="H290" s="21" t="str">
        <f t="shared" si="9"/>
        <v>PROJECT_AUDIT_LOG_HISTORY.PROGRAM</v>
      </c>
      <c r="I290" s="35"/>
      <c r="J2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0" s="17"/>
    </row>
    <row r="291" spans="1:11" hidden="1" x14ac:dyDescent="0.2">
      <c r="A291" s="20" t="s">
        <v>450</v>
      </c>
      <c r="B291" s="17" t="s">
        <v>2127</v>
      </c>
      <c r="C291" s="17" t="s">
        <v>744</v>
      </c>
      <c r="D291" s="39" t="s">
        <v>831</v>
      </c>
      <c r="E291" s="39" t="s">
        <v>770</v>
      </c>
      <c r="F291" s="40"/>
      <c r="G291" s="40" t="str">
        <f>_xlfn.CONCAT(B291,".",C291)</f>
        <v>BASEHIST.PROGRAM</v>
      </c>
      <c r="H291" s="40" t="str">
        <f>_xlfn.CONCAT(D291,".",E291)</f>
        <v>PROJECT_AUDIT_LOG_HISTORY.PROJECT_UID</v>
      </c>
      <c r="I291" s="35"/>
      <c r="J291" s="39"/>
      <c r="K291" s="39"/>
    </row>
    <row r="292" spans="1:11" hidden="1" x14ac:dyDescent="0.2">
      <c r="A292" s="20" t="s">
        <v>450</v>
      </c>
      <c r="B292" s="17" t="s">
        <v>2127</v>
      </c>
      <c r="C292" s="39" t="s">
        <v>1009</v>
      </c>
      <c r="D292" s="39" t="s">
        <v>831</v>
      </c>
      <c r="E292" s="39" t="s">
        <v>849</v>
      </c>
      <c r="F292" s="40"/>
      <c r="G292" s="40" t="str">
        <f>_xlfn.CONCAT(B292,".",C292)</f>
        <v>BASEHIST.CAWPID</v>
      </c>
      <c r="H292" s="40" t="str">
        <f>_xlfn.CONCAT(D292,".",E292)</f>
        <v>PROJECT_AUDIT_LOG_HISTORY.CAWP</v>
      </c>
      <c r="I292" s="35"/>
      <c r="J292" s="39"/>
      <c r="K292" s="39"/>
    </row>
    <row r="293" spans="1:11" hidden="1" x14ac:dyDescent="0.2">
      <c r="A293" s="20" t="s">
        <v>450</v>
      </c>
      <c r="B293" s="17" t="s">
        <v>2127</v>
      </c>
      <c r="C293" s="17" t="s">
        <v>1009</v>
      </c>
      <c r="D293" s="17" t="s">
        <v>831</v>
      </c>
      <c r="E293" s="17" t="s">
        <v>833</v>
      </c>
      <c r="F293" s="21"/>
      <c r="G293" s="21" t="str">
        <f t="shared" si="8"/>
        <v>BASEHIST.CAWPID</v>
      </c>
      <c r="H293" s="21" t="str">
        <f t="shared" si="9"/>
        <v>PROJECT_AUDIT_LOG_HISTORY.PROJECT_CAWP_UID</v>
      </c>
      <c r="I293" s="35"/>
      <c r="J2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3" s="17"/>
    </row>
    <row r="294" spans="1:11" hidden="1" x14ac:dyDescent="0.2">
      <c r="A294" s="20" t="s">
        <v>450</v>
      </c>
      <c r="B294" s="17" t="s">
        <v>2127</v>
      </c>
      <c r="C294" s="17" t="s">
        <v>2128</v>
      </c>
      <c r="D294" s="17" t="s">
        <v>831</v>
      </c>
      <c r="E294" s="17" t="s">
        <v>486</v>
      </c>
      <c r="F294" s="21"/>
      <c r="G294" s="21" t="str">
        <f t="shared" si="8"/>
        <v>BASEHIST.HIST_DATE</v>
      </c>
      <c r="H294" s="21" t="str">
        <f t="shared" si="9"/>
        <v>PROJECT_AUDIT_LOG_HISTORY.PERIOD_END</v>
      </c>
      <c r="I294" s="35"/>
      <c r="J2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4" s="17"/>
    </row>
    <row r="295" spans="1:11" hidden="1" x14ac:dyDescent="0.2">
      <c r="A295" s="20" t="s">
        <v>450</v>
      </c>
      <c r="B295" s="17" t="s">
        <v>2127</v>
      </c>
      <c r="C295" s="17" t="s">
        <v>607</v>
      </c>
      <c r="D295" s="17" t="s">
        <v>831</v>
      </c>
      <c r="E295" s="17" t="s">
        <v>607</v>
      </c>
      <c r="F295" s="21"/>
      <c r="G295" s="21" t="str">
        <f t="shared" si="8"/>
        <v>BASEHIST.BAC</v>
      </c>
      <c r="H295" s="21" t="str">
        <f t="shared" si="9"/>
        <v>PROJECT_AUDIT_LOG_HISTORY.BAC</v>
      </c>
      <c r="I295" s="35"/>
      <c r="J2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5" s="17"/>
    </row>
    <row r="296" spans="1:11" hidden="1" x14ac:dyDescent="0.2">
      <c r="A296" s="20" t="s">
        <v>450</v>
      </c>
      <c r="B296" s="17" t="s">
        <v>2127</v>
      </c>
      <c r="C296" s="17" t="s">
        <v>690</v>
      </c>
      <c r="D296" s="17" t="s">
        <v>831</v>
      </c>
      <c r="E296" s="17" t="s">
        <v>690</v>
      </c>
      <c r="F296" s="21"/>
      <c r="G296" s="21" t="str">
        <f t="shared" si="8"/>
        <v>BASEHIST.EAC</v>
      </c>
      <c r="H296" s="21" t="str">
        <f t="shared" si="9"/>
        <v>PROJECT_AUDIT_LOG_HISTORY.EAC</v>
      </c>
      <c r="I296" s="35"/>
      <c r="J2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6" s="17"/>
    </row>
    <row r="297" spans="1:11" hidden="1" x14ac:dyDescent="0.2">
      <c r="A297" s="20" t="s">
        <v>450</v>
      </c>
      <c r="B297" s="17" t="s">
        <v>2127</v>
      </c>
      <c r="C297" s="17" t="s">
        <v>617</v>
      </c>
      <c r="D297" s="17" t="s">
        <v>831</v>
      </c>
      <c r="E297" s="17" t="s">
        <v>617</v>
      </c>
      <c r="F297" s="21"/>
      <c r="G297" s="21" t="str">
        <f t="shared" si="8"/>
        <v>BASEHIST.BCWS</v>
      </c>
      <c r="H297" s="21" t="str">
        <f t="shared" si="9"/>
        <v>PROJECT_AUDIT_LOG_HISTORY.BCWS</v>
      </c>
      <c r="I297" s="35"/>
      <c r="J2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7" s="17"/>
    </row>
    <row r="298" spans="1:11" hidden="1" x14ac:dyDescent="0.2">
      <c r="A298" s="20" t="s">
        <v>450</v>
      </c>
      <c r="B298" s="17" t="s">
        <v>2127</v>
      </c>
      <c r="C298" s="17" t="s">
        <v>613</v>
      </c>
      <c r="D298" s="17" t="s">
        <v>831</v>
      </c>
      <c r="E298" s="17" t="s">
        <v>613</v>
      </c>
      <c r="F298" s="21"/>
      <c r="G298" s="21" t="str">
        <f t="shared" si="8"/>
        <v>BASEHIST.BCWP</v>
      </c>
      <c r="H298" s="21" t="str">
        <f t="shared" si="9"/>
        <v>PROJECT_AUDIT_LOG_HISTORY.BCWP</v>
      </c>
      <c r="I298" s="35"/>
      <c r="J2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8" s="17"/>
    </row>
    <row r="299" spans="1:11" hidden="1" x14ac:dyDescent="0.2">
      <c r="A299" s="20" t="s">
        <v>450</v>
      </c>
      <c r="B299" s="17" t="s">
        <v>2127</v>
      </c>
      <c r="C299" s="17" t="s">
        <v>600</v>
      </c>
      <c r="D299" s="17" t="s">
        <v>831</v>
      </c>
      <c r="E299" s="17" t="s">
        <v>600</v>
      </c>
      <c r="F299" s="21"/>
      <c r="G299" s="21" t="str">
        <f t="shared" si="8"/>
        <v>BASEHIST.ACWP</v>
      </c>
      <c r="H299" s="21" t="str">
        <f t="shared" si="9"/>
        <v>PROJECT_AUDIT_LOG_HISTORY.ACWP</v>
      </c>
      <c r="I299" s="35"/>
      <c r="J2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299" s="17"/>
    </row>
    <row r="300" spans="1:11" hidden="1" x14ac:dyDescent="0.2">
      <c r="A300" s="20" t="s">
        <v>450</v>
      </c>
      <c r="B300" s="17" t="s">
        <v>2127</v>
      </c>
      <c r="C300" s="17" t="s">
        <v>619</v>
      </c>
      <c r="D300" s="17" t="s">
        <v>831</v>
      </c>
      <c r="E300" s="17" t="s">
        <v>619</v>
      </c>
      <c r="F300" s="21"/>
      <c r="G300" s="21" t="str">
        <f t="shared" si="8"/>
        <v>BASEHIST.BCWS_HRS</v>
      </c>
      <c r="H300" s="21" t="str">
        <f t="shared" si="9"/>
        <v>PROJECT_AUDIT_LOG_HISTORY.BCWS_HRS</v>
      </c>
      <c r="I300" s="35"/>
      <c r="J3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0" s="17"/>
    </row>
    <row r="301" spans="1:11" hidden="1" x14ac:dyDescent="0.2">
      <c r="A301" s="20" t="s">
        <v>450</v>
      </c>
      <c r="B301" s="17" t="s">
        <v>2127</v>
      </c>
      <c r="C301" s="17" t="s">
        <v>615</v>
      </c>
      <c r="D301" s="17" t="s">
        <v>831</v>
      </c>
      <c r="E301" s="17" t="s">
        <v>615</v>
      </c>
      <c r="F301" s="21"/>
      <c r="G301" s="21" t="str">
        <f t="shared" si="8"/>
        <v>BASEHIST.BCWP_HRS</v>
      </c>
      <c r="H301" s="21" t="str">
        <f t="shared" si="9"/>
        <v>PROJECT_AUDIT_LOG_HISTORY.BCWP_HRS</v>
      </c>
      <c r="I301" s="35"/>
      <c r="J3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1" s="17"/>
    </row>
    <row r="302" spans="1:11" hidden="1" x14ac:dyDescent="0.2">
      <c r="A302" s="20" t="s">
        <v>450</v>
      </c>
      <c r="B302" s="17" t="s">
        <v>2127</v>
      </c>
      <c r="C302" s="17" t="s">
        <v>602</v>
      </c>
      <c r="D302" s="17" t="s">
        <v>831</v>
      </c>
      <c r="E302" s="17" t="s">
        <v>602</v>
      </c>
      <c r="F302" s="21"/>
      <c r="G302" s="21" t="str">
        <f t="shared" si="8"/>
        <v>BASEHIST.ACWP_HRS</v>
      </c>
      <c r="H302" s="21" t="str">
        <f t="shared" si="9"/>
        <v>PROJECT_AUDIT_LOG_HISTORY.ACWP_HRS</v>
      </c>
      <c r="I302" s="35"/>
      <c r="J3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2" s="17"/>
    </row>
    <row r="303" spans="1:11" hidden="1" x14ac:dyDescent="0.2">
      <c r="A303" s="20" t="s">
        <v>450</v>
      </c>
      <c r="B303" s="17" t="s">
        <v>2127</v>
      </c>
      <c r="C303" s="17" t="s">
        <v>609</v>
      </c>
      <c r="D303" s="17" t="s">
        <v>831</v>
      </c>
      <c r="E303" s="17" t="s">
        <v>609</v>
      </c>
      <c r="F303" s="21"/>
      <c r="G303" s="21" t="str">
        <f t="shared" si="8"/>
        <v>BASEHIST.BAC_HRS</v>
      </c>
      <c r="H303" s="21" t="str">
        <f t="shared" si="9"/>
        <v>PROJECT_AUDIT_LOG_HISTORY.BAC_HRS</v>
      </c>
      <c r="I303" s="35"/>
      <c r="J3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3" s="17"/>
    </row>
    <row r="304" spans="1:11" hidden="1" x14ac:dyDescent="0.2">
      <c r="A304" s="20" t="s">
        <v>450</v>
      </c>
      <c r="B304" s="17" t="s">
        <v>2127</v>
      </c>
      <c r="C304" s="17" t="s">
        <v>692</v>
      </c>
      <c r="D304" s="17" t="s">
        <v>831</v>
      </c>
      <c r="E304" s="17" t="s">
        <v>692</v>
      </c>
      <c r="F304" s="21"/>
      <c r="G304" s="21" t="str">
        <f t="shared" si="8"/>
        <v>BASEHIST.EAC_HRS</v>
      </c>
      <c r="H304" s="21" t="str">
        <f t="shared" si="9"/>
        <v>PROJECT_AUDIT_LOG_HISTORY.EAC_HRS</v>
      </c>
      <c r="I304" s="35"/>
      <c r="J3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4" s="17"/>
    </row>
    <row r="305" spans="1:11" hidden="1" x14ac:dyDescent="0.2">
      <c r="A305" s="20" t="s">
        <v>450</v>
      </c>
      <c r="B305" s="17" t="s">
        <v>2127</v>
      </c>
      <c r="C305" s="17"/>
      <c r="D305" s="17" t="s">
        <v>831</v>
      </c>
      <c r="E305" s="17" t="s">
        <v>61</v>
      </c>
      <c r="F305" s="21"/>
      <c r="G305" s="21" t="str">
        <f t="shared" si="8"/>
        <v>BASEHIST.</v>
      </c>
      <c r="H305" s="21" t="str">
        <f t="shared" si="9"/>
        <v>PROJECT_AUDIT_LOG_HISTORY.CREATED_BY_USER_UID</v>
      </c>
      <c r="I305" s="35"/>
      <c r="J3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5" s="17"/>
    </row>
    <row r="306" spans="1:11" hidden="1" x14ac:dyDescent="0.2">
      <c r="A306" s="20" t="s">
        <v>450</v>
      </c>
      <c r="B306" s="17" t="s">
        <v>2127</v>
      </c>
      <c r="C306" s="17"/>
      <c r="D306" s="17" t="s">
        <v>831</v>
      </c>
      <c r="E306" s="17" t="s">
        <v>64</v>
      </c>
      <c r="F306" s="21"/>
      <c r="G306" s="21" t="str">
        <f t="shared" si="8"/>
        <v>BASEHIST.</v>
      </c>
      <c r="H306" s="21" t="str">
        <f t="shared" si="9"/>
        <v>PROJECT_AUDIT_LOG_HISTORY.CREATED_DATE</v>
      </c>
      <c r="I306" s="35"/>
      <c r="J3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6" s="17"/>
    </row>
    <row r="307" spans="1:11" hidden="1" x14ac:dyDescent="0.2">
      <c r="A307" s="20" t="s">
        <v>450</v>
      </c>
      <c r="B307" s="17" t="s">
        <v>2129</v>
      </c>
      <c r="C307" s="17" t="s">
        <v>744</v>
      </c>
      <c r="D307" s="17" t="s">
        <v>815</v>
      </c>
      <c r="E307" s="17" t="s">
        <v>744</v>
      </c>
      <c r="F307" s="21"/>
      <c r="G307" s="21" t="str">
        <f t="shared" si="8"/>
        <v>BASELINE.PROGRAM</v>
      </c>
      <c r="H307" s="21" t="str">
        <f t="shared" si="9"/>
        <v>PROJECT_AUDIT_LOG_ACCOUNTS.PROGRAM</v>
      </c>
      <c r="I307" s="35"/>
      <c r="J3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7" s="17"/>
    </row>
    <row r="308" spans="1:11" hidden="1" x14ac:dyDescent="0.2">
      <c r="A308" s="20" t="s">
        <v>450</v>
      </c>
      <c r="B308" s="17" t="s">
        <v>2129</v>
      </c>
      <c r="C308" s="39" t="s">
        <v>744</v>
      </c>
      <c r="D308" s="17" t="s">
        <v>815</v>
      </c>
      <c r="E308" s="39" t="s">
        <v>770</v>
      </c>
      <c r="F308" s="40"/>
      <c r="G308" s="40" t="str">
        <f>_xlfn.CONCAT(B308,".",C308)</f>
        <v>BASELINE.PROGRAM</v>
      </c>
      <c r="H308" s="40" t="str">
        <f>_xlfn.CONCAT(D308,".",E308)</f>
        <v>PROJECT_AUDIT_LOG_ACCOUNTS.PROJECT_UID</v>
      </c>
      <c r="I308" s="35"/>
      <c r="J308" s="39"/>
      <c r="K308" s="39"/>
    </row>
    <row r="309" spans="1:11" hidden="1" x14ac:dyDescent="0.2">
      <c r="A309" s="20" t="s">
        <v>450</v>
      </c>
      <c r="B309" s="17" t="s">
        <v>2129</v>
      </c>
      <c r="C309" s="17" t="s">
        <v>2126</v>
      </c>
      <c r="D309" s="17" t="s">
        <v>815</v>
      </c>
      <c r="E309" s="17" t="s">
        <v>785</v>
      </c>
      <c r="F309" s="21"/>
      <c r="G309" s="21" t="str">
        <f t="shared" si="8"/>
        <v>BASELINE.TRANS_UID</v>
      </c>
      <c r="H309" s="21" t="str">
        <f t="shared" si="9"/>
        <v>PROJECT_AUDIT_LOG_ACCOUNTS.TRANSACTION_UID</v>
      </c>
      <c r="I309" s="35"/>
      <c r="J3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09" s="17"/>
    </row>
    <row r="310" spans="1:11" hidden="1" x14ac:dyDescent="0.2">
      <c r="A310" s="20" t="s">
        <v>450</v>
      </c>
      <c r="B310" s="17" t="s">
        <v>2129</v>
      </c>
      <c r="C310" s="17" t="s">
        <v>2132</v>
      </c>
      <c r="D310" s="17" t="s">
        <v>815</v>
      </c>
      <c r="E310" s="17" t="s">
        <v>781</v>
      </c>
      <c r="F310" s="21"/>
      <c r="G310" s="21" t="str">
        <f t="shared" si="8"/>
        <v>BASELINE.REFNO</v>
      </c>
      <c r="H310" s="21" t="str">
        <f t="shared" si="9"/>
        <v>PROJECT_AUDIT_LOG_ACCOUNTS.REFERENCE_NUMBER</v>
      </c>
      <c r="I310" s="35"/>
      <c r="J3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0" s="17"/>
    </row>
    <row r="311" spans="1:11" hidden="1" x14ac:dyDescent="0.2">
      <c r="A311" s="20" t="s">
        <v>450</v>
      </c>
      <c r="B311" s="17" t="s">
        <v>2129</v>
      </c>
      <c r="C311" s="17" t="s">
        <v>2130</v>
      </c>
      <c r="D311" s="17" t="s">
        <v>815</v>
      </c>
      <c r="E311" s="17" t="s">
        <v>486</v>
      </c>
      <c r="F311" s="21"/>
      <c r="G311" s="21" t="str">
        <f t="shared" si="8"/>
        <v>BASELINE.BASE_DATE</v>
      </c>
      <c r="H311" s="21" t="str">
        <f t="shared" si="9"/>
        <v>PROJECT_AUDIT_LOG_ACCOUNTS.PERIOD_END</v>
      </c>
      <c r="I311" s="35"/>
      <c r="J3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1" s="17"/>
    </row>
    <row r="312" spans="1:11" hidden="1" x14ac:dyDescent="0.2">
      <c r="A312" s="20" t="s">
        <v>450</v>
      </c>
      <c r="B312" s="17" t="s">
        <v>2129</v>
      </c>
      <c r="C312" s="17" t="s">
        <v>440</v>
      </c>
      <c r="D312" s="17" t="s">
        <v>815</v>
      </c>
      <c r="E312" s="17" t="s">
        <v>440</v>
      </c>
      <c r="F312" s="21"/>
      <c r="G312" s="21" t="str">
        <f t="shared" si="8"/>
        <v>BASELINE.LABEL</v>
      </c>
      <c r="H312" s="21" t="str">
        <f t="shared" si="9"/>
        <v>PROJECT_AUDIT_LOG_ACCOUNTS.LABEL</v>
      </c>
      <c r="I312" s="35"/>
      <c r="J3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2" s="17"/>
    </row>
    <row r="313" spans="1:11" ht="48" hidden="1" x14ac:dyDescent="0.2">
      <c r="A313" s="20" t="s">
        <v>450</v>
      </c>
      <c r="B313" s="17" t="s">
        <v>2129</v>
      </c>
      <c r="C313" s="17" t="s">
        <v>2131</v>
      </c>
      <c r="D313" s="17" t="s">
        <v>815</v>
      </c>
      <c r="E313" s="17" t="s">
        <v>798</v>
      </c>
      <c r="F313" s="21" t="s">
        <v>2458</v>
      </c>
      <c r="G313" s="21" t="str">
        <f t="shared" si="8"/>
        <v>BASELINE.BBLCOMMENT</v>
      </c>
      <c r="H313" s="21" t="str">
        <f t="shared" si="9"/>
        <v>PROJECT_AUDIT_LOG_ACCOUNTS.LOG_COMMENT</v>
      </c>
      <c r="I313" s="35"/>
      <c r="J3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3" s="17"/>
    </row>
    <row r="314" spans="1:11" hidden="1" x14ac:dyDescent="0.2">
      <c r="A314" s="20" t="s">
        <v>450</v>
      </c>
      <c r="B314" s="17" t="s">
        <v>2129</v>
      </c>
      <c r="C314" s="17" t="s">
        <v>531</v>
      </c>
      <c r="D314" s="17" t="s">
        <v>815</v>
      </c>
      <c r="E314" s="17" t="s">
        <v>531</v>
      </c>
      <c r="F314" s="21"/>
      <c r="G314" s="21" t="str">
        <f t="shared" si="8"/>
        <v>BASELINE.UB</v>
      </c>
      <c r="H314" s="21" t="str">
        <f t="shared" si="9"/>
        <v>PROJECT_AUDIT_LOG_ACCOUNTS.UB</v>
      </c>
      <c r="I314" s="35"/>
      <c r="J3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4" s="17"/>
    </row>
    <row r="315" spans="1:11" hidden="1" x14ac:dyDescent="0.2">
      <c r="A315" s="20" t="s">
        <v>450</v>
      </c>
      <c r="B315" s="17" t="s">
        <v>2129</v>
      </c>
      <c r="C315" s="17" t="s">
        <v>528</v>
      </c>
      <c r="D315" s="17" t="s">
        <v>815</v>
      </c>
      <c r="E315" s="17" t="s">
        <v>528</v>
      </c>
      <c r="F315" s="21"/>
      <c r="G315" s="21" t="str">
        <f t="shared" si="8"/>
        <v>BASELINE.MR</v>
      </c>
      <c r="H315" s="21" t="str">
        <f t="shared" si="9"/>
        <v>PROJECT_AUDIT_LOG_ACCOUNTS.MR</v>
      </c>
      <c r="I315" s="35"/>
      <c r="J3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5" s="17"/>
    </row>
    <row r="316" spans="1:11" hidden="1" x14ac:dyDescent="0.2">
      <c r="A316" s="20" t="s">
        <v>450</v>
      </c>
      <c r="B316" s="17" t="s">
        <v>2129</v>
      </c>
      <c r="C316" s="17" t="s">
        <v>516</v>
      </c>
      <c r="D316" s="17" t="s">
        <v>815</v>
      </c>
      <c r="E316" s="17" t="s">
        <v>516</v>
      </c>
      <c r="F316" s="21"/>
      <c r="G316" s="21" t="str">
        <f t="shared" si="8"/>
        <v>BASELINE.AUW</v>
      </c>
      <c r="H316" s="21" t="str">
        <f t="shared" si="9"/>
        <v>PROJECT_AUDIT_LOG_ACCOUNTS.AUW</v>
      </c>
      <c r="I316" s="35"/>
      <c r="J3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6" s="17"/>
    </row>
    <row r="317" spans="1:11" hidden="1" x14ac:dyDescent="0.2">
      <c r="A317" s="20" t="s">
        <v>450</v>
      </c>
      <c r="B317" s="17" t="s">
        <v>2129</v>
      </c>
      <c r="C317" s="17" t="s">
        <v>513</v>
      </c>
      <c r="D317" s="17" t="s">
        <v>815</v>
      </c>
      <c r="E317" s="17" t="s">
        <v>513</v>
      </c>
      <c r="F317" s="21"/>
      <c r="G317" s="21" t="str">
        <f t="shared" si="8"/>
        <v>BASELINE.CTC</v>
      </c>
      <c r="H317" s="21" t="str">
        <f t="shared" si="9"/>
        <v>PROJECT_AUDIT_LOG_ACCOUNTS.CTC</v>
      </c>
      <c r="I317" s="35"/>
      <c r="J3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7" s="17"/>
    </row>
    <row r="318" spans="1:11" hidden="1" x14ac:dyDescent="0.2">
      <c r="A318" s="20" t="s">
        <v>450</v>
      </c>
      <c r="B318" s="17" t="s">
        <v>2129</v>
      </c>
      <c r="C318" s="17" t="s">
        <v>823</v>
      </c>
      <c r="D318" s="17" t="s">
        <v>815</v>
      </c>
      <c r="E318" s="17" t="s">
        <v>823</v>
      </c>
      <c r="F318" s="21"/>
      <c r="G318" s="21" t="str">
        <f t="shared" si="8"/>
        <v>BASELINE.DB</v>
      </c>
      <c r="H318" s="21" t="str">
        <f t="shared" si="9"/>
        <v>PROJECT_AUDIT_LOG_ACCOUNTS.DB</v>
      </c>
      <c r="I318" s="35"/>
      <c r="J3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8" s="17"/>
    </row>
    <row r="319" spans="1:11" hidden="1" x14ac:dyDescent="0.2">
      <c r="A319" s="20" t="s">
        <v>450</v>
      </c>
      <c r="B319" s="17" t="s">
        <v>2129</v>
      </c>
      <c r="C319" s="17" t="s">
        <v>690</v>
      </c>
      <c r="D319" s="17" t="s">
        <v>815</v>
      </c>
      <c r="E319" s="17" t="s">
        <v>690</v>
      </c>
      <c r="F319" s="21"/>
      <c r="G319" s="21" t="str">
        <f t="shared" si="8"/>
        <v>BASELINE.EAC</v>
      </c>
      <c r="H319" s="21" t="str">
        <f t="shared" si="9"/>
        <v>PROJECT_AUDIT_LOG_ACCOUNTS.EAC</v>
      </c>
      <c r="I319" s="35"/>
      <c r="J3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19" s="17"/>
    </row>
    <row r="320" spans="1:11" hidden="1" x14ac:dyDescent="0.2">
      <c r="A320" s="20" t="s">
        <v>450</v>
      </c>
      <c r="B320" s="17" t="s">
        <v>2129</v>
      </c>
      <c r="C320" s="17" t="s">
        <v>525</v>
      </c>
      <c r="D320" s="17" t="s">
        <v>815</v>
      </c>
      <c r="E320" s="17" t="s">
        <v>525</v>
      </c>
      <c r="F320" s="21"/>
      <c r="G320" s="21" t="str">
        <f t="shared" si="8"/>
        <v>BASELINE.FEE</v>
      </c>
      <c r="H320" s="21" t="str">
        <f t="shared" si="9"/>
        <v>PROJECT_AUDIT_LOG_ACCOUNTS.FEE</v>
      </c>
      <c r="I320" s="35"/>
      <c r="J3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0" s="17"/>
    </row>
    <row r="321" spans="1:11" hidden="1" x14ac:dyDescent="0.2">
      <c r="A321" s="20" t="s">
        <v>450</v>
      </c>
      <c r="B321" s="17" t="s">
        <v>2133</v>
      </c>
      <c r="C321" s="17" t="s">
        <v>744</v>
      </c>
      <c r="D321" s="17" t="s">
        <v>764</v>
      </c>
      <c r="E321" s="17" t="s">
        <v>744</v>
      </c>
      <c r="F321" s="21"/>
      <c r="G321" s="21" t="str">
        <f t="shared" si="8"/>
        <v>BASELOG.PROGRAM</v>
      </c>
      <c r="H321" s="21" t="str">
        <f t="shared" si="9"/>
        <v>PROJECT_AUDIT_LOG.PROGRAM</v>
      </c>
      <c r="I321" s="35"/>
      <c r="J3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1" s="17"/>
    </row>
    <row r="322" spans="1:11" hidden="1" x14ac:dyDescent="0.2">
      <c r="A322" s="20" t="s">
        <v>450</v>
      </c>
      <c r="B322" s="39" t="s">
        <v>2133</v>
      </c>
      <c r="C322" s="39" t="s">
        <v>744</v>
      </c>
      <c r="D322" s="39" t="s">
        <v>764</v>
      </c>
      <c r="E322" s="39" t="s">
        <v>770</v>
      </c>
      <c r="F322" s="40"/>
      <c r="G322" s="40" t="str">
        <f>_xlfn.CONCAT(B322,".",C322)</f>
        <v>BASELOG.PROGRAM</v>
      </c>
      <c r="H322" s="40" t="str">
        <f>_xlfn.CONCAT(D322,".",E322)</f>
        <v>PROJECT_AUDIT_LOG.PROJECT_UID</v>
      </c>
      <c r="I322" s="35"/>
      <c r="J322" s="39"/>
      <c r="K322" s="39"/>
    </row>
    <row r="323" spans="1:11" hidden="1" x14ac:dyDescent="0.2">
      <c r="A323" s="20" t="s">
        <v>450</v>
      </c>
      <c r="B323" s="17" t="s">
        <v>2133</v>
      </c>
      <c r="C323" s="17" t="s">
        <v>30</v>
      </c>
      <c r="D323" s="17" t="s">
        <v>764</v>
      </c>
      <c r="E323" s="17" t="s">
        <v>30</v>
      </c>
      <c r="F323" s="21"/>
      <c r="G323" s="21" t="str">
        <f t="shared" si="8"/>
        <v>BASELOG.ROW_UID</v>
      </c>
      <c r="H323" s="21" t="str">
        <f t="shared" si="9"/>
        <v>PROJECT_AUDIT_LOG.ROW_UID</v>
      </c>
      <c r="I323" s="35"/>
      <c r="J3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3" s="17"/>
    </row>
    <row r="324" spans="1:11" ht="16" hidden="1" x14ac:dyDescent="0.2">
      <c r="A324" s="20" t="s">
        <v>450</v>
      </c>
      <c r="B324" s="17" t="s">
        <v>2133</v>
      </c>
      <c r="C324" s="17" t="s">
        <v>1003</v>
      </c>
      <c r="D324" s="17"/>
      <c r="E324" s="17"/>
      <c r="F324" s="21" t="s">
        <v>2459</v>
      </c>
      <c r="G324" s="21" t="str">
        <f t="shared" si="8"/>
        <v>BASELOG.CA1</v>
      </c>
      <c r="H324" s="21" t="str">
        <f t="shared" si="9"/>
        <v>.</v>
      </c>
      <c r="I324" s="35"/>
      <c r="J3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4" s="17"/>
    </row>
    <row r="325" spans="1:11" hidden="1" x14ac:dyDescent="0.2">
      <c r="A325" s="20" t="s">
        <v>450</v>
      </c>
      <c r="B325" s="17" t="s">
        <v>2133</v>
      </c>
      <c r="C325" s="17" t="s">
        <v>1005</v>
      </c>
      <c r="D325" s="17"/>
      <c r="E325" s="17"/>
      <c r="F325" s="21"/>
      <c r="G325" s="21" t="str">
        <f t="shared" si="8"/>
        <v>BASELOG.CA2</v>
      </c>
      <c r="H325" s="21" t="str">
        <f t="shared" si="9"/>
        <v>.</v>
      </c>
      <c r="I325" s="35"/>
      <c r="J3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5" s="17"/>
    </row>
    <row r="326" spans="1:11" hidden="1" x14ac:dyDescent="0.2">
      <c r="A326" s="20" t="s">
        <v>450</v>
      </c>
      <c r="B326" s="17" t="s">
        <v>2133</v>
      </c>
      <c r="C326" s="17" t="s">
        <v>1007</v>
      </c>
      <c r="D326" s="17"/>
      <c r="E326" s="17" t="s">
        <v>772</v>
      </c>
      <c r="F326" s="21"/>
      <c r="G326" s="21" t="str">
        <f t="shared" si="8"/>
        <v>BASELOG.CA3</v>
      </c>
      <c r="H326" s="21" t="str">
        <f t="shared" si="9"/>
        <v>.PROJECT_CONTROL_ACCOUNT_NAME</v>
      </c>
      <c r="I326" s="35"/>
      <c r="J3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6" s="17"/>
    </row>
    <row r="327" spans="1:11" hidden="1" x14ac:dyDescent="0.2">
      <c r="A327" s="20" t="s">
        <v>450</v>
      </c>
      <c r="B327" s="17" t="s">
        <v>2133</v>
      </c>
      <c r="C327" s="17" t="s">
        <v>1398</v>
      </c>
      <c r="D327" s="17" t="s">
        <v>764</v>
      </c>
      <c r="E327" s="17" t="s">
        <v>775</v>
      </c>
      <c r="F327" s="21"/>
      <c r="G327" s="21" t="str">
        <f t="shared" ref="G327:G390" si="10">_xlfn.CONCAT(B327,".",C327)</f>
        <v>BASELOG.WP</v>
      </c>
      <c r="H327" s="21" t="str">
        <f t="shared" ref="H327:H390" si="11">_xlfn.CONCAT(D327,".",E327)</f>
        <v>PROJECT_AUDIT_LOG.PROJECT_WORK_PACKAGE_NAME</v>
      </c>
      <c r="I327" s="35"/>
      <c r="J3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7" s="17"/>
    </row>
    <row r="328" spans="1:11" hidden="1" x14ac:dyDescent="0.2">
      <c r="A328" s="20" t="s">
        <v>450</v>
      </c>
      <c r="B328" s="17" t="s">
        <v>2133</v>
      </c>
      <c r="C328" s="17" t="s">
        <v>1098</v>
      </c>
      <c r="D328" s="17" t="s">
        <v>764</v>
      </c>
      <c r="E328" s="17" t="s">
        <v>777</v>
      </c>
      <c r="F328" s="21"/>
      <c r="G328" s="21" t="str">
        <f t="shared" si="10"/>
        <v>BASELOG.CECODE</v>
      </c>
      <c r="H328" s="21" t="str">
        <f t="shared" si="11"/>
        <v>PROJECT_AUDIT_LOG.PROJECT_CAWP_RESOURCE_NAME</v>
      </c>
      <c r="I328" s="35"/>
      <c r="J3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8" s="17"/>
    </row>
    <row r="329" spans="1:11" ht="48" hidden="1" x14ac:dyDescent="0.2">
      <c r="A329" s="20" t="s">
        <v>450</v>
      </c>
      <c r="B329" s="17" t="s">
        <v>2133</v>
      </c>
      <c r="C329" s="17" t="s">
        <v>2134</v>
      </c>
      <c r="D329" s="17" t="s">
        <v>764</v>
      </c>
      <c r="E329" s="17"/>
      <c r="F329" s="21" t="s">
        <v>2460</v>
      </c>
      <c r="G329" s="21" t="str">
        <f t="shared" si="10"/>
        <v>BASELOG.BBL_DATE</v>
      </c>
      <c r="H329" s="21" t="str">
        <f t="shared" si="11"/>
        <v>PROJECT_AUDIT_LOG.</v>
      </c>
      <c r="I329" s="35"/>
      <c r="J3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29" s="17"/>
    </row>
    <row r="330" spans="1:11" hidden="1" x14ac:dyDescent="0.2">
      <c r="A330" s="20" t="s">
        <v>450</v>
      </c>
      <c r="B330" s="17" t="s">
        <v>2133</v>
      </c>
      <c r="C330" s="17" t="s">
        <v>2139</v>
      </c>
      <c r="D330" s="17" t="s">
        <v>764</v>
      </c>
      <c r="E330" s="17" t="s">
        <v>486</v>
      </c>
      <c r="F330" s="21"/>
      <c r="G330" s="21" t="str">
        <f t="shared" si="10"/>
        <v>BASELOG.STATUSDATE</v>
      </c>
      <c r="H330" s="21" t="str">
        <f t="shared" si="11"/>
        <v>PROJECT_AUDIT_LOG.PERIOD_END</v>
      </c>
      <c r="I330" s="35"/>
      <c r="J3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0" s="17"/>
    </row>
    <row r="331" spans="1:11" hidden="1" x14ac:dyDescent="0.2">
      <c r="A331" s="20" t="s">
        <v>450</v>
      </c>
      <c r="B331" s="17" t="s">
        <v>2133</v>
      </c>
      <c r="C331" s="17" t="s">
        <v>2132</v>
      </c>
      <c r="D331" s="17" t="s">
        <v>764</v>
      </c>
      <c r="E331" s="17" t="s">
        <v>781</v>
      </c>
      <c r="F331" s="21"/>
      <c r="G331" s="21" t="str">
        <f t="shared" si="10"/>
        <v>BASELOG.REFNO</v>
      </c>
      <c r="H331" s="21" t="str">
        <f t="shared" si="11"/>
        <v>PROJECT_AUDIT_LOG.REFERENCE_NUMBER</v>
      </c>
      <c r="I331" s="35"/>
      <c r="J3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1" s="17"/>
    </row>
    <row r="332" spans="1:11" hidden="1" x14ac:dyDescent="0.2">
      <c r="A332" s="20" t="s">
        <v>450</v>
      </c>
      <c r="B332" s="17" t="s">
        <v>2133</v>
      </c>
      <c r="C332" s="17" t="s">
        <v>2126</v>
      </c>
      <c r="D332" s="17" t="s">
        <v>764</v>
      </c>
      <c r="E332" s="17" t="s">
        <v>785</v>
      </c>
      <c r="F332" s="21"/>
      <c r="G332" s="21" t="str">
        <f t="shared" si="10"/>
        <v>BASELOG.TRANS_UID</v>
      </c>
      <c r="H332" s="21" t="str">
        <f t="shared" si="11"/>
        <v>PROJECT_AUDIT_LOG.TRANSACTION_UID</v>
      </c>
      <c r="I332" s="35"/>
      <c r="J3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2" s="17"/>
    </row>
    <row r="333" spans="1:11" hidden="1" x14ac:dyDescent="0.2">
      <c r="A333" s="20" t="s">
        <v>450</v>
      </c>
      <c r="B333" s="17" t="s">
        <v>2133</v>
      </c>
      <c r="C333" s="17" t="s">
        <v>788</v>
      </c>
      <c r="D333" s="17" t="s">
        <v>764</v>
      </c>
      <c r="E333" s="17" t="s">
        <v>788</v>
      </c>
      <c r="F333" s="21"/>
      <c r="G333" s="21" t="str">
        <f t="shared" si="10"/>
        <v>BASELOG.DEBIT</v>
      </c>
      <c r="H333" s="21" t="str">
        <f t="shared" si="11"/>
        <v>PROJECT_AUDIT_LOG.DEBIT</v>
      </c>
      <c r="I333" s="35"/>
      <c r="J3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3" s="17"/>
    </row>
    <row r="334" spans="1:11" hidden="1" x14ac:dyDescent="0.2">
      <c r="A334" s="20" t="s">
        <v>450</v>
      </c>
      <c r="B334" s="17" t="s">
        <v>2133</v>
      </c>
      <c r="C334" s="17" t="s">
        <v>792</v>
      </c>
      <c r="D334" s="17" t="s">
        <v>764</v>
      </c>
      <c r="E334" s="17" t="s">
        <v>792</v>
      </c>
      <c r="F334" s="21"/>
      <c r="G334" s="21" t="str">
        <f t="shared" si="10"/>
        <v>BASELOG.CREDIT</v>
      </c>
      <c r="H334" s="21" t="str">
        <f t="shared" si="11"/>
        <v>PROJECT_AUDIT_LOG.CREDIT</v>
      </c>
      <c r="I334" s="35"/>
      <c r="J3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4" s="17"/>
    </row>
    <row r="335" spans="1:11" hidden="1" x14ac:dyDescent="0.2">
      <c r="A335" s="20" t="s">
        <v>450</v>
      </c>
      <c r="B335" s="17" t="s">
        <v>2133</v>
      </c>
      <c r="C335" s="17" t="s">
        <v>794</v>
      </c>
      <c r="D335" s="17" t="s">
        <v>764</v>
      </c>
      <c r="E335" s="17" t="s">
        <v>794</v>
      </c>
      <c r="F335" s="21"/>
      <c r="G335" s="21" t="str">
        <f t="shared" si="10"/>
        <v>BASELOG.AMOUNT</v>
      </c>
      <c r="H335" s="21" t="str">
        <f t="shared" si="11"/>
        <v>PROJECT_AUDIT_LOG.AMOUNT</v>
      </c>
      <c r="I335" s="35"/>
      <c r="J3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5" s="17"/>
    </row>
    <row r="336" spans="1:11" hidden="1" x14ac:dyDescent="0.2">
      <c r="A336" s="20" t="s">
        <v>450</v>
      </c>
      <c r="B336" s="17" t="s">
        <v>2133</v>
      </c>
      <c r="C336" s="17" t="s">
        <v>2137</v>
      </c>
      <c r="D336" s="17" t="s">
        <v>764</v>
      </c>
      <c r="E336" s="17" t="s">
        <v>798</v>
      </c>
      <c r="F336" s="21"/>
      <c r="G336" s="21" t="str">
        <f t="shared" si="10"/>
        <v>BASELOG.LOGCOMMENT</v>
      </c>
      <c r="H336" s="21" t="str">
        <f t="shared" si="11"/>
        <v>PROJECT_AUDIT_LOG.LOG_COMMENT</v>
      </c>
      <c r="I336" s="35"/>
      <c r="J3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6" s="17"/>
    </row>
    <row r="337" spans="1:11" hidden="1" x14ac:dyDescent="0.2">
      <c r="A337" s="20" t="s">
        <v>450</v>
      </c>
      <c r="B337" s="17" t="s">
        <v>2133</v>
      </c>
      <c r="C337" s="17" t="s">
        <v>800</v>
      </c>
      <c r="D337" s="17" t="s">
        <v>764</v>
      </c>
      <c r="E337" s="17" t="s">
        <v>800</v>
      </c>
      <c r="F337" s="21"/>
      <c r="G337" s="21" t="str">
        <f t="shared" si="10"/>
        <v>BASELOG.CPR3</v>
      </c>
      <c r="H337" s="21" t="str">
        <f t="shared" si="11"/>
        <v>PROJECT_AUDIT_LOG.CPR3</v>
      </c>
      <c r="I337" s="35"/>
      <c r="J3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7" s="17"/>
    </row>
    <row r="338" spans="1:11" hidden="1" x14ac:dyDescent="0.2">
      <c r="A338" s="20" t="s">
        <v>450</v>
      </c>
      <c r="B338" s="17" t="s">
        <v>2133</v>
      </c>
      <c r="C338" s="17" t="s">
        <v>2135</v>
      </c>
      <c r="D338" s="17" t="s">
        <v>764</v>
      </c>
      <c r="E338" s="17" t="s">
        <v>802</v>
      </c>
      <c r="F338" s="21"/>
      <c r="G338" s="21" t="str">
        <f t="shared" si="10"/>
        <v>BASELOG.CCN</v>
      </c>
      <c r="H338" s="21" t="str">
        <f t="shared" si="11"/>
        <v>PROJECT_AUDIT_LOG.CHANGE_NUMBER</v>
      </c>
      <c r="I338" s="35"/>
      <c r="J3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8" s="17"/>
    </row>
    <row r="339" spans="1:11" hidden="1" x14ac:dyDescent="0.2">
      <c r="A339" s="20" t="s">
        <v>450</v>
      </c>
      <c r="B339" s="17" t="s">
        <v>2133</v>
      </c>
      <c r="C339" s="17" t="s">
        <v>2138</v>
      </c>
      <c r="D339" s="17" t="s">
        <v>764</v>
      </c>
      <c r="E339" s="17" t="s">
        <v>804</v>
      </c>
      <c r="F339" s="21"/>
      <c r="G339" s="21" t="str">
        <f t="shared" si="10"/>
        <v>BASELOG.SIG</v>
      </c>
      <c r="H339" s="21" t="str">
        <f t="shared" si="11"/>
        <v>PROJECT_AUDIT_LOG.SIGNIFICANT_CHANGE</v>
      </c>
      <c r="I339" s="35"/>
      <c r="J3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39" s="17"/>
    </row>
    <row r="340" spans="1:11" hidden="1" x14ac:dyDescent="0.2">
      <c r="A340" s="20" t="s">
        <v>450</v>
      </c>
      <c r="B340" s="17" t="s">
        <v>2133</v>
      </c>
      <c r="C340" s="17" t="s">
        <v>299</v>
      </c>
      <c r="D340" s="17" t="s">
        <v>764</v>
      </c>
      <c r="E340" s="17" t="s">
        <v>299</v>
      </c>
      <c r="F340" s="21"/>
      <c r="G340" s="21" t="str">
        <f t="shared" si="10"/>
        <v>BASELOG.HOURS</v>
      </c>
      <c r="H340" s="21" t="str">
        <f t="shared" si="11"/>
        <v>PROJECT_AUDIT_LOG.HOURS</v>
      </c>
      <c r="I340" s="35"/>
      <c r="J3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0" s="17"/>
    </row>
    <row r="341" spans="1:11" hidden="1" x14ac:dyDescent="0.2">
      <c r="A341" s="20" t="s">
        <v>450</v>
      </c>
      <c r="B341" s="17" t="s">
        <v>2133</v>
      </c>
      <c r="C341" s="17" t="s">
        <v>2136</v>
      </c>
      <c r="D341" s="17" t="s">
        <v>764</v>
      </c>
      <c r="E341" s="17" t="s">
        <v>807</v>
      </c>
      <c r="F341" s="21"/>
      <c r="G341" s="21" t="str">
        <f t="shared" si="10"/>
        <v>BASELOG.CLIN</v>
      </c>
      <c r="H341" s="21" t="str">
        <f t="shared" si="11"/>
        <v>PROJECT_AUDIT_LOG.CLIN_NAME</v>
      </c>
      <c r="I341" s="35"/>
      <c r="J3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1" s="17"/>
    </row>
    <row r="342" spans="1:11" hidden="1" x14ac:dyDescent="0.2">
      <c r="A342" s="20" t="s">
        <v>450</v>
      </c>
      <c r="B342" s="17" t="s">
        <v>2133</v>
      </c>
      <c r="C342" s="17" t="s">
        <v>2112</v>
      </c>
      <c r="D342" s="17" t="s">
        <v>764</v>
      </c>
      <c r="E342" s="17" t="s">
        <v>61</v>
      </c>
      <c r="F342" s="21"/>
      <c r="G342" s="21" t="str">
        <f t="shared" si="10"/>
        <v>BASELOG.USR_ID</v>
      </c>
      <c r="H342" s="21" t="str">
        <f t="shared" si="11"/>
        <v>PROJECT_AUDIT_LOG.CREATED_BY_USER_UID</v>
      </c>
      <c r="I342" s="35"/>
      <c r="J3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2" s="17"/>
    </row>
    <row r="343" spans="1:11" hidden="1" x14ac:dyDescent="0.2">
      <c r="A343" s="20" t="s">
        <v>450</v>
      </c>
      <c r="B343" s="17" t="s">
        <v>2133</v>
      </c>
      <c r="C343" s="17" t="s">
        <v>2140</v>
      </c>
      <c r="D343" s="17" t="s">
        <v>764</v>
      </c>
      <c r="E343" s="17" t="s">
        <v>64</v>
      </c>
      <c r="F343" s="21"/>
      <c r="G343" s="21" t="str">
        <f t="shared" si="10"/>
        <v>BASELOG.TSTAMP</v>
      </c>
      <c r="H343" s="21" t="str">
        <f t="shared" si="11"/>
        <v>PROJECT_AUDIT_LOG.CREATED_DATE</v>
      </c>
      <c r="I343" s="35"/>
      <c r="J3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3" s="17"/>
    </row>
    <row r="344" spans="1:11" hidden="1" x14ac:dyDescent="0.2">
      <c r="A344" t="s">
        <v>450</v>
      </c>
      <c r="B344" t="s">
        <v>2171</v>
      </c>
      <c r="C344" t="s">
        <v>744</v>
      </c>
      <c r="D344" t="s">
        <v>859</v>
      </c>
      <c r="E344" t="s">
        <v>770</v>
      </c>
      <c r="G344" s="17" t="str">
        <f t="shared" si="10"/>
        <v>CALCFLDS.PROGRAM</v>
      </c>
      <c r="H344" s="17" t="str">
        <f t="shared" si="11"/>
        <v>PROJECT_CALC_RESULT.PROJECT_UID</v>
      </c>
      <c r="I344" s="29"/>
      <c r="J3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4" s="17"/>
    </row>
    <row r="345" spans="1:11" hidden="1" x14ac:dyDescent="0.2">
      <c r="A345" t="s">
        <v>450</v>
      </c>
      <c r="B345" t="s">
        <v>2171</v>
      </c>
      <c r="C345" t="s">
        <v>2172</v>
      </c>
      <c r="D345" t="s">
        <v>859</v>
      </c>
      <c r="E345" t="s">
        <v>865</v>
      </c>
      <c r="G345" s="17" t="str">
        <f t="shared" si="10"/>
        <v>CALCFLDS.CALCFIELD</v>
      </c>
      <c r="H345" s="17" t="str">
        <f t="shared" si="11"/>
        <v>PROJECT_CALC_RESULT.RESULT</v>
      </c>
      <c r="I345" s="29"/>
      <c r="J3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5" s="17"/>
    </row>
    <row r="346" spans="1:11" hidden="1" x14ac:dyDescent="0.2">
      <c r="A346" t="s">
        <v>450</v>
      </c>
      <c r="B346" t="s">
        <v>2171</v>
      </c>
      <c r="C346" t="s">
        <v>2173</v>
      </c>
      <c r="D346" t="s">
        <v>859</v>
      </c>
      <c r="E346" t="s">
        <v>875</v>
      </c>
      <c r="G346" s="17" t="str">
        <f t="shared" si="10"/>
        <v>CALCFLDS.EXPR</v>
      </c>
      <c r="H346" s="17" t="str">
        <f t="shared" si="11"/>
        <v>PROJECT_CALC_RESULT.EXPRESSION</v>
      </c>
      <c r="I346" s="29"/>
      <c r="J3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6" s="17"/>
    </row>
    <row r="347" spans="1:11" hidden="1" x14ac:dyDescent="0.2">
      <c r="A347" t="s">
        <v>450</v>
      </c>
      <c r="B347" t="s">
        <v>2171</v>
      </c>
      <c r="C347" t="s">
        <v>2165</v>
      </c>
      <c r="D347" t="s">
        <v>859</v>
      </c>
      <c r="E347" t="s">
        <v>868</v>
      </c>
      <c r="G347" s="17" t="str">
        <f t="shared" si="10"/>
        <v>CALCFLDS.CURRNCY</v>
      </c>
      <c r="H347" s="17" t="str">
        <f t="shared" si="11"/>
        <v>PROJECT_CALC_RESULT.CURRENCY</v>
      </c>
      <c r="I347" s="29"/>
      <c r="J3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7" s="17"/>
    </row>
    <row r="348" spans="1:11" hidden="1" x14ac:dyDescent="0.2">
      <c r="A348" t="s">
        <v>450</v>
      </c>
      <c r="B348" t="s">
        <v>2171</v>
      </c>
      <c r="C348" t="s">
        <v>2166</v>
      </c>
      <c r="D348" t="s">
        <v>859</v>
      </c>
      <c r="E348" t="s">
        <v>862</v>
      </c>
      <c r="G348" s="17" t="str">
        <f t="shared" si="10"/>
        <v>CALCFLDS.SORT_CODE</v>
      </c>
      <c r="H348" s="17" t="str">
        <f t="shared" si="11"/>
        <v>PROJECT_CALC_RESULT.RESULT_CODE</v>
      </c>
      <c r="I348" s="29"/>
      <c r="J3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8" s="17"/>
    </row>
    <row r="349" spans="1:11" hidden="1" x14ac:dyDescent="0.2">
      <c r="A349" t="s">
        <v>450</v>
      </c>
      <c r="B349" t="s">
        <v>2171</v>
      </c>
      <c r="C349" t="s">
        <v>35</v>
      </c>
      <c r="D349" t="s">
        <v>859</v>
      </c>
      <c r="E349" t="s">
        <v>35</v>
      </c>
      <c r="G349" s="17" t="str">
        <f t="shared" si="10"/>
        <v>CALCFLDS.SEQUENCE</v>
      </c>
      <c r="H349" s="17" t="str">
        <f t="shared" si="11"/>
        <v>PROJECT_CALC_RESULT.SEQUENCE</v>
      </c>
      <c r="I349" s="29"/>
      <c r="J3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49" s="17"/>
    </row>
    <row r="350" spans="1:11" hidden="1" x14ac:dyDescent="0.2">
      <c r="A350" t="s">
        <v>450</v>
      </c>
      <c r="B350" t="s">
        <v>2171</v>
      </c>
      <c r="C350" t="s">
        <v>2111</v>
      </c>
      <c r="D350" t="s">
        <v>859</v>
      </c>
      <c r="E350" t="s">
        <v>71</v>
      </c>
      <c r="G350" s="17" t="str">
        <f t="shared" si="10"/>
        <v>CALCFLDS.LASTUPDATE</v>
      </c>
      <c r="H350" s="17" t="str">
        <f t="shared" si="11"/>
        <v>PROJECT_CALC_RESULT.LAST_MODIFIED_DATE</v>
      </c>
      <c r="I350" s="29"/>
      <c r="J3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0" s="17"/>
    </row>
    <row r="351" spans="1:11" hidden="1" x14ac:dyDescent="0.2">
      <c r="A351" t="s">
        <v>450</v>
      </c>
      <c r="B351" t="s">
        <v>2171</v>
      </c>
      <c r="C351" t="s">
        <v>2112</v>
      </c>
      <c r="D351" t="s">
        <v>859</v>
      </c>
      <c r="E351" t="s">
        <v>68</v>
      </c>
      <c r="G351" s="17" t="str">
        <f t="shared" si="10"/>
        <v>CALCFLDS.USR_ID</v>
      </c>
      <c r="H351" s="17" t="str">
        <f t="shared" si="11"/>
        <v>PROJECT_CALC_RESULT.LAST_MODIFIED_BY_USER_UID</v>
      </c>
      <c r="I351" s="29"/>
      <c r="J3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1" s="17"/>
    </row>
    <row r="352" spans="1:11" hidden="1" x14ac:dyDescent="0.2">
      <c r="A352" t="s">
        <v>450</v>
      </c>
      <c r="B352" t="s">
        <v>849</v>
      </c>
      <c r="C352" t="s">
        <v>744</v>
      </c>
      <c r="D352" t="s">
        <v>1218</v>
      </c>
      <c r="E352" t="s">
        <v>770</v>
      </c>
      <c r="G352" s="17" t="str">
        <f t="shared" si="10"/>
        <v>CAWP.PROGRAM</v>
      </c>
      <c r="H352" s="17" t="str">
        <f t="shared" si="11"/>
        <v>PROJECT_CONTROL_ACCOUNT.PROJECT_UID</v>
      </c>
      <c r="I352" s="29"/>
      <c r="J3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2" s="17"/>
    </row>
    <row r="353" spans="1:11" hidden="1" x14ac:dyDescent="0.2">
      <c r="A353" t="s">
        <v>450</v>
      </c>
      <c r="B353" t="s">
        <v>849</v>
      </c>
      <c r="C353" t="s">
        <v>1009</v>
      </c>
      <c r="D353" t="s">
        <v>1218</v>
      </c>
      <c r="E353" t="s">
        <v>30</v>
      </c>
      <c r="G353" s="17" t="str">
        <f t="shared" si="10"/>
        <v>CAWP.CAWPID</v>
      </c>
      <c r="H353" s="17" t="str">
        <f t="shared" si="11"/>
        <v>PROJECT_CONTROL_ACCOUNT.ROW_UID</v>
      </c>
      <c r="I353" s="29"/>
      <c r="J3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3" s="17"/>
    </row>
    <row r="354" spans="1:11" hidden="1" x14ac:dyDescent="0.2">
      <c r="A354" s="14" t="s">
        <v>450</v>
      </c>
      <c r="B354" t="s">
        <v>849</v>
      </c>
      <c r="C354" s="14" t="s">
        <v>1003</v>
      </c>
      <c r="D354" s="14"/>
      <c r="E354" s="14"/>
      <c r="F354" s="14" t="s">
        <v>2461</v>
      </c>
      <c r="G354" s="23" t="str">
        <f t="shared" si="10"/>
        <v>CAWP.CA1</v>
      </c>
      <c r="H354" s="23" t="str">
        <f t="shared" si="11"/>
        <v>.</v>
      </c>
      <c r="I354" s="30" t="s">
        <v>2411</v>
      </c>
      <c r="J3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PROJECT_CONTROL_ACCOUNT.CA1</v>
      </c>
      <c r="K354" s="17"/>
    </row>
    <row r="355" spans="1:11" hidden="1" x14ac:dyDescent="0.2">
      <c r="A355" s="14" t="s">
        <v>450</v>
      </c>
      <c r="B355" t="s">
        <v>849</v>
      </c>
      <c r="C355" s="14" t="s">
        <v>1005</v>
      </c>
      <c r="D355" s="14"/>
      <c r="E355" s="14"/>
      <c r="F355" s="14" t="s">
        <v>2461</v>
      </c>
      <c r="G355" s="23" t="str">
        <f t="shared" si="10"/>
        <v>CAWP.CA2</v>
      </c>
      <c r="H355" s="23" t="str">
        <f t="shared" si="11"/>
        <v>.</v>
      </c>
      <c r="I355" s="30" t="s">
        <v>2411</v>
      </c>
      <c r="J3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PROJECT_CONTROL_ACCOUNT.CA2</v>
      </c>
      <c r="K355" s="17"/>
    </row>
    <row r="356" spans="1:11" hidden="1" x14ac:dyDescent="0.2">
      <c r="A356" s="14" t="s">
        <v>450</v>
      </c>
      <c r="B356" t="s">
        <v>849</v>
      </c>
      <c r="C356" s="14" t="s">
        <v>1007</v>
      </c>
      <c r="D356" s="14"/>
      <c r="E356" s="14"/>
      <c r="F356" s="14" t="s">
        <v>2461</v>
      </c>
      <c r="G356" s="23" t="str">
        <f t="shared" si="10"/>
        <v>CAWP.CA3</v>
      </c>
      <c r="H356" s="23" t="str">
        <f t="shared" si="11"/>
        <v>.</v>
      </c>
      <c r="I356" s="30" t="s">
        <v>2411</v>
      </c>
      <c r="J3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PROJECT_CONTROL_ACCOUNT.CA3</v>
      </c>
      <c r="K356" s="17"/>
    </row>
    <row r="357" spans="1:11" hidden="1" x14ac:dyDescent="0.2">
      <c r="A357" s="14" t="s">
        <v>450</v>
      </c>
      <c r="B357" t="s">
        <v>849</v>
      </c>
      <c r="C357" s="14" t="s">
        <v>1398</v>
      </c>
      <c r="D357" s="14"/>
      <c r="E357" s="14"/>
      <c r="F357" s="14" t="s">
        <v>2462</v>
      </c>
      <c r="G357" s="23" t="str">
        <f t="shared" si="10"/>
        <v>CAWP.WP</v>
      </c>
      <c r="H357" s="23" t="str">
        <f t="shared" si="11"/>
        <v>.</v>
      </c>
      <c r="I357" s="30" t="s">
        <v>2411</v>
      </c>
      <c r="J3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PROJECT_CONTROL_ACCOUNT.WP</v>
      </c>
      <c r="K357" s="17"/>
    </row>
    <row r="358" spans="1:11" hidden="1" x14ac:dyDescent="0.2">
      <c r="A358" t="s">
        <v>450</v>
      </c>
      <c r="B358" t="s">
        <v>849</v>
      </c>
      <c r="C358" t="s">
        <v>2141</v>
      </c>
      <c r="D358" t="s">
        <v>1218</v>
      </c>
      <c r="E358" t="s">
        <v>15</v>
      </c>
      <c r="G358" s="17" t="str">
        <f t="shared" si="10"/>
        <v>CAWP.DESCRIP</v>
      </c>
      <c r="H358" s="17" t="str">
        <f t="shared" si="11"/>
        <v>PROJECT_CONTROL_ACCOUNT.DESCRIPTION</v>
      </c>
      <c r="I358" s="29"/>
      <c r="J3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8" s="17"/>
    </row>
    <row r="359" spans="1:11" hidden="1" x14ac:dyDescent="0.2">
      <c r="A359" t="s">
        <v>450</v>
      </c>
      <c r="B359" t="s">
        <v>849</v>
      </c>
      <c r="C359" t="s">
        <v>2185</v>
      </c>
      <c r="D359" t="s">
        <v>1218</v>
      </c>
      <c r="E359" t="s">
        <v>498</v>
      </c>
      <c r="G359" s="17" t="str">
        <f t="shared" si="10"/>
        <v>CAWP.SSD</v>
      </c>
      <c r="H359" s="17" t="str">
        <f t="shared" si="11"/>
        <v>PROJECT_CONTROL_ACCOUNT.BASELINE_START</v>
      </c>
      <c r="I359" s="29"/>
      <c r="J3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59" s="17"/>
    </row>
    <row r="360" spans="1:11" hidden="1" x14ac:dyDescent="0.2">
      <c r="A360" t="s">
        <v>450</v>
      </c>
      <c r="B360" t="s">
        <v>849</v>
      </c>
      <c r="C360" t="s">
        <v>2184</v>
      </c>
      <c r="D360" t="s">
        <v>1218</v>
      </c>
      <c r="E360" t="s">
        <v>501</v>
      </c>
      <c r="G360" s="17" t="str">
        <f t="shared" si="10"/>
        <v>CAWP.SFD</v>
      </c>
      <c r="H360" s="17" t="str">
        <f t="shared" si="11"/>
        <v>PROJECT_CONTROL_ACCOUNT.BASELINE_FINISH</v>
      </c>
      <c r="I360" s="29"/>
      <c r="J3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0" s="17"/>
    </row>
    <row r="361" spans="1:11" hidden="1" x14ac:dyDescent="0.2">
      <c r="A361" t="s">
        <v>450</v>
      </c>
      <c r="B361" t="s">
        <v>849</v>
      </c>
      <c r="C361" t="s">
        <v>2176</v>
      </c>
      <c r="D361" t="s">
        <v>1218</v>
      </c>
      <c r="E361" t="s">
        <v>902</v>
      </c>
      <c r="G361" s="17" t="str">
        <f t="shared" si="10"/>
        <v>CAWP.ASD</v>
      </c>
      <c r="H361" s="17" t="str">
        <f t="shared" si="11"/>
        <v>PROJECT_CONTROL_ACCOUNT.ACTUAL_START</v>
      </c>
      <c r="I361" s="29"/>
      <c r="J3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1" s="17"/>
    </row>
    <row r="362" spans="1:11" hidden="1" x14ac:dyDescent="0.2">
      <c r="A362" t="s">
        <v>450</v>
      </c>
      <c r="B362" t="s">
        <v>849</v>
      </c>
      <c r="C362" t="s">
        <v>2175</v>
      </c>
      <c r="D362" t="s">
        <v>1218</v>
      </c>
      <c r="E362" t="s">
        <v>905</v>
      </c>
      <c r="G362" s="17" t="str">
        <f t="shared" si="10"/>
        <v>CAWP.AFD</v>
      </c>
      <c r="H362" s="17" t="str">
        <f t="shared" si="11"/>
        <v>PROJECT_CONTROL_ACCOUNT.ACTUAL_FINISH</v>
      </c>
      <c r="I362" s="29"/>
      <c r="J3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2" s="17"/>
    </row>
    <row r="363" spans="1:11" hidden="1" x14ac:dyDescent="0.2">
      <c r="A363" t="s">
        <v>450</v>
      </c>
      <c r="B363" t="s">
        <v>849</v>
      </c>
      <c r="C363" t="s">
        <v>2178</v>
      </c>
      <c r="D363" t="s">
        <v>1218</v>
      </c>
      <c r="E363" t="s">
        <v>908</v>
      </c>
      <c r="G363" s="17" t="str">
        <f t="shared" si="10"/>
        <v>CAWP.ESD</v>
      </c>
      <c r="H363" s="17" t="str">
        <f t="shared" si="11"/>
        <v>PROJECT_CONTROL_ACCOUNT.EARLY_START</v>
      </c>
      <c r="I363" s="29"/>
      <c r="J3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3" s="17"/>
    </row>
    <row r="364" spans="1:11" hidden="1" x14ac:dyDescent="0.2">
      <c r="A364" t="s">
        <v>450</v>
      </c>
      <c r="B364" t="s">
        <v>849</v>
      </c>
      <c r="C364" t="s">
        <v>2177</v>
      </c>
      <c r="D364" t="s">
        <v>1218</v>
      </c>
      <c r="E364" t="s">
        <v>911</v>
      </c>
      <c r="G364" s="17" t="str">
        <f t="shared" si="10"/>
        <v>CAWP.EFD</v>
      </c>
      <c r="H364" s="17" t="str">
        <f t="shared" si="11"/>
        <v>PROJECT_CONTROL_ACCOUNT.EARLY_FINISH</v>
      </c>
      <c r="I364" s="29"/>
      <c r="J3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4" s="17"/>
    </row>
    <row r="365" spans="1:11" hidden="1" x14ac:dyDescent="0.2">
      <c r="A365" t="s">
        <v>450</v>
      </c>
      <c r="B365" t="s">
        <v>849</v>
      </c>
      <c r="C365" t="s">
        <v>2180</v>
      </c>
      <c r="D365" t="s">
        <v>1218</v>
      </c>
      <c r="E365" t="s">
        <v>914</v>
      </c>
      <c r="G365" s="17" t="str">
        <f t="shared" si="10"/>
        <v>CAWP.LSD</v>
      </c>
      <c r="H365" s="17" t="str">
        <f t="shared" si="11"/>
        <v>PROJECT_CONTROL_ACCOUNT.LATE_START</v>
      </c>
      <c r="I365" s="29"/>
      <c r="J3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5" s="17"/>
    </row>
    <row r="366" spans="1:11" hidden="1" x14ac:dyDescent="0.2">
      <c r="A366" t="s">
        <v>450</v>
      </c>
      <c r="B366" t="s">
        <v>849</v>
      </c>
      <c r="C366" t="s">
        <v>2179</v>
      </c>
      <c r="D366" t="s">
        <v>1218</v>
      </c>
      <c r="E366" t="s">
        <v>917</v>
      </c>
      <c r="G366" s="17" t="str">
        <f t="shared" si="10"/>
        <v>CAWP.LFD</v>
      </c>
      <c r="H366" s="17" t="str">
        <f t="shared" si="11"/>
        <v>PROJECT_CONTROL_ACCOUNT.LATE_FINISH</v>
      </c>
      <c r="I366" s="29"/>
      <c r="J3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6" s="17"/>
    </row>
    <row r="367" spans="1:11" hidden="1" x14ac:dyDescent="0.2">
      <c r="A367" t="s">
        <v>450</v>
      </c>
      <c r="B367" t="s">
        <v>849</v>
      </c>
      <c r="C367" t="s">
        <v>2183</v>
      </c>
      <c r="D367" t="s">
        <v>1218</v>
      </c>
      <c r="E367" t="s">
        <v>920</v>
      </c>
      <c r="G367" s="17" t="str">
        <f t="shared" si="10"/>
        <v>CAWP.PSD</v>
      </c>
      <c r="H367" s="17" t="str">
        <f t="shared" si="11"/>
        <v>PROJECT_CONTROL_ACCOUNT.PENDING_START</v>
      </c>
      <c r="I367" s="29"/>
      <c r="J3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7" s="17"/>
    </row>
    <row r="368" spans="1:11" hidden="1" x14ac:dyDescent="0.2">
      <c r="A368" t="s">
        <v>450</v>
      </c>
      <c r="B368" t="s">
        <v>849</v>
      </c>
      <c r="C368" t="s">
        <v>2182</v>
      </c>
      <c r="D368" t="s">
        <v>1218</v>
      </c>
      <c r="E368" t="s">
        <v>923</v>
      </c>
      <c r="G368" s="17" t="str">
        <f t="shared" si="10"/>
        <v>CAWP.PFD</v>
      </c>
      <c r="H368" s="17" t="str">
        <f t="shared" si="11"/>
        <v>PROJECT_CONTROL_ACCOUNT.PENDING_FINISH</v>
      </c>
      <c r="I368" s="29"/>
      <c r="J3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368" s="17"/>
    </row>
    <row r="369" spans="1:11" hidden="1" x14ac:dyDescent="0.2">
      <c r="A369" s="14" t="s">
        <v>450</v>
      </c>
      <c r="B369" t="s">
        <v>849</v>
      </c>
      <c r="C369" s="14" t="s">
        <v>600</v>
      </c>
      <c r="D369" s="14" t="s">
        <v>2463</v>
      </c>
      <c r="E369" s="14" t="s">
        <v>600</v>
      </c>
      <c r="F369" s="14" t="s">
        <v>2464</v>
      </c>
      <c r="G369" s="23" t="str">
        <f t="shared" si="10"/>
        <v>CAWP.ACWP</v>
      </c>
      <c r="H369" s="23" t="str">
        <f t="shared" si="11"/>
        <v>PROJECT_CAWP_TOTALS.ACWP</v>
      </c>
      <c r="I369" s="30" t="s">
        <v>2411</v>
      </c>
      <c r="J3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</v>
      </c>
      <c r="K369" s="17"/>
    </row>
    <row r="370" spans="1:11" s="14" customFormat="1" hidden="1" x14ac:dyDescent="0.2">
      <c r="A370" s="14" t="s">
        <v>450</v>
      </c>
      <c r="B370" t="s">
        <v>849</v>
      </c>
      <c r="C370" s="14" t="s">
        <v>613</v>
      </c>
      <c r="D370" s="14" t="s">
        <v>2463</v>
      </c>
      <c r="E370" s="14" t="s">
        <v>613</v>
      </c>
      <c r="F370" s="14" t="s">
        <v>2464</v>
      </c>
      <c r="G370" s="23" t="str">
        <f t="shared" si="10"/>
        <v>CAWP.BCWP</v>
      </c>
      <c r="H370" s="23" t="str">
        <f t="shared" si="11"/>
        <v>PROJECT_CAWP_TOTALS.BCWP</v>
      </c>
      <c r="I370" s="30" t="s">
        <v>2411</v>
      </c>
      <c r="J3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</v>
      </c>
      <c r="K370" s="17"/>
    </row>
    <row r="371" spans="1:11" hidden="1" x14ac:dyDescent="0.2">
      <c r="A371" s="14" t="s">
        <v>450</v>
      </c>
      <c r="B371" t="s">
        <v>849</v>
      </c>
      <c r="C371" s="14" t="s">
        <v>617</v>
      </c>
      <c r="D371" s="14" t="s">
        <v>2463</v>
      </c>
      <c r="E371" s="14" t="s">
        <v>617</v>
      </c>
      <c r="F371" s="14" t="s">
        <v>2464</v>
      </c>
      <c r="G371" s="23" t="str">
        <f t="shared" si="10"/>
        <v>CAWP.BCWS</v>
      </c>
      <c r="H371" s="23" t="str">
        <f t="shared" si="11"/>
        <v>PROJECT_CAWP_TOTALS.BCWS</v>
      </c>
      <c r="I371" s="30" t="s">
        <v>2411</v>
      </c>
      <c r="J3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</v>
      </c>
      <c r="K371" s="17"/>
    </row>
    <row r="372" spans="1:11" hidden="1" x14ac:dyDescent="0.2">
      <c r="A372" s="14" t="s">
        <v>450</v>
      </c>
      <c r="B372" t="s">
        <v>849</v>
      </c>
      <c r="C372" s="14" t="s">
        <v>607</v>
      </c>
      <c r="D372" s="14" t="s">
        <v>2463</v>
      </c>
      <c r="E372" s="14" t="s">
        <v>607</v>
      </c>
      <c r="F372" s="14" t="s">
        <v>2464</v>
      </c>
      <c r="G372" s="23" t="str">
        <f t="shared" si="10"/>
        <v>CAWP.BAC</v>
      </c>
      <c r="H372" s="23" t="str">
        <f t="shared" si="11"/>
        <v>PROJECT_CAWP_TOTALS.BAC</v>
      </c>
      <c r="I372" s="30" t="s">
        <v>2411</v>
      </c>
      <c r="J3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PROJECT_CONTROL_ACCOUNT.BAC</v>
      </c>
      <c r="K372" s="17"/>
    </row>
    <row r="373" spans="1:11" hidden="1" x14ac:dyDescent="0.2">
      <c r="A373" s="14" t="s">
        <v>450</v>
      </c>
      <c r="B373" t="s">
        <v>849</v>
      </c>
      <c r="C373" s="14" t="s">
        <v>690</v>
      </c>
      <c r="D373" s="14" t="s">
        <v>2463</v>
      </c>
      <c r="E373" s="14" t="s">
        <v>690</v>
      </c>
      <c r="F373" s="14" t="s">
        <v>2464</v>
      </c>
      <c r="G373" s="23" t="str">
        <f t="shared" si="10"/>
        <v>CAWP.EAC</v>
      </c>
      <c r="H373" s="23" t="str">
        <f t="shared" si="11"/>
        <v>PROJECT_CAWP_TOTALS.EAC</v>
      </c>
      <c r="I373" s="30" t="s">
        <v>2411</v>
      </c>
      <c r="J3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</v>
      </c>
      <c r="K373" s="17"/>
    </row>
    <row r="374" spans="1:11" hidden="1" x14ac:dyDescent="0.2">
      <c r="A374" s="14" t="s">
        <v>450</v>
      </c>
      <c r="B374" t="s">
        <v>849</v>
      </c>
      <c r="C374" s="14" t="s">
        <v>443</v>
      </c>
      <c r="D374" s="14"/>
      <c r="E374" s="14"/>
      <c r="F374" s="14" t="s">
        <v>2465</v>
      </c>
      <c r="G374" s="23" t="str">
        <f t="shared" si="10"/>
        <v>CAWP.FLAG</v>
      </c>
      <c r="H374" s="23" t="str">
        <f t="shared" si="11"/>
        <v>.</v>
      </c>
      <c r="I374" s="30" t="s">
        <v>2411</v>
      </c>
      <c r="J3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PROJECT_CONTROL_ACCOUNT.FLAG</v>
      </c>
      <c r="K374" s="17"/>
    </row>
    <row r="375" spans="1:11" hidden="1" x14ac:dyDescent="0.2">
      <c r="A375" s="14" t="s">
        <v>450</v>
      </c>
      <c r="B375" t="s">
        <v>849</v>
      </c>
      <c r="C375" s="14" t="s">
        <v>1242</v>
      </c>
      <c r="D375" s="14"/>
      <c r="E375" s="14"/>
      <c r="F375" s="14" t="s">
        <v>2466</v>
      </c>
      <c r="G375" s="23" t="str">
        <f t="shared" si="10"/>
        <v>CAWP.PMT</v>
      </c>
      <c r="H375" s="23" t="str">
        <f t="shared" si="11"/>
        <v>.</v>
      </c>
      <c r="I375" s="30" t="s">
        <v>2411</v>
      </c>
      <c r="J3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PROJECT_CONTROL_ACCOUNT.PMT</v>
      </c>
      <c r="K375" s="17"/>
    </row>
    <row r="376" spans="1:11" hidden="1" x14ac:dyDescent="0.2">
      <c r="A376" s="14" t="s">
        <v>450</v>
      </c>
      <c r="B376" t="s">
        <v>849</v>
      </c>
      <c r="C376" s="14" t="s">
        <v>1394</v>
      </c>
      <c r="D376" s="14"/>
      <c r="E376" s="14"/>
      <c r="F376" s="14" t="s">
        <v>2466</v>
      </c>
      <c r="G376" s="23" t="str">
        <f t="shared" si="10"/>
        <v>CAWP.STARTPC</v>
      </c>
      <c r="H376" s="23" t="str">
        <f t="shared" si="11"/>
        <v>.</v>
      </c>
      <c r="I376" s="30" t="s">
        <v>2411</v>
      </c>
      <c r="J3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PROJECT_CONTROL_ACCOUNT.STARTPC</v>
      </c>
      <c r="K376" s="17"/>
    </row>
    <row r="377" spans="1:11" hidden="1" x14ac:dyDescent="0.2">
      <c r="A377" s="14" t="s">
        <v>450</v>
      </c>
      <c r="B377" t="s">
        <v>849</v>
      </c>
      <c r="C377" s="14" t="s">
        <v>1241</v>
      </c>
      <c r="D377" s="14"/>
      <c r="E377" s="14"/>
      <c r="F377" s="14" t="s">
        <v>2466</v>
      </c>
      <c r="G377" s="23" t="str">
        <f t="shared" si="10"/>
        <v>CAWP.PC_COMP</v>
      </c>
      <c r="H377" s="23" t="str">
        <f t="shared" si="11"/>
        <v>.</v>
      </c>
      <c r="I377" s="30" t="s">
        <v>2411</v>
      </c>
      <c r="J3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PROJECT_CONTROL_ACCOUNT.PC_COMP</v>
      </c>
      <c r="K377" s="17"/>
    </row>
    <row r="378" spans="1:11" hidden="1" x14ac:dyDescent="0.2">
      <c r="A378" s="14" t="s">
        <v>450</v>
      </c>
      <c r="B378" t="s">
        <v>849</v>
      </c>
      <c r="C378" s="14" t="s">
        <v>1396</v>
      </c>
      <c r="D378" s="14"/>
      <c r="E378" s="14"/>
      <c r="F378" s="14" t="s">
        <v>2466</v>
      </c>
      <c r="G378" s="23" t="str">
        <f t="shared" si="10"/>
        <v>CAWP.UNITSTODO</v>
      </c>
      <c r="H378" s="23" t="str">
        <f t="shared" si="11"/>
        <v>.</v>
      </c>
      <c r="I378" s="30" t="s">
        <v>2411</v>
      </c>
      <c r="J3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PROJECT_CONTROL_ACCOUNT.UNITSTODO</v>
      </c>
      <c r="K378" s="17"/>
    </row>
    <row r="379" spans="1:11" hidden="1" x14ac:dyDescent="0.2">
      <c r="A379" s="14" t="s">
        <v>450</v>
      </c>
      <c r="B379" t="s">
        <v>849</v>
      </c>
      <c r="C379" s="14" t="s">
        <v>1395</v>
      </c>
      <c r="D379" s="14"/>
      <c r="E379" s="14"/>
      <c r="F379" s="14" t="s">
        <v>2466</v>
      </c>
      <c r="G379" s="23" t="str">
        <f t="shared" si="10"/>
        <v>CAWP.UNITS_COMP</v>
      </c>
      <c r="H379" s="23" t="str">
        <f t="shared" si="11"/>
        <v>.</v>
      </c>
      <c r="I379" s="30" t="s">
        <v>2411</v>
      </c>
      <c r="J3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PROJECT_CONTROL_ACCOUNT.UNITS_COMP</v>
      </c>
      <c r="K379" s="17"/>
    </row>
    <row r="380" spans="1:11" hidden="1" x14ac:dyDescent="0.2">
      <c r="A380" s="14" t="s">
        <v>450</v>
      </c>
      <c r="B380" t="s">
        <v>849</v>
      </c>
      <c r="C380" s="14" t="s">
        <v>1018</v>
      </c>
      <c r="D380" s="14"/>
      <c r="E380" s="14"/>
      <c r="F380" s="14" t="s">
        <v>2362</v>
      </c>
      <c r="G380" s="23" t="str">
        <f t="shared" si="10"/>
        <v>CAWP.OP_BATCH</v>
      </c>
      <c r="H380" s="23" t="str">
        <f t="shared" si="11"/>
        <v>.</v>
      </c>
      <c r="I380" s="30" t="s">
        <v>2411</v>
      </c>
      <c r="J3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PROJECT_CONTROL_ACCOUNT.OP_BATCH</v>
      </c>
      <c r="K380" s="17"/>
    </row>
    <row r="381" spans="1:11" hidden="1" x14ac:dyDescent="0.2">
      <c r="A381" s="14" t="s">
        <v>450</v>
      </c>
      <c r="B381" t="s">
        <v>849</v>
      </c>
      <c r="C381" s="14" t="s">
        <v>1011</v>
      </c>
      <c r="D381" s="14"/>
      <c r="E381" s="14"/>
      <c r="F381" s="14" t="s">
        <v>2362</v>
      </c>
      <c r="G381" s="23" t="str">
        <f t="shared" si="10"/>
        <v>CAWP.CL_BATCH</v>
      </c>
      <c r="H381" s="23" t="str">
        <f t="shared" si="11"/>
        <v>.</v>
      </c>
      <c r="I381" s="30" t="s">
        <v>2411</v>
      </c>
      <c r="J3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PROJECT_CONTROL_ACCOUNT.CL_BATCH</v>
      </c>
      <c r="K381" s="17"/>
    </row>
    <row r="382" spans="1:11" hidden="1" x14ac:dyDescent="0.2">
      <c r="A382" s="14" t="s">
        <v>450</v>
      </c>
      <c r="B382" t="s">
        <v>849</v>
      </c>
      <c r="C382" s="14" t="s">
        <v>953</v>
      </c>
      <c r="D382" s="14"/>
      <c r="E382" s="14"/>
      <c r="F382" s="14" t="s">
        <v>2362</v>
      </c>
      <c r="G382" s="23" t="str">
        <f t="shared" si="10"/>
        <v>CAWP.APPLINK</v>
      </c>
      <c r="H382" s="23" t="str">
        <f t="shared" si="11"/>
        <v>.</v>
      </c>
      <c r="I382" s="30" t="s">
        <v>2411</v>
      </c>
      <c r="J3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PROJECT_CONTROL_ACCOUNT.APPLINK</v>
      </c>
      <c r="K382" s="17"/>
    </row>
    <row r="383" spans="1:11" x14ac:dyDescent="0.2">
      <c r="A383" s="14" t="s">
        <v>450</v>
      </c>
      <c r="B383" t="s">
        <v>849</v>
      </c>
      <c r="C383" s="14" t="s">
        <v>963</v>
      </c>
      <c r="D383" s="14" t="s">
        <v>1620</v>
      </c>
      <c r="E383" s="14" t="s">
        <v>1626</v>
      </c>
      <c r="F383" s="14" t="s">
        <v>2467</v>
      </c>
      <c r="G383" s="23" t="str">
        <f t="shared" si="10"/>
        <v>CAWP.C1</v>
      </c>
      <c r="H383" s="23" t="str">
        <f t="shared" si="11"/>
        <v>USER_CODE_VALUE.CODE_UID</v>
      </c>
      <c r="I383" s="30" t="s">
        <v>2411</v>
      </c>
      <c r="J3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</v>
      </c>
      <c r="K383" s="17"/>
    </row>
    <row r="384" spans="1:11" x14ac:dyDescent="0.2">
      <c r="A384" s="14" t="s">
        <v>450</v>
      </c>
      <c r="B384" t="s">
        <v>849</v>
      </c>
      <c r="C384" s="14" t="s">
        <v>985</v>
      </c>
      <c r="D384" s="14" t="s">
        <v>1620</v>
      </c>
      <c r="E384" s="14" t="s">
        <v>1626</v>
      </c>
      <c r="F384" s="14" t="s">
        <v>2467</v>
      </c>
      <c r="G384" s="23" t="str">
        <f t="shared" si="10"/>
        <v>CAWP.C2</v>
      </c>
      <c r="H384" s="23" t="str">
        <f t="shared" si="11"/>
        <v>USER_CODE_VALUE.CODE_UID</v>
      </c>
      <c r="I384" s="30" t="s">
        <v>2411</v>
      </c>
      <c r="J3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PROJECT_CONTROL_ACCOUNT.C2</v>
      </c>
      <c r="K384" s="17"/>
    </row>
    <row r="385" spans="1:11" x14ac:dyDescent="0.2">
      <c r="A385" s="14" t="s">
        <v>450</v>
      </c>
      <c r="B385" t="s">
        <v>849</v>
      </c>
      <c r="C385" s="14" t="s">
        <v>989</v>
      </c>
      <c r="D385" s="14" t="s">
        <v>1620</v>
      </c>
      <c r="E385" s="14" t="s">
        <v>1626</v>
      </c>
      <c r="F385" s="14" t="s">
        <v>2467</v>
      </c>
      <c r="G385" s="23" t="str">
        <f t="shared" si="10"/>
        <v>CAWP.C3</v>
      </c>
      <c r="H385" s="23" t="str">
        <f t="shared" si="11"/>
        <v>USER_CODE_VALUE.CODE_UID</v>
      </c>
      <c r="I385" s="30" t="s">
        <v>2411</v>
      </c>
      <c r="J3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PROJECT_CONTROL_ACCOUNT.C3</v>
      </c>
      <c r="K385" s="17"/>
    </row>
    <row r="386" spans="1:11" x14ac:dyDescent="0.2">
      <c r="A386" s="14" t="s">
        <v>450</v>
      </c>
      <c r="B386" t="s">
        <v>849</v>
      </c>
      <c r="C386" s="14" t="s">
        <v>991</v>
      </c>
      <c r="D386" s="14" t="s">
        <v>1620</v>
      </c>
      <c r="E386" s="14" t="s">
        <v>1626</v>
      </c>
      <c r="F386" s="14" t="s">
        <v>2467</v>
      </c>
      <c r="G386" s="23" t="str">
        <f t="shared" si="10"/>
        <v>CAWP.C4</v>
      </c>
      <c r="H386" s="23" t="str">
        <f t="shared" si="11"/>
        <v>USER_CODE_VALUE.CODE_UID</v>
      </c>
      <c r="I386" s="30" t="s">
        <v>2411</v>
      </c>
      <c r="J3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PROJECT_CONTROL_ACCOUNT.C4</v>
      </c>
      <c r="K386" s="17"/>
    </row>
    <row r="387" spans="1:11" x14ac:dyDescent="0.2">
      <c r="A387" s="14" t="s">
        <v>450</v>
      </c>
      <c r="B387" t="s">
        <v>849</v>
      </c>
      <c r="C387" s="14" t="s">
        <v>993</v>
      </c>
      <c r="D387" s="14" t="s">
        <v>1620</v>
      </c>
      <c r="E387" s="14" t="s">
        <v>1626</v>
      </c>
      <c r="F387" s="14" t="s">
        <v>2467</v>
      </c>
      <c r="G387" s="23" t="str">
        <f t="shared" si="10"/>
        <v>CAWP.C5</v>
      </c>
      <c r="H387" s="23" t="str">
        <f t="shared" si="11"/>
        <v>USER_CODE_VALUE.CODE_UID</v>
      </c>
      <c r="I387" s="30" t="s">
        <v>2411</v>
      </c>
      <c r="J3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PROJECT_CONTROL_ACCOUNT.C5</v>
      </c>
      <c r="K387" s="17"/>
    </row>
    <row r="388" spans="1:11" x14ac:dyDescent="0.2">
      <c r="A388" s="14" t="s">
        <v>450</v>
      </c>
      <c r="B388" t="s">
        <v>849</v>
      </c>
      <c r="C388" s="14" t="s">
        <v>995</v>
      </c>
      <c r="D388" s="14" t="s">
        <v>1620</v>
      </c>
      <c r="E388" s="14" t="s">
        <v>1626</v>
      </c>
      <c r="F388" s="14" t="s">
        <v>2467</v>
      </c>
      <c r="G388" s="23" t="str">
        <f t="shared" si="10"/>
        <v>CAWP.C6</v>
      </c>
      <c r="H388" s="23" t="str">
        <f t="shared" si="11"/>
        <v>USER_CODE_VALUE.CODE_UID</v>
      </c>
      <c r="I388" s="30" t="s">
        <v>2411</v>
      </c>
      <c r="J3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PROJECT_CONTROL_ACCOUNT.C6</v>
      </c>
      <c r="K388" s="17"/>
    </row>
    <row r="389" spans="1:11" x14ac:dyDescent="0.2">
      <c r="A389" s="14" t="s">
        <v>450</v>
      </c>
      <c r="B389" t="s">
        <v>849</v>
      </c>
      <c r="C389" s="14" t="s">
        <v>997</v>
      </c>
      <c r="D389" s="14" t="s">
        <v>1620</v>
      </c>
      <c r="E389" s="14" t="s">
        <v>1626</v>
      </c>
      <c r="F389" s="14" t="s">
        <v>2467</v>
      </c>
      <c r="G389" s="23" t="str">
        <f t="shared" si="10"/>
        <v>CAWP.C7</v>
      </c>
      <c r="H389" s="23" t="str">
        <f t="shared" si="11"/>
        <v>USER_CODE_VALUE.CODE_UID</v>
      </c>
      <c r="I389" s="30" t="s">
        <v>2411</v>
      </c>
      <c r="J3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PROJECT_CONTROL_ACCOUNT.C7</v>
      </c>
      <c r="K389" s="17"/>
    </row>
    <row r="390" spans="1:11" x14ac:dyDescent="0.2">
      <c r="A390" s="14" t="s">
        <v>450</v>
      </c>
      <c r="B390" t="s">
        <v>849</v>
      </c>
      <c r="C390" s="14" t="s">
        <v>999</v>
      </c>
      <c r="D390" s="14" t="s">
        <v>1620</v>
      </c>
      <c r="E390" s="14" t="s">
        <v>1626</v>
      </c>
      <c r="F390" s="14" t="s">
        <v>2467</v>
      </c>
      <c r="G390" s="23" t="str">
        <f t="shared" si="10"/>
        <v>CAWP.C8</v>
      </c>
      <c r="H390" s="23" t="str">
        <f t="shared" si="11"/>
        <v>USER_CODE_VALUE.CODE_UID</v>
      </c>
      <c r="I390" s="30" t="s">
        <v>2411</v>
      </c>
      <c r="J3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PROJECT_CONTROL_ACCOUNT.C8</v>
      </c>
      <c r="K390" s="17"/>
    </row>
    <row r="391" spans="1:11" x14ac:dyDescent="0.2">
      <c r="A391" s="14" t="s">
        <v>450</v>
      </c>
      <c r="B391" t="s">
        <v>849</v>
      </c>
      <c r="C391" s="14" t="s">
        <v>1001</v>
      </c>
      <c r="D391" s="14" t="s">
        <v>1620</v>
      </c>
      <c r="E391" s="14" t="s">
        <v>1626</v>
      </c>
      <c r="F391" s="14" t="s">
        <v>2467</v>
      </c>
      <c r="G391" s="23" t="str">
        <f t="shared" ref="G391:G454" si="12">_xlfn.CONCAT(B391,".",C391)</f>
        <v>CAWP.C9</v>
      </c>
      <c r="H391" s="23" t="str">
        <f t="shared" ref="H391:H454" si="13">_xlfn.CONCAT(D391,".",E391)</f>
        <v>USER_CODE_VALUE.CODE_UID</v>
      </c>
      <c r="I391" s="30" t="s">
        <v>2411</v>
      </c>
      <c r="J3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PROJECT_CONTROL_ACCOUNT.C9</v>
      </c>
      <c r="K391" s="17"/>
    </row>
    <row r="392" spans="1:11" x14ac:dyDescent="0.2">
      <c r="A392" s="14" t="s">
        <v>450</v>
      </c>
      <c r="B392" t="s">
        <v>849</v>
      </c>
      <c r="C392" s="14" t="s">
        <v>965</v>
      </c>
      <c r="D392" s="14" t="s">
        <v>1620</v>
      </c>
      <c r="E392" s="14" t="s">
        <v>1626</v>
      </c>
      <c r="F392" s="14" t="s">
        <v>2467</v>
      </c>
      <c r="G392" s="23" t="str">
        <f t="shared" si="12"/>
        <v>CAWP.C10</v>
      </c>
      <c r="H392" s="23" t="str">
        <f t="shared" si="13"/>
        <v>USER_CODE_VALUE.CODE_UID</v>
      </c>
      <c r="I392" s="30" t="s">
        <v>2411</v>
      </c>
      <c r="J3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PROJECT_CONTROL_ACCOUNT.C10</v>
      </c>
      <c r="K392" s="17"/>
    </row>
    <row r="393" spans="1:11" x14ac:dyDescent="0.2">
      <c r="A393" s="14" t="s">
        <v>450</v>
      </c>
      <c r="B393" t="s">
        <v>849</v>
      </c>
      <c r="C393" s="14" t="s">
        <v>967</v>
      </c>
      <c r="D393" s="14" t="s">
        <v>1620</v>
      </c>
      <c r="E393" s="14" t="s">
        <v>1626</v>
      </c>
      <c r="F393" s="14" t="s">
        <v>2467</v>
      </c>
      <c r="G393" s="23" t="str">
        <f t="shared" si="12"/>
        <v>CAWP.C11</v>
      </c>
      <c r="H393" s="23" t="str">
        <f t="shared" si="13"/>
        <v>USER_CODE_VALUE.CODE_UID</v>
      </c>
      <c r="I393" s="30" t="s">
        <v>2411</v>
      </c>
      <c r="J3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PROJECT_CONTROL_ACCOUNT.C11</v>
      </c>
      <c r="K393" s="17"/>
    </row>
    <row r="394" spans="1:11" x14ac:dyDescent="0.2">
      <c r="A394" s="14" t="s">
        <v>450</v>
      </c>
      <c r="B394" t="s">
        <v>849</v>
      </c>
      <c r="C394" s="14" t="s">
        <v>969</v>
      </c>
      <c r="D394" s="14" t="s">
        <v>1620</v>
      </c>
      <c r="E394" s="14" t="s">
        <v>1626</v>
      </c>
      <c r="F394" s="14" t="s">
        <v>2467</v>
      </c>
      <c r="G394" s="23" t="str">
        <f t="shared" si="12"/>
        <v>CAWP.C12</v>
      </c>
      <c r="H394" s="23" t="str">
        <f t="shared" si="13"/>
        <v>USER_CODE_VALUE.CODE_UID</v>
      </c>
      <c r="I394" s="30" t="s">
        <v>2411</v>
      </c>
      <c r="J3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PROJECT_CONTROL_ACCOUNT.C12</v>
      </c>
      <c r="K394" s="17"/>
    </row>
    <row r="395" spans="1:11" x14ac:dyDescent="0.2">
      <c r="A395" s="14" t="s">
        <v>450</v>
      </c>
      <c r="B395" t="s">
        <v>849</v>
      </c>
      <c r="C395" s="14" t="s">
        <v>971</v>
      </c>
      <c r="D395" s="14" t="s">
        <v>1620</v>
      </c>
      <c r="E395" s="14" t="s">
        <v>1626</v>
      </c>
      <c r="F395" s="14" t="s">
        <v>2467</v>
      </c>
      <c r="G395" s="23" t="str">
        <f t="shared" si="12"/>
        <v>CAWP.C13</v>
      </c>
      <c r="H395" s="23" t="str">
        <f t="shared" si="13"/>
        <v>USER_CODE_VALUE.CODE_UID</v>
      </c>
      <c r="I395" s="30" t="s">
        <v>2411</v>
      </c>
      <c r="J3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PROJECT_CONTROL_ACCOUNT.C13</v>
      </c>
      <c r="K395" s="17"/>
    </row>
    <row r="396" spans="1:11" x14ac:dyDescent="0.2">
      <c r="A396" s="14" t="s">
        <v>450</v>
      </c>
      <c r="B396" t="s">
        <v>849</v>
      </c>
      <c r="C396" s="14" t="s">
        <v>973</v>
      </c>
      <c r="D396" s="14" t="s">
        <v>1620</v>
      </c>
      <c r="E396" s="14" t="s">
        <v>1626</v>
      </c>
      <c r="F396" s="14" t="s">
        <v>2467</v>
      </c>
      <c r="G396" s="23" t="str">
        <f t="shared" si="12"/>
        <v>CAWP.C14</v>
      </c>
      <c r="H396" s="23" t="str">
        <f t="shared" si="13"/>
        <v>USER_CODE_VALUE.CODE_UID</v>
      </c>
      <c r="I396" s="30" t="s">
        <v>2411</v>
      </c>
      <c r="J3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PROJECT_CONTROL_ACCOUNT.C14</v>
      </c>
      <c r="K396" s="17"/>
    </row>
    <row r="397" spans="1:11" x14ac:dyDescent="0.2">
      <c r="A397" s="14" t="s">
        <v>450</v>
      </c>
      <c r="B397" t="s">
        <v>849</v>
      </c>
      <c r="C397" s="14" t="s">
        <v>975</v>
      </c>
      <c r="D397" s="14" t="s">
        <v>1620</v>
      </c>
      <c r="E397" s="14" t="s">
        <v>1626</v>
      </c>
      <c r="F397" s="14" t="s">
        <v>2467</v>
      </c>
      <c r="G397" s="23" t="str">
        <f t="shared" si="12"/>
        <v>CAWP.C15</v>
      </c>
      <c r="H397" s="23" t="str">
        <f t="shared" si="13"/>
        <v>USER_CODE_VALUE.CODE_UID</v>
      </c>
      <c r="I397" s="30" t="s">
        <v>2411</v>
      </c>
      <c r="J3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PROJECT_CONTROL_ACCOUNT.C15</v>
      </c>
      <c r="K397" s="17"/>
    </row>
    <row r="398" spans="1:11" x14ac:dyDescent="0.2">
      <c r="A398" s="14" t="s">
        <v>450</v>
      </c>
      <c r="B398" t="s">
        <v>849</v>
      </c>
      <c r="C398" s="14" t="s">
        <v>977</v>
      </c>
      <c r="D398" s="14" t="s">
        <v>1620</v>
      </c>
      <c r="E398" s="14" t="s">
        <v>1626</v>
      </c>
      <c r="F398" s="14" t="s">
        <v>2467</v>
      </c>
      <c r="G398" s="23" t="str">
        <f t="shared" si="12"/>
        <v>CAWP.C16</v>
      </c>
      <c r="H398" s="23" t="str">
        <f t="shared" si="13"/>
        <v>USER_CODE_VALUE.CODE_UID</v>
      </c>
      <c r="I398" s="30" t="s">
        <v>2411</v>
      </c>
      <c r="J3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PROJECT_CONTROL_ACCOUNT.C16</v>
      </c>
      <c r="K398" s="17"/>
    </row>
    <row r="399" spans="1:11" x14ac:dyDescent="0.2">
      <c r="A399" s="14" t="s">
        <v>450</v>
      </c>
      <c r="B399" t="s">
        <v>849</v>
      </c>
      <c r="C399" s="14" t="s">
        <v>979</v>
      </c>
      <c r="D399" s="14" t="s">
        <v>1620</v>
      </c>
      <c r="E399" s="14" t="s">
        <v>1626</v>
      </c>
      <c r="F399" s="14" t="s">
        <v>2467</v>
      </c>
      <c r="G399" s="23" t="str">
        <f t="shared" si="12"/>
        <v>CAWP.C17</v>
      </c>
      <c r="H399" s="23" t="str">
        <f t="shared" si="13"/>
        <v>USER_CODE_VALUE.CODE_UID</v>
      </c>
      <c r="I399" s="30" t="s">
        <v>2411</v>
      </c>
      <c r="J3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PROJECT_CONTROL_ACCOUNT.C17</v>
      </c>
      <c r="K399" s="17"/>
    </row>
    <row r="400" spans="1:11" x14ac:dyDescent="0.2">
      <c r="A400" s="14" t="s">
        <v>450</v>
      </c>
      <c r="B400" t="s">
        <v>849</v>
      </c>
      <c r="C400" s="14" t="s">
        <v>981</v>
      </c>
      <c r="D400" s="14" t="s">
        <v>1620</v>
      </c>
      <c r="E400" s="14" t="s">
        <v>1626</v>
      </c>
      <c r="F400" s="14" t="s">
        <v>2467</v>
      </c>
      <c r="G400" s="23" t="str">
        <f t="shared" si="12"/>
        <v>CAWP.C18</v>
      </c>
      <c r="H400" s="23" t="str">
        <f t="shared" si="13"/>
        <v>USER_CODE_VALUE.CODE_UID</v>
      </c>
      <c r="I400" s="30" t="s">
        <v>2411</v>
      </c>
      <c r="J4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PROJECT_CONTROL_ACCOUNT.C18</v>
      </c>
      <c r="K400" s="17"/>
    </row>
    <row r="401" spans="1:11" x14ac:dyDescent="0.2">
      <c r="A401" s="14" t="s">
        <v>450</v>
      </c>
      <c r="B401" t="s">
        <v>849</v>
      </c>
      <c r="C401" s="14" t="s">
        <v>983</v>
      </c>
      <c r="D401" s="14" t="s">
        <v>1620</v>
      </c>
      <c r="E401" s="14" t="s">
        <v>1626</v>
      </c>
      <c r="F401" s="14" t="s">
        <v>2467</v>
      </c>
      <c r="G401" s="23" t="str">
        <f t="shared" si="12"/>
        <v>CAWP.C19</v>
      </c>
      <c r="H401" s="23" t="str">
        <f t="shared" si="13"/>
        <v>USER_CODE_VALUE.CODE_UID</v>
      </c>
      <c r="I401" s="30" t="s">
        <v>2411</v>
      </c>
      <c r="J4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PROJECT_CONTROL_ACCOUNT.C19</v>
      </c>
      <c r="K401" s="17"/>
    </row>
    <row r="402" spans="1:11" x14ac:dyDescent="0.2">
      <c r="A402" s="14" t="s">
        <v>450</v>
      </c>
      <c r="B402" t="s">
        <v>849</v>
      </c>
      <c r="C402" s="14" t="s">
        <v>987</v>
      </c>
      <c r="D402" s="14" t="s">
        <v>1620</v>
      </c>
      <c r="E402" s="14"/>
      <c r="F402" s="14" t="s">
        <v>2467</v>
      </c>
      <c r="G402" s="23" t="str">
        <f t="shared" si="12"/>
        <v>CAWP.C20</v>
      </c>
      <c r="H402" s="23" t="str">
        <f t="shared" si="13"/>
        <v>USER_CODE_VALUE.</v>
      </c>
      <c r="I402" s="30" t="s">
        <v>2411</v>
      </c>
      <c r="J4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PROJECT_CONTROL_ACCOUNT.C20</v>
      </c>
      <c r="K402" s="17"/>
    </row>
    <row r="403" spans="1:11" x14ac:dyDescent="0.2">
      <c r="A403" s="14" t="s">
        <v>450</v>
      </c>
      <c r="B403" t="s">
        <v>849</v>
      </c>
      <c r="C403" s="14" t="s">
        <v>1020</v>
      </c>
      <c r="D403" s="14" t="s">
        <v>1655</v>
      </c>
      <c r="E403" s="14" t="s">
        <v>1747</v>
      </c>
      <c r="F403" s="14" t="s">
        <v>2468</v>
      </c>
      <c r="G403" s="23" t="str">
        <f t="shared" si="12"/>
        <v>CAWP.USER_CHR01</v>
      </c>
      <c r="H403" s="23" t="str">
        <f t="shared" si="13"/>
        <v>USER_FIELD_VALUE.TEXT1</v>
      </c>
      <c r="I403" s="30" t="s">
        <v>2411</v>
      </c>
      <c r="J4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PROJECT_CONTROL_ACCOUNT.USER_CHR01</v>
      </c>
      <c r="K403" s="17"/>
    </row>
    <row r="404" spans="1:11" x14ac:dyDescent="0.2">
      <c r="A404" s="14" t="s">
        <v>450</v>
      </c>
      <c r="B404" t="s">
        <v>849</v>
      </c>
      <c r="C404" s="14" t="s">
        <v>1022</v>
      </c>
      <c r="D404" s="14" t="s">
        <v>1655</v>
      </c>
      <c r="E404" s="14" t="s">
        <v>1750</v>
      </c>
      <c r="F404" s="14" t="s">
        <v>2468</v>
      </c>
      <c r="G404" s="23" t="str">
        <f t="shared" si="12"/>
        <v>CAWP.USER_CHR02</v>
      </c>
      <c r="H404" s="23" t="str">
        <f t="shared" si="13"/>
        <v>USER_FIELD_VALUE.TEXT2</v>
      </c>
      <c r="I404" s="30" t="s">
        <v>2411</v>
      </c>
      <c r="J4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PROJECT_CONTROL_ACCOUNT.USER_CHR02</v>
      </c>
      <c r="K404" s="17"/>
    </row>
    <row r="405" spans="1:11" x14ac:dyDescent="0.2">
      <c r="A405" s="14" t="s">
        <v>450</v>
      </c>
      <c r="B405" t="s">
        <v>849</v>
      </c>
      <c r="C405" s="14" t="s">
        <v>1024</v>
      </c>
      <c r="D405" s="14" t="s">
        <v>1655</v>
      </c>
      <c r="E405" s="14" t="s">
        <v>1752</v>
      </c>
      <c r="F405" s="14" t="s">
        <v>2468</v>
      </c>
      <c r="G405" s="23" t="str">
        <f t="shared" si="12"/>
        <v>CAWP.USER_CHR03</v>
      </c>
      <c r="H405" s="23" t="str">
        <f t="shared" si="13"/>
        <v>USER_FIELD_VALUE.TEXT3</v>
      </c>
      <c r="I405" s="30" t="s">
        <v>2411</v>
      </c>
      <c r="J4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PROJECT_CONTROL_ACCOUNT.USER_CHR03</v>
      </c>
      <c r="K405" s="17"/>
    </row>
    <row r="406" spans="1:11" x14ac:dyDescent="0.2">
      <c r="A406" s="14" t="s">
        <v>450</v>
      </c>
      <c r="B406" t="s">
        <v>849</v>
      </c>
      <c r="C406" s="14" t="s">
        <v>1026</v>
      </c>
      <c r="D406" s="14" t="s">
        <v>1655</v>
      </c>
      <c r="E406" s="14" t="s">
        <v>1754</v>
      </c>
      <c r="F406" s="14" t="s">
        <v>2468</v>
      </c>
      <c r="G406" s="23" t="str">
        <f t="shared" si="12"/>
        <v>CAWP.USER_CHR04</v>
      </c>
      <c r="H406" s="23" t="str">
        <f t="shared" si="13"/>
        <v>USER_FIELD_VALUE.TEXT4</v>
      </c>
      <c r="I406" s="30" t="s">
        <v>2411</v>
      </c>
      <c r="J4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PROJECT_CONTROL_ACCOUNT.USER_CHR04</v>
      </c>
      <c r="K406" s="17"/>
    </row>
    <row r="407" spans="1:11" x14ac:dyDescent="0.2">
      <c r="A407" s="14" t="s">
        <v>450</v>
      </c>
      <c r="B407" t="s">
        <v>849</v>
      </c>
      <c r="C407" s="14" t="s">
        <v>1028</v>
      </c>
      <c r="D407" s="14" t="s">
        <v>1655</v>
      </c>
      <c r="E407" s="14" t="s">
        <v>1756</v>
      </c>
      <c r="F407" s="14" t="s">
        <v>2468</v>
      </c>
      <c r="G407" s="23" t="str">
        <f t="shared" si="12"/>
        <v>CAWP.USER_CHR05</v>
      </c>
      <c r="H407" s="23" t="str">
        <f t="shared" si="13"/>
        <v>USER_FIELD_VALUE.TEXT5</v>
      </c>
      <c r="I407" s="30" t="s">
        <v>2411</v>
      </c>
      <c r="J4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PROJECT_CONTROL_ACCOUNT.USER_CHR05</v>
      </c>
      <c r="K407" s="17"/>
    </row>
    <row r="408" spans="1:11" x14ac:dyDescent="0.2">
      <c r="A408" s="14" t="s">
        <v>450</v>
      </c>
      <c r="B408" t="s">
        <v>849</v>
      </c>
      <c r="C408" s="14" t="s">
        <v>1397</v>
      </c>
      <c r="D408" s="14" t="s">
        <v>1655</v>
      </c>
      <c r="E408" s="14" t="s">
        <v>1706</v>
      </c>
      <c r="F408" s="14" t="s">
        <v>2468</v>
      </c>
      <c r="G408" s="23" t="str">
        <f t="shared" si="12"/>
        <v>CAWP.USER_NUM01</v>
      </c>
      <c r="H408" s="23" t="str">
        <f t="shared" si="13"/>
        <v>USER_FIELD_VALUE.NUMBER1</v>
      </c>
      <c r="I408" s="30" t="s">
        <v>2411</v>
      </c>
      <c r="J4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PROJECT_CONTROL_ACCOUNT.USER_NUM01</v>
      </c>
      <c r="K408" s="17"/>
    </row>
    <row r="409" spans="1:11" x14ac:dyDescent="0.2">
      <c r="A409" s="14" t="s">
        <v>450</v>
      </c>
      <c r="B409" t="s">
        <v>849</v>
      </c>
      <c r="C409" s="14" t="s">
        <v>1042</v>
      </c>
      <c r="D409" s="14" t="s">
        <v>1655</v>
      </c>
      <c r="E409" s="14" t="s">
        <v>1709</v>
      </c>
      <c r="F409" s="14" t="s">
        <v>2468</v>
      </c>
      <c r="G409" s="23" t="str">
        <f t="shared" si="12"/>
        <v>CAWP.USER_NUM02</v>
      </c>
      <c r="H409" s="23" t="str">
        <f t="shared" si="13"/>
        <v>USER_FIELD_VALUE.NUMBER2</v>
      </c>
      <c r="I409" s="30" t="s">
        <v>2411</v>
      </c>
      <c r="J4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PROJECT_CONTROL_ACCOUNT.USER_NUM02</v>
      </c>
      <c r="K409" s="17"/>
    </row>
    <row r="410" spans="1:11" x14ac:dyDescent="0.2">
      <c r="A410" s="14" t="s">
        <v>450</v>
      </c>
      <c r="B410" t="s">
        <v>849</v>
      </c>
      <c r="C410" s="14" t="s">
        <v>1044</v>
      </c>
      <c r="D410" s="14" t="s">
        <v>1655</v>
      </c>
      <c r="E410" s="14" t="s">
        <v>1711</v>
      </c>
      <c r="F410" s="14" t="s">
        <v>2468</v>
      </c>
      <c r="G410" s="23" t="str">
        <f t="shared" si="12"/>
        <v>CAWP.USER_NUM03</v>
      </c>
      <c r="H410" s="23" t="str">
        <f t="shared" si="13"/>
        <v>USER_FIELD_VALUE.NUMBER3</v>
      </c>
      <c r="I410" s="30" t="s">
        <v>2411</v>
      </c>
      <c r="J4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PROJECT_CONTROL_ACCOUNT.USER_NUM03</v>
      </c>
      <c r="K410" s="17"/>
    </row>
    <row r="411" spans="1:11" x14ac:dyDescent="0.2">
      <c r="A411" s="14" t="s">
        <v>450</v>
      </c>
      <c r="B411" t="s">
        <v>849</v>
      </c>
      <c r="C411" s="14" t="s">
        <v>1046</v>
      </c>
      <c r="D411" s="14" t="s">
        <v>1655</v>
      </c>
      <c r="E411" s="14" t="s">
        <v>1713</v>
      </c>
      <c r="F411" s="14" t="s">
        <v>2468</v>
      </c>
      <c r="G411" s="23" t="str">
        <f t="shared" si="12"/>
        <v>CAWP.USER_NUM04</v>
      </c>
      <c r="H411" s="23" t="str">
        <f t="shared" si="13"/>
        <v>USER_FIELD_VALUE.NUMBER4</v>
      </c>
      <c r="I411" s="30" t="s">
        <v>2411</v>
      </c>
      <c r="J4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PROJECT_CONTROL_ACCOUNT.USER_NUM04</v>
      </c>
      <c r="K411" s="17"/>
    </row>
    <row r="412" spans="1:11" x14ac:dyDescent="0.2">
      <c r="A412" s="14" t="s">
        <v>450</v>
      </c>
      <c r="B412" t="s">
        <v>849</v>
      </c>
      <c r="C412" s="14" t="s">
        <v>1048</v>
      </c>
      <c r="D412" s="14" t="s">
        <v>1655</v>
      </c>
      <c r="E412" s="14" t="s">
        <v>1715</v>
      </c>
      <c r="F412" s="14" t="s">
        <v>2468</v>
      </c>
      <c r="G412" s="23" t="str">
        <f t="shared" si="12"/>
        <v>CAWP.USER_NUM05</v>
      </c>
      <c r="H412" s="23" t="str">
        <f t="shared" si="13"/>
        <v>USER_FIELD_VALUE.NUMBER5</v>
      </c>
      <c r="I412" s="30" t="s">
        <v>2411</v>
      </c>
      <c r="J4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PROJECT_CONTROL_ACCOUNT.USER_NUM05</v>
      </c>
      <c r="K412" s="17"/>
    </row>
    <row r="413" spans="1:11" x14ac:dyDescent="0.2">
      <c r="A413" s="14" t="s">
        <v>450</v>
      </c>
      <c r="B413" t="s">
        <v>849</v>
      </c>
      <c r="C413" s="14" t="s">
        <v>2469</v>
      </c>
      <c r="D413" s="14" t="s">
        <v>1655</v>
      </c>
      <c r="E413" s="14" t="s">
        <v>1659</v>
      </c>
      <c r="F413" s="14" t="s">
        <v>2468</v>
      </c>
      <c r="G413" s="23" t="str">
        <f t="shared" si="12"/>
        <v xml:space="preserve">CAWP.USER_DTE01 </v>
      </c>
      <c r="H413" s="23" t="str">
        <f t="shared" si="13"/>
        <v>USER_FIELD_VALUE.DATE1</v>
      </c>
      <c r="I413" s="30" t="s">
        <v>2411</v>
      </c>
      <c r="J4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 xml:space="preserve">PROJECT_CONTROL_ACCOUNT.USER_DTE01 </v>
      </c>
      <c r="K413" s="17"/>
    </row>
    <row r="414" spans="1:11" x14ac:dyDescent="0.2">
      <c r="A414" s="14" t="s">
        <v>450</v>
      </c>
      <c r="B414" t="s">
        <v>849</v>
      </c>
      <c r="C414" s="14" t="s">
        <v>1032</v>
      </c>
      <c r="D414" s="14" t="s">
        <v>1655</v>
      </c>
      <c r="E414" s="14" t="s">
        <v>1667</v>
      </c>
      <c r="F414" s="14" t="s">
        <v>2468</v>
      </c>
      <c r="G414" s="23" t="str">
        <f t="shared" si="12"/>
        <v>CAWP.USER_DTE02</v>
      </c>
      <c r="H414" s="23" t="str">
        <f t="shared" si="13"/>
        <v>USER_FIELD_VALUE.DATE2</v>
      </c>
      <c r="I414" s="30" t="s">
        <v>2411</v>
      </c>
      <c r="J4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PROJECT_CONTROL_ACCOUNT.USER_DTE02</v>
      </c>
      <c r="K414" s="17"/>
    </row>
    <row r="415" spans="1:11" x14ac:dyDescent="0.2">
      <c r="A415" s="14" t="s">
        <v>450</v>
      </c>
      <c r="B415" t="s">
        <v>849</v>
      </c>
      <c r="C415" s="14" t="s">
        <v>1034</v>
      </c>
      <c r="D415" s="14" t="s">
        <v>1655</v>
      </c>
      <c r="E415" s="14" t="s">
        <v>1670</v>
      </c>
      <c r="F415" s="14" t="s">
        <v>2468</v>
      </c>
      <c r="G415" s="23" t="str">
        <f t="shared" si="12"/>
        <v>CAWP.USER_DTE03</v>
      </c>
      <c r="H415" s="23" t="str">
        <f t="shared" si="13"/>
        <v>USER_FIELD_VALUE.DATE3</v>
      </c>
      <c r="I415" s="30" t="s">
        <v>2411</v>
      </c>
      <c r="J4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PROJECT_CONTROL_ACCOUNT.USER_DTE03</v>
      </c>
      <c r="K415" s="17"/>
    </row>
    <row r="416" spans="1:11" x14ac:dyDescent="0.2">
      <c r="A416" s="14" t="s">
        <v>450</v>
      </c>
      <c r="B416" t="s">
        <v>849</v>
      </c>
      <c r="C416" s="14" t="s">
        <v>1036</v>
      </c>
      <c r="D416" s="14" t="s">
        <v>1655</v>
      </c>
      <c r="E416" s="14" t="s">
        <v>1672</v>
      </c>
      <c r="F416" s="14" t="s">
        <v>2468</v>
      </c>
      <c r="G416" s="23" t="str">
        <f t="shared" si="12"/>
        <v>CAWP.USER_DTE04</v>
      </c>
      <c r="H416" s="23" t="str">
        <f t="shared" si="13"/>
        <v>USER_FIELD_VALUE.DATE4</v>
      </c>
      <c r="I416" s="30" t="s">
        <v>2411</v>
      </c>
      <c r="J4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PROJECT_CONTROL_ACCOUNT.USER_DTE04</v>
      </c>
      <c r="K416" s="17"/>
    </row>
    <row r="417" spans="1:11" x14ac:dyDescent="0.2">
      <c r="A417" s="14" t="s">
        <v>450</v>
      </c>
      <c r="B417" t="s">
        <v>849</v>
      </c>
      <c r="C417" s="14" t="s">
        <v>1038</v>
      </c>
      <c r="D417" s="14" t="s">
        <v>1655</v>
      </c>
      <c r="E417" s="14" t="s">
        <v>1674</v>
      </c>
      <c r="F417" s="14" t="s">
        <v>2468</v>
      </c>
      <c r="G417" s="23" t="str">
        <f t="shared" si="12"/>
        <v>CAWP.USER_DTE05</v>
      </c>
      <c r="H417" s="23" t="str">
        <f t="shared" si="13"/>
        <v>USER_FIELD_VALUE.DATE5</v>
      </c>
      <c r="I417" s="30" t="s">
        <v>2411</v>
      </c>
      <c r="J4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PROJECT_CONTROL_ACCOUNT.USER_DTE05</v>
      </c>
      <c r="K417" s="17"/>
    </row>
    <row r="418" spans="1:11" hidden="1" x14ac:dyDescent="0.2">
      <c r="A418" s="14" t="s">
        <v>450</v>
      </c>
      <c r="B418" t="s">
        <v>849</v>
      </c>
      <c r="C418" s="14" t="s">
        <v>619</v>
      </c>
      <c r="D418" s="14" t="s">
        <v>2463</v>
      </c>
      <c r="E418" s="14" t="s">
        <v>619</v>
      </c>
      <c r="F418" s="14" t="s">
        <v>2464</v>
      </c>
      <c r="G418" s="23" t="str">
        <f t="shared" si="12"/>
        <v>CAWP.BCWS_HRS</v>
      </c>
      <c r="H418" s="23" t="str">
        <f t="shared" si="13"/>
        <v>PROJECT_CAWP_TOTALS.BCWS_HRS</v>
      </c>
      <c r="I418" s="30" t="s">
        <v>2411</v>
      </c>
      <c r="J4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PROJECT_CONTROL_ACCOUNT.BCWS_HRS</v>
      </c>
      <c r="K418" s="17"/>
    </row>
    <row r="419" spans="1:11" hidden="1" x14ac:dyDescent="0.2">
      <c r="A419" s="14" t="s">
        <v>450</v>
      </c>
      <c r="B419" t="s">
        <v>849</v>
      </c>
      <c r="C419" s="14" t="s">
        <v>615</v>
      </c>
      <c r="D419" s="14" t="s">
        <v>2463</v>
      </c>
      <c r="E419" s="14" t="s">
        <v>615</v>
      </c>
      <c r="F419" s="14" t="s">
        <v>2464</v>
      </c>
      <c r="G419" s="23" t="str">
        <f t="shared" si="12"/>
        <v>CAWP.BCWP_HRS</v>
      </c>
      <c r="H419" s="23" t="str">
        <f t="shared" si="13"/>
        <v>PROJECT_CAWP_TOTALS.BCWP_HRS</v>
      </c>
      <c r="I419" s="30" t="s">
        <v>2411</v>
      </c>
      <c r="J4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PROJECT_CONTROL_ACCOUNT.BCWP_HRS</v>
      </c>
      <c r="K419" s="17"/>
    </row>
    <row r="420" spans="1:11" hidden="1" x14ac:dyDescent="0.2">
      <c r="A420" s="14" t="s">
        <v>450</v>
      </c>
      <c r="B420" t="s">
        <v>849</v>
      </c>
      <c r="C420" s="14" t="s">
        <v>602</v>
      </c>
      <c r="D420" s="14" t="s">
        <v>2463</v>
      </c>
      <c r="E420" s="14" t="s">
        <v>602</v>
      </c>
      <c r="F420" s="14" t="s">
        <v>2464</v>
      </c>
      <c r="G420" s="23" t="str">
        <f t="shared" si="12"/>
        <v>CAWP.ACWP_HRS</v>
      </c>
      <c r="H420" s="23" t="str">
        <f t="shared" si="13"/>
        <v>PROJECT_CAWP_TOTALS.ACWP_HRS</v>
      </c>
      <c r="I420" s="30" t="s">
        <v>2411</v>
      </c>
      <c r="J4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PROJECT_CONTROL_ACCOUNT.ACWP_HRS</v>
      </c>
      <c r="K420" s="17"/>
    </row>
    <row r="421" spans="1:11" hidden="1" x14ac:dyDescent="0.2">
      <c r="A421" s="14" t="s">
        <v>450</v>
      </c>
      <c r="B421" t="s">
        <v>849</v>
      </c>
      <c r="C421" s="14" t="s">
        <v>609</v>
      </c>
      <c r="D421" s="14" t="s">
        <v>2463</v>
      </c>
      <c r="E421" s="14" t="s">
        <v>609</v>
      </c>
      <c r="F421" s="14" t="s">
        <v>2464</v>
      </c>
      <c r="G421" s="23" t="str">
        <f t="shared" si="12"/>
        <v>CAWP.BAC_HRS</v>
      </c>
      <c r="H421" s="23" t="str">
        <f t="shared" si="13"/>
        <v>PROJECT_CAWP_TOTALS.BAC_HRS</v>
      </c>
      <c r="I421" s="30" t="s">
        <v>2411</v>
      </c>
      <c r="J4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PROJECT_CONTROL_ACCOUNT.BAC_HRS</v>
      </c>
      <c r="K421" s="17"/>
    </row>
    <row r="422" spans="1:11" hidden="1" x14ac:dyDescent="0.2">
      <c r="A422" s="14" t="s">
        <v>450</v>
      </c>
      <c r="B422" t="s">
        <v>849</v>
      </c>
      <c r="C422" s="14" t="s">
        <v>692</v>
      </c>
      <c r="D422" s="14" t="s">
        <v>2463</v>
      </c>
      <c r="E422" s="14" t="s">
        <v>692</v>
      </c>
      <c r="F422" s="14" t="s">
        <v>2464</v>
      </c>
      <c r="G422" s="23" t="str">
        <f t="shared" si="12"/>
        <v>CAWP.EAC_HRS</v>
      </c>
      <c r="H422" s="23" t="str">
        <f t="shared" si="13"/>
        <v>PROJECT_CAWP_TOTALS.EAC_HRS</v>
      </c>
      <c r="I422" s="30" t="s">
        <v>2411</v>
      </c>
      <c r="J4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PROJECT_CONTROL_ACCOUNT.EAC_HRS</v>
      </c>
      <c r="K422" s="17"/>
    </row>
    <row r="423" spans="1:11" hidden="1" x14ac:dyDescent="0.2">
      <c r="A423" t="s">
        <v>450</v>
      </c>
      <c r="B423" t="s">
        <v>849</v>
      </c>
      <c r="C423" t="s">
        <v>2181</v>
      </c>
      <c r="D423" t="s">
        <v>1218</v>
      </c>
      <c r="E423" t="s">
        <v>1235</v>
      </c>
      <c r="G423" s="17" t="str">
        <f t="shared" si="12"/>
        <v>CAWP.MANAGER</v>
      </c>
      <c r="H423" s="17" t="str">
        <f t="shared" si="13"/>
        <v>PROJECT_CONTROL_ACCOUNT.MANAGER_USER_UID</v>
      </c>
      <c r="I423" s="29"/>
      <c r="J4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23" s="17"/>
    </row>
    <row r="424" spans="1:11" hidden="1" x14ac:dyDescent="0.2">
      <c r="A424" s="14" t="s">
        <v>450</v>
      </c>
      <c r="B424" t="s">
        <v>849</v>
      </c>
      <c r="C424" s="14" t="s">
        <v>1013</v>
      </c>
      <c r="D424" s="14" t="s">
        <v>2463</v>
      </c>
      <c r="E424" s="14"/>
      <c r="F424" s="14" t="s">
        <v>2464</v>
      </c>
      <c r="G424" s="23" t="str">
        <f t="shared" si="12"/>
        <v>CAWP.EAC_NONLAB</v>
      </c>
      <c r="H424" s="23" t="str">
        <f t="shared" si="13"/>
        <v>PROJECT_CAWP_TOTALS.</v>
      </c>
      <c r="I424" s="30" t="s">
        <v>2411</v>
      </c>
      <c r="J4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PROJECT_CONTROL_ACCOUNT.EAC_NONLAB</v>
      </c>
      <c r="K424" s="17"/>
    </row>
    <row r="425" spans="1:11" hidden="1" x14ac:dyDescent="0.2">
      <c r="A425" s="14" t="s">
        <v>450</v>
      </c>
      <c r="B425" t="s">
        <v>849</v>
      </c>
      <c r="C425" s="14" t="s">
        <v>1056</v>
      </c>
      <c r="D425" s="14"/>
      <c r="E425" s="14"/>
      <c r="F425" s="14" t="s">
        <v>2362</v>
      </c>
      <c r="G425" s="23" t="str">
        <f t="shared" si="12"/>
        <v>CAWP.RESERVED1</v>
      </c>
      <c r="H425" s="23" t="str">
        <f t="shared" si="13"/>
        <v>.</v>
      </c>
      <c r="I425" s="30" t="s">
        <v>2411</v>
      </c>
      <c r="J4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PROJECT_CONTROL_ACCOUNT.RESERVED1</v>
      </c>
      <c r="K425" s="23"/>
    </row>
    <row r="426" spans="1:11" hidden="1" x14ac:dyDescent="0.2">
      <c r="A426" t="s">
        <v>450</v>
      </c>
      <c r="B426" t="s">
        <v>849</v>
      </c>
      <c r="C426" t="s">
        <v>35</v>
      </c>
      <c r="D426" t="s">
        <v>1218</v>
      </c>
      <c r="E426" t="s">
        <v>35</v>
      </c>
      <c r="G426" s="17" t="str">
        <f t="shared" si="12"/>
        <v>CAWP.SEQUENCE</v>
      </c>
      <c r="H426" s="17" t="str">
        <f t="shared" si="13"/>
        <v>PROJECT_CONTROL_ACCOUNT.SEQUENCE</v>
      </c>
      <c r="I426" s="29"/>
      <c r="J4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26" s="17"/>
    </row>
    <row r="427" spans="1:11" hidden="1" x14ac:dyDescent="0.2">
      <c r="A427" t="s">
        <v>450</v>
      </c>
      <c r="B427" t="s">
        <v>849</v>
      </c>
      <c r="C427" t="s">
        <v>2111</v>
      </c>
      <c r="D427" t="s">
        <v>1218</v>
      </c>
      <c r="E427" t="s">
        <v>71</v>
      </c>
      <c r="G427" s="17" t="str">
        <f t="shared" si="12"/>
        <v>CAWP.LASTUPDATE</v>
      </c>
      <c r="H427" s="17" t="str">
        <f t="shared" si="13"/>
        <v>PROJECT_CONTROL_ACCOUNT.LAST_MODIFIED_DATE</v>
      </c>
      <c r="I427" s="29"/>
      <c r="J4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27" s="17"/>
    </row>
    <row r="428" spans="1:11" hidden="1" x14ac:dyDescent="0.2">
      <c r="A428" t="s">
        <v>450</v>
      </c>
      <c r="B428" t="s">
        <v>849</v>
      </c>
      <c r="C428" t="s">
        <v>2112</v>
      </c>
      <c r="D428" t="s">
        <v>1218</v>
      </c>
      <c r="E428" t="s">
        <v>68</v>
      </c>
      <c r="G428" s="17" t="str">
        <f t="shared" si="12"/>
        <v>CAWP.USR_ID</v>
      </c>
      <c r="H428" s="17" t="str">
        <f t="shared" si="13"/>
        <v>PROJECT_CONTROL_ACCOUNT.LAST_MODIFIED_BY_USER_UID</v>
      </c>
      <c r="I428" s="29"/>
      <c r="J4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28" s="17"/>
    </row>
    <row r="429" spans="1:11" hidden="1" x14ac:dyDescent="0.2">
      <c r="A429" s="14" t="s">
        <v>450</v>
      </c>
      <c r="B429" t="s">
        <v>849</v>
      </c>
      <c r="C429" s="14" t="s">
        <v>949</v>
      </c>
      <c r="D429" s="14" t="s">
        <v>2463</v>
      </c>
      <c r="E429" s="14"/>
      <c r="F429" s="14" t="s">
        <v>2464</v>
      </c>
      <c r="G429" s="23" t="str">
        <f t="shared" si="12"/>
        <v>CAWP.ACWPCP</v>
      </c>
      <c r="H429" s="23" t="str">
        <f t="shared" si="13"/>
        <v>PROJECT_CAWP_TOTALS.</v>
      </c>
      <c r="I429" s="30" t="s">
        <v>2411</v>
      </c>
      <c r="J4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PROJECT_CONTROL_ACCOUNT.ACWPCP</v>
      </c>
      <c r="K429" s="17"/>
    </row>
    <row r="430" spans="1:11" hidden="1" x14ac:dyDescent="0.2">
      <c r="A430" s="14" t="s">
        <v>450</v>
      </c>
      <c r="B430" t="s">
        <v>849</v>
      </c>
      <c r="C430" s="14" t="s">
        <v>955</v>
      </c>
      <c r="D430" s="14" t="s">
        <v>2463</v>
      </c>
      <c r="E430" s="14"/>
      <c r="F430" s="14" t="s">
        <v>2464</v>
      </c>
      <c r="G430" s="23" t="str">
        <f t="shared" si="12"/>
        <v>CAWP.BCWPCP</v>
      </c>
      <c r="H430" s="23" t="str">
        <f t="shared" si="13"/>
        <v>PROJECT_CAWP_TOTALS.</v>
      </c>
      <c r="I430" s="30" t="s">
        <v>2411</v>
      </c>
      <c r="J4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PROJECT_CONTROL_ACCOUNT.BCWPCP</v>
      </c>
      <c r="K430" s="17"/>
    </row>
    <row r="431" spans="1:11" hidden="1" x14ac:dyDescent="0.2">
      <c r="A431" s="14" t="s">
        <v>450</v>
      </c>
      <c r="B431" t="s">
        <v>849</v>
      </c>
      <c r="C431" s="14" t="s">
        <v>959</v>
      </c>
      <c r="D431" s="14" t="s">
        <v>2463</v>
      </c>
      <c r="E431" s="14"/>
      <c r="F431" s="14" t="s">
        <v>2464</v>
      </c>
      <c r="G431" s="23" t="str">
        <f t="shared" si="12"/>
        <v>CAWP.BCWSCP</v>
      </c>
      <c r="H431" s="23" t="str">
        <f t="shared" si="13"/>
        <v>PROJECT_CAWP_TOTALS.</v>
      </c>
      <c r="I431" s="30" t="s">
        <v>2411</v>
      </c>
      <c r="J4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PROJECT_CONTROL_ACCOUNT.BCWSCP</v>
      </c>
      <c r="K431" s="17"/>
    </row>
    <row r="432" spans="1:11" hidden="1" x14ac:dyDescent="0.2">
      <c r="A432" s="14" t="s">
        <v>450</v>
      </c>
      <c r="B432" t="s">
        <v>849</v>
      </c>
      <c r="C432" s="14" t="s">
        <v>951</v>
      </c>
      <c r="D432" s="14" t="s">
        <v>2463</v>
      </c>
      <c r="E432" s="14"/>
      <c r="F432" s="14" t="s">
        <v>2464</v>
      </c>
      <c r="G432" s="23" t="str">
        <f t="shared" si="12"/>
        <v>CAWP.ACWPCP_HRS</v>
      </c>
      <c r="H432" s="23" t="str">
        <f t="shared" si="13"/>
        <v>PROJECT_CAWP_TOTALS.</v>
      </c>
      <c r="I432" s="30" t="s">
        <v>2411</v>
      </c>
      <c r="J4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PROJECT_CONTROL_ACCOUNT.ACWPCP_HRS</v>
      </c>
      <c r="K432" s="17"/>
    </row>
    <row r="433" spans="1:11" hidden="1" x14ac:dyDescent="0.2">
      <c r="A433" s="14" t="s">
        <v>450</v>
      </c>
      <c r="B433" t="s">
        <v>849</v>
      </c>
      <c r="C433" s="14" t="s">
        <v>957</v>
      </c>
      <c r="D433" s="14" t="s">
        <v>2463</v>
      </c>
      <c r="E433" s="14"/>
      <c r="F433" s="14" t="s">
        <v>2464</v>
      </c>
      <c r="G433" s="23" t="str">
        <f t="shared" si="12"/>
        <v>CAWP.BCWPCP_HRS</v>
      </c>
      <c r="H433" s="23" t="str">
        <f t="shared" si="13"/>
        <v>PROJECT_CAWP_TOTALS.</v>
      </c>
      <c r="I433" s="30" t="s">
        <v>2411</v>
      </c>
      <c r="J4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PROJECT_CONTROL_ACCOUNT.BCWPCP_HRS</v>
      </c>
      <c r="K433" s="17"/>
    </row>
    <row r="434" spans="1:11" hidden="1" x14ac:dyDescent="0.2">
      <c r="A434" s="14" t="s">
        <v>450</v>
      </c>
      <c r="B434" t="s">
        <v>849</v>
      </c>
      <c r="C434" s="14" t="s">
        <v>961</v>
      </c>
      <c r="D434" s="14" t="s">
        <v>2463</v>
      </c>
      <c r="E434" s="14"/>
      <c r="F434" s="14" t="s">
        <v>2464</v>
      </c>
      <c r="G434" s="23" t="str">
        <f t="shared" si="12"/>
        <v>CAWP.BCWSCP_HRS</v>
      </c>
      <c r="H434" s="23" t="str">
        <f t="shared" si="13"/>
        <v>PROJECT_CAWP_TOTALS.</v>
      </c>
      <c r="I434" s="30" t="s">
        <v>2411</v>
      </c>
      <c r="J4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PROJECT_CONTROL_ACCOUNT.BCWSCP_HRS</v>
      </c>
      <c r="K434" s="17"/>
    </row>
    <row r="435" spans="1:11" hidden="1" x14ac:dyDescent="0.2">
      <c r="A435" s="14" t="s">
        <v>450</v>
      </c>
      <c r="B435" t="s">
        <v>849</v>
      </c>
      <c r="C435" s="14" t="s">
        <v>1015</v>
      </c>
      <c r="D435" s="14"/>
      <c r="E435" s="14"/>
      <c r="F435" s="14" t="s">
        <v>2470</v>
      </c>
      <c r="G435" s="23" t="str">
        <f t="shared" si="12"/>
        <v>CAWP.EOC</v>
      </c>
      <c r="H435" s="23" t="str">
        <f t="shared" si="13"/>
        <v>.</v>
      </c>
      <c r="I435" s="30" t="s">
        <v>2411</v>
      </c>
      <c r="J4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PROJECT_CONTROL_ACCOUNT.EOC</v>
      </c>
      <c r="K435" s="17"/>
    </row>
    <row r="436" spans="1:11" hidden="1" x14ac:dyDescent="0.2">
      <c r="A436" s="14" t="s">
        <v>450</v>
      </c>
      <c r="B436" t="s">
        <v>849</v>
      </c>
      <c r="C436" s="14" t="s">
        <v>744</v>
      </c>
      <c r="D436" s="14" t="s">
        <v>1219</v>
      </c>
      <c r="E436" s="14"/>
      <c r="F436" s="14" t="s">
        <v>2471</v>
      </c>
      <c r="G436" s="23" t="str">
        <f t="shared" si="12"/>
        <v>CAWP.PROGRAM</v>
      </c>
      <c r="H436" s="23" t="str">
        <f t="shared" si="13"/>
        <v>PROJECT_WORK_PACKAGE.</v>
      </c>
      <c r="I436" s="30" t="s">
        <v>2411</v>
      </c>
      <c r="J4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PROJECT_CONTROL_ACCOUNT.PROGRAM</v>
      </c>
      <c r="K436" s="17"/>
    </row>
    <row r="437" spans="1:11" hidden="1" x14ac:dyDescent="0.2">
      <c r="A437" t="s">
        <v>450</v>
      </c>
      <c r="B437" t="s">
        <v>849</v>
      </c>
      <c r="C437" t="s">
        <v>1009</v>
      </c>
      <c r="D437" t="s">
        <v>1219</v>
      </c>
      <c r="E437" t="s">
        <v>30</v>
      </c>
      <c r="G437" s="17" t="str">
        <f t="shared" si="12"/>
        <v>CAWP.CAWPID</v>
      </c>
      <c r="H437" s="17" t="str">
        <f t="shared" si="13"/>
        <v>PROJECT_WORK_PACKAGE.ROW_UID</v>
      </c>
      <c r="I437" s="29"/>
      <c r="J4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37" s="17"/>
    </row>
    <row r="438" spans="1:11" hidden="1" x14ac:dyDescent="0.2">
      <c r="A438" s="14" t="s">
        <v>450</v>
      </c>
      <c r="B438" t="s">
        <v>849</v>
      </c>
      <c r="C438" s="14" t="s">
        <v>1003</v>
      </c>
      <c r="D438" s="14"/>
      <c r="E438" s="14"/>
      <c r="F438" s="14" t="s">
        <v>2461</v>
      </c>
      <c r="G438" s="23" t="str">
        <f t="shared" si="12"/>
        <v>CAWP.CA1</v>
      </c>
      <c r="H438" s="23" t="str">
        <f t="shared" si="13"/>
        <v>.</v>
      </c>
      <c r="I438" s="30" t="s">
        <v>2411</v>
      </c>
      <c r="J4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PROJECT_CONTROL_ACCOUNT.CA1</v>
      </c>
      <c r="K438" s="17"/>
    </row>
    <row r="439" spans="1:11" hidden="1" x14ac:dyDescent="0.2">
      <c r="A439" s="14" t="s">
        <v>450</v>
      </c>
      <c r="B439" t="s">
        <v>849</v>
      </c>
      <c r="C439" s="14" t="s">
        <v>1005</v>
      </c>
      <c r="D439" s="14"/>
      <c r="E439" s="14"/>
      <c r="F439" s="14" t="s">
        <v>2461</v>
      </c>
      <c r="G439" s="23" t="str">
        <f t="shared" si="12"/>
        <v>CAWP.CA2</v>
      </c>
      <c r="H439" s="23" t="str">
        <f t="shared" si="13"/>
        <v>.</v>
      </c>
      <c r="I439" s="30" t="s">
        <v>2411</v>
      </c>
      <c r="J4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PROJECT_CONTROL_ACCOUNT.CA2</v>
      </c>
      <c r="K439" s="17"/>
    </row>
    <row r="440" spans="1:11" hidden="1" x14ac:dyDescent="0.2">
      <c r="A440" s="14" t="s">
        <v>450</v>
      </c>
      <c r="B440" t="s">
        <v>849</v>
      </c>
      <c r="C440" s="14" t="s">
        <v>1007</v>
      </c>
      <c r="D440" s="14"/>
      <c r="E440" s="14"/>
      <c r="F440" s="14" t="s">
        <v>2461</v>
      </c>
      <c r="G440" s="23" t="str">
        <f t="shared" si="12"/>
        <v>CAWP.CA3</v>
      </c>
      <c r="H440" s="23" t="str">
        <f t="shared" si="13"/>
        <v>.</v>
      </c>
      <c r="I440" s="30" t="s">
        <v>2411</v>
      </c>
      <c r="J4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PROJECT_CONTROL_ACCOUNT.CA3</v>
      </c>
      <c r="K440" s="17"/>
    </row>
    <row r="441" spans="1:11" hidden="1" x14ac:dyDescent="0.2">
      <c r="A441" s="14" t="s">
        <v>450</v>
      </c>
      <c r="B441" t="s">
        <v>849</v>
      </c>
      <c r="C441" s="14" t="s">
        <v>1398</v>
      </c>
      <c r="D441" s="14"/>
      <c r="E441" s="14"/>
      <c r="F441" s="14" t="s">
        <v>2462</v>
      </c>
      <c r="G441" s="23" t="str">
        <f t="shared" si="12"/>
        <v>CAWP.WP</v>
      </c>
      <c r="H441" s="23" t="str">
        <f t="shared" si="13"/>
        <v>.</v>
      </c>
      <c r="I441" s="30" t="s">
        <v>2411</v>
      </c>
      <c r="J4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PROJECT_CONTROL_ACCOUNT.WP</v>
      </c>
      <c r="K441" s="17"/>
    </row>
    <row r="442" spans="1:11" hidden="1" x14ac:dyDescent="0.2">
      <c r="A442" t="s">
        <v>450</v>
      </c>
      <c r="B442" t="s">
        <v>849</v>
      </c>
      <c r="C442" t="s">
        <v>2141</v>
      </c>
      <c r="D442" t="s">
        <v>1219</v>
      </c>
      <c r="E442" t="s">
        <v>15</v>
      </c>
      <c r="G442" s="17" t="str">
        <f t="shared" si="12"/>
        <v>CAWP.DESCRIP</v>
      </c>
      <c r="H442" s="17" t="str">
        <f t="shared" si="13"/>
        <v>PROJECT_WORK_PACKAGE.DESCRIPTION</v>
      </c>
      <c r="I442" s="29"/>
      <c r="J4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2" s="17"/>
    </row>
    <row r="443" spans="1:11" hidden="1" x14ac:dyDescent="0.2">
      <c r="A443" t="s">
        <v>450</v>
      </c>
      <c r="B443" t="s">
        <v>849</v>
      </c>
      <c r="C443" t="s">
        <v>2185</v>
      </c>
      <c r="D443" t="s">
        <v>1219</v>
      </c>
      <c r="E443" t="s">
        <v>498</v>
      </c>
      <c r="G443" s="17" t="str">
        <f t="shared" si="12"/>
        <v>CAWP.SSD</v>
      </c>
      <c r="H443" s="17" t="str">
        <f t="shared" si="13"/>
        <v>PROJECT_WORK_PACKAGE.BASELINE_START</v>
      </c>
      <c r="I443" s="29"/>
      <c r="J4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3" s="17"/>
    </row>
    <row r="444" spans="1:11" hidden="1" x14ac:dyDescent="0.2">
      <c r="A444" t="s">
        <v>450</v>
      </c>
      <c r="B444" t="s">
        <v>849</v>
      </c>
      <c r="C444" t="s">
        <v>2184</v>
      </c>
      <c r="D444" t="s">
        <v>1219</v>
      </c>
      <c r="E444" t="s">
        <v>501</v>
      </c>
      <c r="G444" s="17" t="str">
        <f t="shared" si="12"/>
        <v>CAWP.SFD</v>
      </c>
      <c r="H444" s="17" t="str">
        <f t="shared" si="13"/>
        <v>PROJECT_WORK_PACKAGE.BASELINE_FINISH</v>
      </c>
      <c r="I444" s="29"/>
      <c r="J4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4" s="17"/>
    </row>
    <row r="445" spans="1:11" hidden="1" x14ac:dyDescent="0.2">
      <c r="A445" t="s">
        <v>450</v>
      </c>
      <c r="B445" t="s">
        <v>849</v>
      </c>
      <c r="C445" t="s">
        <v>2176</v>
      </c>
      <c r="D445" t="s">
        <v>1219</v>
      </c>
      <c r="E445" t="s">
        <v>902</v>
      </c>
      <c r="G445" s="17" t="str">
        <f t="shared" si="12"/>
        <v>CAWP.ASD</v>
      </c>
      <c r="H445" s="17" t="str">
        <f t="shared" si="13"/>
        <v>PROJECT_WORK_PACKAGE.ACTUAL_START</v>
      </c>
      <c r="I445" s="29"/>
      <c r="J4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5" s="17"/>
    </row>
    <row r="446" spans="1:11" hidden="1" x14ac:dyDescent="0.2">
      <c r="A446" t="s">
        <v>450</v>
      </c>
      <c r="B446" t="s">
        <v>849</v>
      </c>
      <c r="C446" t="s">
        <v>2175</v>
      </c>
      <c r="D446" t="s">
        <v>1219</v>
      </c>
      <c r="E446" t="s">
        <v>905</v>
      </c>
      <c r="G446" s="17" t="str">
        <f t="shared" si="12"/>
        <v>CAWP.AFD</v>
      </c>
      <c r="H446" s="17" t="str">
        <f t="shared" si="13"/>
        <v>PROJECT_WORK_PACKAGE.ACTUAL_FINISH</v>
      </c>
      <c r="I446" s="29"/>
      <c r="J4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6" s="17"/>
    </row>
    <row r="447" spans="1:11" hidden="1" x14ac:dyDescent="0.2">
      <c r="A447" t="s">
        <v>450</v>
      </c>
      <c r="B447" t="s">
        <v>849</v>
      </c>
      <c r="C447" t="s">
        <v>2178</v>
      </c>
      <c r="D447" t="s">
        <v>1219</v>
      </c>
      <c r="E447" t="s">
        <v>908</v>
      </c>
      <c r="G447" s="17" t="str">
        <f t="shared" si="12"/>
        <v>CAWP.ESD</v>
      </c>
      <c r="H447" s="17" t="str">
        <f t="shared" si="13"/>
        <v>PROJECT_WORK_PACKAGE.EARLY_START</v>
      </c>
      <c r="I447" s="29"/>
      <c r="J4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7" s="17"/>
    </row>
    <row r="448" spans="1:11" hidden="1" x14ac:dyDescent="0.2">
      <c r="A448" t="s">
        <v>450</v>
      </c>
      <c r="B448" t="s">
        <v>849</v>
      </c>
      <c r="C448" t="s">
        <v>2177</v>
      </c>
      <c r="D448" t="s">
        <v>1219</v>
      </c>
      <c r="E448" t="s">
        <v>911</v>
      </c>
      <c r="G448" s="17" t="str">
        <f t="shared" si="12"/>
        <v>CAWP.EFD</v>
      </c>
      <c r="H448" s="17" t="str">
        <f t="shared" si="13"/>
        <v>PROJECT_WORK_PACKAGE.EARLY_FINISH</v>
      </c>
      <c r="I448" s="29"/>
      <c r="J4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8" s="17"/>
    </row>
    <row r="449" spans="1:11" hidden="1" x14ac:dyDescent="0.2">
      <c r="A449" t="s">
        <v>450</v>
      </c>
      <c r="B449" t="s">
        <v>849</v>
      </c>
      <c r="C449" t="s">
        <v>2180</v>
      </c>
      <c r="D449" t="s">
        <v>1219</v>
      </c>
      <c r="E449" t="s">
        <v>914</v>
      </c>
      <c r="G449" s="17" t="str">
        <f t="shared" si="12"/>
        <v>CAWP.LSD</v>
      </c>
      <c r="H449" s="17" t="str">
        <f t="shared" si="13"/>
        <v>PROJECT_WORK_PACKAGE.LATE_START</v>
      </c>
      <c r="I449" s="29"/>
      <c r="J4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49" s="17"/>
    </row>
    <row r="450" spans="1:11" hidden="1" x14ac:dyDescent="0.2">
      <c r="A450" t="s">
        <v>450</v>
      </c>
      <c r="B450" t="s">
        <v>849</v>
      </c>
      <c r="C450" t="s">
        <v>2179</v>
      </c>
      <c r="D450" t="s">
        <v>1219</v>
      </c>
      <c r="E450" t="s">
        <v>917</v>
      </c>
      <c r="G450" s="17" t="str">
        <f t="shared" si="12"/>
        <v>CAWP.LFD</v>
      </c>
      <c r="H450" s="17" t="str">
        <f t="shared" si="13"/>
        <v>PROJECT_WORK_PACKAGE.LATE_FINISH</v>
      </c>
      <c r="I450" s="29"/>
      <c r="J4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50" s="17"/>
    </row>
    <row r="451" spans="1:11" hidden="1" x14ac:dyDescent="0.2">
      <c r="A451" t="s">
        <v>450</v>
      </c>
      <c r="B451" t="s">
        <v>849</v>
      </c>
      <c r="C451" t="s">
        <v>2183</v>
      </c>
      <c r="D451" t="s">
        <v>1219</v>
      </c>
      <c r="E451" t="s">
        <v>920</v>
      </c>
      <c r="G451" s="17" t="str">
        <f t="shared" si="12"/>
        <v>CAWP.PSD</v>
      </c>
      <c r="H451" s="17" t="str">
        <f t="shared" si="13"/>
        <v>PROJECT_WORK_PACKAGE.PENDING_START</v>
      </c>
      <c r="I451" s="29"/>
      <c r="J4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51" s="17"/>
    </row>
    <row r="452" spans="1:11" hidden="1" x14ac:dyDescent="0.2">
      <c r="A452" t="s">
        <v>450</v>
      </c>
      <c r="B452" t="s">
        <v>849</v>
      </c>
      <c r="C452" t="s">
        <v>2182</v>
      </c>
      <c r="D452" t="s">
        <v>1219</v>
      </c>
      <c r="E452" t="s">
        <v>923</v>
      </c>
      <c r="G452" s="17" t="str">
        <f t="shared" si="12"/>
        <v>CAWP.PFD</v>
      </c>
      <c r="H452" s="17" t="str">
        <f t="shared" si="13"/>
        <v>PROJECT_WORK_PACKAGE.PENDING_FINISH</v>
      </c>
      <c r="I452" s="29"/>
      <c r="J4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52" s="17"/>
    </row>
    <row r="453" spans="1:11" hidden="1" x14ac:dyDescent="0.2">
      <c r="A453" s="14" t="s">
        <v>450</v>
      </c>
      <c r="B453" t="s">
        <v>849</v>
      </c>
      <c r="C453" s="14" t="s">
        <v>600</v>
      </c>
      <c r="D453" s="14" t="s">
        <v>2464</v>
      </c>
      <c r="E453" s="14" t="s">
        <v>600</v>
      </c>
      <c r="F453" s="14" t="s">
        <v>2464</v>
      </c>
      <c r="G453" s="23" t="str">
        <f t="shared" si="12"/>
        <v>CAWP.ACWP</v>
      </c>
      <c r="H453" s="23" t="str">
        <f t="shared" si="13"/>
        <v>Moved to PROJECT_CAWP_TOTALS.ACWP</v>
      </c>
      <c r="I453" s="30" t="s">
        <v>2411</v>
      </c>
      <c r="J4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</v>
      </c>
      <c r="K453" s="17"/>
    </row>
    <row r="454" spans="1:11" hidden="1" x14ac:dyDescent="0.2">
      <c r="A454" s="14" t="s">
        <v>450</v>
      </c>
      <c r="B454" t="s">
        <v>849</v>
      </c>
      <c r="C454" s="14" t="s">
        <v>613</v>
      </c>
      <c r="D454" s="14" t="s">
        <v>2464</v>
      </c>
      <c r="E454" s="14" t="s">
        <v>613</v>
      </c>
      <c r="F454" s="14" t="s">
        <v>2464</v>
      </c>
      <c r="G454" s="23" t="str">
        <f t="shared" si="12"/>
        <v>CAWP.BCWP</v>
      </c>
      <c r="H454" s="23" t="str">
        <f t="shared" si="13"/>
        <v>Moved to PROJECT_CAWP_TOTALS.BCWP</v>
      </c>
      <c r="I454" s="30" t="s">
        <v>2411</v>
      </c>
      <c r="J4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</v>
      </c>
      <c r="K454" s="17"/>
    </row>
    <row r="455" spans="1:11" hidden="1" x14ac:dyDescent="0.2">
      <c r="A455" s="14" t="s">
        <v>450</v>
      </c>
      <c r="B455" t="s">
        <v>849</v>
      </c>
      <c r="C455" s="14" t="s">
        <v>617</v>
      </c>
      <c r="D455" s="14" t="s">
        <v>2464</v>
      </c>
      <c r="E455" s="14" t="s">
        <v>617</v>
      </c>
      <c r="F455" s="14" t="s">
        <v>2464</v>
      </c>
      <c r="G455" s="23" t="str">
        <f t="shared" ref="G455:G518" si="14">_xlfn.CONCAT(B455,".",C455)</f>
        <v>CAWP.BCWS</v>
      </c>
      <c r="H455" s="23" t="str">
        <f t="shared" ref="H455:H518" si="15">_xlfn.CONCAT(D455,".",E455)</f>
        <v>Moved to PROJECT_CAWP_TOTALS.BCWS</v>
      </c>
      <c r="I455" s="30" t="s">
        <v>2411</v>
      </c>
      <c r="J4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</v>
      </c>
      <c r="K455" s="17"/>
    </row>
    <row r="456" spans="1:11" hidden="1" x14ac:dyDescent="0.2">
      <c r="A456" s="14" t="s">
        <v>450</v>
      </c>
      <c r="B456" t="s">
        <v>849</v>
      </c>
      <c r="C456" s="14" t="s">
        <v>607</v>
      </c>
      <c r="D456" s="14" t="s">
        <v>2464</v>
      </c>
      <c r="E456" s="14" t="s">
        <v>607</v>
      </c>
      <c r="F456" s="14" t="s">
        <v>2464</v>
      </c>
      <c r="G456" s="23" t="str">
        <f t="shared" si="14"/>
        <v>CAWP.BAC</v>
      </c>
      <c r="H456" s="23" t="str">
        <f t="shared" si="15"/>
        <v>Moved to PROJECT_CAWP_TOTALS.BAC</v>
      </c>
      <c r="I456" s="30" t="s">
        <v>2411</v>
      </c>
      <c r="J4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PROJECT_CONTROL_ACCOUNT.BAC</v>
      </c>
      <c r="K456" s="17"/>
    </row>
    <row r="457" spans="1:11" hidden="1" x14ac:dyDescent="0.2">
      <c r="A457" s="14" t="s">
        <v>450</v>
      </c>
      <c r="B457" t="s">
        <v>849</v>
      </c>
      <c r="C457" s="14" t="s">
        <v>690</v>
      </c>
      <c r="D457" s="14" t="s">
        <v>2464</v>
      </c>
      <c r="E457" s="14" t="s">
        <v>690</v>
      </c>
      <c r="F457" s="14" t="s">
        <v>2464</v>
      </c>
      <c r="G457" s="23" t="str">
        <f t="shared" si="14"/>
        <v>CAWP.EAC</v>
      </c>
      <c r="H457" s="23" t="str">
        <f t="shared" si="15"/>
        <v>Moved to PROJECT_CAWP_TOTALS.EAC</v>
      </c>
      <c r="I457" s="30" t="s">
        <v>2411</v>
      </c>
      <c r="J4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</v>
      </c>
      <c r="K457" s="17"/>
    </row>
    <row r="458" spans="1:11" hidden="1" x14ac:dyDescent="0.2">
      <c r="A458" s="14" t="s">
        <v>450</v>
      </c>
      <c r="B458" t="s">
        <v>849</v>
      </c>
      <c r="C458" s="14" t="s">
        <v>443</v>
      </c>
      <c r="D458" s="14" t="s">
        <v>1219</v>
      </c>
      <c r="E458" s="14"/>
      <c r="F458" s="14" t="s">
        <v>2465</v>
      </c>
      <c r="G458" s="23" t="str">
        <f t="shared" si="14"/>
        <v>CAWP.FLAG</v>
      </c>
      <c r="H458" s="23" t="str">
        <f t="shared" si="15"/>
        <v>PROJECT_WORK_PACKAGE.</v>
      </c>
      <c r="I458" s="30" t="s">
        <v>2411</v>
      </c>
      <c r="J4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PROJECT_CONTROL_ACCOUNT.FLAG</v>
      </c>
      <c r="K458" s="17"/>
    </row>
    <row r="459" spans="1:11" hidden="1" x14ac:dyDescent="0.2">
      <c r="A459" t="s">
        <v>450</v>
      </c>
      <c r="B459" t="s">
        <v>849</v>
      </c>
      <c r="C459" t="s">
        <v>1242</v>
      </c>
      <c r="D459" t="s">
        <v>1219</v>
      </c>
      <c r="E459" t="s">
        <v>933</v>
      </c>
      <c r="G459" s="17" t="str">
        <f t="shared" si="14"/>
        <v>CAWP.PMT</v>
      </c>
      <c r="H459" s="17" t="str">
        <f t="shared" si="15"/>
        <v>PROJECT_WORK_PACKAGE.EVT</v>
      </c>
      <c r="I459" s="29"/>
      <c r="J4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59" s="17"/>
    </row>
    <row r="460" spans="1:11" hidden="1" x14ac:dyDescent="0.2">
      <c r="A460" t="s">
        <v>450</v>
      </c>
      <c r="B460" t="s">
        <v>849</v>
      </c>
      <c r="C460" t="s">
        <v>1394</v>
      </c>
      <c r="D460" t="s">
        <v>1219</v>
      </c>
      <c r="E460" t="s">
        <v>936</v>
      </c>
      <c r="G460" s="17" t="str">
        <f t="shared" si="14"/>
        <v>CAWP.STARTPC</v>
      </c>
      <c r="H460" s="17" t="str">
        <f t="shared" si="15"/>
        <v>PROJECT_WORK_PACKAGE.START_PERCENT</v>
      </c>
      <c r="I460" s="29"/>
      <c r="J4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0" s="17"/>
    </row>
    <row r="461" spans="1:11" hidden="1" x14ac:dyDescent="0.2">
      <c r="A461" t="s">
        <v>450</v>
      </c>
      <c r="B461" t="s">
        <v>849</v>
      </c>
      <c r="C461" t="s">
        <v>1241</v>
      </c>
      <c r="D461" t="s">
        <v>1219</v>
      </c>
      <c r="E461" t="s">
        <v>939</v>
      </c>
      <c r="G461" s="17" t="str">
        <f t="shared" si="14"/>
        <v>CAWP.PC_COMP</v>
      </c>
      <c r="H461" s="17" t="str">
        <f t="shared" si="15"/>
        <v>PROJECT_WORK_PACKAGE.PERCENT_COMPLETE</v>
      </c>
      <c r="I461" s="29"/>
      <c r="J4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1" s="17"/>
    </row>
    <row r="462" spans="1:11" hidden="1" x14ac:dyDescent="0.2">
      <c r="A462" t="s">
        <v>450</v>
      </c>
      <c r="B462" t="s">
        <v>849</v>
      </c>
      <c r="C462" t="s">
        <v>1396</v>
      </c>
      <c r="D462" t="s">
        <v>1219</v>
      </c>
      <c r="E462" t="s">
        <v>942</v>
      </c>
      <c r="G462" s="17" t="str">
        <f t="shared" si="14"/>
        <v>CAWP.UNITSTODO</v>
      </c>
      <c r="H462" s="17" t="str">
        <f t="shared" si="15"/>
        <v>PROJECT_WORK_PACKAGE.UNITS_TO_DO</v>
      </c>
      <c r="I462" s="29"/>
      <c r="J4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2" s="17"/>
    </row>
    <row r="463" spans="1:11" hidden="1" x14ac:dyDescent="0.2">
      <c r="A463" t="s">
        <v>450</v>
      </c>
      <c r="B463" t="s">
        <v>849</v>
      </c>
      <c r="C463" t="s">
        <v>1395</v>
      </c>
      <c r="D463" t="s">
        <v>1219</v>
      </c>
      <c r="E463" t="s">
        <v>945</v>
      </c>
      <c r="G463" s="17" t="str">
        <f t="shared" si="14"/>
        <v>CAWP.UNITS_COMP</v>
      </c>
      <c r="H463" s="17" t="str">
        <f t="shared" si="15"/>
        <v>PROJECT_WORK_PACKAGE.UNITS_COMPLETE</v>
      </c>
      <c r="I463" s="29"/>
      <c r="J4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3" s="17"/>
    </row>
    <row r="464" spans="1:11" hidden="1" x14ac:dyDescent="0.2">
      <c r="A464" s="14" t="s">
        <v>450</v>
      </c>
      <c r="B464" t="s">
        <v>849</v>
      </c>
      <c r="C464" s="14" t="s">
        <v>1018</v>
      </c>
      <c r="D464" s="14" t="s">
        <v>1219</v>
      </c>
      <c r="E464" s="14"/>
      <c r="F464" s="14" t="s">
        <v>2362</v>
      </c>
      <c r="G464" s="23" t="str">
        <f t="shared" si="14"/>
        <v>CAWP.OP_BATCH</v>
      </c>
      <c r="H464" s="23" t="str">
        <f t="shared" si="15"/>
        <v>PROJECT_WORK_PACKAGE.</v>
      </c>
      <c r="I464" s="30" t="s">
        <v>2411</v>
      </c>
      <c r="J4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PROJECT_CONTROL_ACCOUNT.OP_BATCH</v>
      </c>
      <c r="K464" s="17"/>
    </row>
    <row r="465" spans="1:11" hidden="1" x14ac:dyDescent="0.2">
      <c r="A465" s="14" t="s">
        <v>450</v>
      </c>
      <c r="B465" t="s">
        <v>849</v>
      </c>
      <c r="C465" s="14" t="s">
        <v>1011</v>
      </c>
      <c r="D465" s="14" t="s">
        <v>1219</v>
      </c>
      <c r="E465" s="14"/>
      <c r="F465" s="14" t="s">
        <v>2362</v>
      </c>
      <c r="G465" s="23" t="str">
        <f t="shared" si="14"/>
        <v>CAWP.CL_BATCH</v>
      </c>
      <c r="H465" s="23" t="str">
        <f t="shared" si="15"/>
        <v>PROJECT_WORK_PACKAGE.</v>
      </c>
      <c r="I465" s="30" t="s">
        <v>2411</v>
      </c>
      <c r="J4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PROJECT_CONTROL_ACCOUNT.CL_BATCH</v>
      </c>
      <c r="K465" s="17"/>
    </row>
    <row r="466" spans="1:11" hidden="1" x14ac:dyDescent="0.2">
      <c r="A466" s="19" t="s">
        <v>450</v>
      </c>
      <c r="B466" t="s">
        <v>849</v>
      </c>
      <c r="C466" s="19" t="s">
        <v>953</v>
      </c>
      <c r="D466" s="19" t="s">
        <v>1219</v>
      </c>
      <c r="E466" s="19" t="s">
        <v>1220</v>
      </c>
      <c r="F466" s="19"/>
      <c r="G466" s="24" t="str">
        <f t="shared" si="14"/>
        <v>CAWP.APPLINK</v>
      </c>
      <c r="H466" s="24" t="str">
        <f t="shared" si="15"/>
        <v>PROJECT_WORK_PACKAGE.APPORTIONED_PROJECT_WP_UID</v>
      </c>
      <c r="I466" s="31"/>
      <c r="J4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466" s="17"/>
    </row>
    <row r="467" spans="1:11" hidden="1" x14ac:dyDescent="0.2">
      <c r="A467" s="14" t="s">
        <v>450</v>
      </c>
      <c r="B467" t="s">
        <v>849</v>
      </c>
      <c r="C467" s="14" t="s">
        <v>963</v>
      </c>
      <c r="D467" s="14" t="s">
        <v>1219</v>
      </c>
      <c r="E467" s="14" t="s">
        <v>1626</v>
      </c>
      <c r="F467" s="14" t="s">
        <v>2467</v>
      </c>
      <c r="G467" s="23" t="str">
        <f t="shared" si="14"/>
        <v>CAWP.C1</v>
      </c>
      <c r="H467" s="23" t="str">
        <f t="shared" si="15"/>
        <v>PROJECT_WORK_PACKAGE.CODE_UID</v>
      </c>
      <c r="I467" s="30" t="s">
        <v>2411</v>
      </c>
      <c r="J4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</v>
      </c>
      <c r="K467" s="17"/>
    </row>
    <row r="468" spans="1:11" hidden="1" x14ac:dyDescent="0.2">
      <c r="A468" s="14" t="s">
        <v>450</v>
      </c>
      <c r="B468" t="s">
        <v>849</v>
      </c>
      <c r="C468" s="14" t="s">
        <v>985</v>
      </c>
      <c r="D468" s="14" t="s">
        <v>1219</v>
      </c>
      <c r="E468" s="14"/>
      <c r="F468" s="14" t="s">
        <v>2467</v>
      </c>
      <c r="G468" s="23" t="str">
        <f t="shared" si="14"/>
        <v>CAWP.C2</v>
      </c>
      <c r="H468" s="23" t="str">
        <f t="shared" si="15"/>
        <v>PROJECT_WORK_PACKAGE.</v>
      </c>
      <c r="I468" s="30" t="s">
        <v>2411</v>
      </c>
      <c r="J4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PROJECT_CONTROL_ACCOUNT.C2</v>
      </c>
      <c r="K468" s="17"/>
    </row>
    <row r="469" spans="1:11" hidden="1" x14ac:dyDescent="0.2">
      <c r="A469" s="14" t="s">
        <v>450</v>
      </c>
      <c r="B469" t="s">
        <v>849</v>
      </c>
      <c r="C469" s="14" t="s">
        <v>989</v>
      </c>
      <c r="D469" s="14" t="s">
        <v>1219</v>
      </c>
      <c r="E469" s="14"/>
      <c r="F469" s="14" t="s">
        <v>2467</v>
      </c>
      <c r="G469" s="23" t="str">
        <f t="shared" si="14"/>
        <v>CAWP.C3</v>
      </c>
      <c r="H469" s="23" t="str">
        <f t="shared" si="15"/>
        <v>PROJECT_WORK_PACKAGE.</v>
      </c>
      <c r="I469" s="30" t="s">
        <v>2411</v>
      </c>
      <c r="J4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PROJECT_CONTROL_ACCOUNT.C3</v>
      </c>
      <c r="K469" s="17"/>
    </row>
    <row r="470" spans="1:11" hidden="1" x14ac:dyDescent="0.2">
      <c r="A470" s="14" t="s">
        <v>450</v>
      </c>
      <c r="B470" t="s">
        <v>849</v>
      </c>
      <c r="C470" s="14" t="s">
        <v>991</v>
      </c>
      <c r="D470" s="14" t="s">
        <v>1219</v>
      </c>
      <c r="E470" s="14"/>
      <c r="F470" s="14" t="s">
        <v>2467</v>
      </c>
      <c r="G470" s="23" t="str">
        <f t="shared" si="14"/>
        <v>CAWP.C4</v>
      </c>
      <c r="H470" s="23" t="str">
        <f t="shared" si="15"/>
        <v>PROJECT_WORK_PACKAGE.</v>
      </c>
      <c r="I470" s="30" t="s">
        <v>2411</v>
      </c>
      <c r="J4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PROJECT_CONTROL_ACCOUNT.C4</v>
      </c>
      <c r="K470" s="17"/>
    </row>
    <row r="471" spans="1:11" hidden="1" x14ac:dyDescent="0.2">
      <c r="A471" s="14" t="s">
        <v>450</v>
      </c>
      <c r="B471" t="s">
        <v>849</v>
      </c>
      <c r="C471" s="14" t="s">
        <v>993</v>
      </c>
      <c r="D471" s="14" t="s">
        <v>1219</v>
      </c>
      <c r="E471" s="14"/>
      <c r="F471" s="14" t="s">
        <v>2467</v>
      </c>
      <c r="G471" s="23" t="str">
        <f t="shared" si="14"/>
        <v>CAWP.C5</v>
      </c>
      <c r="H471" s="23" t="str">
        <f t="shared" si="15"/>
        <v>PROJECT_WORK_PACKAGE.</v>
      </c>
      <c r="I471" s="30" t="s">
        <v>2411</v>
      </c>
      <c r="J4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PROJECT_CONTROL_ACCOUNT.C5</v>
      </c>
      <c r="K471" s="17"/>
    </row>
    <row r="472" spans="1:11" hidden="1" x14ac:dyDescent="0.2">
      <c r="A472" s="14" t="s">
        <v>450</v>
      </c>
      <c r="B472" t="s">
        <v>849</v>
      </c>
      <c r="C472" s="14" t="s">
        <v>995</v>
      </c>
      <c r="D472" s="14" t="s">
        <v>1219</v>
      </c>
      <c r="E472" s="14"/>
      <c r="F472" s="14" t="s">
        <v>2467</v>
      </c>
      <c r="G472" s="23" t="str">
        <f t="shared" si="14"/>
        <v>CAWP.C6</v>
      </c>
      <c r="H472" s="23" t="str">
        <f t="shared" si="15"/>
        <v>PROJECT_WORK_PACKAGE.</v>
      </c>
      <c r="I472" s="30" t="s">
        <v>2411</v>
      </c>
      <c r="J4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PROJECT_CONTROL_ACCOUNT.C6</v>
      </c>
      <c r="K472" s="17"/>
    </row>
    <row r="473" spans="1:11" hidden="1" x14ac:dyDescent="0.2">
      <c r="A473" s="14" t="s">
        <v>450</v>
      </c>
      <c r="B473" t="s">
        <v>849</v>
      </c>
      <c r="C473" s="14" t="s">
        <v>997</v>
      </c>
      <c r="D473" s="14" t="s">
        <v>1219</v>
      </c>
      <c r="E473" s="14"/>
      <c r="F473" s="14" t="s">
        <v>2467</v>
      </c>
      <c r="G473" s="23" t="str">
        <f t="shared" si="14"/>
        <v>CAWP.C7</v>
      </c>
      <c r="H473" s="23" t="str">
        <f t="shared" si="15"/>
        <v>PROJECT_WORK_PACKAGE.</v>
      </c>
      <c r="I473" s="30" t="s">
        <v>2411</v>
      </c>
      <c r="J4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PROJECT_CONTROL_ACCOUNT.C7</v>
      </c>
      <c r="K473" s="17"/>
    </row>
    <row r="474" spans="1:11" hidden="1" x14ac:dyDescent="0.2">
      <c r="A474" s="14" t="s">
        <v>450</v>
      </c>
      <c r="B474" t="s">
        <v>849</v>
      </c>
      <c r="C474" s="14" t="s">
        <v>999</v>
      </c>
      <c r="D474" s="14" t="s">
        <v>1219</v>
      </c>
      <c r="E474" s="14"/>
      <c r="F474" s="14" t="s">
        <v>2467</v>
      </c>
      <c r="G474" s="23" t="str">
        <f t="shared" si="14"/>
        <v>CAWP.C8</v>
      </c>
      <c r="H474" s="23" t="str">
        <f t="shared" si="15"/>
        <v>PROJECT_WORK_PACKAGE.</v>
      </c>
      <c r="I474" s="30" t="s">
        <v>2411</v>
      </c>
      <c r="J4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PROJECT_CONTROL_ACCOUNT.C8</v>
      </c>
      <c r="K474" s="17"/>
    </row>
    <row r="475" spans="1:11" hidden="1" x14ac:dyDescent="0.2">
      <c r="A475" s="14" t="s">
        <v>450</v>
      </c>
      <c r="B475" t="s">
        <v>849</v>
      </c>
      <c r="C475" s="14" t="s">
        <v>1001</v>
      </c>
      <c r="D475" s="14" t="s">
        <v>1219</v>
      </c>
      <c r="E475" s="14"/>
      <c r="F475" s="14" t="s">
        <v>2467</v>
      </c>
      <c r="G475" s="23" t="str">
        <f t="shared" si="14"/>
        <v>CAWP.C9</v>
      </c>
      <c r="H475" s="23" t="str">
        <f t="shared" si="15"/>
        <v>PROJECT_WORK_PACKAGE.</v>
      </c>
      <c r="I475" s="30" t="s">
        <v>2411</v>
      </c>
      <c r="J4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PROJECT_CONTROL_ACCOUNT.C9</v>
      </c>
      <c r="K475" s="17"/>
    </row>
    <row r="476" spans="1:11" hidden="1" x14ac:dyDescent="0.2">
      <c r="A476" s="14" t="s">
        <v>450</v>
      </c>
      <c r="B476" t="s">
        <v>849</v>
      </c>
      <c r="C476" s="14" t="s">
        <v>965</v>
      </c>
      <c r="D476" s="14" t="s">
        <v>1219</v>
      </c>
      <c r="E476" s="14" t="s">
        <v>1626</v>
      </c>
      <c r="F476" s="14" t="s">
        <v>2467</v>
      </c>
      <c r="G476" s="23" t="str">
        <f t="shared" si="14"/>
        <v>CAWP.C10</v>
      </c>
      <c r="H476" s="23" t="str">
        <f t="shared" si="15"/>
        <v>PROJECT_WORK_PACKAGE.CODE_UID</v>
      </c>
      <c r="I476" s="30" t="s">
        <v>2411</v>
      </c>
      <c r="J4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PROJECT_CONTROL_ACCOUNT.C10</v>
      </c>
      <c r="K476" s="17"/>
    </row>
    <row r="477" spans="1:11" hidden="1" x14ac:dyDescent="0.2">
      <c r="A477" s="14" t="s">
        <v>450</v>
      </c>
      <c r="B477" t="s">
        <v>849</v>
      </c>
      <c r="C477" s="14" t="s">
        <v>967</v>
      </c>
      <c r="D477" s="14" t="s">
        <v>1219</v>
      </c>
      <c r="E477" s="14" t="s">
        <v>1626</v>
      </c>
      <c r="F477" s="14" t="s">
        <v>2467</v>
      </c>
      <c r="G477" s="23" t="str">
        <f t="shared" si="14"/>
        <v>CAWP.C11</v>
      </c>
      <c r="H477" s="23" t="str">
        <f t="shared" si="15"/>
        <v>PROJECT_WORK_PACKAGE.CODE_UID</v>
      </c>
      <c r="I477" s="30" t="s">
        <v>2411</v>
      </c>
      <c r="J4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PROJECT_CONTROL_ACCOUNT.C11</v>
      </c>
      <c r="K477" s="17"/>
    </row>
    <row r="478" spans="1:11" hidden="1" x14ac:dyDescent="0.2">
      <c r="A478" s="14" t="s">
        <v>450</v>
      </c>
      <c r="B478" t="s">
        <v>849</v>
      </c>
      <c r="C478" s="14" t="s">
        <v>969</v>
      </c>
      <c r="D478" s="14" t="s">
        <v>1219</v>
      </c>
      <c r="E478" s="14" t="s">
        <v>1626</v>
      </c>
      <c r="F478" s="14" t="s">
        <v>2467</v>
      </c>
      <c r="G478" s="23" t="str">
        <f t="shared" si="14"/>
        <v>CAWP.C12</v>
      </c>
      <c r="H478" s="23" t="str">
        <f t="shared" si="15"/>
        <v>PROJECT_WORK_PACKAGE.CODE_UID</v>
      </c>
      <c r="I478" s="30" t="s">
        <v>2411</v>
      </c>
      <c r="J4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PROJECT_CONTROL_ACCOUNT.C12</v>
      </c>
      <c r="K478" s="17"/>
    </row>
    <row r="479" spans="1:11" hidden="1" x14ac:dyDescent="0.2">
      <c r="A479" s="14" t="s">
        <v>450</v>
      </c>
      <c r="B479" t="s">
        <v>849</v>
      </c>
      <c r="C479" s="14" t="s">
        <v>971</v>
      </c>
      <c r="D479" s="14" t="s">
        <v>1219</v>
      </c>
      <c r="E479" s="14" t="s">
        <v>1626</v>
      </c>
      <c r="F479" s="14" t="s">
        <v>2467</v>
      </c>
      <c r="G479" s="23" t="str">
        <f t="shared" si="14"/>
        <v>CAWP.C13</v>
      </c>
      <c r="H479" s="23" t="str">
        <f t="shared" si="15"/>
        <v>PROJECT_WORK_PACKAGE.CODE_UID</v>
      </c>
      <c r="I479" s="30" t="s">
        <v>2411</v>
      </c>
      <c r="J4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PROJECT_CONTROL_ACCOUNT.C13</v>
      </c>
      <c r="K479" s="17"/>
    </row>
    <row r="480" spans="1:11" hidden="1" x14ac:dyDescent="0.2">
      <c r="A480" s="14" t="s">
        <v>450</v>
      </c>
      <c r="B480" t="s">
        <v>849</v>
      </c>
      <c r="C480" s="14" t="s">
        <v>973</v>
      </c>
      <c r="D480" s="14" t="s">
        <v>1219</v>
      </c>
      <c r="E480" s="14" t="s">
        <v>1626</v>
      </c>
      <c r="F480" s="14" t="s">
        <v>2467</v>
      </c>
      <c r="G480" s="23" t="str">
        <f t="shared" si="14"/>
        <v>CAWP.C14</v>
      </c>
      <c r="H480" s="23" t="str">
        <f t="shared" si="15"/>
        <v>PROJECT_WORK_PACKAGE.CODE_UID</v>
      </c>
      <c r="I480" s="30" t="s">
        <v>2411</v>
      </c>
      <c r="J4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PROJECT_CONTROL_ACCOUNT.C14</v>
      </c>
      <c r="K480" s="17"/>
    </row>
    <row r="481" spans="1:11" hidden="1" x14ac:dyDescent="0.2">
      <c r="A481" s="14" t="s">
        <v>450</v>
      </c>
      <c r="B481" t="s">
        <v>849</v>
      </c>
      <c r="C481" s="14" t="s">
        <v>975</v>
      </c>
      <c r="D481" s="14" t="s">
        <v>1219</v>
      </c>
      <c r="E481" s="14" t="s">
        <v>1626</v>
      </c>
      <c r="F481" s="14" t="s">
        <v>2467</v>
      </c>
      <c r="G481" s="23" t="str">
        <f t="shared" si="14"/>
        <v>CAWP.C15</v>
      </c>
      <c r="H481" s="23" t="str">
        <f t="shared" si="15"/>
        <v>PROJECT_WORK_PACKAGE.CODE_UID</v>
      </c>
      <c r="I481" s="30" t="s">
        <v>2411</v>
      </c>
      <c r="J4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PROJECT_CONTROL_ACCOUNT.C15</v>
      </c>
      <c r="K481" s="17"/>
    </row>
    <row r="482" spans="1:11" hidden="1" x14ac:dyDescent="0.2">
      <c r="A482" s="14" t="s">
        <v>450</v>
      </c>
      <c r="B482" t="s">
        <v>849</v>
      </c>
      <c r="C482" s="14" t="s">
        <v>977</v>
      </c>
      <c r="D482" s="14" t="s">
        <v>1219</v>
      </c>
      <c r="E482" s="14" t="s">
        <v>1626</v>
      </c>
      <c r="F482" s="14" t="s">
        <v>2467</v>
      </c>
      <c r="G482" s="23" t="str">
        <f t="shared" si="14"/>
        <v>CAWP.C16</v>
      </c>
      <c r="H482" s="23" t="str">
        <f t="shared" si="15"/>
        <v>PROJECT_WORK_PACKAGE.CODE_UID</v>
      </c>
      <c r="I482" s="30" t="s">
        <v>2411</v>
      </c>
      <c r="J4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PROJECT_CONTROL_ACCOUNT.C16</v>
      </c>
      <c r="K482" s="17"/>
    </row>
    <row r="483" spans="1:11" hidden="1" x14ac:dyDescent="0.2">
      <c r="A483" s="14" t="s">
        <v>450</v>
      </c>
      <c r="B483" t="s">
        <v>849</v>
      </c>
      <c r="C483" s="14" t="s">
        <v>979</v>
      </c>
      <c r="D483" s="14" t="s">
        <v>1219</v>
      </c>
      <c r="E483" s="14" t="s">
        <v>1626</v>
      </c>
      <c r="F483" s="14" t="s">
        <v>2467</v>
      </c>
      <c r="G483" s="23" t="str">
        <f t="shared" si="14"/>
        <v>CAWP.C17</v>
      </c>
      <c r="H483" s="23" t="str">
        <f t="shared" si="15"/>
        <v>PROJECT_WORK_PACKAGE.CODE_UID</v>
      </c>
      <c r="I483" s="30" t="s">
        <v>2411</v>
      </c>
      <c r="J4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PROJECT_CONTROL_ACCOUNT.C17</v>
      </c>
      <c r="K483" s="17"/>
    </row>
    <row r="484" spans="1:11" hidden="1" x14ac:dyDescent="0.2">
      <c r="A484" s="14" t="s">
        <v>450</v>
      </c>
      <c r="B484" t="s">
        <v>849</v>
      </c>
      <c r="C484" s="14" t="s">
        <v>981</v>
      </c>
      <c r="D484" s="14" t="s">
        <v>1219</v>
      </c>
      <c r="E484" s="14" t="s">
        <v>1626</v>
      </c>
      <c r="F484" s="14" t="s">
        <v>2467</v>
      </c>
      <c r="G484" s="23" t="str">
        <f t="shared" si="14"/>
        <v>CAWP.C18</v>
      </c>
      <c r="H484" s="23" t="str">
        <f t="shared" si="15"/>
        <v>PROJECT_WORK_PACKAGE.CODE_UID</v>
      </c>
      <c r="I484" s="30" t="s">
        <v>2411</v>
      </c>
      <c r="J4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PROJECT_CONTROL_ACCOUNT.C18</v>
      </c>
      <c r="K484" s="17"/>
    </row>
    <row r="485" spans="1:11" hidden="1" x14ac:dyDescent="0.2">
      <c r="A485" s="14" t="s">
        <v>450</v>
      </c>
      <c r="B485" t="s">
        <v>849</v>
      </c>
      <c r="C485" s="14" t="s">
        <v>983</v>
      </c>
      <c r="D485" s="14" t="s">
        <v>1219</v>
      </c>
      <c r="E485" s="14" t="s">
        <v>1626</v>
      </c>
      <c r="F485" s="14" t="s">
        <v>2467</v>
      </c>
      <c r="G485" s="23" t="str">
        <f t="shared" si="14"/>
        <v>CAWP.C19</v>
      </c>
      <c r="H485" s="23" t="str">
        <f t="shared" si="15"/>
        <v>PROJECT_WORK_PACKAGE.CODE_UID</v>
      </c>
      <c r="I485" s="30" t="s">
        <v>2411</v>
      </c>
      <c r="J4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PROJECT_CONTROL_ACCOUNT.C19</v>
      </c>
      <c r="K485" s="17"/>
    </row>
    <row r="486" spans="1:11" hidden="1" x14ac:dyDescent="0.2">
      <c r="A486" s="14" t="s">
        <v>450</v>
      </c>
      <c r="B486" t="s">
        <v>849</v>
      </c>
      <c r="C486" s="14" t="s">
        <v>987</v>
      </c>
      <c r="D486" s="14" t="s">
        <v>1219</v>
      </c>
      <c r="E486" s="14"/>
      <c r="F486" s="14" t="s">
        <v>2467</v>
      </c>
      <c r="G486" s="23" t="str">
        <f t="shared" si="14"/>
        <v>CAWP.C20</v>
      </c>
      <c r="H486" s="23" t="str">
        <f t="shared" si="15"/>
        <v>PROJECT_WORK_PACKAGE.</v>
      </c>
      <c r="I486" s="30" t="s">
        <v>2411</v>
      </c>
      <c r="J4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PROJECT_CONTROL_ACCOUNT.C20</v>
      </c>
      <c r="K486" s="17"/>
    </row>
    <row r="487" spans="1:11" hidden="1" x14ac:dyDescent="0.2">
      <c r="A487" s="14" t="s">
        <v>450</v>
      </c>
      <c r="B487" t="s">
        <v>849</v>
      </c>
      <c r="C487" s="14" t="s">
        <v>1020</v>
      </c>
      <c r="D487" s="14" t="s">
        <v>1219</v>
      </c>
      <c r="E487" s="14" t="s">
        <v>1747</v>
      </c>
      <c r="F487" s="14" t="s">
        <v>2468</v>
      </c>
      <c r="G487" s="23" t="str">
        <f t="shared" si="14"/>
        <v>CAWP.USER_CHR01</v>
      </c>
      <c r="H487" s="23" t="str">
        <f t="shared" si="15"/>
        <v>PROJECT_WORK_PACKAGE.TEXT1</v>
      </c>
      <c r="I487" s="30" t="s">
        <v>2411</v>
      </c>
      <c r="J4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PROJECT_CONTROL_ACCOUNT.USER_CHR01</v>
      </c>
      <c r="K487" s="17"/>
    </row>
    <row r="488" spans="1:11" hidden="1" x14ac:dyDescent="0.2">
      <c r="A488" s="14" t="s">
        <v>450</v>
      </c>
      <c r="B488" t="s">
        <v>849</v>
      </c>
      <c r="C488" s="14" t="s">
        <v>1022</v>
      </c>
      <c r="D488" s="14" t="s">
        <v>1219</v>
      </c>
      <c r="E488" s="14" t="s">
        <v>1750</v>
      </c>
      <c r="F488" s="14" t="s">
        <v>2468</v>
      </c>
      <c r="G488" s="23" t="str">
        <f t="shared" si="14"/>
        <v>CAWP.USER_CHR02</v>
      </c>
      <c r="H488" s="23" t="str">
        <f t="shared" si="15"/>
        <v>PROJECT_WORK_PACKAGE.TEXT2</v>
      </c>
      <c r="I488" s="30" t="s">
        <v>2411</v>
      </c>
      <c r="J4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PROJECT_CONTROL_ACCOUNT.USER_CHR02</v>
      </c>
      <c r="K488" s="17"/>
    </row>
    <row r="489" spans="1:11" hidden="1" x14ac:dyDescent="0.2">
      <c r="A489" s="14" t="s">
        <v>450</v>
      </c>
      <c r="B489" t="s">
        <v>849</v>
      </c>
      <c r="C489" s="14" t="s">
        <v>1024</v>
      </c>
      <c r="D489" s="14" t="s">
        <v>1219</v>
      </c>
      <c r="E489" s="14" t="s">
        <v>1752</v>
      </c>
      <c r="F489" s="14" t="s">
        <v>2468</v>
      </c>
      <c r="G489" s="23" t="str">
        <f t="shared" si="14"/>
        <v>CAWP.USER_CHR03</v>
      </c>
      <c r="H489" s="23" t="str">
        <f t="shared" si="15"/>
        <v>PROJECT_WORK_PACKAGE.TEXT3</v>
      </c>
      <c r="I489" s="30" t="s">
        <v>2411</v>
      </c>
      <c r="J4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PROJECT_CONTROL_ACCOUNT.USER_CHR03</v>
      </c>
      <c r="K489" s="17"/>
    </row>
    <row r="490" spans="1:11" hidden="1" x14ac:dyDescent="0.2">
      <c r="A490" s="14" t="s">
        <v>450</v>
      </c>
      <c r="B490" t="s">
        <v>849</v>
      </c>
      <c r="C490" s="14" t="s">
        <v>1026</v>
      </c>
      <c r="D490" s="14" t="s">
        <v>1219</v>
      </c>
      <c r="E490" s="14" t="s">
        <v>1754</v>
      </c>
      <c r="F490" s="14" t="s">
        <v>2468</v>
      </c>
      <c r="G490" s="23" t="str">
        <f t="shared" si="14"/>
        <v>CAWP.USER_CHR04</v>
      </c>
      <c r="H490" s="23" t="str">
        <f t="shared" si="15"/>
        <v>PROJECT_WORK_PACKAGE.TEXT4</v>
      </c>
      <c r="I490" s="30" t="s">
        <v>2411</v>
      </c>
      <c r="J4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PROJECT_CONTROL_ACCOUNT.USER_CHR04</v>
      </c>
      <c r="K490" s="17"/>
    </row>
    <row r="491" spans="1:11" hidden="1" x14ac:dyDescent="0.2">
      <c r="A491" s="14" t="s">
        <v>450</v>
      </c>
      <c r="B491" t="s">
        <v>849</v>
      </c>
      <c r="C491" s="14" t="s">
        <v>1028</v>
      </c>
      <c r="D491" s="14" t="s">
        <v>1219</v>
      </c>
      <c r="E491" s="14" t="s">
        <v>1756</v>
      </c>
      <c r="F491" s="14" t="s">
        <v>2468</v>
      </c>
      <c r="G491" s="23" t="str">
        <f t="shared" si="14"/>
        <v>CAWP.USER_CHR05</v>
      </c>
      <c r="H491" s="23" t="str">
        <f t="shared" si="15"/>
        <v>PROJECT_WORK_PACKAGE.TEXT5</v>
      </c>
      <c r="I491" s="30" t="s">
        <v>2411</v>
      </c>
      <c r="J4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PROJECT_CONTROL_ACCOUNT.USER_CHR05</v>
      </c>
      <c r="K491" s="17"/>
    </row>
    <row r="492" spans="1:11" hidden="1" x14ac:dyDescent="0.2">
      <c r="A492" s="14" t="s">
        <v>450</v>
      </c>
      <c r="B492" t="s">
        <v>849</v>
      </c>
      <c r="C492" s="14" t="s">
        <v>1040</v>
      </c>
      <c r="D492" s="14" t="s">
        <v>1219</v>
      </c>
      <c r="E492" s="14" t="s">
        <v>1706</v>
      </c>
      <c r="F492" s="14" t="s">
        <v>2468</v>
      </c>
      <c r="G492" s="23" t="str">
        <f t="shared" si="14"/>
        <v xml:space="preserve">CAWP.USER_NUM01 </v>
      </c>
      <c r="H492" s="23" t="str">
        <f t="shared" si="15"/>
        <v>PROJECT_WORK_PACKAGE.NUMBER1</v>
      </c>
      <c r="I492" s="30" t="s">
        <v>2411</v>
      </c>
      <c r="J4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 xml:space="preserve">PROJECT_CONTROL_ACCOUNT.USER_NUM01 </v>
      </c>
      <c r="K492" s="17"/>
    </row>
    <row r="493" spans="1:11" hidden="1" x14ac:dyDescent="0.2">
      <c r="A493" s="14" t="s">
        <v>450</v>
      </c>
      <c r="B493" t="s">
        <v>849</v>
      </c>
      <c r="C493" s="14" t="s">
        <v>1042</v>
      </c>
      <c r="D493" s="14" t="s">
        <v>1219</v>
      </c>
      <c r="E493" s="14" t="s">
        <v>1709</v>
      </c>
      <c r="F493" s="14" t="s">
        <v>2468</v>
      </c>
      <c r="G493" s="23" t="str">
        <f t="shared" si="14"/>
        <v>CAWP.USER_NUM02</v>
      </c>
      <c r="H493" s="23" t="str">
        <f t="shared" si="15"/>
        <v>PROJECT_WORK_PACKAGE.NUMBER2</v>
      </c>
      <c r="I493" s="30" t="s">
        <v>2411</v>
      </c>
      <c r="J4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PROJECT_CONTROL_ACCOUNT.USER_NUM02</v>
      </c>
      <c r="K493" s="17"/>
    </row>
    <row r="494" spans="1:11" hidden="1" x14ac:dyDescent="0.2">
      <c r="A494" s="14" t="s">
        <v>450</v>
      </c>
      <c r="B494" t="s">
        <v>849</v>
      </c>
      <c r="C494" s="14" t="s">
        <v>1044</v>
      </c>
      <c r="D494" s="14" t="s">
        <v>1219</v>
      </c>
      <c r="E494" s="14" t="s">
        <v>1711</v>
      </c>
      <c r="F494" s="14" t="s">
        <v>2468</v>
      </c>
      <c r="G494" s="23" t="str">
        <f t="shared" si="14"/>
        <v>CAWP.USER_NUM03</v>
      </c>
      <c r="H494" s="23" t="str">
        <f t="shared" si="15"/>
        <v>PROJECT_WORK_PACKAGE.NUMBER3</v>
      </c>
      <c r="I494" s="30" t="s">
        <v>2411</v>
      </c>
      <c r="J4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PROJECT_CONTROL_ACCOUNT.USER_NUM03</v>
      </c>
      <c r="K494" s="17"/>
    </row>
    <row r="495" spans="1:11" hidden="1" x14ac:dyDescent="0.2">
      <c r="A495" s="14" t="s">
        <v>450</v>
      </c>
      <c r="B495" t="s">
        <v>849</v>
      </c>
      <c r="C495" s="14" t="s">
        <v>1046</v>
      </c>
      <c r="D495" s="14" t="s">
        <v>1219</v>
      </c>
      <c r="E495" s="14" t="s">
        <v>1713</v>
      </c>
      <c r="F495" s="14" t="s">
        <v>2468</v>
      </c>
      <c r="G495" s="23" t="str">
        <f t="shared" si="14"/>
        <v>CAWP.USER_NUM04</v>
      </c>
      <c r="H495" s="23" t="str">
        <f t="shared" si="15"/>
        <v>PROJECT_WORK_PACKAGE.NUMBER4</v>
      </c>
      <c r="I495" s="30" t="s">
        <v>2411</v>
      </c>
      <c r="J4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PROJECT_CONTROL_ACCOUNT.USER_NUM04</v>
      </c>
      <c r="K495" s="17"/>
    </row>
    <row r="496" spans="1:11" hidden="1" x14ac:dyDescent="0.2">
      <c r="A496" s="14" t="s">
        <v>450</v>
      </c>
      <c r="B496" t="s">
        <v>849</v>
      </c>
      <c r="C496" s="14" t="s">
        <v>1048</v>
      </c>
      <c r="D496" s="14" t="s">
        <v>1219</v>
      </c>
      <c r="E496" s="14" t="s">
        <v>1715</v>
      </c>
      <c r="F496" s="14" t="s">
        <v>2468</v>
      </c>
      <c r="G496" s="23" t="str">
        <f t="shared" si="14"/>
        <v>CAWP.USER_NUM05</v>
      </c>
      <c r="H496" s="23" t="str">
        <f t="shared" si="15"/>
        <v>PROJECT_WORK_PACKAGE.NUMBER5</v>
      </c>
      <c r="I496" s="30" t="s">
        <v>2411</v>
      </c>
      <c r="J4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PROJECT_CONTROL_ACCOUNT.USER_NUM05</v>
      </c>
      <c r="K496" s="17"/>
    </row>
    <row r="497" spans="1:11" hidden="1" x14ac:dyDescent="0.2">
      <c r="A497" s="14" t="s">
        <v>450</v>
      </c>
      <c r="B497" t="s">
        <v>849</v>
      </c>
      <c r="C497" s="14" t="s">
        <v>1030</v>
      </c>
      <c r="D497" s="14" t="s">
        <v>1219</v>
      </c>
      <c r="E497" s="14" t="s">
        <v>1659</v>
      </c>
      <c r="F497" s="14" t="s">
        <v>2468</v>
      </c>
      <c r="G497" s="23" t="str">
        <f t="shared" si="14"/>
        <v>CAWP.USER_DTE01</v>
      </c>
      <c r="H497" s="23" t="str">
        <f t="shared" si="15"/>
        <v>PROJECT_WORK_PACKAGE.DATE1</v>
      </c>
      <c r="I497" s="30" t="s">
        <v>2411</v>
      </c>
      <c r="J4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PROJECT_CONTROL_ACCOUNT.USER_DTE01</v>
      </c>
      <c r="K497" s="17"/>
    </row>
    <row r="498" spans="1:11" hidden="1" x14ac:dyDescent="0.2">
      <c r="A498" s="14" t="s">
        <v>450</v>
      </c>
      <c r="B498" t="s">
        <v>849</v>
      </c>
      <c r="C498" s="14" t="s">
        <v>1032</v>
      </c>
      <c r="D498" s="14" t="s">
        <v>1219</v>
      </c>
      <c r="E498" s="14" t="s">
        <v>1667</v>
      </c>
      <c r="F498" s="14" t="s">
        <v>2468</v>
      </c>
      <c r="G498" s="23" t="str">
        <f t="shared" si="14"/>
        <v>CAWP.USER_DTE02</v>
      </c>
      <c r="H498" s="23" t="str">
        <f t="shared" si="15"/>
        <v>PROJECT_WORK_PACKAGE.DATE2</v>
      </c>
      <c r="I498" s="30" t="s">
        <v>2411</v>
      </c>
      <c r="J4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PROJECT_CONTROL_ACCOUNT.USER_DTE02</v>
      </c>
      <c r="K498" s="17"/>
    </row>
    <row r="499" spans="1:11" hidden="1" x14ac:dyDescent="0.2">
      <c r="A499" s="14" t="s">
        <v>450</v>
      </c>
      <c r="B499" t="s">
        <v>849</v>
      </c>
      <c r="C499" s="14" t="s">
        <v>1034</v>
      </c>
      <c r="D499" s="14" t="s">
        <v>1219</v>
      </c>
      <c r="E499" s="14" t="s">
        <v>1670</v>
      </c>
      <c r="F499" s="14" t="s">
        <v>2468</v>
      </c>
      <c r="G499" s="23" t="str">
        <f t="shared" si="14"/>
        <v>CAWP.USER_DTE03</v>
      </c>
      <c r="H499" s="23" t="str">
        <f t="shared" si="15"/>
        <v>PROJECT_WORK_PACKAGE.DATE3</v>
      </c>
      <c r="I499" s="30" t="s">
        <v>2411</v>
      </c>
      <c r="J4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PROJECT_CONTROL_ACCOUNT.USER_DTE03</v>
      </c>
      <c r="K499" s="17"/>
    </row>
    <row r="500" spans="1:11" hidden="1" x14ac:dyDescent="0.2">
      <c r="A500" s="14" t="s">
        <v>450</v>
      </c>
      <c r="B500" t="s">
        <v>849</v>
      </c>
      <c r="C500" s="14" t="s">
        <v>1036</v>
      </c>
      <c r="D500" s="14" t="s">
        <v>1219</v>
      </c>
      <c r="E500" s="14" t="s">
        <v>1672</v>
      </c>
      <c r="F500" s="14" t="s">
        <v>2468</v>
      </c>
      <c r="G500" s="23" t="str">
        <f t="shared" si="14"/>
        <v>CAWP.USER_DTE04</v>
      </c>
      <c r="H500" s="23" t="str">
        <f t="shared" si="15"/>
        <v>PROJECT_WORK_PACKAGE.DATE4</v>
      </c>
      <c r="I500" s="30" t="s">
        <v>2411</v>
      </c>
      <c r="J5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PROJECT_CONTROL_ACCOUNT.USER_DTE04</v>
      </c>
      <c r="K500" s="17"/>
    </row>
    <row r="501" spans="1:11" hidden="1" x14ac:dyDescent="0.2">
      <c r="A501" s="14" t="s">
        <v>450</v>
      </c>
      <c r="B501" t="s">
        <v>849</v>
      </c>
      <c r="C501" s="14" t="s">
        <v>1038</v>
      </c>
      <c r="D501" s="14" t="s">
        <v>1219</v>
      </c>
      <c r="E501" s="14" t="s">
        <v>1674</v>
      </c>
      <c r="F501" s="14" t="s">
        <v>2468</v>
      </c>
      <c r="G501" s="23" t="str">
        <f t="shared" si="14"/>
        <v>CAWP.USER_DTE05</v>
      </c>
      <c r="H501" s="23" t="str">
        <f t="shared" si="15"/>
        <v>PROJECT_WORK_PACKAGE.DATE5</v>
      </c>
      <c r="I501" s="30" t="s">
        <v>2411</v>
      </c>
      <c r="J5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PROJECT_CONTROL_ACCOUNT.USER_DTE05</v>
      </c>
      <c r="K501" s="17"/>
    </row>
    <row r="502" spans="1:11" hidden="1" x14ac:dyDescent="0.2">
      <c r="A502" s="14" t="s">
        <v>450</v>
      </c>
      <c r="B502" t="s">
        <v>849</v>
      </c>
      <c r="C502" s="14" t="s">
        <v>619</v>
      </c>
      <c r="D502" s="14" t="s">
        <v>1219</v>
      </c>
      <c r="E502" s="14"/>
      <c r="F502" s="14" t="s">
        <v>2464</v>
      </c>
      <c r="G502" s="23" t="str">
        <f t="shared" si="14"/>
        <v>CAWP.BCWS_HRS</v>
      </c>
      <c r="H502" s="23" t="str">
        <f t="shared" si="15"/>
        <v>PROJECT_WORK_PACKAGE.</v>
      </c>
      <c r="I502" s="30" t="s">
        <v>2411</v>
      </c>
      <c r="J5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PROJECT_CONTROL_ACCOUNT.BCWS_HRS</v>
      </c>
      <c r="K502" s="17"/>
    </row>
    <row r="503" spans="1:11" hidden="1" x14ac:dyDescent="0.2">
      <c r="A503" s="14" t="s">
        <v>450</v>
      </c>
      <c r="B503" t="s">
        <v>849</v>
      </c>
      <c r="C503" s="14" t="s">
        <v>615</v>
      </c>
      <c r="D503" s="14" t="s">
        <v>1219</v>
      </c>
      <c r="E503" s="14"/>
      <c r="F503" s="14" t="s">
        <v>2464</v>
      </c>
      <c r="G503" s="23" t="str">
        <f t="shared" si="14"/>
        <v>CAWP.BCWP_HRS</v>
      </c>
      <c r="H503" s="23" t="str">
        <f t="shared" si="15"/>
        <v>PROJECT_WORK_PACKAGE.</v>
      </c>
      <c r="I503" s="30" t="s">
        <v>2411</v>
      </c>
      <c r="J5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PROJECT_CONTROL_ACCOUNT.BCWP_HRS</v>
      </c>
      <c r="K503" s="17"/>
    </row>
    <row r="504" spans="1:11" hidden="1" x14ac:dyDescent="0.2">
      <c r="A504" s="14" t="s">
        <v>450</v>
      </c>
      <c r="B504" t="s">
        <v>849</v>
      </c>
      <c r="C504" s="14" t="s">
        <v>602</v>
      </c>
      <c r="D504" s="14" t="s">
        <v>1219</v>
      </c>
      <c r="E504" s="14"/>
      <c r="F504" s="14" t="s">
        <v>2464</v>
      </c>
      <c r="G504" s="23" t="str">
        <f t="shared" si="14"/>
        <v>CAWP.ACWP_HRS</v>
      </c>
      <c r="H504" s="23" t="str">
        <f t="shared" si="15"/>
        <v>PROJECT_WORK_PACKAGE.</v>
      </c>
      <c r="I504" s="30" t="s">
        <v>2411</v>
      </c>
      <c r="J5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PROJECT_CONTROL_ACCOUNT.ACWP_HRS</v>
      </c>
      <c r="K504" s="17"/>
    </row>
    <row r="505" spans="1:11" hidden="1" x14ac:dyDescent="0.2">
      <c r="A505" s="14" t="s">
        <v>450</v>
      </c>
      <c r="B505" t="s">
        <v>849</v>
      </c>
      <c r="C505" s="14" t="s">
        <v>609</v>
      </c>
      <c r="D505" s="14" t="s">
        <v>1219</v>
      </c>
      <c r="E505" s="14"/>
      <c r="F505" s="14" t="s">
        <v>2464</v>
      </c>
      <c r="G505" s="23" t="str">
        <f t="shared" si="14"/>
        <v>CAWP.BAC_HRS</v>
      </c>
      <c r="H505" s="23" t="str">
        <f t="shared" si="15"/>
        <v>PROJECT_WORK_PACKAGE.</v>
      </c>
      <c r="I505" s="30" t="s">
        <v>2411</v>
      </c>
      <c r="J5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PROJECT_CONTROL_ACCOUNT.BAC_HRS</v>
      </c>
      <c r="K505" s="17"/>
    </row>
    <row r="506" spans="1:11" hidden="1" x14ac:dyDescent="0.2">
      <c r="A506" s="14" t="s">
        <v>450</v>
      </c>
      <c r="B506" t="s">
        <v>849</v>
      </c>
      <c r="C506" s="14" t="s">
        <v>692</v>
      </c>
      <c r="D506" s="14" t="s">
        <v>1219</v>
      </c>
      <c r="E506" s="14"/>
      <c r="F506" s="14" t="s">
        <v>2464</v>
      </c>
      <c r="G506" s="23" t="str">
        <f t="shared" si="14"/>
        <v>CAWP.EAC_HRS</v>
      </c>
      <c r="H506" s="23" t="str">
        <f t="shared" si="15"/>
        <v>PROJECT_WORK_PACKAGE.</v>
      </c>
      <c r="I506" s="30" t="s">
        <v>2411</v>
      </c>
      <c r="J5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PROJECT_CONTROL_ACCOUNT.EAC_HRS</v>
      </c>
      <c r="K506" s="17"/>
    </row>
    <row r="507" spans="1:11" hidden="1" x14ac:dyDescent="0.2">
      <c r="A507" t="s">
        <v>450</v>
      </c>
      <c r="B507" t="s">
        <v>849</v>
      </c>
      <c r="C507" t="s">
        <v>2181</v>
      </c>
      <c r="D507" t="s">
        <v>1219</v>
      </c>
      <c r="E507" t="s">
        <v>1235</v>
      </c>
      <c r="G507" s="17" t="str">
        <f t="shared" si="14"/>
        <v>CAWP.MANAGER</v>
      </c>
      <c r="H507" s="17" t="str">
        <f t="shared" si="15"/>
        <v>PROJECT_WORK_PACKAGE.MANAGER_USER_UID</v>
      </c>
      <c r="I507" s="29"/>
      <c r="J5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07" s="17"/>
    </row>
    <row r="508" spans="1:11" hidden="1" x14ac:dyDescent="0.2">
      <c r="A508" s="14" t="s">
        <v>450</v>
      </c>
      <c r="B508" t="s">
        <v>849</v>
      </c>
      <c r="C508" s="14" t="s">
        <v>1013</v>
      </c>
      <c r="D508" t="s">
        <v>1219</v>
      </c>
      <c r="E508" s="14"/>
      <c r="F508" s="14" t="s">
        <v>2464</v>
      </c>
      <c r="G508" s="23" t="str">
        <f t="shared" si="14"/>
        <v>CAWP.EAC_NONLAB</v>
      </c>
      <c r="H508" s="23" t="str">
        <f t="shared" si="15"/>
        <v>PROJECT_WORK_PACKAGE.</v>
      </c>
      <c r="I508" s="30" t="s">
        <v>2411</v>
      </c>
      <c r="J5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PROJECT_CONTROL_ACCOUNT.EAC_NONLAB</v>
      </c>
      <c r="K508" s="17"/>
    </row>
    <row r="509" spans="1:11" hidden="1" x14ac:dyDescent="0.2">
      <c r="A509" s="14" t="s">
        <v>450</v>
      </c>
      <c r="B509" t="s">
        <v>849</v>
      </c>
      <c r="C509" s="14" t="s">
        <v>1056</v>
      </c>
      <c r="D509" t="s">
        <v>1219</v>
      </c>
      <c r="E509" s="14"/>
      <c r="F509" s="14" t="s">
        <v>2362</v>
      </c>
      <c r="G509" s="23" t="str">
        <f t="shared" si="14"/>
        <v>CAWP.RESERVED1</v>
      </c>
      <c r="H509" s="23" t="str">
        <f t="shared" si="15"/>
        <v>PROJECT_WORK_PACKAGE.</v>
      </c>
      <c r="I509" s="30" t="s">
        <v>2411</v>
      </c>
      <c r="J5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PROJECT_CONTROL_ACCOUNT.RESERVED1</v>
      </c>
      <c r="K509" s="23"/>
    </row>
    <row r="510" spans="1:11" hidden="1" x14ac:dyDescent="0.2">
      <c r="A510" t="s">
        <v>450</v>
      </c>
      <c r="B510" t="s">
        <v>849</v>
      </c>
      <c r="C510" t="s">
        <v>35</v>
      </c>
      <c r="D510" t="s">
        <v>1219</v>
      </c>
      <c r="E510" t="s">
        <v>35</v>
      </c>
      <c r="G510" s="17" t="str">
        <f t="shared" si="14"/>
        <v>CAWP.SEQUENCE</v>
      </c>
      <c r="H510" s="17" t="str">
        <f t="shared" si="15"/>
        <v>PROJECT_WORK_PACKAGE.SEQUENCE</v>
      </c>
      <c r="I510" s="29"/>
      <c r="J5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10" s="17"/>
    </row>
    <row r="511" spans="1:11" hidden="1" x14ac:dyDescent="0.2">
      <c r="A511" t="s">
        <v>450</v>
      </c>
      <c r="B511" t="s">
        <v>849</v>
      </c>
      <c r="C511" t="s">
        <v>2111</v>
      </c>
      <c r="D511" t="s">
        <v>1219</v>
      </c>
      <c r="E511" t="s">
        <v>71</v>
      </c>
      <c r="G511" s="17" t="str">
        <f t="shared" si="14"/>
        <v>CAWP.LASTUPDATE</v>
      </c>
      <c r="H511" s="17" t="str">
        <f t="shared" si="15"/>
        <v>PROJECT_WORK_PACKAGE.LAST_MODIFIED_DATE</v>
      </c>
      <c r="I511" s="29"/>
      <c r="J5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11" s="17"/>
    </row>
    <row r="512" spans="1:11" hidden="1" x14ac:dyDescent="0.2">
      <c r="A512" t="s">
        <v>450</v>
      </c>
      <c r="B512" t="s">
        <v>849</v>
      </c>
      <c r="C512" t="s">
        <v>2112</v>
      </c>
      <c r="D512" t="s">
        <v>1219</v>
      </c>
      <c r="E512" t="s">
        <v>68</v>
      </c>
      <c r="G512" s="17" t="str">
        <f t="shared" si="14"/>
        <v>CAWP.USR_ID</v>
      </c>
      <c r="H512" s="17" t="str">
        <f t="shared" si="15"/>
        <v>PROJECT_WORK_PACKAGE.LAST_MODIFIED_BY_USER_UID</v>
      </c>
      <c r="I512" s="29"/>
      <c r="J5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12" s="17"/>
    </row>
    <row r="513" spans="1:11" hidden="1" x14ac:dyDescent="0.2">
      <c r="A513" s="14" t="s">
        <v>450</v>
      </c>
      <c r="B513" t="s">
        <v>849</v>
      </c>
      <c r="C513" s="14" t="s">
        <v>949</v>
      </c>
      <c r="D513" t="s">
        <v>1219</v>
      </c>
      <c r="E513" s="14"/>
      <c r="F513" s="14" t="s">
        <v>2464</v>
      </c>
      <c r="G513" s="23" t="str">
        <f t="shared" si="14"/>
        <v>CAWP.ACWPCP</v>
      </c>
      <c r="H513" s="23" t="str">
        <f t="shared" si="15"/>
        <v>PROJECT_WORK_PACKAGE.</v>
      </c>
      <c r="I513" s="30" t="s">
        <v>2411</v>
      </c>
      <c r="J5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PROJECT_CONTROL_ACCOUNT.ACWPCP</v>
      </c>
      <c r="K513" s="17"/>
    </row>
    <row r="514" spans="1:11" hidden="1" x14ac:dyDescent="0.2">
      <c r="A514" s="14" t="s">
        <v>450</v>
      </c>
      <c r="B514" t="s">
        <v>849</v>
      </c>
      <c r="C514" s="14" t="s">
        <v>955</v>
      </c>
      <c r="D514" t="s">
        <v>1219</v>
      </c>
      <c r="E514" s="14"/>
      <c r="F514" s="14" t="s">
        <v>2464</v>
      </c>
      <c r="G514" s="23" t="str">
        <f t="shared" si="14"/>
        <v>CAWP.BCWPCP</v>
      </c>
      <c r="H514" s="23" t="str">
        <f t="shared" si="15"/>
        <v>PROJECT_WORK_PACKAGE.</v>
      </c>
      <c r="I514" s="30" t="s">
        <v>2411</v>
      </c>
      <c r="J5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PROJECT_CONTROL_ACCOUNT.BCWPCP</v>
      </c>
      <c r="K514" s="17"/>
    </row>
    <row r="515" spans="1:11" hidden="1" x14ac:dyDescent="0.2">
      <c r="A515" s="14" t="s">
        <v>450</v>
      </c>
      <c r="B515" t="s">
        <v>849</v>
      </c>
      <c r="C515" s="14" t="s">
        <v>959</v>
      </c>
      <c r="D515" t="s">
        <v>1219</v>
      </c>
      <c r="E515" s="14"/>
      <c r="F515" s="14" t="s">
        <v>2464</v>
      </c>
      <c r="G515" s="23" t="str">
        <f t="shared" si="14"/>
        <v>CAWP.BCWSCP</v>
      </c>
      <c r="H515" s="23" t="str">
        <f t="shared" si="15"/>
        <v>PROJECT_WORK_PACKAGE.</v>
      </c>
      <c r="I515" s="30" t="s">
        <v>2411</v>
      </c>
      <c r="J5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PROJECT_CONTROL_ACCOUNT.BCWSCP</v>
      </c>
      <c r="K515" s="17"/>
    </row>
    <row r="516" spans="1:11" hidden="1" x14ac:dyDescent="0.2">
      <c r="A516" s="14" t="s">
        <v>450</v>
      </c>
      <c r="B516" t="s">
        <v>849</v>
      </c>
      <c r="C516" s="14" t="s">
        <v>951</v>
      </c>
      <c r="D516" t="s">
        <v>1219</v>
      </c>
      <c r="E516" s="14"/>
      <c r="F516" s="14" t="s">
        <v>2464</v>
      </c>
      <c r="G516" s="23" t="str">
        <f t="shared" si="14"/>
        <v>CAWP.ACWPCP_HRS</v>
      </c>
      <c r="H516" s="23" t="str">
        <f t="shared" si="15"/>
        <v>PROJECT_WORK_PACKAGE.</v>
      </c>
      <c r="I516" s="30" t="s">
        <v>2411</v>
      </c>
      <c r="J5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PROJECT_CONTROL_ACCOUNT.ACWPCP_HRS</v>
      </c>
      <c r="K516" s="17"/>
    </row>
    <row r="517" spans="1:11" hidden="1" x14ac:dyDescent="0.2">
      <c r="A517" s="14" t="s">
        <v>450</v>
      </c>
      <c r="B517" t="s">
        <v>849</v>
      </c>
      <c r="C517" s="14" t="s">
        <v>957</v>
      </c>
      <c r="D517" t="s">
        <v>1219</v>
      </c>
      <c r="E517" s="14"/>
      <c r="F517" s="14" t="s">
        <v>2464</v>
      </c>
      <c r="G517" s="23" t="str">
        <f t="shared" si="14"/>
        <v>CAWP.BCWPCP_HRS</v>
      </c>
      <c r="H517" s="23" t="str">
        <f t="shared" si="15"/>
        <v>PROJECT_WORK_PACKAGE.</v>
      </c>
      <c r="I517" s="30" t="s">
        <v>2411</v>
      </c>
      <c r="J5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PROJECT_CONTROL_ACCOUNT.BCWPCP_HRS</v>
      </c>
      <c r="K517" s="17"/>
    </row>
    <row r="518" spans="1:11" hidden="1" x14ac:dyDescent="0.2">
      <c r="A518" s="14" t="s">
        <v>450</v>
      </c>
      <c r="B518" t="s">
        <v>849</v>
      </c>
      <c r="C518" s="14" t="s">
        <v>961</v>
      </c>
      <c r="D518" t="s">
        <v>1219</v>
      </c>
      <c r="E518" s="14"/>
      <c r="F518" s="14" t="s">
        <v>2464</v>
      </c>
      <c r="G518" s="23" t="str">
        <f t="shared" si="14"/>
        <v>CAWP.BCWSCP_HRS</v>
      </c>
      <c r="H518" s="23" t="str">
        <f t="shared" si="15"/>
        <v>PROJECT_WORK_PACKAGE.</v>
      </c>
      <c r="I518" s="30" t="s">
        <v>2411</v>
      </c>
      <c r="J5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PROJECT_CONTROL_ACCOUNT.BCWSCP_HRS</v>
      </c>
      <c r="K518" s="17"/>
    </row>
    <row r="519" spans="1:11" hidden="1" x14ac:dyDescent="0.2">
      <c r="A519" s="14" t="s">
        <v>450</v>
      </c>
      <c r="B519" t="s">
        <v>849</v>
      </c>
      <c r="C519" s="14" t="s">
        <v>1015</v>
      </c>
      <c r="D519" t="s">
        <v>1219</v>
      </c>
      <c r="E519" s="14"/>
      <c r="F519" s="14" t="s">
        <v>2470</v>
      </c>
      <c r="G519" s="23" t="str">
        <f t="shared" ref="G519:G582" si="16">_xlfn.CONCAT(B519,".",C519)</f>
        <v>CAWP.EOC</v>
      </c>
      <c r="H519" s="23" t="str">
        <f t="shared" ref="H519:H582" si="17">_xlfn.CONCAT(D519,".",E519)</f>
        <v>PROJECT_WORK_PACKAGE.</v>
      </c>
      <c r="I519" s="30" t="s">
        <v>2411</v>
      </c>
      <c r="J5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PROJECT_CONTROL_ACCOUNT.EOC</v>
      </c>
      <c r="K519" s="17"/>
    </row>
    <row r="520" spans="1:11" hidden="1" x14ac:dyDescent="0.2">
      <c r="A520" t="s">
        <v>450</v>
      </c>
      <c r="B520" t="s">
        <v>849</v>
      </c>
      <c r="C520" t="s">
        <v>600</v>
      </c>
      <c r="D520" t="s">
        <v>1194</v>
      </c>
      <c r="E520" t="s">
        <v>600</v>
      </c>
      <c r="G520" s="17" t="str">
        <f t="shared" si="16"/>
        <v>CAWP.ACWP</v>
      </c>
      <c r="H520" s="17" t="str">
        <f t="shared" si="17"/>
        <v>PROJECT_CAWP_TOTAL.ACWP</v>
      </c>
      <c r="I520" s="29"/>
      <c r="J5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0" s="17"/>
    </row>
    <row r="521" spans="1:11" hidden="1" x14ac:dyDescent="0.2">
      <c r="A521" t="s">
        <v>450</v>
      </c>
      <c r="B521" t="s">
        <v>849</v>
      </c>
      <c r="C521" t="s">
        <v>613</v>
      </c>
      <c r="D521" t="s">
        <v>1194</v>
      </c>
      <c r="E521" t="s">
        <v>613</v>
      </c>
      <c r="G521" s="17" t="str">
        <f t="shared" si="16"/>
        <v>CAWP.BCWP</v>
      </c>
      <c r="H521" s="17" t="str">
        <f t="shared" si="17"/>
        <v>PROJECT_CAWP_TOTAL.BCWP</v>
      </c>
      <c r="I521" s="29"/>
      <c r="J5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1" s="17"/>
    </row>
    <row r="522" spans="1:11" hidden="1" x14ac:dyDescent="0.2">
      <c r="A522" t="s">
        <v>450</v>
      </c>
      <c r="B522" t="s">
        <v>849</v>
      </c>
      <c r="C522" t="s">
        <v>617</v>
      </c>
      <c r="D522" t="s">
        <v>1194</v>
      </c>
      <c r="E522" t="s">
        <v>617</v>
      </c>
      <c r="G522" s="17" t="str">
        <f t="shared" si="16"/>
        <v>CAWP.BCWS</v>
      </c>
      <c r="H522" s="17" t="str">
        <f t="shared" si="17"/>
        <v>PROJECT_CAWP_TOTAL.BCWS</v>
      </c>
      <c r="I522" s="29"/>
      <c r="J5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2" s="17"/>
    </row>
    <row r="523" spans="1:11" hidden="1" x14ac:dyDescent="0.2">
      <c r="A523" t="s">
        <v>450</v>
      </c>
      <c r="B523" t="s">
        <v>849</v>
      </c>
      <c r="C523" t="s">
        <v>607</v>
      </c>
      <c r="D523" t="s">
        <v>1194</v>
      </c>
      <c r="E523" t="s">
        <v>607</v>
      </c>
      <c r="G523" s="17" t="str">
        <f t="shared" si="16"/>
        <v>CAWP.BAC</v>
      </c>
      <c r="H523" s="17" t="str">
        <f t="shared" si="17"/>
        <v>PROJECT_CAWP_TOTAL.BAC</v>
      </c>
      <c r="I523" s="29"/>
      <c r="J5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3" s="17"/>
    </row>
    <row r="524" spans="1:11" hidden="1" x14ac:dyDescent="0.2">
      <c r="A524" t="s">
        <v>450</v>
      </c>
      <c r="B524" t="s">
        <v>849</v>
      </c>
      <c r="C524" t="s">
        <v>690</v>
      </c>
      <c r="D524" t="s">
        <v>1194</v>
      </c>
      <c r="E524" t="s">
        <v>690</v>
      </c>
      <c r="G524" s="17" t="str">
        <f t="shared" si="16"/>
        <v>CAWP.EAC</v>
      </c>
      <c r="H524" s="17" t="str">
        <f t="shared" si="17"/>
        <v>PROJECT_CAWP_TOTAL.EAC</v>
      </c>
      <c r="I524" s="29"/>
      <c r="J5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4" s="17"/>
    </row>
    <row r="525" spans="1:11" hidden="1" x14ac:dyDescent="0.2">
      <c r="A525" t="s">
        <v>450</v>
      </c>
      <c r="B525" t="s">
        <v>849</v>
      </c>
      <c r="C525" t="s">
        <v>1013</v>
      </c>
      <c r="D525" t="s">
        <v>1194</v>
      </c>
      <c r="E525" t="s">
        <v>1013</v>
      </c>
      <c r="G525" s="17" t="str">
        <f t="shared" si="16"/>
        <v>CAWP.EAC_NONLAB</v>
      </c>
      <c r="H525" s="17" t="str">
        <f t="shared" si="17"/>
        <v>PROJECT_CAWP_TOTAL.EAC_NONLAB</v>
      </c>
      <c r="I525" s="29"/>
      <c r="J5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5" s="17"/>
    </row>
    <row r="526" spans="1:11" hidden="1" x14ac:dyDescent="0.2">
      <c r="A526" t="s">
        <v>450</v>
      </c>
      <c r="B526" t="s">
        <v>849</v>
      </c>
      <c r="C526" t="s">
        <v>602</v>
      </c>
      <c r="D526" t="s">
        <v>1194</v>
      </c>
      <c r="E526" t="s">
        <v>602</v>
      </c>
      <c r="G526" s="17" t="str">
        <f t="shared" si="16"/>
        <v>CAWP.ACWP_HRS</v>
      </c>
      <c r="H526" s="17" t="str">
        <f t="shared" si="17"/>
        <v>PROJECT_CAWP_TOTAL.ACWP_HRS</v>
      </c>
      <c r="I526" s="29"/>
      <c r="J5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6" s="17"/>
    </row>
    <row r="527" spans="1:11" hidden="1" x14ac:dyDescent="0.2">
      <c r="A527" t="s">
        <v>450</v>
      </c>
      <c r="B527" t="s">
        <v>849</v>
      </c>
      <c r="C527" t="s">
        <v>615</v>
      </c>
      <c r="D527" t="s">
        <v>1194</v>
      </c>
      <c r="E527" t="s">
        <v>615</v>
      </c>
      <c r="G527" s="17" t="str">
        <f t="shared" si="16"/>
        <v>CAWP.BCWP_HRS</v>
      </c>
      <c r="H527" s="17" t="str">
        <f t="shared" si="17"/>
        <v>PROJECT_CAWP_TOTAL.BCWP_HRS</v>
      </c>
      <c r="I527" s="29"/>
      <c r="J5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7" s="17"/>
    </row>
    <row r="528" spans="1:11" hidden="1" x14ac:dyDescent="0.2">
      <c r="A528" t="s">
        <v>450</v>
      </c>
      <c r="B528" t="s">
        <v>849</v>
      </c>
      <c r="C528" t="s">
        <v>619</v>
      </c>
      <c r="D528" t="s">
        <v>1194</v>
      </c>
      <c r="E528" t="s">
        <v>619</v>
      </c>
      <c r="G528" s="17" t="str">
        <f t="shared" si="16"/>
        <v>CAWP.BCWS_HRS</v>
      </c>
      <c r="H528" s="17" t="str">
        <f t="shared" si="17"/>
        <v>PROJECT_CAWP_TOTAL.BCWS_HRS</v>
      </c>
      <c r="I528" s="29"/>
      <c r="J5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8" s="17"/>
    </row>
    <row r="529" spans="1:11" hidden="1" x14ac:dyDescent="0.2">
      <c r="A529" t="s">
        <v>450</v>
      </c>
      <c r="B529" t="s">
        <v>849</v>
      </c>
      <c r="C529" t="s">
        <v>609</v>
      </c>
      <c r="D529" t="s">
        <v>1194</v>
      </c>
      <c r="E529" t="s">
        <v>609</v>
      </c>
      <c r="G529" s="17" t="str">
        <f t="shared" si="16"/>
        <v>CAWP.BAC_HRS</v>
      </c>
      <c r="H529" s="17" t="str">
        <f t="shared" si="17"/>
        <v>PROJECT_CAWP_TOTAL.BAC_HRS</v>
      </c>
      <c r="I529" s="29"/>
      <c r="J5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29" s="17"/>
    </row>
    <row r="530" spans="1:11" hidden="1" x14ac:dyDescent="0.2">
      <c r="A530" t="s">
        <v>450</v>
      </c>
      <c r="B530" t="s">
        <v>849</v>
      </c>
      <c r="C530" t="s">
        <v>692</v>
      </c>
      <c r="D530" t="s">
        <v>1194</v>
      </c>
      <c r="E530" t="s">
        <v>692</v>
      </c>
      <c r="G530" s="17" t="str">
        <f t="shared" si="16"/>
        <v>CAWP.EAC_HRS</v>
      </c>
      <c r="H530" s="17" t="str">
        <f t="shared" si="17"/>
        <v>PROJECT_CAWP_TOTAL.EAC_HRS</v>
      </c>
      <c r="I530" s="29"/>
      <c r="J5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0" s="17"/>
    </row>
    <row r="531" spans="1:11" hidden="1" x14ac:dyDescent="0.2">
      <c r="A531" t="s">
        <v>450</v>
      </c>
      <c r="B531" t="s">
        <v>849</v>
      </c>
      <c r="C531" t="s">
        <v>949</v>
      </c>
      <c r="D531" t="s">
        <v>1194</v>
      </c>
      <c r="E531" t="s">
        <v>949</v>
      </c>
      <c r="G531" s="17" t="str">
        <f t="shared" si="16"/>
        <v>CAWP.ACWPCP</v>
      </c>
      <c r="H531" s="17" t="str">
        <f t="shared" si="17"/>
        <v>PROJECT_CAWP_TOTAL.ACWPCP</v>
      </c>
      <c r="I531" s="29"/>
      <c r="J5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1" s="17"/>
    </row>
    <row r="532" spans="1:11" hidden="1" x14ac:dyDescent="0.2">
      <c r="A532" t="s">
        <v>450</v>
      </c>
      <c r="B532" t="s">
        <v>849</v>
      </c>
      <c r="C532" t="s">
        <v>955</v>
      </c>
      <c r="D532" t="s">
        <v>1194</v>
      </c>
      <c r="E532" t="s">
        <v>955</v>
      </c>
      <c r="G532" s="17" t="str">
        <f t="shared" si="16"/>
        <v>CAWP.BCWPCP</v>
      </c>
      <c r="H532" s="17" t="str">
        <f t="shared" si="17"/>
        <v>PROJECT_CAWP_TOTAL.BCWPCP</v>
      </c>
      <c r="I532" s="29"/>
      <c r="J5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2" s="17"/>
    </row>
    <row r="533" spans="1:11" hidden="1" x14ac:dyDescent="0.2">
      <c r="A533" t="s">
        <v>450</v>
      </c>
      <c r="B533" t="s">
        <v>849</v>
      </c>
      <c r="C533" t="s">
        <v>959</v>
      </c>
      <c r="D533" t="s">
        <v>1194</v>
      </c>
      <c r="E533" t="s">
        <v>959</v>
      </c>
      <c r="G533" s="17" t="str">
        <f t="shared" si="16"/>
        <v>CAWP.BCWSCP</v>
      </c>
      <c r="H533" s="17" t="str">
        <f t="shared" si="17"/>
        <v>PROJECT_CAWP_TOTAL.BCWSCP</v>
      </c>
      <c r="I533" s="29"/>
      <c r="J5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3" s="17"/>
    </row>
    <row r="534" spans="1:11" hidden="1" x14ac:dyDescent="0.2">
      <c r="A534" t="s">
        <v>450</v>
      </c>
      <c r="B534" t="s">
        <v>849</v>
      </c>
      <c r="C534" t="s">
        <v>951</v>
      </c>
      <c r="D534" t="s">
        <v>1194</v>
      </c>
      <c r="E534" t="s">
        <v>951</v>
      </c>
      <c r="G534" s="17" t="str">
        <f t="shared" si="16"/>
        <v>CAWP.ACWPCP_HRS</v>
      </c>
      <c r="H534" s="17" t="str">
        <f t="shared" si="17"/>
        <v>PROJECT_CAWP_TOTAL.ACWPCP_HRS</v>
      </c>
      <c r="I534" s="29"/>
      <c r="J5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4" s="17"/>
    </row>
    <row r="535" spans="1:11" hidden="1" x14ac:dyDescent="0.2">
      <c r="A535" t="s">
        <v>450</v>
      </c>
      <c r="B535" t="s">
        <v>849</v>
      </c>
      <c r="C535" t="s">
        <v>957</v>
      </c>
      <c r="D535" t="s">
        <v>1194</v>
      </c>
      <c r="E535" t="s">
        <v>957</v>
      </c>
      <c r="G535" s="17" t="str">
        <f t="shared" si="16"/>
        <v>CAWP.BCWPCP_HRS</v>
      </c>
      <c r="H535" s="17" t="str">
        <f t="shared" si="17"/>
        <v>PROJECT_CAWP_TOTAL.BCWPCP_HRS</v>
      </c>
      <c r="I535" s="29"/>
      <c r="J5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5" s="17"/>
    </row>
    <row r="536" spans="1:11" hidden="1" x14ac:dyDescent="0.2">
      <c r="A536" t="s">
        <v>450</v>
      </c>
      <c r="B536" t="s">
        <v>849</v>
      </c>
      <c r="C536" t="s">
        <v>961</v>
      </c>
      <c r="D536" t="s">
        <v>1194</v>
      </c>
      <c r="E536" t="s">
        <v>961</v>
      </c>
      <c r="G536" s="17" t="str">
        <f t="shared" si="16"/>
        <v>CAWP.BCWSCP_HRS</v>
      </c>
      <c r="H536" s="17" t="str">
        <f t="shared" si="17"/>
        <v>PROJECT_CAWP_TOTAL.BCWSCP_HRS</v>
      </c>
      <c r="I536" s="29"/>
      <c r="J5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536" s="17"/>
    </row>
    <row r="537" spans="1:11" hidden="1" x14ac:dyDescent="0.2">
      <c r="A537" t="s">
        <v>450</v>
      </c>
      <c r="B537" t="s">
        <v>849</v>
      </c>
      <c r="C537" s="44" t="s">
        <v>744</v>
      </c>
      <c r="D537" s="39" t="s">
        <v>879</v>
      </c>
      <c r="E537" s="39" t="s">
        <v>770</v>
      </c>
      <c r="F537" s="40"/>
      <c r="G537" s="39" t="str">
        <f t="shared" si="16"/>
        <v>CAWP.PROGRAM</v>
      </c>
      <c r="H537" s="39" t="str">
        <f t="shared" si="17"/>
        <v>PROJECT_CAWP.PROJECT_UID</v>
      </c>
      <c r="I537" s="35"/>
      <c r="J537" s="39"/>
      <c r="K537" s="39"/>
    </row>
    <row r="538" spans="1:11" hidden="1" x14ac:dyDescent="0.2">
      <c r="A538" t="s">
        <v>450</v>
      </c>
      <c r="B538" t="s">
        <v>849</v>
      </c>
      <c r="C538" s="45" t="s">
        <v>600</v>
      </c>
      <c r="D538" s="39" t="s">
        <v>879</v>
      </c>
      <c r="E538" s="45" t="s">
        <v>600</v>
      </c>
      <c r="F538" s="40"/>
      <c r="G538" s="39" t="str">
        <f t="shared" si="16"/>
        <v>CAWP.ACWP</v>
      </c>
      <c r="H538" s="39" t="str">
        <f t="shared" si="17"/>
        <v>PROJECT_CAWP.ACWP</v>
      </c>
      <c r="I538" s="35"/>
      <c r="J538" s="39"/>
      <c r="K538" s="39"/>
    </row>
    <row r="539" spans="1:11" hidden="1" x14ac:dyDescent="0.2">
      <c r="A539" t="s">
        <v>450</v>
      </c>
      <c r="B539" t="s">
        <v>849</v>
      </c>
      <c r="C539" s="45" t="s">
        <v>602</v>
      </c>
      <c r="D539" s="39" t="s">
        <v>879</v>
      </c>
      <c r="E539" s="45" t="s">
        <v>602</v>
      </c>
      <c r="F539" s="40"/>
      <c r="G539" s="39" t="str">
        <f t="shared" si="16"/>
        <v>CAWP.ACWP_HRS</v>
      </c>
      <c r="H539" s="39" t="str">
        <f t="shared" si="17"/>
        <v>PROJECT_CAWP.ACWP_HRS</v>
      </c>
      <c r="I539" s="35"/>
      <c r="J539" s="39"/>
      <c r="K539" s="39"/>
    </row>
    <row r="540" spans="1:11" hidden="1" x14ac:dyDescent="0.2">
      <c r="A540" t="s">
        <v>450</v>
      </c>
      <c r="B540" t="s">
        <v>849</v>
      </c>
      <c r="C540" s="45" t="s">
        <v>949</v>
      </c>
      <c r="D540" s="39" t="s">
        <v>879</v>
      </c>
      <c r="E540" s="45" t="s">
        <v>949</v>
      </c>
      <c r="F540" s="40"/>
      <c r="G540" s="39" t="str">
        <f t="shared" si="16"/>
        <v>CAWP.ACWPCP</v>
      </c>
      <c r="H540" s="39" t="str">
        <f t="shared" si="17"/>
        <v>PROJECT_CAWP.ACWPCP</v>
      </c>
      <c r="I540" s="35"/>
      <c r="J540" s="39"/>
      <c r="K540" s="39"/>
    </row>
    <row r="541" spans="1:11" hidden="1" x14ac:dyDescent="0.2">
      <c r="A541" t="s">
        <v>450</v>
      </c>
      <c r="B541" t="s">
        <v>849</v>
      </c>
      <c r="C541" s="45" t="s">
        <v>951</v>
      </c>
      <c r="D541" s="39" t="s">
        <v>879</v>
      </c>
      <c r="E541" s="45" t="s">
        <v>951</v>
      </c>
      <c r="F541" s="40"/>
      <c r="G541" s="39" t="str">
        <f t="shared" si="16"/>
        <v>CAWP.ACWPCP_HRS</v>
      </c>
      <c r="H541" s="39" t="str">
        <f t="shared" si="17"/>
        <v>PROJECT_CAWP.ACWPCP_HRS</v>
      </c>
      <c r="I541" s="35"/>
      <c r="J541" s="39"/>
      <c r="K541" s="39"/>
    </row>
    <row r="542" spans="1:11" hidden="1" x14ac:dyDescent="0.2">
      <c r="A542" t="s">
        <v>450</v>
      </c>
      <c r="B542" t="s">
        <v>849</v>
      </c>
      <c r="C542" s="44" t="s">
        <v>2175</v>
      </c>
      <c r="D542" s="39" t="s">
        <v>879</v>
      </c>
      <c r="E542" s="39" t="s">
        <v>905</v>
      </c>
      <c r="F542" s="40"/>
      <c r="G542" s="39" t="str">
        <f t="shared" si="16"/>
        <v>CAWP.AFD</v>
      </c>
      <c r="H542" s="39" t="str">
        <f t="shared" si="17"/>
        <v>PROJECT_CAWP.ACTUAL_FINISH</v>
      </c>
      <c r="I542" s="35"/>
      <c r="J542" s="39"/>
      <c r="K542" s="39"/>
    </row>
    <row r="543" spans="1:11" hidden="1" x14ac:dyDescent="0.2">
      <c r="A543" t="s">
        <v>450</v>
      </c>
      <c r="B543" t="s">
        <v>849</v>
      </c>
      <c r="C543" s="45" t="s">
        <v>953</v>
      </c>
      <c r="D543" s="39" t="s">
        <v>879</v>
      </c>
      <c r="E543" s="19" t="s">
        <v>1220</v>
      </c>
      <c r="F543" s="40"/>
      <c r="G543" s="39" t="str">
        <f t="shared" si="16"/>
        <v>CAWP.APPLINK</v>
      </c>
      <c r="H543" s="39" t="str">
        <f t="shared" si="17"/>
        <v>PROJECT_CAWP.APPORTIONED_PROJECT_WP_UID</v>
      </c>
      <c r="I543" s="35"/>
      <c r="J543" s="39"/>
      <c r="K543" s="39"/>
    </row>
    <row r="544" spans="1:11" hidden="1" x14ac:dyDescent="0.2">
      <c r="A544" t="s">
        <v>450</v>
      </c>
      <c r="B544" t="s">
        <v>849</v>
      </c>
      <c r="C544" s="46" t="s">
        <v>2176</v>
      </c>
      <c r="D544" s="39" t="s">
        <v>879</v>
      </c>
      <c r="E544" s="39" t="s">
        <v>902</v>
      </c>
      <c r="F544" s="40"/>
      <c r="G544" s="39" t="str">
        <f t="shared" si="16"/>
        <v>CAWP.ASD</v>
      </c>
      <c r="H544" s="39" t="str">
        <f t="shared" si="17"/>
        <v>PROJECT_CAWP.ACTUAL_START</v>
      </c>
      <c r="I544" s="35"/>
      <c r="J544" s="39"/>
      <c r="K544" s="39"/>
    </row>
    <row r="545" spans="1:11" hidden="1" x14ac:dyDescent="0.2">
      <c r="A545" t="s">
        <v>450</v>
      </c>
      <c r="B545" t="s">
        <v>849</v>
      </c>
      <c r="C545" s="45" t="s">
        <v>607</v>
      </c>
      <c r="D545" s="39" t="s">
        <v>879</v>
      </c>
      <c r="E545" s="45" t="s">
        <v>607</v>
      </c>
      <c r="F545" s="40"/>
      <c r="G545" s="39" t="str">
        <f t="shared" si="16"/>
        <v>CAWP.BAC</v>
      </c>
      <c r="H545" s="39" t="str">
        <f t="shared" si="17"/>
        <v>PROJECT_CAWP.BAC</v>
      </c>
      <c r="I545" s="35"/>
      <c r="J545" s="39"/>
      <c r="K545" s="39"/>
    </row>
    <row r="546" spans="1:11" hidden="1" x14ac:dyDescent="0.2">
      <c r="A546" t="s">
        <v>450</v>
      </c>
      <c r="B546" t="s">
        <v>849</v>
      </c>
      <c r="C546" s="45" t="s">
        <v>609</v>
      </c>
      <c r="D546" s="39" t="s">
        <v>879</v>
      </c>
      <c r="E546" s="45" t="s">
        <v>609</v>
      </c>
      <c r="F546" s="40"/>
      <c r="G546" s="39" t="str">
        <f t="shared" si="16"/>
        <v>CAWP.BAC_HRS</v>
      </c>
      <c r="H546" s="39" t="str">
        <f t="shared" si="17"/>
        <v>PROJECT_CAWP.BAC_HRS</v>
      </c>
      <c r="I546" s="35"/>
      <c r="J546" s="39"/>
      <c r="K546" s="39"/>
    </row>
    <row r="547" spans="1:11" hidden="1" x14ac:dyDescent="0.2">
      <c r="A547" t="s">
        <v>450</v>
      </c>
      <c r="B547" t="s">
        <v>849</v>
      </c>
      <c r="C547" s="45" t="s">
        <v>613</v>
      </c>
      <c r="D547" s="39" t="s">
        <v>879</v>
      </c>
      <c r="E547" s="45" t="s">
        <v>613</v>
      </c>
      <c r="F547" s="40"/>
      <c r="G547" s="39" t="str">
        <f t="shared" si="16"/>
        <v>CAWP.BCWP</v>
      </c>
      <c r="H547" s="39" t="str">
        <f t="shared" si="17"/>
        <v>PROJECT_CAWP.BCWP</v>
      </c>
      <c r="I547" s="35"/>
      <c r="J547" s="39"/>
      <c r="K547" s="39"/>
    </row>
    <row r="548" spans="1:11" hidden="1" x14ac:dyDescent="0.2">
      <c r="A548" t="s">
        <v>450</v>
      </c>
      <c r="B548" t="s">
        <v>849</v>
      </c>
      <c r="C548" s="45" t="s">
        <v>615</v>
      </c>
      <c r="D548" s="39" t="s">
        <v>879</v>
      </c>
      <c r="E548" s="45" t="s">
        <v>615</v>
      </c>
      <c r="F548" s="40"/>
      <c r="G548" s="39" t="str">
        <f t="shared" si="16"/>
        <v>CAWP.BCWP_HRS</v>
      </c>
      <c r="H548" s="39" t="str">
        <f t="shared" si="17"/>
        <v>PROJECT_CAWP.BCWP_HRS</v>
      </c>
      <c r="I548" s="35"/>
      <c r="J548" s="39"/>
      <c r="K548" s="39"/>
    </row>
    <row r="549" spans="1:11" hidden="1" x14ac:dyDescent="0.2">
      <c r="A549" t="s">
        <v>450</v>
      </c>
      <c r="B549" t="s">
        <v>849</v>
      </c>
      <c r="C549" s="45" t="s">
        <v>955</v>
      </c>
      <c r="D549" s="39" t="s">
        <v>879</v>
      </c>
      <c r="E549" s="45" t="s">
        <v>955</v>
      </c>
      <c r="F549" s="40"/>
      <c r="G549" s="39" t="str">
        <f t="shared" si="16"/>
        <v>CAWP.BCWPCP</v>
      </c>
      <c r="H549" s="39" t="str">
        <f t="shared" si="17"/>
        <v>PROJECT_CAWP.BCWPCP</v>
      </c>
      <c r="I549" s="35"/>
      <c r="J549" s="39"/>
      <c r="K549" s="39"/>
    </row>
    <row r="550" spans="1:11" hidden="1" x14ac:dyDescent="0.2">
      <c r="A550" t="s">
        <v>450</v>
      </c>
      <c r="B550" t="s">
        <v>849</v>
      </c>
      <c r="C550" s="45" t="s">
        <v>957</v>
      </c>
      <c r="D550" s="39" t="s">
        <v>879</v>
      </c>
      <c r="E550" s="45" t="s">
        <v>957</v>
      </c>
      <c r="F550" s="40"/>
      <c r="G550" s="39" t="str">
        <f t="shared" si="16"/>
        <v>CAWP.BCWPCP_HRS</v>
      </c>
      <c r="H550" s="39" t="str">
        <f t="shared" si="17"/>
        <v>PROJECT_CAWP.BCWPCP_HRS</v>
      </c>
      <c r="I550" s="35"/>
      <c r="J550" s="39"/>
      <c r="K550" s="39"/>
    </row>
    <row r="551" spans="1:11" hidden="1" x14ac:dyDescent="0.2">
      <c r="A551" t="s">
        <v>450</v>
      </c>
      <c r="B551" t="s">
        <v>849</v>
      </c>
      <c r="C551" s="45" t="s">
        <v>617</v>
      </c>
      <c r="D551" s="39" t="s">
        <v>879</v>
      </c>
      <c r="E551" s="45" t="s">
        <v>617</v>
      </c>
      <c r="F551" s="40"/>
      <c r="G551" s="39" t="str">
        <f t="shared" si="16"/>
        <v>CAWP.BCWS</v>
      </c>
      <c r="H551" s="39" t="str">
        <f t="shared" si="17"/>
        <v>PROJECT_CAWP.BCWS</v>
      </c>
      <c r="I551" s="35"/>
      <c r="J551" s="39"/>
      <c r="K551" s="39"/>
    </row>
    <row r="552" spans="1:11" hidden="1" x14ac:dyDescent="0.2">
      <c r="A552" t="s">
        <v>450</v>
      </c>
      <c r="B552" t="s">
        <v>849</v>
      </c>
      <c r="C552" s="45" t="s">
        <v>619</v>
      </c>
      <c r="D552" s="39" t="s">
        <v>879</v>
      </c>
      <c r="E552" s="45" t="s">
        <v>619</v>
      </c>
      <c r="F552" s="40"/>
      <c r="G552" s="39" t="str">
        <f t="shared" si="16"/>
        <v>CAWP.BCWS_HRS</v>
      </c>
      <c r="H552" s="39" t="str">
        <f t="shared" si="17"/>
        <v>PROJECT_CAWP.BCWS_HRS</v>
      </c>
      <c r="I552" s="35"/>
      <c r="J552" s="39"/>
      <c r="K552" s="39"/>
    </row>
    <row r="553" spans="1:11" hidden="1" x14ac:dyDescent="0.2">
      <c r="A553" t="s">
        <v>450</v>
      </c>
      <c r="B553" t="s">
        <v>849</v>
      </c>
      <c r="C553" s="45" t="s">
        <v>959</v>
      </c>
      <c r="D553" s="39" t="s">
        <v>879</v>
      </c>
      <c r="E553" s="45" t="s">
        <v>959</v>
      </c>
      <c r="F553" s="40"/>
      <c r="G553" s="39" t="str">
        <f t="shared" si="16"/>
        <v>CAWP.BCWSCP</v>
      </c>
      <c r="H553" s="39" t="str">
        <f t="shared" si="17"/>
        <v>PROJECT_CAWP.BCWSCP</v>
      </c>
      <c r="I553" s="35"/>
      <c r="J553" s="39"/>
      <c r="K553" s="39"/>
    </row>
    <row r="554" spans="1:11" hidden="1" x14ac:dyDescent="0.2">
      <c r="A554" t="s">
        <v>450</v>
      </c>
      <c r="B554" t="s">
        <v>849</v>
      </c>
      <c r="C554" s="45" t="s">
        <v>961</v>
      </c>
      <c r="D554" s="39" t="s">
        <v>879</v>
      </c>
      <c r="E554" s="45" t="s">
        <v>961</v>
      </c>
      <c r="F554" s="40"/>
      <c r="G554" s="39" t="str">
        <f t="shared" si="16"/>
        <v>CAWP.BCWSCP_HRS</v>
      </c>
      <c r="H554" s="39" t="str">
        <f t="shared" si="17"/>
        <v>PROJECT_CAWP.BCWSCP_HRS</v>
      </c>
      <c r="I554" s="35"/>
      <c r="J554" s="39"/>
      <c r="K554" s="39"/>
    </row>
    <row r="555" spans="1:11" hidden="1" x14ac:dyDescent="0.2">
      <c r="A555" t="s">
        <v>450</v>
      </c>
      <c r="B555" t="s">
        <v>849</v>
      </c>
      <c r="C555" s="45" t="s">
        <v>963</v>
      </c>
      <c r="D555" s="39" t="s">
        <v>879</v>
      </c>
      <c r="E555" s="45" t="s">
        <v>963</v>
      </c>
      <c r="F555" s="40"/>
      <c r="G555" s="39" t="str">
        <f t="shared" si="16"/>
        <v>CAWP.C1</v>
      </c>
      <c r="H555" s="39" t="str">
        <f t="shared" si="17"/>
        <v>PROJECT_CAWP.C1</v>
      </c>
      <c r="I555" s="35"/>
      <c r="J555" s="39"/>
      <c r="K555" s="39"/>
    </row>
    <row r="556" spans="1:11" hidden="1" x14ac:dyDescent="0.2">
      <c r="A556" t="s">
        <v>450</v>
      </c>
      <c r="B556" t="s">
        <v>849</v>
      </c>
      <c r="C556" s="45" t="s">
        <v>965</v>
      </c>
      <c r="D556" s="39" t="s">
        <v>879</v>
      </c>
      <c r="E556" s="45" t="s">
        <v>965</v>
      </c>
      <c r="F556" s="40"/>
      <c r="G556" s="39" t="str">
        <f t="shared" si="16"/>
        <v>CAWP.C10</v>
      </c>
      <c r="H556" s="39" t="str">
        <f t="shared" si="17"/>
        <v>PROJECT_CAWP.C10</v>
      </c>
      <c r="I556" s="35"/>
      <c r="J556" s="39"/>
      <c r="K556" s="39"/>
    </row>
    <row r="557" spans="1:11" hidden="1" x14ac:dyDescent="0.2">
      <c r="A557" t="s">
        <v>450</v>
      </c>
      <c r="B557" t="s">
        <v>849</v>
      </c>
      <c r="C557" s="45" t="s">
        <v>967</v>
      </c>
      <c r="D557" s="39" t="s">
        <v>879</v>
      </c>
      <c r="E557" s="45" t="s">
        <v>967</v>
      </c>
      <c r="F557" s="40"/>
      <c r="G557" s="39" t="str">
        <f t="shared" si="16"/>
        <v>CAWP.C11</v>
      </c>
      <c r="H557" s="39" t="str">
        <f t="shared" si="17"/>
        <v>PROJECT_CAWP.C11</v>
      </c>
      <c r="I557" s="35"/>
      <c r="J557" s="39"/>
      <c r="K557" s="39"/>
    </row>
    <row r="558" spans="1:11" hidden="1" x14ac:dyDescent="0.2">
      <c r="A558" t="s">
        <v>450</v>
      </c>
      <c r="B558" t="s">
        <v>849</v>
      </c>
      <c r="C558" s="45" t="s">
        <v>969</v>
      </c>
      <c r="D558" s="39" t="s">
        <v>879</v>
      </c>
      <c r="E558" s="45" t="s">
        <v>969</v>
      </c>
      <c r="F558" s="40"/>
      <c r="G558" s="39" t="str">
        <f t="shared" si="16"/>
        <v>CAWP.C12</v>
      </c>
      <c r="H558" s="39" t="str">
        <f t="shared" si="17"/>
        <v>PROJECT_CAWP.C12</v>
      </c>
      <c r="I558" s="35"/>
      <c r="J558" s="39"/>
      <c r="K558" s="39"/>
    </row>
    <row r="559" spans="1:11" hidden="1" x14ac:dyDescent="0.2">
      <c r="A559" t="s">
        <v>450</v>
      </c>
      <c r="B559" t="s">
        <v>849</v>
      </c>
      <c r="C559" s="45" t="s">
        <v>971</v>
      </c>
      <c r="D559" s="39" t="s">
        <v>879</v>
      </c>
      <c r="E559" s="45" t="s">
        <v>971</v>
      </c>
      <c r="F559" s="40"/>
      <c r="G559" s="39" t="str">
        <f t="shared" si="16"/>
        <v>CAWP.C13</v>
      </c>
      <c r="H559" s="39" t="str">
        <f t="shared" si="17"/>
        <v>PROJECT_CAWP.C13</v>
      </c>
      <c r="I559" s="35"/>
      <c r="J559" s="39"/>
      <c r="K559" s="39"/>
    </row>
    <row r="560" spans="1:11" hidden="1" x14ac:dyDescent="0.2">
      <c r="A560" t="s">
        <v>450</v>
      </c>
      <c r="B560" t="s">
        <v>849</v>
      </c>
      <c r="C560" s="45" t="s">
        <v>973</v>
      </c>
      <c r="D560" s="39" t="s">
        <v>879</v>
      </c>
      <c r="E560" s="45" t="s">
        <v>973</v>
      </c>
      <c r="F560" s="40"/>
      <c r="G560" s="39" t="str">
        <f t="shared" si="16"/>
        <v>CAWP.C14</v>
      </c>
      <c r="H560" s="39" t="str">
        <f t="shared" si="17"/>
        <v>PROJECT_CAWP.C14</v>
      </c>
      <c r="I560" s="35"/>
      <c r="J560" s="39"/>
      <c r="K560" s="39"/>
    </row>
    <row r="561" spans="1:11" hidden="1" x14ac:dyDescent="0.2">
      <c r="A561" t="s">
        <v>450</v>
      </c>
      <c r="B561" t="s">
        <v>849</v>
      </c>
      <c r="C561" s="45" t="s">
        <v>975</v>
      </c>
      <c r="D561" s="39" t="s">
        <v>879</v>
      </c>
      <c r="E561" s="45" t="s">
        <v>975</v>
      </c>
      <c r="F561" s="40"/>
      <c r="G561" s="39" t="str">
        <f t="shared" si="16"/>
        <v>CAWP.C15</v>
      </c>
      <c r="H561" s="39" t="str">
        <f t="shared" si="17"/>
        <v>PROJECT_CAWP.C15</v>
      </c>
      <c r="I561" s="35"/>
      <c r="J561" s="39"/>
      <c r="K561" s="39"/>
    </row>
    <row r="562" spans="1:11" hidden="1" x14ac:dyDescent="0.2">
      <c r="A562" t="s">
        <v>450</v>
      </c>
      <c r="B562" t="s">
        <v>849</v>
      </c>
      <c r="C562" s="45" t="s">
        <v>977</v>
      </c>
      <c r="D562" s="39" t="s">
        <v>879</v>
      </c>
      <c r="E562" s="45" t="s">
        <v>977</v>
      </c>
      <c r="F562" s="40"/>
      <c r="G562" s="39" t="str">
        <f t="shared" si="16"/>
        <v>CAWP.C16</v>
      </c>
      <c r="H562" s="39" t="str">
        <f t="shared" si="17"/>
        <v>PROJECT_CAWP.C16</v>
      </c>
      <c r="I562" s="35"/>
      <c r="J562" s="39"/>
      <c r="K562" s="39"/>
    </row>
    <row r="563" spans="1:11" hidden="1" x14ac:dyDescent="0.2">
      <c r="A563" t="s">
        <v>450</v>
      </c>
      <c r="B563" t="s">
        <v>849</v>
      </c>
      <c r="C563" s="45" t="s">
        <v>979</v>
      </c>
      <c r="D563" s="39" t="s">
        <v>879</v>
      </c>
      <c r="E563" s="45" t="s">
        <v>979</v>
      </c>
      <c r="F563" s="40"/>
      <c r="G563" s="39" t="str">
        <f t="shared" si="16"/>
        <v>CAWP.C17</v>
      </c>
      <c r="H563" s="39" t="str">
        <f t="shared" si="17"/>
        <v>PROJECT_CAWP.C17</v>
      </c>
      <c r="I563" s="35"/>
      <c r="J563" s="39"/>
      <c r="K563" s="39"/>
    </row>
    <row r="564" spans="1:11" hidden="1" x14ac:dyDescent="0.2">
      <c r="A564" t="s">
        <v>450</v>
      </c>
      <c r="B564" t="s">
        <v>849</v>
      </c>
      <c r="C564" s="45" t="s">
        <v>981</v>
      </c>
      <c r="D564" s="39" t="s">
        <v>879</v>
      </c>
      <c r="E564" s="45" t="s">
        <v>981</v>
      </c>
      <c r="F564" s="40"/>
      <c r="G564" s="39" t="str">
        <f t="shared" si="16"/>
        <v>CAWP.C18</v>
      </c>
      <c r="H564" s="39" t="str">
        <f t="shared" si="17"/>
        <v>PROJECT_CAWP.C18</v>
      </c>
      <c r="I564" s="35"/>
      <c r="J564" s="39"/>
      <c r="K564" s="39"/>
    </row>
    <row r="565" spans="1:11" hidden="1" x14ac:dyDescent="0.2">
      <c r="A565" t="s">
        <v>450</v>
      </c>
      <c r="B565" t="s">
        <v>849</v>
      </c>
      <c r="C565" s="45" t="s">
        <v>983</v>
      </c>
      <c r="D565" s="39" t="s">
        <v>879</v>
      </c>
      <c r="E565" s="45" t="s">
        <v>983</v>
      </c>
      <c r="F565" s="40"/>
      <c r="G565" s="39" t="str">
        <f t="shared" si="16"/>
        <v>CAWP.C19</v>
      </c>
      <c r="H565" s="39" t="str">
        <f t="shared" si="17"/>
        <v>PROJECT_CAWP.C19</v>
      </c>
      <c r="I565" s="35"/>
      <c r="J565" s="39"/>
      <c r="K565" s="39"/>
    </row>
    <row r="566" spans="1:11" hidden="1" x14ac:dyDescent="0.2">
      <c r="A566" t="s">
        <v>450</v>
      </c>
      <c r="B566" t="s">
        <v>849</v>
      </c>
      <c r="C566" s="45" t="s">
        <v>985</v>
      </c>
      <c r="D566" s="39" t="s">
        <v>879</v>
      </c>
      <c r="E566" s="45" t="s">
        <v>985</v>
      </c>
      <c r="F566" s="40"/>
      <c r="G566" s="39" t="str">
        <f t="shared" si="16"/>
        <v>CAWP.C2</v>
      </c>
      <c r="H566" s="39" t="str">
        <f t="shared" si="17"/>
        <v>PROJECT_CAWP.C2</v>
      </c>
      <c r="I566" s="35"/>
      <c r="J566" s="39"/>
      <c r="K566" s="39"/>
    </row>
    <row r="567" spans="1:11" hidden="1" x14ac:dyDescent="0.2">
      <c r="A567" t="s">
        <v>450</v>
      </c>
      <c r="B567" t="s">
        <v>849</v>
      </c>
      <c r="C567" s="45" t="s">
        <v>987</v>
      </c>
      <c r="D567" s="39" t="s">
        <v>879</v>
      </c>
      <c r="E567" s="45" t="s">
        <v>987</v>
      </c>
      <c r="F567" s="40"/>
      <c r="G567" s="39" t="str">
        <f t="shared" si="16"/>
        <v>CAWP.C20</v>
      </c>
      <c r="H567" s="39" t="str">
        <f t="shared" si="17"/>
        <v>PROJECT_CAWP.C20</v>
      </c>
      <c r="I567" s="35"/>
      <c r="J567" s="39"/>
      <c r="K567" s="39"/>
    </row>
    <row r="568" spans="1:11" hidden="1" x14ac:dyDescent="0.2">
      <c r="A568" t="s">
        <v>450</v>
      </c>
      <c r="B568" t="s">
        <v>849</v>
      </c>
      <c r="C568" s="45" t="s">
        <v>989</v>
      </c>
      <c r="D568" s="39" t="s">
        <v>879</v>
      </c>
      <c r="E568" s="45" t="s">
        <v>989</v>
      </c>
      <c r="F568" s="40"/>
      <c r="G568" s="39" t="str">
        <f t="shared" si="16"/>
        <v>CAWP.C3</v>
      </c>
      <c r="H568" s="39" t="str">
        <f t="shared" si="17"/>
        <v>PROJECT_CAWP.C3</v>
      </c>
      <c r="I568" s="35"/>
      <c r="J568" s="39"/>
      <c r="K568" s="39"/>
    </row>
    <row r="569" spans="1:11" hidden="1" x14ac:dyDescent="0.2">
      <c r="A569" t="s">
        <v>450</v>
      </c>
      <c r="B569" t="s">
        <v>849</v>
      </c>
      <c r="C569" s="45" t="s">
        <v>991</v>
      </c>
      <c r="D569" s="39" t="s">
        <v>879</v>
      </c>
      <c r="E569" s="45" t="s">
        <v>991</v>
      </c>
      <c r="F569" s="40"/>
      <c r="G569" s="39" t="str">
        <f t="shared" si="16"/>
        <v>CAWP.C4</v>
      </c>
      <c r="H569" s="39" t="str">
        <f t="shared" si="17"/>
        <v>PROJECT_CAWP.C4</v>
      </c>
      <c r="I569" s="35"/>
      <c r="J569" s="39"/>
      <c r="K569" s="39"/>
    </row>
    <row r="570" spans="1:11" hidden="1" x14ac:dyDescent="0.2">
      <c r="A570" t="s">
        <v>450</v>
      </c>
      <c r="B570" t="s">
        <v>849</v>
      </c>
      <c r="C570" s="45" t="s">
        <v>993</v>
      </c>
      <c r="D570" s="39" t="s">
        <v>879</v>
      </c>
      <c r="E570" s="45" t="s">
        <v>993</v>
      </c>
      <c r="F570" s="40"/>
      <c r="G570" s="39" t="str">
        <f t="shared" si="16"/>
        <v>CAWP.C5</v>
      </c>
      <c r="H570" s="39" t="str">
        <f t="shared" si="17"/>
        <v>PROJECT_CAWP.C5</v>
      </c>
      <c r="I570" s="35"/>
      <c r="J570" s="39"/>
      <c r="K570" s="39"/>
    </row>
    <row r="571" spans="1:11" hidden="1" x14ac:dyDescent="0.2">
      <c r="A571" t="s">
        <v>450</v>
      </c>
      <c r="B571" t="s">
        <v>849</v>
      </c>
      <c r="C571" s="45" t="s">
        <v>995</v>
      </c>
      <c r="D571" s="39" t="s">
        <v>879</v>
      </c>
      <c r="E571" s="45" t="s">
        <v>995</v>
      </c>
      <c r="F571" s="40"/>
      <c r="G571" s="39" t="str">
        <f t="shared" si="16"/>
        <v>CAWP.C6</v>
      </c>
      <c r="H571" s="39" t="str">
        <f t="shared" si="17"/>
        <v>PROJECT_CAWP.C6</v>
      </c>
      <c r="I571" s="35"/>
      <c r="J571" s="39"/>
      <c r="K571" s="39"/>
    </row>
    <row r="572" spans="1:11" hidden="1" x14ac:dyDescent="0.2">
      <c r="A572" t="s">
        <v>450</v>
      </c>
      <c r="B572" t="s">
        <v>849</v>
      </c>
      <c r="C572" s="45" t="s">
        <v>997</v>
      </c>
      <c r="D572" s="39" t="s">
        <v>879</v>
      </c>
      <c r="E572" s="45" t="s">
        <v>997</v>
      </c>
      <c r="F572" s="40"/>
      <c r="G572" s="39" t="str">
        <f t="shared" si="16"/>
        <v>CAWP.C7</v>
      </c>
      <c r="H572" s="39" t="str">
        <f t="shared" si="17"/>
        <v>PROJECT_CAWP.C7</v>
      </c>
      <c r="I572" s="35"/>
      <c r="J572" s="39"/>
      <c r="K572" s="39"/>
    </row>
    <row r="573" spans="1:11" hidden="1" x14ac:dyDescent="0.2">
      <c r="A573" t="s">
        <v>450</v>
      </c>
      <c r="B573" t="s">
        <v>849</v>
      </c>
      <c r="C573" s="45" t="s">
        <v>999</v>
      </c>
      <c r="D573" s="39" t="s">
        <v>879</v>
      </c>
      <c r="E573" s="45" t="s">
        <v>999</v>
      </c>
      <c r="F573" s="40"/>
      <c r="G573" s="39" t="str">
        <f t="shared" si="16"/>
        <v>CAWP.C8</v>
      </c>
      <c r="H573" s="39" t="str">
        <f t="shared" si="17"/>
        <v>PROJECT_CAWP.C8</v>
      </c>
      <c r="I573" s="35"/>
      <c r="J573" s="39"/>
      <c r="K573" s="39"/>
    </row>
    <row r="574" spans="1:11" hidden="1" x14ac:dyDescent="0.2">
      <c r="A574" t="s">
        <v>450</v>
      </c>
      <c r="B574" t="s">
        <v>849</v>
      </c>
      <c r="C574" s="45" t="s">
        <v>1001</v>
      </c>
      <c r="D574" s="39" t="s">
        <v>879</v>
      </c>
      <c r="E574" s="45" t="s">
        <v>1001</v>
      </c>
      <c r="F574" s="40"/>
      <c r="G574" s="39" t="str">
        <f t="shared" si="16"/>
        <v>CAWP.C9</v>
      </c>
      <c r="H574" s="39" t="str">
        <f t="shared" si="17"/>
        <v>PROJECT_CAWP.C9</v>
      </c>
      <c r="I574" s="35"/>
      <c r="J574" s="39"/>
      <c r="K574" s="39"/>
    </row>
    <row r="575" spans="1:11" hidden="1" x14ac:dyDescent="0.2">
      <c r="A575" t="s">
        <v>450</v>
      </c>
      <c r="B575" t="s">
        <v>849</v>
      </c>
      <c r="C575" s="45" t="s">
        <v>1003</v>
      </c>
      <c r="D575" s="39" t="s">
        <v>879</v>
      </c>
      <c r="E575" s="45" t="s">
        <v>1003</v>
      </c>
      <c r="F575" s="40"/>
      <c r="G575" s="39" t="str">
        <f t="shared" si="16"/>
        <v>CAWP.CA1</v>
      </c>
      <c r="H575" s="39" t="str">
        <f t="shared" si="17"/>
        <v>PROJECT_CAWP.CA1</v>
      </c>
      <c r="I575" s="35"/>
      <c r="J575" s="39"/>
      <c r="K575" s="39"/>
    </row>
    <row r="576" spans="1:11" hidden="1" x14ac:dyDescent="0.2">
      <c r="A576" t="s">
        <v>450</v>
      </c>
      <c r="B576" t="s">
        <v>849</v>
      </c>
      <c r="C576" s="45" t="s">
        <v>1005</v>
      </c>
      <c r="D576" s="39" t="s">
        <v>879</v>
      </c>
      <c r="E576" s="45" t="s">
        <v>1005</v>
      </c>
      <c r="F576" s="40"/>
      <c r="G576" s="39" t="str">
        <f t="shared" si="16"/>
        <v>CAWP.CA2</v>
      </c>
      <c r="H576" s="39" t="str">
        <f t="shared" si="17"/>
        <v>PROJECT_CAWP.CA2</v>
      </c>
      <c r="I576" s="35"/>
      <c r="J576" s="39"/>
      <c r="K576" s="39"/>
    </row>
    <row r="577" spans="1:11" hidden="1" x14ac:dyDescent="0.2">
      <c r="A577" t="s">
        <v>450</v>
      </c>
      <c r="B577" t="s">
        <v>849</v>
      </c>
      <c r="C577" s="45" t="s">
        <v>1007</v>
      </c>
      <c r="D577" s="39" t="s">
        <v>879</v>
      </c>
      <c r="E577" s="45" t="s">
        <v>1007</v>
      </c>
      <c r="F577" s="40"/>
      <c r="G577" s="39" t="str">
        <f t="shared" si="16"/>
        <v>CAWP.CA3</v>
      </c>
      <c r="H577" s="39" t="str">
        <f t="shared" si="17"/>
        <v>PROJECT_CAWP.CA3</v>
      </c>
      <c r="I577" s="35"/>
      <c r="J577" s="39"/>
      <c r="K577" s="39"/>
    </row>
    <row r="578" spans="1:11" hidden="1" x14ac:dyDescent="0.2">
      <c r="A578" t="s">
        <v>450</v>
      </c>
      <c r="B578" t="s">
        <v>849</v>
      </c>
      <c r="C578" s="46" t="s">
        <v>1009</v>
      </c>
      <c r="D578" s="39" t="s">
        <v>879</v>
      </c>
      <c r="E578" s="39" t="s">
        <v>2472</v>
      </c>
      <c r="F578" s="40"/>
      <c r="G578" s="39" t="str">
        <f t="shared" si="16"/>
        <v>CAWP.CAWPID</v>
      </c>
      <c r="H578" s="39" t="str">
        <f t="shared" si="17"/>
        <v>PROJECT_CAWP.ROWUID</v>
      </c>
      <c r="I578" s="35"/>
      <c r="J578" s="39"/>
      <c r="K578" s="39"/>
    </row>
    <row r="579" spans="1:11" hidden="1" x14ac:dyDescent="0.2">
      <c r="A579" t="s">
        <v>450</v>
      </c>
      <c r="B579" t="s">
        <v>849</v>
      </c>
      <c r="C579" s="45" t="s">
        <v>1011</v>
      </c>
      <c r="D579" s="39" t="s">
        <v>879</v>
      </c>
      <c r="E579" s="45" t="s">
        <v>1011</v>
      </c>
      <c r="F579" s="40"/>
      <c r="G579" s="39" t="str">
        <f t="shared" si="16"/>
        <v>CAWP.CL_BATCH</v>
      </c>
      <c r="H579" s="39" t="str">
        <f t="shared" si="17"/>
        <v>PROJECT_CAWP.CL_BATCH</v>
      </c>
      <c r="I579" s="35"/>
      <c r="J579" s="39"/>
      <c r="K579" s="39"/>
    </row>
    <row r="580" spans="1:11" hidden="1" x14ac:dyDescent="0.2">
      <c r="A580" t="s">
        <v>450</v>
      </c>
      <c r="B580" t="s">
        <v>849</v>
      </c>
      <c r="C580" s="44" t="s">
        <v>2141</v>
      </c>
      <c r="D580" s="39" t="s">
        <v>879</v>
      </c>
      <c r="E580" s="44" t="s">
        <v>15</v>
      </c>
      <c r="F580" s="40"/>
      <c r="G580" s="39" t="str">
        <f t="shared" si="16"/>
        <v>CAWP.DESCRIP</v>
      </c>
      <c r="H580" s="39" t="str">
        <f t="shared" si="17"/>
        <v>PROJECT_CAWP.DESCRIPTION</v>
      </c>
      <c r="I580" s="35"/>
      <c r="J580" s="39"/>
      <c r="K580" s="39"/>
    </row>
    <row r="581" spans="1:11" hidden="1" x14ac:dyDescent="0.2">
      <c r="A581" t="s">
        <v>450</v>
      </c>
      <c r="B581" t="s">
        <v>849</v>
      </c>
      <c r="C581" s="45" t="s">
        <v>690</v>
      </c>
      <c r="D581" s="39" t="s">
        <v>879</v>
      </c>
      <c r="E581" s="45" t="s">
        <v>690</v>
      </c>
      <c r="F581" s="40"/>
      <c r="G581" s="39" t="str">
        <f t="shared" si="16"/>
        <v>CAWP.EAC</v>
      </c>
      <c r="H581" s="39" t="str">
        <f t="shared" si="17"/>
        <v>PROJECT_CAWP.EAC</v>
      </c>
      <c r="I581" s="35"/>
      <c r="J581" s="39"/>
      <c r="K581" s="39"/>
    </row>
    <row r="582" spans="1:11" hidden="1" x14ac:dyDescent="0.2">
      <c r="A582" t="s">
        <v>450</v>
      </c>
      <c r="B582" t="s">
        <v>849</v>
      </c>
      <c r="C582" s="45" t="s">
        <v>692</v>
      </c>
      <c r="D582" s="39" t="s">
        <v>879</v>
      </c>
      <c r="E582" s="45" t="s">
        <v>692</v>
      </c>
      <c r="F582" s="40"/>
      <c r="G582" s="39" t="str">
        <f t="shared" si="16"/>
        <v>CAWP.EAC_HRS</v>
      </c>
      <c r="H582" s="39" t="str">
        <f t="shared" si="17"/>
        <v>PROJECT_CAWP.EAC_HRS</v>
      </c>
      <c r="I582" s="35"/>
      <c r="J582" s="39"/>
      <c r="K582" s="39"/>
    </row>
    <row r="583" spans="1:11" hidden="1" x14ac:dyDescent="0.2">
      <c r="A583" t="s">
        <v>450</v>
      </c>
      <c r="B583" t="s">
        <v>849</v>
      </c>
      <c r="C583" s="45" t="s">
        <v>1013</v>
      </c>
      <c r="D583" s="39" t="s">
        <v>879</v>
      </c>
      <c r="E583" s="45" t="s">
        <v>1013</v>
      </c>
      <c r="F583" s="40"/>
      <c r="G583" s="39" t="str">
        <f t="shared" ref="G583:G646" si="18">_xlfn.CONCAT(B583,".",C583)</f>
        <v>CAWP.EAC_NONLAB</v>
      </c>
      <c r="H583" s="39" t="str">
        <f t="shared" ref="H583:H646" si="19">_xlfn.CONCAT(D583,".",E583)</f>
        <v>PROJECT_CAWP.EAC_NONLAB</v>
      </c>
      <c r="I583" s="35"/>
      <c r="J583" s="39"/>
      <c r="K583" s="39"/>
    </row>
    <row r="584" spans="1:11" hidden="1" x14ac:dyDescent="0.2">
      <c r="A584" t="s">
        <v>450</v>
      </c>
      <c r="B584" t="s">
        <v>849</v>
      </c>
      <c r="C584" s="44" t="s">
        <v>2177</v>
      </c>
      <c r="D584" s="39" t="s">
        <v>879</v>
      </c>
      <c r="E584" s="39" t="s">
        <v>911</v>
      </c>
      <c r="F584" s="40"/>
      <c r="G584" s="39" t="str">
        <f t="shared" si="18"/>
        <v>CAWP.EFD</v>
      </c>
      <c r="H584" s="39" t="str">
        <f t="shared" si="19"/>
        <v>PROJECT_CAWP.EARLY_FINISH</v>
      </c>
      <c r="I584" s="35"/>
      <c r="J584" s="39"/>
      <c r="K584" s="39"/>
    </row>
    <row r="585" spans="1:11" hidden="1" x14ac:dyDescent="0.2">
      <c r="A585" t="s">
        <v>450</v>
      </c>
      <c r="B585" t="s">
        <v>849</v>
      </c>
      <c r="C585" s="45" t="s">
        <v>1015</v>
      </c>
      <c r="D585" s="39" t="s">
        <v>879</v>
      </c>
      <c r="E585" s="39" t="s">
        <v>1015</v>
      </c>
      <c r="F585" s="40"/>
      <c r="G585" s="39" t="str">
        <f t="shared" si="18"/>
        <v>CAWP.EOC</v>
      </c>
      <c r="H585" s="39" t="str">
        <f t="shared" si="19"/>
        <v>PROJECT_CAWP.EOC</v>
      </c>
      <c r="I585" s="35"/>
      <c r="J585" s="39"/>
      <c r="K585" s="39"/>
    </row>
    <row r="586" spans="1:11" hidden="1" x14ac:dyDescent="0.2">
      <c r="A586" t="s">
        <v>450</v>
      </c>
      <c r="B586" t="s">
        <v>849</v>
      </c>
      <c r="C586" s="46" t="s">
        <v>2178</v>
      </c>
      <c r="D586" s="39" t="s">
        <v>879</v>
      </c>
      <c r="E586" s="39" t="s">
        <v>908</v>
      </c>
      <c r="F586" s="40"/>
      <c r="G586" s="39" t="str">
        <f t="shared" si="18"/>
        <v>CAWP.ESD</v>
      </c>
      <c r="H586" s="39" t="str">
        <f t="shared" si="19"/>
        <v>PROJECT_CAWP.EARLY_START</v>
      </c>
      <c r="I586" s="35"/>
      <c r="J586" s="39"/>
      <c r="K586" s="39"/>
    </row>
    <row r="587" spans="1:11" hidden="1" x14ac:dyDescent="0.2">
      <c r="A587" t="s">
        <v>450</v>
      </c>
      <c r="B587" t="s">
        <v>849</v>
      </c>
      <c r="C587" s="45" t="s">
        <v>443</v>
      </c>
      <c r="D587" s="39" t="s">
        <v>879</v>
      </c>
      <c r="E587" s="45" t="s">
        <v>443</v>
      </c>
      <c r="F587" s="40"/>
      <c r="G587" s="39" t="str">
        <f t="shared" si="18"/>
        <v>CAWP.FLAG</v>
      </c>
      <c r="H587" s="39" t="str">
        <f t="shared" si="19"/>
        <v>PROJECT_CAWP.FLAG</v>
      </c>
      <c r="I587" s="35"/>
      <c r="J587" s="39"/>
      <c r="K587" s="39"/>
    </row>
    <row r="588" spans="1:11" hidden="1" x14ac:dyDescent="0.2">
      <c r="A588" t="s">
        <v>450</v>
      </c>
      <c r="B588" t="s">
        <v>849</v>
      </c>
      <c r="C588" s="46" t="s">
        <v>2111</v>
      </c>
      <c r="D588" s="39" t="s">
        <v>879</v>
      </c>
      <c r="E588" s="39" t="s">
        <v>71</v>
      </c>
      <c r="F588" s="40"/>
      <c r="G588" s="39" t="str">
        <f t="shared" si="18"/>
        <v>CAWP.LASTUPDATE</v>
      </c>
      <c r="H588" s="39" t="str">
        <f t="shared" si="19"/>
        <v>PROJECT_CAWP.LAST_MODIFIED_DATE</v>
      </c>
      <c r="I588" s="35"/>
      <c r="J588" s="39"/>
      <c r="K588" s="39"/>
    </row>
    <row r="589" spans="1:11" hidden="1" x14ac:dyDescent="0.2">
      <c r="A589" t="s">
        <v>450</v>
      </c>
      <c r="B589" t="s">
        <v>849</v>
      </c>
      <c r="C589" s="44" t="s">
        <v>2179</v>
      </c>
      <c r="D589" s="39" t="s">
        <v>879</v>
      </c>
      <c r="E589" s="39" t="s">
        <v>917</v>
      </c>
      <c r="F589" s="40"/>
      <c r="G589" s="39" t="str">
        <f t="shared" si="18"/>
        <v>CAWP.LFD</v>
      </c>
      <c r="H589" s="39" t="str">
        <f t="shared" si="19"/>
        <v>PROJECT_CAWP.LATE_FINISH</v>
      </c>
      <c r="I589" s="35"/>
      <c r="J589" s="39"/>
      <c r="K589" s="39"/>
    </row>
    <row r="590" spans="1:11" hidden="1" x14ac:dyDescent="0.2">
      <c r="A590" t="s">
        <v>450</v>
      </c>
      <c r="B590" t="s">
        <v>849</v>
      </c>
      <c r="C590" s="46" t="s">
        <v>2180</v>
      </c>
      <c r="D590" s="39" t="s">
        <v>879</v>
      </c>
      <c r="E590" s="39" t="s">
        <v>914</v>
      </c>
      <c r="F590" s="40"/>
      <c r="G590" s="39" t="str">
        <f t="shared" si="18"/>
        <v>CAWP.LSD</v>
      </c>
      <c r="H590" s="39" t="str">
        <f t="shared" si="19"/>
        <v>PROJECT_CAWP.LATE_START</v>
      </c>
      <c r="I590" s="35"/>
      <c r="J590" s="39"/>
      <c r="K590" s="39"/>
    </row>
    <row r="591" spans="1:11" hidden="1" x14ac:dyDescent="0.2">
      <c r="A591" t="s">
        <v>450</v>
      </c>
      <c r="B591" t="s">
        <v>849</v>
      </c>
      <c r="C591" s="46" t="s">
        <v>2181</v>
      </c>
      <c r="D591" s="39" t="s">
        <v>879</v>
      </c>
      <c r="E591" t="s">
        <v>1235</v>
      </c>
      <c r="F591" s="40"/>
      <c r="G591" s="39" t="str">
        <f t="shared" si="18"/>
        <v>CAWP.MANAGER</v>
      </c>
      <c r="H591" s="39" t="str">
        <f t="shared" si="19"/>
        <v>PROJECT_CAWP.MANAGER_USER_UID</v>
      </c>
      <c r="I591" s="35"/>
      <c r="J591" s="39"/>
      <c r="K591" s="39"/>
    </row>
    <row r="592" spans="1:11" hidden="1" x14ac:dyDescent="0.2">
      <c r="A592" t="s">
        <v>450</v>
      </c>
      <c r="B592" t="s">
        <v>849</v>
      </c>
      <c r="C592" s="45" t="s">
        <v>1018</v>
      </c>
      <c r="D592" s="39" t="s">
        <v>879</v>
      </c>
      <c r="E592" s="45" t="s">
        <v>1018</v>
      </c>
      <c r="F592" s="40"/>
      <c r="G592" s="39" t="str">
        <f t="shared" si="18"/>
        <v>CAWP.OP_BATCH</v>
      </c>
      <c r="H592" s="39" t="str">
        <f t="shared" si="19"/>
        <v>PROJECT_CAWP.OP_BATCH</v>
      </c>
      <c r="I592" s="35"/>
      <c r="J592" s="39"/>
      <c r="K592" s="39"/>
    </row>
    <row r="593" spans="1:11" hidden="1" x14ac:dyDescent="0.2">
      <c r="A593" t="s">
        <v>450</v>
      </c>
      <c r="B593" t="s">
        <v>849</v>
      </c>
      <c r="C593" s="45" t="s">
        <v>1241</v>
      </c>
      <c r="D593" s="39" t="s">
        <v>879</v>
      </c>
      <c r="E593" t="s">
        <v>939</v>
      </c>
      <c r="F593" s="40"/>
      <c r="G593" s="39" t="str">
        <f t="shared" si="18"/>
        <v>CAWP.PC_COMP</v>
      </c>
      <c r="H593" s="39" t="str">
        <f t="shared" si="19"/>
        <v>PROJECT_CAWP.PERCENT_COMPLETE</v>
      </c>
      <c r="I593" s="35"/>
      <c r="J593" s="39"/>
      <c r="K593" s="39"/>
    </row>
    <row r="594" spans="1:11" hidden="1" x14ac:dyDescent="0.2">
      <c r="A594" t="s">
        <v>450</v>
      </c>
      <c r="B594" t="s">
        <v>849</v>
      </c>
      <c r="C594" s="44" t="s">
        <v>2182</v>
      </c>
      <c r="D594" s="39" t="s">
        <v>879</v>
      </c>
      <c r="E594" s="39" t="s">
        <v>923</v>
      </c>
      <c r="F594" s="40"/>
      <c r="G594" s="39" t="str">
        <f t="shared" si="18"/>
        <v>CAWP.PFD</v>
      </c>
      <c r="H594" s="39" t="str">
        <f t="shared" si="19"/>
        <v>PROJECT_CAWP.PENDING_FINISH</v>
      </c>
      <c r="I594" s="35"/>
      <c r="J594" s="39"/>
      <c r="K594" s="39"/>
    </row>
    <row r="595" spans="1:11" hidden="1" x14ac:dyDescent="0.2">
      <c r="A595" t="s">
        <v>450</v>
      </c>
      <c r="B595" t="s">
        <v>849</v>
      </c>
      <c r="C595" s="45" t="s">
        <v>1242</v>
      </c>
      <c r="D595" s="39" t="s">
        <v>879</v>
      </c>
      <c r="E595" s="39" t="s">
        <v>933</v>
      </c>
      <c r="F595" s="40"/>
      <c r="G595" s="39" t="str">
        <f t="shared" si="18"/>
        <v>CAWP.PMT</v>
      </c>
      <c r="H595" s="39" t="str">
        <f t="shared" si="19"/>
        <v>PROJECT_CAWP.EVT</v>
      </c>
      <c r="I595" s="35"/>
      <c r="J595" s="39"/>
      <c r="K595" s="39"/>
    </row>
    <row r="596" spans="1:11" hidden="1" x14ac:dyDescent="0.2">
      <c r="A596" t="s">
        <v>450</v>
      </c>
      <c r="B596" t="s">
        <v>849</v>
      </c>
      <c r="C596" s="46" t="s">
        <v>2183</v>
      </c>
      <c r="D596" s="39" t="s">
        <v>879</v>
      </c>
      <c r="E596" s="39" t="s">
        <v>920</v>
      </c>
      <c r="F596" s="40"/>
      <c r="G596" s="39" t="str">
        <f t="shared" si="18"/>
        <v>CAWP.PSD</v>
      </c>
      <c r="H596" s="39" t="str">
        <f t="shared" si="19"/>
        <v>PROJECT_CAWP.PENDING_START</v>
      </c>
      <c r="I596" s="35"/>
      <c r="J596" s="39"/>
      <c r="K596" s="39"/>
    </row>
    <row r="597" spans="1:11" hidden="1" x14ac:dyDescent="0.2">
      <c r="A597" t="s">
        <v>450</v>
      </c>
      <c r="B597" t="s">
        <v>849</v>
      </c>
      <c r="C597" s="45" t="s">
        <v>1056</v>
      </c>
      <c r="D597" s="39" t="s">
        <v>879</v>
      </c>
      <c r="E597" s="45" t="s">
        <v>1056</v>
      </c>
      <c r="F597" s="40"/>
      <c r="G597" s="39" t="str">
        <f t="shared" si="18"/>
        <v>CAWP.RESERVED1</v>
      </c>
      <c r="H597" s="39" t="str">
        <f t="shared" si="19"/>
        <v>PROJECT_CAWP.RESERVED1</v>
      </c>
      <c r="I597" s="35"/>
      <c r="J597" s="39"/>
      <c r="K597" s="39"/>
    </row>
    <row r="598" spans="1:11" hidden="1" x14ac:dyDescent="0.2">
      <c r="A598" t="s">
        <v>450</v>
      </c>
      <c r="B598" t="s">
        <v>849</v>
      </c>
      <c r="C598" s="44" t="s">
        <v>35</v>
      </c>
      <c r="D598" s="39" t="s">
        <v>879</v>
      </c>
      <c r="E598" s="39" t="s">
        <v>35</v>
      </c>
      <c r="F598" s="40"/>
      <c r="G598" s="39" t="str">
        <f t="shared" si="18"/>
        <v>CAWP.SEQUENCE</v>
      </c>
      <c r="H598" s="39" t="str">
        <f t="shared" si="19"/>
        <v>PROJECT_CAWP.SEQUENCE</v>
      </c>
      <c r="I598" s="35"/>
      <c r="J598" s="39"/>
      <c r="K598" s="39"/>
    </row>
    <row r="599" spans="1:11" hidden="1" x14ac:dyDescent="0.2">
      <c r="A599" t="s">
        <v>450</v>
      </c>
      <c r="B599" t="s">
        <v>849</v>
      </c>
      <c r="C599" s="44" t="s">
        <v>2184</v>
      </c>
      <c r="D599" s="39" t="s">
        <v>879</v>
      </c>
      <c r="E599" s="39" t="s">
        <v>501</v>
      </c>
      <c r="F599" s="40"/>
      <c r="G599" s="39" t="str">
        <f t="shared" si="18"/>
        <v>CAWP.SFD</v>
      </c>
      <c r="H599" s="39" t="str">
        <f t="shared" si="19"/>
        <v>PROJECT_CAWP.BASELINE_FINISH</v>
      </c>
      <c r="I599" s="35"/>
      <c r="J599" s="39"/>
      <c r="K599" s="39"/>
    </row>
    <row r="600" spans="1:11" hidden="1" x14ac:dyDescent="0.2">
      <c r="A600" t="s">
        <v>450</v>
      </c>
      <c r="B600" t="s">
        <v>849</v>
      </c>
      <c r="C600" s="46" t="s">
        <v>2185</v>
      </c>
      <c r="D600" s="39" t="s">
        <v>879</v>
      </c>
      <c r="E600" s="39" t="s">
        <v>498</v>
      </c>
      <c r="F600" s="40"/>
      <c r="G600" s="39" t="str">
        <f t="shared" si="18"/>
        <v>CAWP.SSD</v>
      </c>
      <c r="H600" s="39" t="str">
        <f t="shared" si="19"/>
        <v>PROJECT_CAWP.BASELINE_START</v>
      </c>
      <c r="I600" s="35"/>
      <c r="J600" s="39"/>
      <c r="K600" s="39"/>
    </row>
    <row r="601" spans="1:11" hidden="1" x14ac:dyDescent="0.2">
      <c r="A601" t="s">
        <v>450</v>
      </c>
      <c r="B601" t="s">
        <v>849</v>
      </c>
      <c r="C601" s="45" t="s">
        <v>1394</v>
      </c>
      <c r="D601" s="39" t="s">
        <v>879</v>
      </c>
      <c r="E601" t="s">
        <v>936</v>
      </c>
      <c r="F601" s="40"/>
      <c r="G601" s="39" t="str">
        <f t="shared" si="18"/>
        <v>CAWP.STARTPC</v>
      </c>
      <c r="H601" s="39" t="str">
        <f t="shared" si="19"/>
        <v>PROJECT_CAWP.START_PERCENT</v>
      </c>
      <c r="I601" s="35"/>
      <c r="J601" s="39"/>
      <c r="K601" s="39"/>
    </row>
    <row r="602" spans="1:11" hidden="1" x14ac:dyDescent="0.2">
      <c r="A602" t="s">
        <v>450</v>
      </c>
      <c r="B602" t="s">
        <v>849</v>
      </c>
      <c r="C602" s="45" t="s">
        <v>1395</v>
      </c>
      <c r="D602" s="39" t="s">
        <v>879</v>
      </c>
      <c r="E602" t="s">
        <v>945</v>
      </c>
      <c r="F602" s="40"/>
      <c r="G602" s="39" t="str">
        <f t="shared" si="18"/>
        <v>CAWP.UNITS_COMP</v>
      </c>
      <c r="H602" s="39" t="str">
        <f t="shared" si="19"/>
        <v>PROJECT_CAWP.UNITS_COMPLETE</v>
      </c>
      <c r="I602" s="35"/>
      <c r="J602" s="39"/>
      <c r="K602" s="39"/>
    </row>
    <row r="603" spans="1:11" hidden="1" x14ac:dyDescent="0.2">
      <c r="A603" t="s">
        <v>450</v>
      </c>
      <c r="B603" t="s">
        <v>849</v>
      </c>
      <c r="C603" s="45" t="s">
        <v>1396</v>
      </c>
      <c r="D603" s="39" t="s">
        <v>879</v>
      </c>
      <c r="E603" t="s">
        <v>942</v>
      </c>
      <c r="F603" s="40"/>
      <c r="G603" s="39" t="str">
        <f t="shared" si="18"/>
        <v>CAWP.UNITSTODO</v>
      </c>
      <c r="H603" s="39" t="str">
        <f t="shared" si="19"/>
        <v>PROJECT_CAWP.UNITS_TO_DO</v>
      </c>
      <c r="I603" s="35"/>
      <c r="J603" s="39"/>
      <c r="K603" s="39"/>
    </row>
    <row r="604" spans="1:11" hidden="1" x14ac:dyDescent="0.2">
      <c r="A604" t="s">
        <v>450</v>
      </c>
      <c r="B604" t="s">
        <v>849</v>
      </c>
      <c r="C604" s="45" t="s">
        <v>1020</v>
      </c>
      <c r="D604" s="39" t="s">
        <v>879</v>
      </c>
      <c r="E604" s="45" t="s">
        <v>1020</v>
      </c>
      <c r="F604" s="40"/>
      <c r="G604" s="39" t="str">
        <f t="shared" si="18"/>
        <v>CAWP.USER_CHR01</v>
      </c>
      <c r="H604" s="39" t="str">
        <f t="shared" si="19"/>
        <v>PROJECT_CAWP.USER_CHR01</v>
      </c>
      <c r="I604" s="35"/>
      <c r="J604" s="39"/>
      <c r="K604" s="39"/>
    </row>
    <row r="605" spans="1:11" hidden="1" x14ac:dyDescent="0.2">
      <c r="A605" t="s">
        <v>450</v>
      </c>
      <c r="B605" t="s">
        <v>849</v>
      </c>
      <c r="C605" s="45" t="s">
        <v>1022</v>
      </c>
      <c r="D605" s="39" t="s">
        <v>879</v>
      </c>
      <c r="E605" s="45" t="s">
        <v>1022</v>
      </c>
      <c r="F605" s="40"/>
      <c r="G605" s="39" t="str">
        <f t="shared" si="18"/>
        <v>CAWP.USER_CHR02</v>
      </c>
      <c r="H605" s="39" t="str">
        <f t="shared" si="19"/>
        <v>PROJECT_CAWP.USER_CHR02</v>
      </c>
      <c r="I605" s="35"/>
      <c r="J605" s="39"/>
      <c r="K605" s="39"/>
    </row>
    <row r="606" spans="1:11" hidden="1" x14ac:dyDescent="0.2">
      <c r="A606" t="s">
        <v>450</v>
      </c>
      <c r="B606" t="s">
        <v>849</v>
      </c>
      <c r="C606" s="45" t="s">
        <v>1024</v>
      </c>
      <c r="D606" s="39" t="s">
        <v>879</v>
      </c>
      <c r="E606" s="45" t="s">
        <v>1024</v>
      </c>
      <c r="F606" s="40"/>
      <c r="G606" s="39" t="str">
        <f t="shared" si="18"/>
        <v>CAWP.USER_CHR03</v>
      </c>
      <c r="H606" s="39" t="str">
        <f t="shared" si="19"/>
        <v>PROJECT_CAWP.USER_CHR03</v>
      </c>
      <c r="I606" s="35"/>
      <c r="J606" s="39"/>
      <c r="K606" s="39"/>
    </row>
    <row r="607" spans="1:11" hidden="1" x14ac:dyDescent="0.2">
      <c r="A607" t="s">
        <v>450</v>
      </c>
      <c r="B607" t="s">
        <v>849</v>
      </c>
      <c r="C607" s="45" t="s">
        <v>1026</v>
      </c>
      <c r="D607" s="39" t="s">
        <v>879</v>
      </c>
      <c r="E607" s="45" t="s">
        <v>1026</v>
      </c>
      <c r="F607" s="40"/>
      <c r="G607" s="39" t="str">
        <f t="shared" si="18"/>
        <v>CAWP.USER_CHR04</v>
      </c>
      <c r="H607" s="39" t="str">
        <f t="shared" si="19"/>
        <v>PROJECT_CAWP.USER_CHR04</v>
      </c>
      <c r="I607" s="35"/>
      <c r="J607" s="39"/>
      <c r="K607" s="39"/>
    </row>
    <row r="608" spans="1:11" hidden="1" x14ac:dyDescent="0.2">
      <c r="A608" t="s">
        <v>450</v>
      </c>
      <c r="B608" t="s">
        <v>849</v>
      </c>
      <c r="C608" s="45" t="s">
        <v>1028</v>
      </c>
      <c r="D608" s="39" t="s">
        <v>879</v>
      </c>
      <c r="E608" s="45" t="s">
        <v>1028</v>
      </c>
      <c r="F608" s="40"/>
      <c r="G608" s="39" t="str">
        <f t="shared" si="18"/>
        <v>CAWP.USER_CHR05</v>
      </c>
      <c r="H608" s="39" t="str">
        <f t="shared" si="19"/>
        <v>PROJECT_CAWP.USER_CHR05</v>
      </c>
      <c r="I608" s="35"/>
      <c r="J608" s="39"/>
      <c r="K608" s="39"/>
    </row>
    <row r="609" spans="1:11" hidden="1" x14ac:dyDescent="0.2">
      <c r="A609" t="s">
        <v>450</v>
      </c>
      <c r="B609" t="s">
        <v>849</v>
      </c>
      <c r="C609" s="45" t="s">
        <v>1030</v>
      </c>
      <c r="D609" s="39" t="s">
        <v>879</v>
      </c>
      <c r="E609" s="45" t="s">
        <v>1030</v>
      </c>
      <c r="F609" s="40"/>
      <c r="G609" s="39" t="str">
        <f t="shared" si="18"/>
        <v>CAWP.USER_DTE01</v>
      </c>
      <c r="H609" s="39" t="str">
        <f t="shared" si="19"/>
        <v>PROJECT_CAWP.USER_DTE01</v>
      </c>
      <c r="I609" s="35"/>
      <c r="J609" s="39"/>
      <c r="K609" s="39"/>
    </row>
    <row r="610" spans="1:11" hidden="1" x14ac:dyDescent="0.2">
      <c r="A610" t="s">
        <v>450</v>
      </c>
      <c r="B610" t="s">
        <v>849</v>
      </c>
      <c r="C610" s="45" t="s">
        <v>2469</v>
      </c>
      <c r="D610" s="39" t="s">
        <v>879</v>
      </c>
      <c r="E610" s="45" t="s">
        <v>2469</v>
      </c>
      <c r="F610" s="40"/>
      <c r="G610" s="39" t="str">
        <f t="shared" si="18"/>
        <v xml:space="preserve">CAWP.USER_DTE01 </v>
      </c>
      <c r="H610" s="39" t="str">
        <f t="shared" si="19"/>
        <v xml:space="preserve">PROJECT_CAWP.USER_DTE01 </v>
      </c>
      <c r="I610" s="35"/>
      <c r="J610" s="39"/>
      <c r="K610" s="39"/>
    </row>
    <row r="611" spans="1:11" hidden="1" x14ac:dyDescent="0.2">
      <c r="A611" t="s">
        <v>450</v>
      </c>
      <c r="B611" t="s">
        <v>849</v>
      </c>
      <c r="C611" s="45" t="s">
        <v>1032</v>
      </c>
      <c r="D611" s="39" t="s">
        <v>879</v>
      </c>
      <c r="E611" s="45" t="s">
        <v>1032</v>
      </c>
      <c r="F611" s="40"/>
      <c r="G611" s="39" t="str">
        <f t="shared" si="18"/>
        <v>CAWP.USER_DTE02</v>
      </c>
      <c r="H611" s="39" t="str">
        <f t="shared" si="19"/>
        <v>PROJECT_CAWP.USER_DTE02</v>
      </c>
      <c r="I611" s="35"/>
      <c r="J611" s="39"/>
      <c r="K611" s="39"/>
    </row>
    <row r="612" spans="1:11" hidden="1" x14ac:dyDescent="0.2">
      <c r="A612" t="s">
        <v>450</v>
      </c>
      <c r="B612" t="s">
        <v>849</v>
      </c>
      <c r="C612" s="45" t="s">
        <v>1034</v>
      </c>
      <c r="D612" s="39" t="s">
        <v>879</v>
      </c>
      <c r="E612" s="45" t="s">
        <v>1034</v>
      </c>
      <c r="F612" s="40"/>
      <c r="G612" s="39" t="str">
        <f t="shared" si="18"/>
        <v>CAWP.USER_DTE03</v>
      </c>
      <c r="H612" s="39" t="str">
        <f t="shared" si="19"/>
        <v>PROJECT_CAWP.USER_DTE03</v>
      </c>
      <c r="I612" s="35"/>
      <c r="J612" s="39"/>
      <c r="K612" s="39"/>
    </row>
    <row r="613" spans="1:11" hidden="1" x14ac:dyDescent="0.2">
      <c r="A613" t="s">
        <v>450</v>
      </c>
      <c r="B613" t="s">
        <v>849</v>
      </c>
      <c r="C613" s="45" t="s">
        <v>1036</v>
      </c>
      <c r="D613" s="39" t="s">
        <v>879</v>
      </c>
      <c r="E613" s="45" t="s">
        <v>1036</v>
      </c>
      <c r="F613" s="40"/>
      <c r="G613" s="39" t="str">
        <f t="shared" si="18"/>
        <v>CAWP.USER_DTE04</v>
      </c>
      <c r="H613" s="39" t="str">
        <f t="shared" si="19"/>
        <v>PROJECT_CAWP.USER_DTE04</v>
      </c>
      <c r="I613" s="35"/>
      <c r="J613" s="39"/>
      <c r="K613" s="39"/>
    </row>
    <row r="614" spans="1:11" hidden="1" x14ac:dyDescent="0.2">
      <c r="A614" t="s">
        <v>450</v>
      </c>
      <c r="B614" t="s">
        <v>849</v>
      </c>
      <c r="C614" s="45" t="s">
        <v>1038</v>
      </c>
      <c r="D614" s="39" t="s">
        <v>879</v>
      </c>
      <c r="E614" s="45" t="s">
        <v>1038</v>
      </c>
      <c r="F614" s="40"/>
      <c r="G614" s="39" t="str">
        <f t="shared" si="18"/>
        <v>CAWP.USER_DTE05</v>
      </c>
      <c r="H614" s="39" t="str">
        <f t="shared" si="19"/>
        <v>PROJECT_CAWP.USER_DTE05</v>
      </c>
      <c r="I614" s="35"/>
      <c r="J614" s="39"/>
      <c r="K614" s="39"/>
    </row>
    <row r="615" spans="1:11" hidden="1" x14ac:dyDescent="0.2">
      <c r="A615" t="s">
        <v>450</v>
      </c>
      <c r="B615" t="s">
        <v>849</v>
      </c>
      <c r="C615" s="45" t="s">
        <v>1397</v>
      </c>
      <c r="D615" s="39" t="s">
        <v>879</v>
      </c>
      <c r="E615" s="45" t="s">
        <v>1397</v>
      </c>
      <c r="F615" s="40"/>
      <c r="G615" s="39" t="str">
        <f t="shared" si="18"/>
        <v>CAWP.USER_NUM01</v>
      </c>
      <c r="H615" s="39" t="str">
        <f t="shared" si="19"/>
        <v>PROJECT_CAWP.USER_NUM01</v>
      </c>
      <c r="I615" s="35"/>
      <c r="J615" s="39"/>
      <c r="K615" s="39"/>
    </row>
    <row r="616" spans="1:11" hidden="1" x14ac:dyDescent="0.2">
      <c r="A616" t="s">
        <v>450</v>
      </c>
      <c r="B616" t="s">
        <v>849</v>
      </c>
      <c r="C616" s="45" t="s">
        <v>1040</v>
      </c>
      <c r="D616" s="39" t="s">
        <v>879</v>
      </c>
      <c r="E616" s="45" t="s">
        <v>1040</v>
      </c>
      <c r="F616" s="40"/>
      <c r="G616" s="39" t="str">
        <f t="shared" si="18"/>
        <v xml:space="preserve">CAWP.USER_NUM01 </v>
      </c>
      <c r="H616" s="39" t="str">
        <f t="shared" si="19"/>
        <v xml:space="preserve">PROJECT_CAWP.USER_NUM01 </v>
      </c>
      <c r="I616" s="35"/>
      <c r="J616" s="39"/>
      <c r="K616" s="39"/>
    </row>
    <row r="617" spans="1:11" hidden="1" x14ac:dyDescent="0.2">
      <c r="A617" t="s">
        <v>450</v>
      </c>
      <c r="B617" t="s">
        <v>849</v>
      </c>
      <c r="C617" s="45" t="s">
        <v>1042</v>
      </c>
      <c r="D617" s="39" t="s">
        <v>879</v>
      </c>
      <c r="E617" s="45" t="s">
        <v>1042</v>
      </c>
      <c r="F617" s="40"/>
      <c r="G617" s="39" t="str">
        <f t="shared" si="18"/>
        <v>CAWP.USER_NUM02</v>
      </c>
      <c r="H617" s="39" t="str">
        <f t="shared" si="19"/>
        <v>PROJECT_CAWP.USER_NUM02</v>
      </c>
      <c r="I617" s="35"/>
      <c r="J617" s="39"/>
      <c r="K617" s="39"/>
    </row>
    <row r="618" spans="1:11" hidden="1" x14ac:dyDescent="0.2">
      <c r="A618" t="s">
        <v>450</v>
      </c>
      <c r="B618" t="s">
        <v>849</v>
      </c>
      <c r="C618" s="45" t="s">
        <v>1044</v>
      </c>
      <c r="D618" s="39" t="s">
        <v>879</v>
      </c>
      <c r="E618" s="45" t="s">
        <v>1044</v>
      </c>
      <c r="F618" s="40"/>
      <c r="G618" s="39" t="str">
        <f t="shared" si="18"/>
        <v>CAWP.USER_NUM03</v>
      </c>
      <c r="H618" s="39" t="str">
        <f t="shared" si="19"/>
        <v>PROJECT_CAWP.USER_NUM03</v>
      </c>
      <c r="I618" s="35"/>
      <c r="J618" s="39"/>
      <c r="K618" s="39"/>
    </row>
    <row r="619" spans="1:11" hidden="1" x14ac:dyDescent="0.2">
      <c r="A619" t="s">
        <v>450</v>
      </c>
      <c r="B619" t="s">
        <v>849</v>
      </c>
      <c r="C619" s="45" t="s">
        <v>1046</v>
      </c>
      <c r="D619" s="39" t="s">
        <v>879</v>
      </c>
      <c r="E619" s="45" t="s">
        <v>1046</v>
      </c>
      <c r="F619" s="40"/>
      <c r="G619" s="39" t="str">
        <f t="shared" si="18"/>
        <v>CAWP.USER_NUM04</v>
      </c>
      <c r="H619" s="39" t="str">
        <f t="shared" si="19"/>
        <v>PROJECT_CAWP.USER_NUM04</v>
      </c>
      <c r="I619" s="35"/>
      <c r="J619" s="39"/>
      <c r="K619" s="39"/>
    </row>
    <row r="620" spans="1:11" hidden="1" x14ac:dyDescent="0.2">
      <c r="A620" t="s">
        <v>450</v>
      </c>
      <c r="B620" t="s">
        <v>849</v>
      </c>
      <c r="C620" s="45" t="s">
        <v>1048</v>
      </c>
      <c r="D620" s="39" t="s">
        <v>879</v>
      </c>
      <c r="E620" s="45" t="s">
        <v>1048</v>
      </c>
      <c r="F620" s="40"/>
      <c r="G620" s="39" t="str">
        <f t="shared" si="18"/>
        <v>CAWP.USER_NUM05</v>
      </c>
      <c r="H620" s="39" t="str">
        <f t="shared" si="19"/>
        <v>PROJECT_CAWP.USER_NUM05</v>
      </c>
      <c r="I620" s="35"/>
      <c r="J620" s="39"/>
      <c r="K620" s="39"/>
    </row>
    <row r="621" spans="1:11" hidden="1" x14ac:dyDescent="0.2">
      <c r="A621" t="s">
        <v>450</v>
      </c>
      <c r="B621" t="s">
        <v>849</v>
      </c>
      <c r="C621" s="44" t="s">
        <v>2112</v>
      </c>
      <c r="D621" s="39" t="s">
        <v>879</v>
      </c>
      <c r="E621" s="39" t="s">
        <v>68</v>
      </c>
      <c r="F621" s="40"/>
      <c r="G621" s="39" t="str">
        <f t="shared" si="18"/>
        <v>CAWP.USR_ID</v>
      </c>
      <c r="H621" s="39" t="str">
        <f t="shared" si="19"/>
        <v>PROJECT_CAWP.LAST_MODIFIED_BY_USER_UID</v>
      </c>
      <c r="I621" s="35"/>
      <c r="J621" s="39"/>
      <c r="K621" s="39"/>
    </row>
    <row r="622" spans="1:11" hidden="1" x14ac:dyDescent="0.2">
      <c r="A622" t="s">
        <v>450</v>
      </c>
      <c r="B622" t="s">
        <v>849</v>
      </c>
      <c r="C622" s="45" t="s">
        <v>1398</v>
      </c>
      <c r="D622" s="39" t="s">
        <v>879</v>
      </c>
      <c r="E622" s="45" t="s">
        <v>1398</v>
      </c>
      <c r="F622" s="40"/>
      <c r="G622" s="39" t="str">
        <f t="shared" si="18"/>
        <v>CAWP.WP</v>
      </c>
      <c r="H622" s="39" t="str">
        <f t="shared" si="19"/>
        <v>PROJECT_CAWP.WP</v>
      </c>
      <c r="I622" s="35"/>
      <c r="J622" s="39"/>
      <c r="K622" s="39"/>
    </row>
    <row r="623" spans="1:11" hidden="1" x14ac:dyDescent="0.2">
      <c r="A623" s="20"/>
      <c r="B623" s="39"/>
      <c r="C623" s="39"/>
      <c r="D623" s="39"/>
      <c r="E623" s="39"/>
      <c r="F623" s="40"/>
      <c r="G623" s="39" t="str">
        <f t="shared" si="18"/>
        <v>.</v>
      </c>
      <c r="H623" s="39" t="str">
        <f t="shared" si="19"/>
        <v>.</v>
      </c>
      <c r="I623" s="35"/>
      <c r="J623" s="39"/>
      <c r="K623" s="39"/>
    </row>
    <row r="624" spans="1:11" hidden="1" x14ac:dyDescent="0.2">
      <c r="A624" s="20"/>
      <c r="B624" s="39"/>
      <c r="C624" s="39"/>
      <c r="D624" s="39"/>
      <c r="E624" s="39"/>
      <c r="F624" s="40"/>
      <c r="G624" s="39" t="str">
        <f t="shared" si="18"/>
        <v>.</v>
      </c>
      <c r="H624" s="39" t="str">
        <f t="shared" si="19"/>
        <v>.</v>
      </c>
      <c r="I624" s="35"/>
      <c r="J624" s="39"/>
      <c r="K624" s="39"/>
    </row>
    <row r="625" spans="1:11" hidden="1" x14ac:dyDescent="0.2">
      <c r="A625" s="20"/>
      <c r="B625" s="39"/>
      <c r="C625" s="39"/>
      <c r="D625" s="39"/>
      <c r="E625" s="39"/>
      <c r="F625" s="40"/>
      <c r="G625" s="39" t="str">
        <f t="shared" si="18"/>
        <v>.</v>
      </c>
      <c r="H625" s="39" t="str">
        <f t="shared" si="19"/>
        <v>.</v>
      </c>
      <c r="I625" s="35"/>
      <c r="J625" s="39"/>
      <c r="K625" s="39"/>
    </row>
    <row r="626" spans="1:11" hidden="1" x14ac:dyDescent="0.2">
      <c r="A626" t="s">
        <v>450</v>
      </c>
      <c r="B626" t="s">
        <v>2186</v>
      </c>
      <c r="C626" t="s">
        <v>744</v>
      </c>
      <c r="D626" t="s">
        <v>1068</v>
      </c>
      <c r="E626" t="s">
        <v>770</v>
      </c>
      <c r="G626" s="17" t="str">
        <f t="shared" si="18"/>
        <v>CLASSES.PROGRAM</v>
      </c>
      <c r="H626" s="17" t="str">
        <f t="shared" si="19"/>
        <v>PROJECT_COST_CLASS.PROJECT_UID</v>
      </c>
      <c r="I626" s="29"/>
      <c r="J6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26" s="17"/>
    </row>
    <row r="627" spans="1:11" hidden="1" x14ac:dyDescent="0.2">
      <c r="A627" t="s">
        <v>450</v>
      </c>
      <c r="B627" t="s">
        <v>2186</v>
      </c>
      <c r="C627" t="s">
        <v>1100</v>
      </c>
      <c r="D627" t="s">
        <v>1068</v>
      </c>
      <c r="E627" t="s">
        <v>47</v>
      </c>
      <c r="G627" s="17" t="str">
        <f t="shared" si="18"/>
        <v>CLASSES.CLASS</v>
      </c>
      <c r="H627" s="17" t="str">
        <f t="shared" si="19"/>
        <v>PROJECT_COST_CLASS.NAME</v>
      </c>
      <c r="I627" s="29"/>
      <c r="J6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27" s="17"/>
    </row>
    <row r="628" spans="1:11" hidden="1" x14ac:dyDescent="0.2">
      <c r="A628" t="s">
        <v>450</v>
      </c>
      <c r="B628" t="s">
        <v>2186</v>
      </c>
      <c r="C628" t="s">
        <v>2188</v>
      </c>
      <c r="D628" t="s">
        <v>1068</v>
      </c>
      <c r="E628" t="s">
        <v>15</v>
      </c>
      <c r="G628" s="17" t="str">
        <f t="shared" si="18"/>
        <v>CLASSES.CLASSDESC</v>
      </c>
      <c r="H628" s="17" t="str">
        <f t="shared" si="19"/>
        <v>PROJECT_COST_CLASS.DESCRIPTION</v>
      </c>
      <c r="I628" s="29"/>
      <c r="J6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28" s="17"/>
    </row>
    <row r="629" spans="1:11" hidden="1" x14ac:dyDescent="0.2">
      <c r="A629" t="s">
        <v>450</v>
      </c>
      <c r="B629" t="s">
        <v>2186</v>
      </c>
      <c r="C629" t="s">
        <v>2189</v>
      </c>
      <c r="D629" t="s">
        <v>1068</v>
      </c>
      <c r="E629" t="s">
        <v>1252</v>
      </c>
      <c r="G629" s="17" t="str">
        <f t="shared" si="18"/>
        <v>CLASSES.CLASSLVL</v>
      </c>
      <c r="H629" s="17" t="str">
        <f t="shared" si="19"/>
        <v>PROJECT_COST_CLASS.COST_CLASS_LEVEL</v>
      </c>
      <c r="I629" s="29"/>
      <c r="J6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29" s="17"/>
    </row>
    <row r="630" spans="1:11" hidden="1" x14ac:dyDescent="0.2">
      <c r="A630" t="s">
        <v>450</v>
      </c>
      <c r="B630" t="s">
        <v>2186</v>
      </c>
      <c r="C630" t="s">
        <v>1256</v>
      </c>
      <c r="D630" t="s">
        <v>1068</v>
      </c>
      <c r="E630" t="s">
        <v>1256</v>
      </c>
      <c r="G630" s="17" t="str">
        <f t="shared" si="18"/>
        <v>CLASSES.REQUIRED</v>
      </c>
      <c r="H630" s="17" t="str">
        <f t="shared" si="19"/>
        <v>PROJECT_COST_CLASS.REQUIRED</v>
      </c>
      <c r="I630" s="29"/>
      <c r="J6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30" s="17"/>
    </row>
    <row r="631" spans="1:11" hidden="1" x14ac:dyDescent="0.2">
      <c r="A631" t="s">
        <v>450</v>
      </c>
      <c r="B631" t="s">
        <v>2186</v>
      </c>
      <c r="C631" t="s">
        <v>2190</v>
      </c>
      <c r="D631" t="s">
        <v>1068</v>
      </c>
      <c r="E631" t="s">
        <v>1249</v>
      </c>
      <c r="G631" s="17" t="str">
        <f t="shared" si="18"/>
        <v>CLASSES.CLASSTYPE</v>
      </c>
      <c r="H631" s="17" t="str">
        <f t="shared" si="19"/>
        <v>PROJECT_COST_CLASS.COST_CLASS_TYPE</v>
      </c>
      <c r="I631" s="29"/>
      <c r="J6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31" s="17"/>
    </row>
    <row r="632" spans="1:11" hidden="1" x14ac:dyDescent="0.2">
      <c r="A632" t="s">
        <v>450</v>
      </c>
      <c r="B632" t="s">
        <v>2186</v>
      </c>
      <c r="C632" t="s">
        <v>1328</v>
      </c>
      <c r="D632" t="s">
        <v>1068</v>
      </c>
      <c r="E632" t="s">
        <v>435</v>
      </c>
      <c r="G632" s="17" t="str">
        <f t="shared" si="18"/>
        <v>CLASSES.CLASSCAL</v>
      </c>
      <c r="H632" s="17" t="str">
        <f t="shared" si="19"/>
        <v>PROJECT_COST_CLASS.FISCAL_CALENDAR_SET_UID</v>
      </c>
      <c r="I632" s="29"/>
      <c r="J6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32" s="17"/>
    </row>
    <row r="633" spans="1:11" hidden="1" x14ac:dyDescent="0.2">
      <c r="A633" t="s">
        <v>450</v>
      </c>
      <c r="B633" t="s">
        <v>2186</v>
      </c>
      <c r="C633" t="s">
        <v>1330</v>
      </c>
      <c r="D633" t="s">
        <v>1068</v>
      </c>
      <c r="E633" t="s">
        <v>475</v>
      </c>
      <c r="G633" s="17" t="str">
        <f t="shared" si="18"/>
        <v>CLASSES.CLASSRATE</v>
      </c>
      <c r="H633" s="17" t="str">
        <f t="shared" si="19"/>
        <v>PROJECT_COST_CLASS.RATE_FILE_UID</v>
      </c>
      <c r="I633" s="29"/>
      <c r="J6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33" s="17"/>
    </row>
    <row r="634" spans="1:11" hidden="1" x14ac:dyDescent="0.2">
      <c r="A634" s="14" t="s">
        <v>450</v>
      </c>
      <c r="B634" s="14" t="s">
        <v>2186</v>
      </c>
      <c r="C634" s="14" t="s">
        <v>1316</v>
      </c>
      <c r="D634" s="14"/>
      <c r="E634" s="14"/>
      <c r="F634" s="14" t="s">
        <v>2473</v>
      </c>
      <c r="G634" s="23" t="str">
        <f t="shared" si="18"/>
        <v>CLASSES.IS_BCWS</v>
      </c>
      <c r="H634" s="23" t="str">
        <f t="shared" si="19"/>
        <v>.</v>
      </c>
      <c r="I634" s="30" t="s">
        <v>2411</v>
      </c>
      <c r="J6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PROJECT_COST_CLASS.IS_BCWS</v>
      </c>
      <c r="K634" s="17"/>
    </row>
    <row r="635" spans="1:11" hidden="1" x14ac:dyDescent="0.2">
      <c r="A635" s="14" t="s">
        <v>450</v>
      </c>
      <c r="B635" s="14" t="s">
        <v>2186</v>
      </c>
      <c r="C635" s="14" t="s">
        <v>1318</v>
      </c>
      <c r="D635" s="14"/>
      <c r="E635" s="14"/>
      <c r="F635" s="14" t="s">
        <v>2473</v>
      </c>
      <c r="G635" s="23" t="str">
        <f t="shared" si="18"/>
        <v>CLASSES.IS_ACWP</v>
      </c>
      <c r="H635" s="23" t="str">
        <f t="shared" si="19"/>
        <v>.</v>
      </c>
      <c r="I635" s="30" t="s">
        <v>2411</v>
      </c>
      <c r="J6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PROJECT_COST_CLASS.IS_ACWP</v>
      </c>
      <c r="K635" s="17"/>
    </row>
    <row r="636" spans="1:11" hidden="1" x14ac:dyDescent="0.2">
      <c r="A636" s="14" t="s">
        <v>450</v>
      </c>
      <c r="B636" s="14" t="s">
        <v>2186</v>
      </c>
      <c r="C636" s="14" t="s">
        <v>1322</v>
      </c>
      <c r="D636" s="14"/>
      <c r="E636" s="14"/>
      <c r="F636" s="14" t="s">
        <v>2474</v>
      </c>
      <c r="G636" s="23" t="str">
        <f t="shared" si="18"/>
        <v>CLASSES.PLUSPLUS</v>
      </c>
      <c r="H636" s="23" t="str">
        <f t="shared" si="19"/>
        <v>.</v>
      </c>
      <c r="I636" s="30" t="s">
        <v>2411</v>
      </c>
      <c r="J6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PROJECT_COST_CLASS.PLUSPLUS</v>
      </c>
      <c r="K636" s="17"/>
    </row>
    <row r="637" spans="1:11" hidden="1" x14ac:dyDescent="0.2">
      <c r="A637" t="s">
        <v>450</v>
      </c>
      <c r="B637" t="s">
        <v>2186</v>
      </c>
      <c r="C637" t="s">
        <v>2197</v>
      </c>
      <c r="D637" t="s">
        <v>1068</v>
      </c>
      <c r="E637" t="s">
        <v>1265</v>
      </c>
      <c r="G637" s="17" t="str">
        <f t="shared" si="18"/>
        <v>CLASSES.PLUSMINUS</v>
      </c>
      <c r="H637" s="17" t="str">
        <f t="shared" si="19"/>
        <v>PROJECT_COST_CLASS.BUDGET_SOURCE</v>
      </c>
      <c r="I637" s="29"/>
      <c r="J6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37" s="17"/>
    </row>
    <row r="638" spans="1:11" hidden="1" x14ac:dyDescent="0.2">
      <c r="A638" s="14" t="s">
        <v>450</v>
      </c>
      <c r="B638" s="14" t="s">
        <v>2186</v>
      </c>
      <c r="C638" s="14" t="s">
        <v>1324</v>
      </c>
      <c r="D638" s="14"/>
      <c r="E638" s="14"/>
      <c r="F638" s="14" t="s">
        <v>2474</v>
      </c>
      <c r="G638" s="23" t="str">
        <f t="shared" si="18"/>
        <v>CLASSES.MINUSPLUS</v>
      </c>
      <c r="H638" s="23" t="str">
        <f t="shared" si="19"/>
        <v>.</v>
      </c>
      <c r="I638" s="30" t="s">
        <v>2411</v>
      </c>
      <c r="J6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PROJECT_COST_CLASS.MINUSPLUS</v>
      </c>
      <c r="K638" s="17"/>
    </row>
    <row r="639" spans="1:11" hidden="1" x14ac:dyDescent="0.2">
      <c r="A639" s="14" t="s">
        <v>450</v>
      </c>
      <c r="B639" s="14" t="s">
        <v>2186</v>
      </c>
      <c r="C639" s="14" t="s">
        <v>1326</v>
      </c>
      <c r="D639" s="14"/>
      <c r="E639" s="14"/>
      <c r="F639" s="14" t="s">
        <v>2474</v>
      </c>
      <c r="G639" s="23" t="str">
        <f t="shared" si="18"/>
        <v>CLASSES.MINUSMINUS</v>
      </c>
      <c r="H639" s="23" t="str">
        <f t="shared" si="19"/>
        <v>.</v>
      </c>
      <c r="I639" s="30" t="s">
        <v>2411</v>
      </c>
      <c r="J6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PROJECT_COST_CLASS.MINUSMINUS</v>
      </c>
      <c r="K639" s="17"/>
    </row>
    <row r="640" spans="1:11" hidden="1" x14ac:dyDescent="0.2">
      <c r="A640" t="s">
        <v>450</v>
      </c>
      <c r="B640" t="s">
        <v>2186</v>
      </c>
      <c r="C640" t="s">
        <v>2193</v>
      </c>
      <c r="D640" t="s">
        <v>1068</v>
      </c>
      <c r="E640" t="s">
        <v>1268</v>
      </c>
      <c r="G640" s="17" t="str">
        <f t="shared" si="18"/>
        <v>CLASSES.FC_TYPE</v>
      </c>
      <c r="H640" s="17" t="str">
        <f t="shared" si="19"/>
        <v>PROJECT_COST_CLASS.FCAST_METHOD</v>
      </c>
      <c r="I640" s="29"/>
      <c r="J6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0" s="17"/>
    </row>
    <row r="641" spans="1:11" hidden="1" x14ac:dyDescent="0.2">
      <c r="A641" s="14" t="s">
        <v>450</v>
      </c>
      <c r="B641" s="14" t="s">
        <v>2186</v>
      </c>
      <c r="C641" s="14" t="s">
        <v>1314</v>
      </c>
      <c r="D641" s="14"/>
      <c r="E641" s="14"/>
      <c r="F641" s="14" t="s">
        <v>2475</v>
      </c>
      <c r="G641" s="23" t="str">
        <f t="shared" si="18"/>
        <v>CLASSES.RANGE_FIELDID</v>
      </c>
      <c r="H641" s="23" t="str">
        <f t="shared" si="19"/>
        <v>.</v>
      </c>
      <c r="I641" s="30" t="s">
        <v>2411</v>
      </c>
      <c r="J6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PROJECT_COST_CLASS.RANGE_FIELDID</v>
      </c>
      <c r="K641" s="17"/>
    </row>
    <row r="642" spans="1:11" hidden="1" x14ac:dyDescent="0.2">
      <c r="A642" t="s">
        <v>450</v>
      </c>
      <c r="B642" t="s">
        <v>2186</v>
      </c>
      <c r="C642" t="s">
        <v>2196</v>
      </c>
      <c r="D642" t="s">
        <v>1068</v>
      </c>
      <c r="E642" t="s">
        <v>1274</v>
      </c>
      <c r="G642" s="17" t="str">
        <f t="shared" si="18"/>
        <v>CLASSES.PF_LEVEL</v>
      </c>
      <c r="H642" s="17" t="str">
        <f t="shared" si="19"/>
        <v>PROJECT_COST_CLASS.FCAST_PERF_FACTOR_LEVEL</v>
      </c>
      <c r="I642" s="29"/>
      <c r="J6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2" s="17"/>
    </row>
    <row r="643" spans="1:11" hidden="1" x14ac:dyDescent="0.2">
      <c r="A643" t="s">
        <v>450</v>
      </c>
      <c r="B643" t="s">
        <v>2186</v>
      </c>
      <c r="C643" t="s">
        <v>2195</v>
      </c>
      <c r="D643" t="s">
        <v>1068</v>
      </c>
      <c r="E643" t="s">
        <v>1277</v>
      </c>
      <c r="G643" s="17" t="str">
        <f t="shared" si="18"/>
        <v>CLASSES.PF_BDN</v>
      </c>
      <c r="H643" s="17" t="str">
        <f t="shared" si="19"/>
        <v>PROJECT_COST_CLASS.FCAST_PERF_FACTOR_CODE</v>
      </c>
      <c r="I643" s="29"/>
      <c r="J6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3" s="17"/>
    </row>
    <row r="644" spans="1:11" hidden="1" x14ac:dyDescent="0.2">
      <c r="A644" t="s">
        <v>450</v>
      </c>
      <c r="B644" t="s">
        <v>2186</v>
      </c>
      <c r="C644" t="s">
        <v>2191</v>
      </c>
      <c r="D644" t="s">
        <v>1068</v>
      </c>
      <c r="E644" t="s">
        <v>1280</v>
      </c>
      <c r="G644" s="17" t="str">
        <f t="shared" si="18"/>
        <v>CLASSES.FACTA</v>
      </c>
      <c r="H644" s="17" t="str">
        <f t="shared" si="19"/>
        <v>PROJECT_COST_CLASS.FCAST_PERF_FACTOR_WEIGHT_A</v>
      </c>
      <c r="I644" s="29"/>
      <c r="J6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4" s="17"/>
    </row>
    <row r="645" spans="1:11" hidden="1" x14ac:dyDescent="0.2">
      <c r="A645" t="s">
        <v>450</v>
      </c>
      <c r="B645" t="s">
        <v>2186</v>
      </c>
      <c r="C645" t="s">
        <v>2192</v>
      </c>
      <c r="D645" t="s">
        <v>1068</v>
      </c>
      <c r="E645" t="s">
        <v>1283</v>
      </c>
      <c r="G645" s="17" t="str">
        <f t="shared" si="18"/>
        <v>CLASSES.FACTB</v>
      </c>
      <c r="H645" s="17" t="str">
        <f t="shared" si="19"/>
        <v>PROJECT_COST_CLASS.FCAST_PERF_FACTOR_WEIGHT_B</v>
      </c>
      <c r="I645" s="29"/>
      <c r="J6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5" s="17"/>
    </row>
    <row r="646" spans="1:11" hidden="1" x14ac:dyDescent="0.2">
      <c r="A646" s="14" t="s">
        <v>450</v>
      </c>
      <c r="B646" s="14" t="s">
        <v>2186</v>
      </c>
      <c r="C646" s="14" t="s">
        <v>1320</v>
      </c>
      <c r="D646" s="14"/>
      <c r="E646" s="14"/>
      <c r="F646" s="14" t="s">
        <v>2476</v>
      </c>
      <c r="G646" s="23" t="str">
        <f t="shared" si="18"/>
        <v>CLASSES.FC_DATESET</v>
      </c>
      <c r="H646" s="23" t="str">
        <f t="shared" si="19"/>
        <v>.</v>
      </c>
      <c r="I646" s="30" t="s">
        <v>2411</v>
      </c>
      <c r="J6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PROJECT_COST_CLASS.FC_DATESET</v>
      </c>
      <c r="K646" s="17"/>
    </row>
    <row r="647" spans="1:11" hidden="1" x14ac:dyDescent="0.2">
      <c r="A647" t="s">
        <v>450</v>
      </c>
      <c r="B647" t="s">
        <v>2186</v>
      </c>
      <c r="C647" t="s">
        <v>2187</v>
      </c>
      <c r="D647" t="s">
        <v>1068</v>
      </c>
      <c r="E647" t="s">
        <v>1262</v>
      </c>
      <c r="G647" s="17" t="str">
        <f t="shared" ref="G647:G714" si="20">_xlfn.CONCAT(B647,".",C647)</f>
        <v>CLASSES.BUDDATESET</v>
      </c>
      <c r="H647" s="17" t="str">
        <f t="shared" ref="H647:H714" si="21">_xlfn.CONCAT(D647,".",E647)</f>
        <v>PROJECT_COST_CLASS.DATE_SET</v>
      </c>
      <c r="I647" s="29"/>
      <c r="J6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7" s="17"/>
    </row>
    <row r="648" spans="1:11" hidden="1" x14ac:dyDescent="0.2">
      <c r="A648" t="s">
        <v>450</v>
      </c>
      <c r="B648" t="s">
        <v>2186</v>
      </c>
      <c r="C648" t="s">
        <v>2477</v>
      </c>
      <c r="D648" t="s">
        <v>1068</v>
      </c>
      <c r="E648" t="s">
        <v>1259</v>
      </c>
      <c r="G648" s="17" t="str">
        <f t="shared" si="20"/>
        <v>CLASSES.FORWARDONLY</v>
      </c>
      <c r="H648" s="17" t="str">
        <f t="shared" si="21"/>
        <v>PROJECT_COST_CLASS.CALC_SOURCE_RESULTS</v>
      </c>
      <c r="I648" s="29"/>
      <c r="J6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48" s="17"/>
    </row>
    <row r="649" spans="1:11" hidden="1" x14ac:dyDescent="0.2">
      <c r="A649" s="14" t="s">
        <v>450</v>
      </c>
      <c r="B649" s="14" t="s">
        <v>2186</v>
      </c>
      <c r="C649" s="14" t="s">
        <v>1312</v>
      </c>
      <c r="D649" s="14"/>
      <c r="E649" s="14"/>
      <c r="F649" s="14" t="s">
        <v>2473</v>
      </c>
      <c r="G649" s="23" t="str">
        <f t="shared" si="20"/>
        <v>CLASSES.READONLY</v>
      </c>
      <c r="H649" s="23" t="str">
        <f t="shared" si="21"/>
        <v>.</v>
      </c>
      <c r="I649" s="30" t="s">
        <v>2411</v>
      </c>
      <c r="J6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PROJECT_COST_CLASS.READONLY</v>
      </c>
      <c r="K649" s="17"/>
    </row>
    <row r="650" spans="1:11" hidden="1" x14ac:dyDescent="0.2">
      <c r="A650" t="s">
        <v>450</v>
      </c>
      <c r="B650" t="s">
        <v>2186</v>
      </c>
      <c r="C650" t="s">
        <v>35</v>
      </c>
      <c r="D650" t="s">
        <v>1068</v>
      </c>
      <c r="E650" t="s">
        <v>35</v>
      </c>
      <c r="G650" s="17" t="str">
        <f t="shared" si="20"/>
        <v>CLASSES.SEQUENCE</v>
      </c>
      <c r="H650" s="17" t="str">
        <f t="shared" si="21"/>
        <v>PROJECT_COST_CLASS.SEQUENCE</v>
      </c>
      <c r="I650" s="29"/>
      <c r="J6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0" s="17"/>
    </row>
    <row r="651" spans="1:11" hidden="1" x14ac:dyDescent="0.2">
      <c r="A651" t="s">
        <v>450</v>
      </c>
      <c r="B651" t="s">
        <v>2186</v>
      </c>
      <c r="C651" t="s">
        <v>2111</v>
      </c>
      <c r="D651" t="s">
        <v>1068</v>
      </c>
      <c r="E651" t="s">
        <v>71</v>
      </c>
      <c r="G651" s="17" t="str">
        <f t="shared" si="20"/>
        <v>CLASSES.LASTUPDATE</v>
      </c>
      <c r="H651" s="17" t="str">
        <f t="shared" si="21"/>
        <v>PROJECT_COST_CLASS.LAST_MODIFIED_DATE</v>
      </c>
      <c r="I651" s="29"/>
      <c r="J6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1" s="17"/>
    </row>
    <row r="652" spans="1:11" hidden="1" x14ac:dyDescent="0.2">
      <c r="A652" t="s">
        <v>450</v>
      </c>
      <c r="B652" t="s">
        <v>2186</v>
      </c>
      <c r="C652" t="s">
        <v>2112</v>
      </c>
      <c r="D652" t="s">
        <v>1068</v>
      </c>
      <c r="E652" t="s">
        <v>68</v>
      </c>
      <c r="G652" s="17" t="str">
        <f t="shared" si="20"/>
        <v>CLASSES.USR_ID</v>
      </c>
      <c r="H652" s="17" t="str">
        <f t="shared" si="21"/>
        <v>PROJECT_COST_CLASS.LAST_MODIFIED_BY_USER_UID</v>
      </c>
      <c r="I652" s="29"/>
      <c r="J6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2" s="17"/>
    </row>
    <row r="653" spans="1:11" hidden="1" x14ac:dyDescent="0.2">
      <c r="A653" s="14" t="s">
        <v>450</v>
      </c>
      <c r="B653" s="14" t="s">
        <v>2198</v>
      </c>
      <c r="C653" s="14" t="s">
        <v>744</v>
      </c>
      <c r="D653" s="14"/>
      <c r="E653" s="14"/>
      <c r="F653" s="14" t="s">
        <v>2478</v>
      </c>
      <c r="G653" s="23" t="str">
        <f t="shared" si="20"/>
        <v>CLASSESLINK.PROGRAM</v>
      </c>
      <c r="H653" s="23" t="str">
        <f t="shared" si="21"/>
        <v>.</v>
      </c>
      <c r="I653" s="30" t="s">
        <v>2411</v>
      </c>
      <c r="J6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PROJECT_COST_CLASS_LINK.PROGRAM</v>
      </c>
      <c r="K653" s="17"/>
    </row>
    <row r="654" spans="1:11" hidden="1" x14ac:dyDescent="0.2">
      <c r="A654" t="s">
        <v>450</v>
      </c>
      <c r="B654" t="s">
        <v>2198</v>
      </c>
      <c r="C654" t="s">
        <v>1100</v>
      </c>
      <c r="D654" t="s">
        <v>1332</v>
      </c>
      <c r="E654" t="s">
        <v>1335</v>
      </c>
      <c r="G654" s="17" t="str">
        <f t="shared" si="20"/>
        <v>CLASSESLINK.CLASS</v>
      </c>
      <c r="H654" s="17" t="str">
        <f t="shared" si="21"/>
        <v>PROJECT_COST_CLASS_LINK.PARENT_PROJECT_COST_CLASS_UID</v>
      </c>
      <c r="I654" s="29"/>
      <c r="J6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4" s="17"/>
    </row>
    <row r="655" spans="1:11" hidden="1" x14ac:dyDescent="0.2">
      <c r="A655" t="s">
        <v>450</v>
      </c>
      <c r="B655" t="s">
        <v>2198</v>
      </c>
      <c r="C655" t="s">
        <v>1344</v>
      </c>
      <c r="D655" t="s">
        <v>1332</v>
      </c>
      <c r="E655" t="s">
        <v>1067</v>
      </c>
      <c r="G655" s="17" t="str">
        <f t="shared" si="20"/>
        <v>CLASSESLINK.CONTAINEDCLASS</v>
      </c>
      <c r="H655" s="17" t="str">
        <f t="shared" si="21"/>
        <v>PROJECT_COST_CLASS_LINK.PROJECT_COST_CLASS_UID</v>
      </c>
      <c r="I655" s="29"/>
      <c r="J6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5" s="17"/>
    </row>
    <row r="656" spans="1:11" hidden="1" x14ac:dyDescent="0.2">
      <c r="A656" s="14" t="s">
        <v>450</v>
      </c>
      <c r="B656" s="14" t="s">
        <v>2217</v>
      </c>
      <c r="C656" s="14" t="s">
        <v>744</v>
      </c>
      <c r="D656" t="s">
        <v>1059</v>
      </c>
      <c r="E656" s="14" t="s">
        <v>744</v>
      </c>
      <c r="F656" s="14" t="s">
        <v>2479</v>
      </c>
      <c r="G656" s="23" t="str">
        <f t="shared" si="20"/>
        <v>COSTELEM.PROGRAM</v>
      </c>
      <c r="H656" s="23" t="str">
        <f t="shared" si="21"/>
        <v>PROJECT_CAWP_RESOURCE.PROGRAM</v>
      </c>
      <c r="I656" s="30" t="s">
        <v>2411</v>
      </c>
      <c r="J6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PROJECT_CAWP_RESOURCE.PROGRAM</v>
      </c>
      <c r="K656" s="17"/>
    </row>
    <row r="657" spans="1:11" hidden="1" x14ac:dyDescent="0.2">
      <c r="A657" t="s">
        <v>450</v>
      </c>
      <c r="B657" t="s">
        <v>2217</v>
      </c>
      <c r="C657" t="s">
        <v>1009</v>
      </c>
      <c r="D657" t="s">
        <v>1059</v>
      </c>
      <c r="E657" t="s">
        <v>833</v>
      </c>
      <c r="G657" s="17" t="str">
        <f t="shared" si="20"/>
        <v>COSTELEM.CAWPID</v>
      </c>
      <c r="H657" s="17" t="str">
        <f t="shared" si="21"/>
        <v>PROJECT_CAWP_RESOURCE.PROJECT_CAWP_UID</v>
      </c>
      <c r="I657" s="29"/>
      <c r="J6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7" s="17"/>
    </row>
    <row r="658" spans="1:11" hidden="1" x14ac:dyDescent="0.2">
      <c r="A658" t="s">
        <v>450</v>
      </c>
      <c r="B658" t="s">
        <v>2217</v>
      </c>
      <c r="C658" t="s">
        <v>1098</v>
      </c>
      <c r="D658" t="s">
        <v>1059</v>
      </c>
      <c r="E658" t="s">
        <v>1063</v>
      </c>
      <c r="G658" s="17" t="str">
        <f t="shared" si="20"/>
        <v>COSTELEM.CECODE</v>
      </c>
      <c r="H658" s="17" t="str">
        <f t="shared" si="21"/>
        <v>PROJECT_CAWP_RESOURCE.RESOURCES_UID</v>
      </c>
      <c r="I658" s="29"/>
      <c r="J6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8" s="17"/>
    </row>
    <row r="659" spans="1:11" hidden="1" x14ac:dyDescent="0.2">
      <c r="A659" t="s">
        <v>450</v>
      </c>
      <c r="B659" t="s">
        <v>2217</v>
      </c>
      <c r="C659" t="s">
        <v>1100</v>
      </c>
      <c r="D659" t="s">
        <v>1059</v>
      </c>
      <c r="E659" t="s">
        <v>2480</v>
      </c>
      <c r="G659" s="17" t="str">
        <f t="shared" si="20"/>
        <v>COSTELEM.CLASS</v>
      </c>
      <c r="H659" s="17" t="str">
        <f t="shared" si="21"/>
        <v>PROJECT_CAWP_RESOURCE.COST_CLASS_UID</v>
      </c>
      <c r="I659" s="29"/>
      <c r="J6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59" s="17"/>
    </row>
    <row r="660" spans="1:11" hidden="1" x14ac:dyDescent="0.2">
      <c r="A660" t="s">
        <v>450</v>
      </c>
      <c r="B660" t="s">
        <v>2217</v>
      </c>
      <c r="C660" t="s">
        <v>607</v>
      </c>
      <c r="D660" t="s">
        <v>1059</v>
      </c>
      <c r="E660" t="s">
        <v>607</v>
      </c>
      <c r="G660" s="17" t="str">
        <f t="shared" si="20"/>
        <v>COSTELEM.BAC</v>
      </c>
      <c r="H660" s="17" t="str">
        <f t="shared" si="21"/>
        <v>PROJECT_CAWP_RESOURCE.BAC</v>
      </c>
      <c r="I660" s="29"/>
      <c r="J6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60" s="17"/>
    </row>
    <row r="661" spans="1:11" hidden="1" x14ac:dyDescent="0.2">
      <c r="A661" t="s">
        <v>450</v>
      </c>
      <c r="B661" t="s">
        <v>2217</v>
      </c>
      <c r="C661" t="s">
        <v>2218</v>
      </c>
      <c r="D661" t="s">
        <v>1059</v>
      </c>
      <c r="E661" t="s">
        <v>939</v>
      </c>
      <c r="G661" s="17" t="str">
        <f t="shared" si="20"/>
        <v>COSTELEM.FC_PC</v>
      </c>
      <c r="H661" s="17" t="str">
        <f t="shared" si="21"/>
        <v>PROJECT_CAWP_RESOURCE.PERCENT_COMPLETE</v>
      </c>
      <c r="I661" s="29"/>
      <c r="J6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61" s="17"/>
    </row>
    <row r="662" spans="1:11" hidden="1" x14ac:dyDescent="0.2">
      <c r="A662" t="s">
        <v>450</v>
      </c>
      <c r="B662" t="s">
        <v>2217</v>
      </c>
      <c r="C662" t="s">
        <v>1088</v>
      </c>
      <c r="D662" t="s">
        <v>1059</v>
      </c>
      <c r="E662" t="s">
        <v>1088</v>
      </c>
      <c r="G662" s="17" t="str">
        <f t="shared" si="20"/>
        <v>COSTELEM.PF</v>
      </c>
      <c r="H662" s="17" t="str">
        <f t="shared" si="21"/>
        <v>PROJECT_CAWP_RESOURCE.PF</v>
      </c>
      <c r="I662" s="29"/>
      <c r="J6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62" s="17"/>
    </row>
    <row r="663" spans="1:11" hidden="1" x14ac:dyDescent="0.2">
      <c r="A663" t="s">
        <v>450</v>
      </c>
      <c r="B663" t="s">
        <v>2217</v>
      </c>
      <c r="C663" t="s">
        <v>1091</v>
      </c>
      <c r="D663" t="s">
        <v>1059</v>
      </c>
      <c r="E663" t="s">
        <v>1091</v>
      </c>
      <c r="G663" s="17" t="str">
        <f t="shared" si="20"/>
        <v>COSTELEM.GA_PF</v>
      </c>
      <c r="H663" s="17" t="str">
        <f t="shared" si="21"/>
        <v>PROJECT_CAWP_RESOURCE.GA_PF</v>
      </c>
      <c r="I663" s="29"/>
      <c r="J6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63" s="17"/>
    </row>
    <row r="664" spans="1:11" hidden="1" x14ac:dyDescent="0.2">
      <c r="A664" s="14" t="s">
        <v>450</v>
      </c>
      <c r="B664" s="14" t="s">
        <v>2217</v>
      </c>
      <c r="C664" s="14" t="s">
        <v>963</v>
      </c>
      <c r="D664" s="14"/>
      <c r="E664" s="14" t="s">
        <v>1626</v>
      </c>
      <c r="F664" s="14" t="s">
        <v>2467</v>
      </c>
      <c r="G664" s="23" t="str">
        <f t="shared" si="20"/>
        <v>COSTELEM.C1</v>
      </c>
      <c r="H664" s="23" t="str">
        <f t="shared" si="21"/>
        <v>.CODE_UID</v>
      </c>
      <c r="I664" s="30" t="s">
        <v>2411</v>
      </c>
      <c r="J6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PROJECT_CAWP_RESOURCE.C1</v>
      </c>
      <c r="K664" s="17"/>
    </row>
    <row r="665" spans="1:11" hidden="1" x14ac:dyDescent="0.2">
      <c r="A665" s="14" t="s">
        <v>450</v>
      </c>
      <c r="B665" s="14" t="s">
        <v>2217</v>
      </c>
      <c r="C665" s="14" t="s">
        <v>985</v>
      </c>
      <c r="D665" s="14"/>
      <c r="E665" s="14"/>
      <c r="F665" s="14" t="s">
        <v>2467</v>
      </c>
      <c r="G665" s="23" t="str">
        <f t="shared" si="20"/>
        <v>COSTELEM.C2</v>
      </c>
      <c r="H665" s="23" t="str">
        <f t="shared" si="21"/>
        <v>.</v>
      </c>
      <c r="I665" s="30" t="s">
        <v>2411</v>
      </c>
      <c r="J6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PROJECT_CAWP_RESOURCE.C2</v>
      </c>
      <c r="K665" s="17"/>
    </row>
    <row r="666" spans="1:11" hidden="1" x14ac:dyDescent="0.2">
      <c r="A666" s="14" t="s">
        <v>450</v>
      </c>
      <c r="B666" s="14" t="s">
        <v>2217</v>
      </c>
      <c r="C666" s="14" t="s">
        <v>989</v>
      </c>
      <c r="D666" s="14"/>
      <c r="E666" s="14"/>
      <c r="F666" s="14" t="s">
        <v>2467</v>
      </c>
      <c r="G666" s="23" t="str">
        <f t="shared" si="20"/>
        <v>COSTELEM.C3</v>
      </c>
      <c r="H666" s="23" t="str">
        <f t="shared" si="21"/>
        <v>.</v>
      </c>
      <c r="I666" s="30" t="s">
        <v>2411</v>
      </c>
      <c r="J6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PROJECT_CAWP_RESOURCE.C3</v>
      </c>
      <c r="K666" s="17"/>
    </row>
    <row r="667" spans="1:11" hidden="1" x14ac:dyDescent="0.2">
      <c r="A667" s="14" t="s">
        <v>450</v>
      </c>
      <c r="B667" s="14" t="s">
        <v>2217</v>
      </c>
      <c r="C667" s="14" t="s">
        <v>991</v>
      </c>
      <c r="D667" s="14"/>
      <c r="E667" s="14"/>
      <c r="F667" s="14" t="s">
        <v>2467</v>
      </c>
      <c r="G667" s="23" t="str">
        <f t="shared" si="20"/>
        <v>COSTELEM.C4</v>
      </c>
      <c r="H667" s="23" t="str">
        <f t="shared" si="21"/>
        <v>.</v>
      </c>
      <c r="I667" s="30" t="s">
        <v>2411</v>
      </c>
      <c r="J6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PROJECT_CAWP_RESOURCE.C4</v>
      </c>
      <c r="K667" s="17"/>
    </row>
    <row r="668" spans="1:11" hidden="1" x14ac:dyDescent="0.2">
      <c r="A668" s="14" t="s">
        <v>450</v>
      </c>
      <c r="B668" s="14" t="s">
        <v>2217</v>
      </c>
      <c r="C668" s="14" t="s">
        <v>993</v>
      </c>
      <c r="D668" s="14"/>
      <c r="E668" s="14"/>
      <c r="F668" s="14" t="s">
        <v>2467</v>
      </c>
      <c r="G668" s="23" t="str">
        <f t="shared" si="20"/>
        <v>COSTELEM.C5</v>
      </c>
      <c r="H668" s="23" t="str">
        <f t="shared" si="21"/>
        <v>.</v>
      </c>
      <c r="I668" s="30" t="s">
        <v>2411</v>
      </c>
      <c r="J6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PROJECT_CAWP_RESOURCE.C5</v>
      </c>
      <c r="K668" s="17"/>
    </row>
    <row r="669" spans="1:11" hidden="1" x14ac:dyDescent="0.2">
      <c r="A669" s="14" t="s">
        <v>450</v>
      </c>
      <c r="B669" s="14" t="s">
        <v>2217</v>
      </c>
      <c r="C669" s="14" t="s">
        <v>995</v>
      </c>
      <c r="D669" s="14"/>
      <c r="E669" s="14"/>
      <c r="F669" s="14" t="s">
        <v>2467</v>
      </c>
      <c r="G669" s="23" t="str">
        <f t="shared" si="20"/>
        <v>COSTELEM.C6</v>
      </c>
      <c r="H669" s="23" t="str">
        <f t="shared" si="21"/>
        <v>.</v>
      </c>
      <c r="I669" s="30" t="s">
        <v>2411</v>
      </c>
      <c r="J6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PROJECT_CAWP_RESOURCE.C6</v>
      </c>
      <c r="K669" s="17"/>
    </row>
    <row r="670" spans="1:11" hidden="1" x14ac:dyDescent="0.2">
      <c r="A670" s="14" t="s">
        <v>450</v>
      </c>
      <c r="B670" s="14" t="s">
        <v>2217</v>
      </c>
      <c r="C670" s="14" t="s">
        <v>997</v>
      </c>
      <c r="D670" s="14"/>
      <c r="E670" s="14"/>
      <c r="F670" s="14" t="s">
        <v>2467</v>
      </c>
      <c r="G670" s="23" t="str">
        <f t="shared" si="20"/>
        <v>COSTELEM.C7</v>
      </c>
      <c r="H670" s="23" t="str">
        <f t="shared" si="21"/>
        <v>.</v>
      </c>
      <c r="I670" s="30" t="s">
        <v>2411</v>
      </c>
      <c r="J6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PROJECT_CAWP_RESOURCE.C7</v>
      </c>
      <c r="K670" s="17"/>
    </row>
    <row r="671" spans="1:11" hidden="1" x14ac:dyDescent="0.2">
      <c r="A671" s="14" t="s">
        <v>450</v>
      </c>
      <c r="B671" s="14" t="s">
        <v>2217</v>
      </c>
      <c r="C671" s="14" t="s">
        <v>999</v>
      </c>
      <c r="D671" s="14"/>
      <c r="E671" s="14"/>
      <c r="F671" s="14" t="s">
        <v>2467</v>
      </c>
      <c r="G671" s="23" t="str">
        <f t="shared" si="20"/>
        <v>COSTELEM.C8</v>
      </c>
      <c r="H671" s="23" t="str">
        <f t="shared" si="21"/>
        <v>.</v>
      </c>
      <c r="I671" s="30" t="s">
        <v>2411</v>
      </c>
      <c r="J6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PROJECT_CAWP_RESOURCE.C8</v>
      </c>
      <c r="K671" s="17"/>
    </row>
    <row r="672" spans="1:11" hidden="1" x14ac:dyDescent="0.2">
      <c r="A672" s="14" t="s">
        <v>450</v>
      </c>
      <c r="B672" s="14" t="s">
        <v>2217</v>
      </c>
      <c r="C672" s="14" t="s">
        <v>1001</v>
      </c>
      <c r="D672" s="14"/>
      <c r="E672" s="14"/>
      <c r="F672" s="14" t="s">
        <v>2467</v>
      </c>
      <c r="G672" s="23" t="str">
        <f t="shared" si="20"/>
        <v>COSTELEM.C9</v>
      </c>
      <c r="H672" s="23" t="str">
        <f t="shared" si="21"/>
        <v>.</v>
      </c>
      <c r="I672" s="30" t="s">
        <v>2411</v>
      </c>
      <c r="J6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PROJECT_CAWP_RESOURCE.C9</v>
      </c>
      <c r="K672" s="17"/>
    </row>
    <row r="673" spans="1:11" hidden="1" x14ac:dyDescent="0.2">
      <c r="A673" t="s">
        <v>450</v>
      </c>
      <c r="B673" t="s">
        <v>2217</v>
      </c>
      <c r="C673" t="s">
        <v>35</v>
      </c>
      <c r="D673" t="s">
        <v>1059</v>
      </c>
      <c r="E673" t="s">
        <v>35</v>
      </c>
      <c r="G673" s="17" t="str">
        <f t="shared" si="20"/>
        <v>COSTELEM.SEQUENCE</v>
      </c>
      <c r="H673" s="17" t="str">
        <f t="shared" si="21"/>
        <v>PROJECT_CAWP_RESOURCE.SEQUENCE</v>
      </c>
      <c r="I673" s="29"/>
      <c r="J6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73" s="17"/>
    </row>
    <row r="674" spans="1:11" hidden="1" x14ac:dyDescent="0.2">
      <c r="A674" t="s">
        <v>450</v>
      </c>
      <c r="B674" t="s">
        <v>2217</v>
      </c>
      <c r="C674" t="s">
        <v>2111</v>
      </c>
      <c r="D674" t="s">
        <v>1059</v>
      </c>
      <c r="E674" t="s">
        <v>71</v>
      </c>
      <c r="G674" s="17" t="str">
        <f t="shared" si="20"/>
        <v>COSTELEM.LASTUPDATE</v>
      </c>
      <c r="H674" s="17" t="str">
        <f t="shared" si="21"/>
        <v>PROJECT_CAWP_RESOURCE.LAST_MODIFIED_DATE</v>
      </c>
      <c r="I674" s="29"/>
      <c r="J6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74" s="17"/>
    </row>
    <row r="675" spans="1:11" hidden="1" x14ac:dyDescent="0.2">
      <c r="A675" t="s">
        <v>450</v>
      </c>
      <c r="B675" t="s">
        <v>2217</v>
      </c>
      <c r="C675" t="s">
        <v>2112</v>
      </c>
      <c r="D675" t="s">
        <v>1059</v>
      </c>
      <c r="E675" t="s">
        <v>68</v>
      </c>
      <c r="G675" s="17" t="str">
        <f t="shared" si="20"/>
        <v>COSTELEM.USR_ID</v>
      </c>
      <c r="H675" s="17" t="str">
        <f t="shared" si="21"/>
        <v>PROJECT_CAWP_RESOURCE.LAST_MODIFIED_BY_USER_UID</v>
      </c>
      <c r="I675" s="29"/>
      <c r="J6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75" s="17"/>
    </row>
    <row r="676" spans="1:11" hidden="1" x14ac:dyDescent="0.2">
      <c r="A676" t="s">
        <v>450</v>
      </c>
      <c r="B676" t="s">
        <v>2217</v>
      </c>
      <c r="C676" t="s">
        <v>1015</v>
      </c>
      <c r="D676" t="s">
        <v>1059</v>
      </c>
      <c r="E676" t="s">
        <v>1015</v>
      </c>
      <c r="G676" s="17" t="str">
        <f t="shared" si="20"/>
        <v>COSTELEM.EOC</v>
      </c>
      <c r="H676" s="17" t="str">
        <f t="shared" si="21"/>
        <v>PROJECT_CAWP_RESOURCE.EOC</v>
      </c>
      <c r="I676" s="29"/>
      <c r="J6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76" s="17"/>
    </row>
    <row r="677" spans="1:11" hidden="1" x14ac:dyDescent="0.2">
      <c r="A677" t="s">
        <v>450</v>
      </c>
      <c r="B677" t="s">
        <v>2217</v>
      </c>
      <c r="C677" t="s">
        <v>1102</v>
      </c>
      <c r="D677" t="s">
        <v>1059</v>
      </c>
      <c r="E677" t="s">
        <v>1071</v>
      </c>
      <c r="G677" s="17" t="str">
        <f t="shared" si="20"/>
        <v>COSTELEM.SPREADNAME</v>
      </c>
      <c r="H677" s="17" t="str">
        <f t="shared" si="21"/>
        <v>PROJECT_CAWP_RESOURCE.SPREAD_CURVE_UID</v>
      </c>
      <c r="I677" s="29"/>
      <c r="J6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77" s="17"/>
    </row>
    <row r="678" spans="1:11" hidden="1" x14ac:dyDescent="0.2">
      <c r="A678" t="s">
        <v>450</v>
      </c>
      <c r="B678" t="s">
        <v>2217</v>
      </c>
      <c r="C678" s="39" t="s">
        <v>1009</v>
      </c>
      <c r="D678" t="s">
        <v>1059</v>
      </c>
      <c r="E678" s="39" t="s">
        <v>1009</v>
      </c>
      <c r="F678" s="40"/>
      <c r="G678" s="39" t="str">
        <f>_xlfn.CONCAT(B678,".",C678)</f>
        <v>COSTELEM.CAWPID</v>
      </c>
      <c r="H678" s="39" t="str">
        <f>_xlfn.CONCAT(D678,".",E678)</f>
        <v>PROJECT_CAWP_RESOURCE.CAWPID</v>
      </c>
      <c r="I678" s="35"/>
      <c r="J678" s="39"/>
      <c r="K678" s="39"/>
    </row>
    <row r="679" spans="1:11" hidden="1" x14ac:dyDescent="0.2">
      <c r="A679" t="s">
        <v>450</v>
      </c>
      <c r="B679" t="s">
        <v>2217</v>
      </c>
      <c r="C679" s="39" t="s">
        <v>1098</v>
      </c>
      <c r="D679" t="s">
        <v>1059</v>
      </c>
      <c r="E679" s="39" t="s">
        <v>1098</v>
      </c>
      <c r="F679" s="40"/>
      <c r="G679" s="39" t="str">
        <f>_xlfn.CONCAT(B679,".",C679)</f>
        <v>COSTELEM.CECODE</v>
      </c>
      <c r="H679" s="39" t="str">
        <f>_xlfn.CONCAT(D679,".",E679)</f>
        <v>PROJECT_CAWP_RESOURCE.CECODE</v>
      </c>
      <c r="I679" s="35"/>
      <c r="J679" s="39"/>
      <c r="K679" s="39"/>
    </row>
    <row r="680" spans="1:11" hidden="1" x14ac:dyDescent="0.2">
      <c r="A680" t="s">
        <v>450</v>
      </c>
      <c r="B680" t="s">
        <v>2217</v>
      </c>
      <c r="C680" s="39" t="s">
        <v>1100</v>
      </c>
      <c r="D680" t="s">
        <v>1059</v>
      </c>
      <c r="E680" s="39" t="s">
        <v>1100</v>
      </c>
      <c r="F680" s="40"/>
      <c r="G680" s="39" t="str">
        <f>_xlfn.CONCAT(B680,".",C680)</f>
        <v>COSTELEM.CLASS</v>
      </c>
      <c r="H680" s="39" t="str">
        <f>_xlfn.CONCAT(D680,".",E680)</f>
        <v>PROJECT_CAWP_RESOURCE.CLASS</v>
      </c>
      <c r="I680" s="35"/>
      <c r="J680" s="39"/>
      <c r="K680" s="39"/>
    </row>
    <row r="681" spans="1:11" hidden="1" x14ac:dyDescent="0.2">
      <c r="A681" t="s">
        <v>450</v>
      </c>
      <c r="B681" t="s">
        <v>2217</v>
      </c>
      <c r="C681" t="s">
        <v>1102</v>
      </c>
      <c r="D681" t="s">
        <v>1059</v>
      </c>
      <c r="E681" t="s">
        <v>1102</v>
      </c>
      <c r="F681" s="40"/>
      <c r="G681" s="39" t="str">
        <f>_xlfn.CONCAT(B681,".",C681)</f>
        <v>COSTELEM.SPREADNAME</v>
      </c>
      <c r="H681" s="39" t="str">
        <f>_xlfn.CONCAT(D681,".",E681)</f>
        <v>PROJECT_CAWP_RESOURCE.SPREADNAME</v>
      </c>
      <c r="I681" s="35"/>
      <c r="J681" s="39"/>
      <c r="K681" s="39"/>
    </row>
    <row r="682" spans="1:11" hidden="1" x14ac:dyDescent="0.2">
      <c r="A682" t="s">
        <v>450</v>
      </c>
      <c r="B682" t="s">
        <v>2219</v>
      </c>
      <c r="C682" t="s">
        <v>744</v>
      </c>
      <c r="D682" t="s">
        <v>1347</v>
      </c>
      <c r="E682" t="s">
        <v>770</v>
      </c>
      <c r="G682" s="17" t="str">
        <f t="shared" si="20"/>
        <v>COSTREP.PROGRAM</v>
      </c>
      <c r="H682" s="17" t="str">
        <f t="shared" si="21"/>
        <v>PROJECT_COST_SET.PROJECT_UID</v>
      </c>
      <c r="I682" s="29"/>
      <c r="J6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2" s="17"/>
    </row>
    <row r="683" spans="1:11" hidden="1" x14ac:dyDescent="0.2">
      <c r="A683" t="s">
        <v>450</v>
      </c>
      <c r="B683" t="s">
        <v>2219</v>
      </c>
      <c r="C683" t="s">
        <v>1369</v>
      </c>
      <c r="D683" t="s">
        <v>1347</v>
      </c>
      <c r="E683" t="s">
        <v>47</v>
      </c>
      <c r="G683" s="17" t="str">
        <f t="shared" si="20"/>
        <v>COSTREP.COST</v>
      </c>
      <c r="H683" s="17" t="str">
        <f t="shared" si="21"/>
        <v>PROJECT_COST_SET.NAME</v>
      </c>
      <c r="I683" s="29"/>
      <c r="J6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3" s="17"/>
    </row>
    <row r="684" spans="1:11" hidden="1" x14ac:dyDescent="0.2">
      <c r="A684" t="s">
        <v>450</v>
      </c>
      <c r="B684" t="s">
        <v>2219</v>
      </c>
      <c r="C684" t="s">
        <v>2220</v>
      </c>
      <c r="D684" t="s">
        <v>1347</v>
      </c>
      <c r="E684" t="s">
        <v>15</v>
      </c>
      <c r="G684" s="17" t="str">
        <f t="shared" si="20"/>
        <v>COSTREP.COSTDESC</v>
      </c>
      <c r="H684" s="17" t="str">
        <f t="shared" si="21"/>
        <v>PROJECT_COST_SET.DESCRIPTION</v>
      </c>
      <c r="I684" s="29"/>
      <c r="J6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4" s="17"/>
    </row>
    <row r="685" spans="1:11" hidden="1" x14ac:dyDescent="0.2">
      <c r="A685" t="s">
        <v>450</v>
      </c>
      <c r="B685" t="s">
        <v>2219</v>
      </c>
      <c r="C685" t="s">
        <v>1256</v>
      </c>
      <c r="D685" t="s">
        <v>1347</v>
      </c>
      <c r="E685" t="s">
        <v>1256</v>
      </c>
      <c r="G685" s="17" t="str">
        <f t="shared" si="20"/>
        <v>COSTREP.REQUIRED</v>
      </c>
      <c r="H685" s="17" t="str">
        <f t="shared" si="21"/>
        <v>PROJECT_COST_SET.REQUIRED</v>
      </c>
      <c r="I685" s="29"/>
      <c r="J6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5" s="17"/>
    </row>
    <row r="686" spans="1:11" hidden="1" x14ac:dyDescent="0.2">
      <c r="A686" t="s">
        <v>450</v>
      </c>
      <c r="B686" t="s">
        <v>2219</v>
      </c>
      <c r="C686" t="s">
        <v>35</v>
      </c>
      <c r="D686" t="s">
        <v>1347</v>
      </c>
      <c r="E686" t="s">
        <v>35</v>
      </c>
      <c r="G686" s="17" t="str">
        <f t="shared" si="20"/>
        <v>COSTREP.SEQUENCE</v>
      </c>
      <c r="H686" s="17" t="str">
        <f t="shared" si="21"/>
        <v>PROJECT_COST_SET.SEQUENCE</v>
      </c>
      <c r="I686" s="29"/>
      <c r="J6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6" s="17"/>
    </row>
    <row r="687" spans="1:11" hidden="1" x14ac:dyDescent="0.2">
      <c r="A687" t="s">
        <v>450</v>
      </c>
      <c r="B687" t="s">
        <v>2219</v>
      </c>
      <c r="C687" t="s">
        <v>2111</v>
      </c>
      <c r="D687" t="s">
        <v>1347</v>
      </c>
      <c r="E687" t="s">
        <v>71</v>
      </c>
      <c r="G687" s="17" t="str">
        <f t="shared" si="20"/>
        <v>COSTREP.LASTUPDATE</v>
      </c>
      <c r="H687" s="17" t="str">
        <f t="shared" si="21"/>
        <v>PROJECT_COST_SET.LAST_MODIFIED_DATE</v>
      </c>
      <c r="I687" s="29"/>
      <c r="J6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7" s="17"/>
    </row>
    <row r="688" spans="1:11" hidden="1" x14ac:dyDescent="0.2">
      <c r="A688" t="s">
        <v>450</v>
      </c>
      <c r="B688" t="s">
        <v>2219</v>
      </c>
      <c r="C688" t="s">
        <v>2112</v>
      </c>
      <c r="D688" t="s">
        <v>1347</v>
      </c>
      <c r="E688" t="s">
        <v>68</v>
      </c>
      <c r="G688" s="17" t="str">
        <f t="shared" si="20"/>
        <v>COSTREP.USR_ID</v>
      </c>
      <c r="H688" s="17" t="str">
        <f t="shared" si="21"/>
        <v>PROJECT_COST_SET.LAST_MODIFIED_BY_USER_UID</v>
      </c>
      <c r="I688" s="29"/>
      <c r="J6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88" s="17"/>
    </row>
    <row r="689" spans="1:11" hidden="1" x14ac:dyDescent="0.2">
      <c r="A689" s="14" t="s">
        <v>450</v>
      </c>
      <c r="B689" s="14" t="s">
        <v>2221</v>
      </c>
      <c r="C689" s="14" t="s">
        <v>744</v>
      </c>
      <c r="D689" s="14"/>
      <c r="E689" s="14"/>
      <c r="F689" s="14" t="s">
        <v>2481</v>
      </c>
      <c r="G689" s="23" t="str">
        <f t="shared" si="20"/>
        <v>COSTREPCLASS.PROGRAM</v>
      </c>
      <c r="H689" s="23" t="str">
        <f t="shared" si="21"/>
        <v>.</v>
      </c>
      <c r="I689" s="30" t="s">
        <v>2411</v>
      </c>
      <c r="J6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PROJECT_COST_SET_CLASS.PROGRAM</v>
      </c>
      <c r="K689" s="17"/>
    </row>
    <row r="690" spans="1:11" hidden="1" x14ac:dyDescent="0.2">
      <c r="A690" t="s">
        <v>450</v>
      </c>
      <c r="B690" t="s">
        <v>2221</v>
      </c>
      <c r="C690" t="s">
        <v>1369</v>
      </c>
      <c r="D690" t="s">
        <v>1358</v>
      </c>
      <c r="E690" t="s">
        <v>1360</v>
      </c>
      <c r="G690" s="17" t="str">
        <f t="shared" si="20"/>
        <v>COSTREPCLASS.COST</v>
      </c>
      <c r="H690" s="17" t="str">
        <f t="shared" si="21"/>
        <v>PROJECT_COST_SET_CLASS.PROJECT_COST_SET_UID</v>
      </c>
      <c r="I690" s="29"/>
      <c r="J6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0" s="17"/>
    </row>
    <row r="691" spans="1:11" hidden="1" x14ac:dyDescent="0.2">
      <c r="A691" t="s">
        <v>450</v>
      </c>
      <c r="B691" t="s">
        <v>2221</v>
      </c>
      <c r="C691" t="s">
        <v>1100</v>
      </c>
      <c r="D691" t="s">
        <v>1358</v>
      </c>
      <c r="E691" t="s">
        <v>1067</v>
      </c>
      <c r="G691" s="17" t="str">
        <f t="shared" si="20"/>
        <v>COSTREPCLASS.CLASS</v>
      </c>
      <c r="H691" s="17" t="str">
        <f t="shared" si="21"/>
        <v>PROJECT_COST_SET_CLASS.PROJECT_COST_CLASS_UID</v>
      </c>
      <c r="I691" s="29"/>
      <c r="J6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1" s="17"/>
    </row>
    <row r="692" spans="1:11" hidden="1" x14ac:dyDescent="0.2">
      <c r="A692" t="s">
        <v>450</v>
      </c>
      <c r="B692" t="s">
        <v>2230</v>
      </c>
      <c r="C692" t="s">
        <v>744</v>
      </c>
      <c r="D692" t="s">
        <v>1399</v>
      </c>
      <c r="E692" t="s">
        <v>770</v>
      </c>
      <c r="G692" s="17" t="str">
        <f t="shared" si="20"/>
        <v>MILESTN.PROGRAM</v>
      </c>
      <c r="H692" s="17" t="str">
        <f t="shared" si="21"/>
        <v>PROJECT_WP_MILESTONE.PROJECT_UID</v>
      </c>
      <c r="I692" s="29"/>
      <c r="J6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2" s="17"/>
    </row>
    <row r="693" spans="1:11" hidden="1" x14ac:dyDescent="0.2">
      <c r="A693" t="s">
        <v>450</v>
      </c>
      <c r="B693" t="s">
        <v>2230</v>
      </c>
      <c r="C693" t="s">
        <v>1009</v>
      </c>
      <c r="D693" t="s">
        <v>1399</v>
      </c>
      <c r="E693" t="s">
        <v>1401</v>
      </c>
      <c r="G693" s="17" t="str">
        <f t="shared" si="20"/>
        <v>MILESTN.CAWPID</v>
      </c>
      <c r="H693" s="17" t="str">
        <f t="shared" si="21"/>
        <v>PROJECT_WP_MILESTONE.PROJECT_WORK_PACKAGE_UID</v>
      </c>
      <c r="I693" s="29"/>
      <c r="J6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3" s="17"/>
    </row>
    <row r="694" spans="1:11" hidden="1" x14ac:dyDescent="0.2">
      <c r="A694" t="s">
        <v>450</v>
      </c>
      <c r="B694" t="s">
        <v>2230</v>
      </c>
      <c r="C694" t="s">
        <v>1952</v>
      </c>
      <c r="D694" t="s">
        <v>1399</v>
      </c>
      <c r="E694" t="s">
        <v>47</v>
      </c>
      <c r="G694" s="17" t="str">
        <f t="shared" si="20"/>
        <v>MILESTN.MS_NO</v>
      </c>
      <c r="H694" s="17" t="str">
        <f t="shared" si="21"/>
        <v>PROJECT_WP_MILESTONE.NAME</v>
      </c>
      <c r="I694" s="29"/>
      <c r="J6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4" s="17"/>
    </row>
    <row r="695" spans="1:11" hidden="1" x14ac:dyDescent="0.2">
      <c r="A695" t="s">
        <v>450</v>
      </c>
      <c r="B695" t="s">
        <v>2230</v>
      </c>
      <c r="C695" t="s">
        <v>2141</v>
      </c>
      <c r="D695" t="s">
        <v>1399</v>
      </c>
      <c r="E695" t="s">
        <v>15</v>
      </c>
      <c r="G695" s="17" t="str">
        <f t="shared" si="20"/>
        <v>MILESTN.DESCRIP</v>
      </c>
      <c r="H695" s="17" t="str">
        <f t="shared" si="21"/>
        <v>PROJECT_WP_MILESTONE.DESCRIPTION</v>
      </c>
      <c r="I695" s="29"/>
      <c r="J6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5" s="17"/>
    </row>
    <row r="696" spans="1:11" hidden="1" x14ac:dyDescent="0.2">
      <c r="A696" t="s">
        <v>450</v>
      </c>
      <c r="B696" t="s">
        <v>2230</v>
      </c>
      <c r="C696" t="s">
        <v>2184</v>
      </c>
      <c r="D696" t="s">
        <v>1399</v>
      </c>
      <c r="E696" t="s">
        <v>501</v>
      </c>
      <c r="G696" s="17" t="str">
        <f t="shared" si="20"/>
        <v>MILESTN.SFD</v>
      </c>
      <c r="H696" s="17" t="str">
        <f t="shared" si="21"/>
        <v>PROJECT_WP_MILESTONE.BASELINE_FINISH</v>
      </c>
      <c r="I696" s="29"/>
      <c r="J6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6" s="17"/>
    </row>
    <row r="697" spans="1:11" hidden="1" x14ac:dyDescent="0.2">
      <c r="A697" t="s">
        <v>450</v>
      </c>
      <c r="B697" t="s">
        <v>2230</v>
      </c>
      <c r="C697" t="s">
        <v>2175</v>
      </c>
      <c r="D697" t="s">
        <v>1399</v>
      </c>
      <c r="E697" t="s">
        <v>905</v>
      </c>
      <c r="G697" s="17" t="str">
        <f t="shared" si="20"/>
        <v>MILESTN.AFD</v>
      </c>
      <c r="H697" s="17" t="str">
        <f t="shared" si="21"/>
        <v>PROJECT_WP_MILESTONE.ACTUAL_FINISH</v>
      </c>
      <c r="I697" s="29"/>
      <c r="J6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7" s="17"/>
    </row>
    <row r="698" spans="1:11" hidden="1" x14ac:dyDescent="0.2">
      <c r="A698" t="s">
        <v>450</v>
      </c>
      <c r="B698" t="s">
        <v>2230</v>
      </c>
      <c r="C698" t="s">
        <v>443</v>
      </c>
      <c r="D698" t="s">
        <v>1399</v>
      </c>
      <c r="E698" t="s">
        <v>930</v>
      </c>
      <c r="G698" s="17" t="str">
        <f t="shared" si="20"/>
        <v>MILESTN.FLAG</v>
      </c>
      <c r="H698" s="17" t="str">
        <f t="shared" si="21"/>
        <v>PROJECT_WP_MILESTONE.STATUS</v>
      </c>
      <c r="I698" s="29"/>
      <c r="J6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8" s="17"/>
    </row>
    <row r="699" spans="1:11" hidden="1" x14ac:dyDescent="0.2">
      <c r="A699" t="s">
        <v>450</v>
      </c>
      <c r="B699" t="s">
        <v>2230</v>
      </c>
      <c r="C699" t="s">
        <v>1406</v>
      </c>
      <c r="D699" t="s">
        <v>1399</v>
      </c>
      <c r="E699" t="s">
        <v>1406</v>
      </c>
      <c r="G699" s="17" t="str">
        <f t="shared" si="20"/>
        <v>MILESTN.WEIGHT</v>
      </c>
      <c r="H699" s="17" t="str">
        <f t="shared" si="21"/>
        <v>PROJECT_WP_MILESTONE.WEIGHT</v>
      </c>
      <c r="I699" s="29"/>
      <c r="J6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699" s="17"/>
    </row>
    <row r="700" spans="1:11" hidden="1" x14ac:dyDescent="0.2">
      <c r="A700" t="s">
        <v>450</v>
      </c>
      <c r="B700" t="s">
        <v>2230</v>
      </c>
      <c r="C700" t="s">
        <v>1241</v>
      </c>
      <c r="D700" t="s">
        <v>1399</v>
      </c>
      <c r="E700" t="s">
        <v>939</v>
      </c>
      <c r="G700" s="17" t="str">
        <f t="shared" si="20"/>
        <v>MILESTN.PC_COMP</v>
      </c>
      <c r="H700" s="17" t="str">
        <f t="shared" si="21"/>
        <v>PROJECT_WP_MILESTONE.PERCENT_COMPLETE</v>
      </c>
      <c r="I700" s="29"/>
      <c r="J7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0" s="17"/>
    </row>
    <row r="701" spans="1:11" hidden="1" x14ac:dyDescent="0.2">
      <c r="A701" t="s">
        <v>450</v>
      </c>
      <c r="B701" s="9" t="s">
        <v>2230</v>
      </c>
      <c r="C701" s="9" t="s">
        <v>1011</v>
      </c>
      <c r="D701" t="s">
        <v>1399</v>
      </c>
      <c r="E701" s="9"/>
      <c r="F701" s="9" t="s">
        <v>2482</v>
      </c>
      <c r="G701" s="25" t="str">
        <f t="shared" si="20"/>
        <v>MILESTN.CL_BATCH</v>
      </c>
      <c r="H701" s="25" t="str">
        <f t="shared" si="21"/>
        <v>PROJECT_WP_MILESTONE.</v>
      </c>
      <c r="I701" s="30" t="s">
        <v>2411</v>
      </c>
      <c r="J7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PROJECT_WP_MILESTONE.CL_BATCH</v>
      </c>
      <c r="K701" s="17"/>
    </row>
    <row r="702" spans="1:11" hidden="1" x14ac:dyDescent="0.2">
      <c r="A702" t="s">
        <v>450</v>
      </c>
      <c r="B702" t="s">
        <v>2230</v>
      </c>
      <c r="C702" t="s">
        <v>35</v>
      </c>
      <c r="D702" t="s">
        <v>1399</v>
      </c>
      <c r="E702" t="s">
        <v>35</v>
      </c>
      <c r="G702" s="17" t="str">
        <f t="shared" si="20"/>
        <v>MILESTN.SEQUENCE</v>
      </c>
      <c r="H702" s="17" t="str">
        <f t="shared" si="21"/>
        <v>PROJECT_WP_MILESTONE.SEQUENCE</v>
      </c>
      <c r="I702" s="29"/>
      <c r="J7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2" s="17"/>
    </row>
    <row r="703" spans="1:11" hidden="1" x14ac:dyDescent="0.2">
      <c r="A703" t="s">
        <v>450</v>
      </c>
      <c r="B703" t="s">
        <v>2230</v>
      </c>
      <c r="C703" t="s">
        <v>2111</v>
      </c>
      <c r="D703" t="s">
        <v>1399</v>
      </c>
      <c r="E703" t="s">
        <v>71</v>
      </c>
      <c r="G703" s="17" t="str">
        <f t="shared" si="20"/>
        <v>MILESTN.LASTUPDATE</v>
      </c>
      <c r="H703" s="17" t="str">
        <f t="shared" si="21"/>
        <v>PROJECT_WP_MILESTONE.LAST_MODIFIED_DATE</v>
      </c>
      <c r="I703" s="29"/>
      <c r="J7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3" s="17"/>
    </row>
    <row r="704" spans="1:11" hidden="1" x14ac:dyDescent="0.2">
      <c r="A704" t="s">
        <v>450</v>
      </c>
      <c r="B704" t="s">
        <v>2230</v>
      </c>
      <c r="C704" t="s">
        <v>2112</v>
      </c>
      <c r="D704" t="s">
        <v>1399</v>
      </c>
      <c r="E704" t="s">
        <v>68</v>
      </c>
      <c r="G704" s="17" t="str">
        <f t="shared" si="20"/>
        <v>MILESTN.USR_ID</v>
      </c>
      <c r="H704" s="17" t="str">
        <f t="shared" si="21"/>
        <v>PROJECT_WP_MILESTONE.LAST_MODIFIED_BY_USER_UID</v>
      </c>
      <c r="I704" s="29"/>
      <c r="J7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4" s="17"/>
    </row>
    <row r="705" spans="1:11" hidden="1" x14ac:dyDescent="0.2">
      <c r="A705" t="s">
        <v>450</v>
      </c>
      <c r="B705" t="s">
        <v>2231</v>
      </c>
      <c r="C705" t="s">
        <v>1390</v>
      </c>
      <c r="D705" t="s">
        <v>1385</v>
      </c>
      <c r="E705" t="s">
        <v>770</v>
      </c>
      <c r="F705" t="s">
        <v>2483</v>
      </c>
      <c r="G705" s="17" t="str">
        <f t="shared" si="20"/>
        <v>MULTPROG.MASTER</v>
      </c>
      <c r="H705" s="17" t="str">
        <f t="shared" si="21"/>
        <v>PROJECT_SUBPROJECT.PROJECT_UID</v>
      </c>
      <c r="I705" s="29"/>
      <c r="J7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5" s="17"/>
    </row>
    <row r="706" spans="1:11" hidden="1" x14ac:dyDescent="0.2">
      <c r="A706" t="s">
        <v>450</v>
      </c>
      <c r="B706" t="s">
        <v>2231</v>
      </c>
      <c r="C706" t="s">
        <v>1391</v>
      </c>
      <c r="D706" t="s">
        <v>1385</v>
      </c>
      <c r="E706" t="s">
        <v>1387</v>
      </c>
      <c r="G706" s="17" t="str">
        <f t="shared" si="20"/>
        <v>MULTPROG.SUBPROGRAM</v>
      </c>
      <c r="H706" s="17" t="str">
        <f t="shared" si="21"/>
        <v>PROJECT_SUBPROJECT.SUBPROJECT_UID</v>
      </c>
      <c r="I706" s="29"/>
      <c r="J7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6" s="17"/>
    </row>
    <row r="707" spans="1:11" ht="16" hidden="1" x14ac:dyDescent="0.2">
      <c r="A707" t="s">
        <v>450</v>
      </c>
      <c r="B707" t="s">
        <v>2231</v>
      </c>
      <c r="C707" s="39" t="s">
        <v>1390</v>
      </c>
      <c r="D707" t="s">
        <v>1385</v>
      </c>
      <c r="E707" s="39" t="s">
        <v>1390</v>
      </c>
      <c r="F707" s="40"/>
      <c r="G707" s="39" t="str">
        <f t="shared" si="20"/>
        <v>MULTPROG.MASTER</v>
      </c>
      <c r="H707" s="39" t="str">
        <f t="shared" si="21"/>
        <v>PROJECT_SUBPROJECT.MASTER</v>
      </c>
      <c r="I707" s="35" t="s">
        <v>2411</v>
      </c>
      <c r="J707" s="39"/>
      <c r="K707" s="39"/>
    </row>
    <row r="708" spans="1:11" ht="16" hidden="1" x14ac:dyDescent="0.2">
      <c r="A708" t="s">
        <v>450</v>
      </c>
      <c r="B708" t="s">
        <v>2231</v>
      </c>
      <c r="C708" s="39" t="s">
        <v>1391</v>
      </c>
      <c r="D708" t="s">
        <v>1385</v>
      </c>
      <c r="E708" s="39" t="s">
        <v>1391</v>
      </c>
      <c r="F708" s="40"/>
      <c r="G708" s="39" t="str">
        <f t="shared" si="20"/>
        <v>MULTPROG.SUBPROGRAM</v>
      </c>
      <c r="H708" s="39" t="str">
        <f t="shared" si="21"/>
        <v>PROJECT_SUBPROJECT.SUBPROGRAM</v>
      </c>
      <c r="I708" s="35" t="s">
        <v>2411</v>
      </c>
      <c r="J708" s="39"/>
      <c r="K708" s="39"/>
    </row>
    <row r="709" spans="1:11" hidden="1" x14ac:dyDescent="0.2">
      <c r="A709" t="s">
        <v>450</v>
      </c>
      <c r="B709" t="s">
        <v>744</v>
      </c>
      <c r="C709" t="s">
        <v>744</v>
      </c>
      <c r="D709" t="s">
        <v>451</v>
      </c>
      <c r="E709" t="s">
        <v>47</v>
      </c>
      <c r="F709" t="s">
        <v>2484</v>
      </c>
      <c r="G709" s="17" t="str">
        <f t="shared" si="20"/>
        <v>PROGRAM.PROGRAM</v>
      </c>
      <c r="H709" s="17" t="str">
        <f t="shared" si="21"/>
        <v>PROJECT.NAME</v>
      </c>
      <c r="I709" s="29"/>
      <c r="J7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09" s="17"/>
    </row>
    <row r="710" spans="1:11" hidden="1" x14ac:dyDescent="0.2">
      <c r="A710" t="s">
        <v>450</v>
      </c>
      <c r="B710" t="s">
        <v>744</v>
      </c>
      <c r="C710" t="s">
        <v>2139</v>
      </c>
      <c r="D710" t="s">
        <v>451</v>
      </c>
      <c r="E710" t="s">
        <v>486</v>
      </c>
      <c r="F710" t="s">
        <v>2485</v>
      </c>
      <c r="G710" s="17" t="str">
        <f t="shared" si="20"/>
        <v>PROGRAM.STATUSDATE</v>
      </c>
      <c r="H710" s="17" t="str">
        <f t="shared" si="21"/>
        <v>PROJECT.PERIOD_END</v>
      </c>
      <c r="I710" s="29"/>
      <c r="J7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10" s="17"/>
    </row>
    <row r="711" spans="1:11" hidden="1" x14ac:dyDescent="0.2">
      <c r="A711" t="s">
        <v>450</v>
      </c>
      <c r="B711" t="s">
        <v>744</v>
      </c>
      <c r="C711" t="s">
        <v>1983</v>
      </c>
      <c r="D711" t="s">
        <v>451</v>
      </c>
      <c r="E711" t="s">
        <v>483</v>
      </c>
      <c r="F711" t="s">
        <v>2486</v>
      </c>
      <c r="G711" s="17" t="str">
        <f t="shared" si="20"/>
        <v>PROGRAM.PD_START</v>
      </c>
      <c r="H711" s="17" t="str">
        <f t="shared" si="21"/>
        <v>PROJECT.PERIOD_START</v>
      </c>
      <c r="I711" s="29"/>
      <c r="J7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11" s="17"/>
    </row>
    <row r="712" spans="1:11" hidden="1" x14ac:dyDescent="0.2">
      <c r="A712" t="s">
        <v>450</v>
      </c>
      <c r="B712" s="14" t="s">
        <v>744</v>
      </c>
      <c r="C712" s="14" t="s">
        <v>621</v>
      </c>
      <c r="D712" s="14" t="s">
        <v>451</v>
      </c>
      <c r="E712" s="14" t="s">
        <v>621</v>
      </c>
      <c r="F712" s="14" t="s">
        <v>2382</v>
      </c>
      <c r="G712" s="23" t="str">
        <f t="shared" si="20"/>
        <v>PROGRAM.CA_ACTUAL</v>
      </c>
      <c r="H712" s="23" t="str">
        <f t="shared" si="21"/>
        <v>PROJECT.CA_ACTUAL</v>
      </c>
      <c r="I712" s="30" t="s">
        <v>2411</v>
      </c>
      <c r="J7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PROJECT.CA_ACTUAL</v>
      </c>
      <c r="K712" s="17"/>
    </row>
    <row r="713" spans="1:11" hidden="1" x14ac:dyDescent="0.2">
      <c r="A713" t="s">
        <v>450</v>
      </c>
      <c r="B713" t="s">
        <v>744</v>
      </c>
      <c r="C713" t="s">
        <v>702</v>
      </c>
      <c r="D713" t="s">
        <v>451</v>
      </c>
      <c r="E713" t="s">
        <v>353</v>
      </c>
      <c r="F713" t="s">
        <v>2487</v>
      </c>
      <c r="G713" s="17" t="str">
        <f t="shared" si="20"/>
        <v>PROGRAM.FISC_FILE</v>
      </c>
      <c r="H713" s="17" t="str">
        <f t="shared" si="21"/>
        <v>PROJECT.FISCAL_CALENDAR_UID</v>
      </c>
      <c r="I713" s="29"/>
      <c r="J7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13" s="17"/>
    </row>
    <row r="714" spans="1:11" hidden="1" x14ac:dyDescent="0.2">
      <c r="A714" t="s">
        <v>450</v>
      </c>
      <c r="B714" t="s">
        <v>744</v>
      </c>
      <c r="C714" t="s">
        <v>635</v>
      </c>
      <c r="D714" t="s">
        <v>451</v>
      </c>
      <c r="E714" t="s">
        <v>471</v>
      </c>
      <c r="F714" t="s">
        <v>2488</v>
      </c>
      <c r="G714" s="17" t="str">
        <f t="shared" si="20"/>
        <v>PROGRAM.CALC_FILE</v>
      </c>
      <c r="H714" s="17" t="str">
        <f t="shared" si="21"/>
        <v>PROJECT.RESOURCE_FILE_UID</v>
      </c>
      <c r="I714" s="29"/>
      <c r="J7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14" s="17"/>
    </row>
    <row r="715" spans="1:11" hidden="1" x14ac:dyDescent="0.2">
      <c r="A715" t="s">
        <v>450</v>
      </c>
      <c r="B715" t="s">
        <v>744</v>
      </c>
      <c r="C715" t="s">
        <v>476</v>
      </c>
      <c r="D715" t="s">
        <v>451</v>
      </c>
      <c r="E715" t="s">
        <v>475</v>
      </c>
      <c r="F715" t="s">
        <v>748</v>
      </c>
      <c r="G715" s="17" t="str">
        <f t="shared" ref="G715:G778" si="22">_xlfn.CONCAT(B715,".",C715)</f>
        <v>PROGRAM.RATE_FILE</v>
      </c>
      <c r="H715" s="17" t="str">
        <f>_xlfn.CONCAT(D729,".",E715)</f>
        <v>PROJECT.RATE_FILE_UID</v>
      </c>
      <c r="I715" s="29"/>
      <c r="J7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15" s="17"/>
    </row>
    <row r="716" spans="1:11" hidden="1" x14ac:dyDescent="0.2">
      <c r="A716" t="s">
        <v>450</v>
      </c>
      <c r="B716" t="s">
        <v>744</v>
      </c>
      <c r="C716" t="s">
        <v>702</v>
      </c>
      <c r="D716" t="s">
        <v>451</v>
      </c>
      <c r="E716" t="s">
        <v>702</v>
      </c>
      <c r="F716" t="s">
        <v>2487</v>
      </c>
      <c r="G716" s="17" t="str">
        <f t="shared" si="22"/>
        <v>PROGRAM.FISC_FILE</v>
      </c>
      <c r="H716" s="17" t="str">
        <f>_xlfn.CONCAT(D716,".",E716)</f>
        <v>PROJECT.FISC_FILE</v>
      </c>
      <c r="I716" s="29" t="s">
        <v>2411</v>
      </c>
      <c r="J7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PROJECT.FISC_FILE</v>
      </c>
      <c r="K716" s="17"/>
    </row>
    <row r="717" spans="1:11" hidden="1" x14ac:dyDescent="0.2">
      <c r="A717" t="s">
        <v>450</v>
      </c>
      <c r="B717" t="s">
        <v>744</v>
      </c>
      <c r="C717" t="s">
        <v>635</v>
      </c>
      <c r="D717" t="s">
        <v>451</v>
      </c>
      <c r="E717" t="s">
        <v>635</v>
      </c>
      <c r="F717" t="s">
        <v>2488</v>
      </c>
      <c r="G717" s="17" t="str">
        <f t="shared" si="22"/>
        <v>PROGRAM.CALC_FILE</v>
      </c>
      <c r="H717" s="17" t="str">
        <f>_xlfn.CONCAT(D717,".",E717)</f>
        <v>PROJECT.CALC_FILE</v>
      </c>
      <c r="I717" s="29" t="s">
        <v>2411</v>
      </c>
      <c r="J7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PROJECT.CALC_FILE</v>
      </c>
      <c r="K717" s="17"/>
    </row>
    <row r="718" spans="1:11" hidden="1" x14ac:dyDescent="0.2">
      <c r="A718" t="s">
        <v>450</v>
      </c>
      <c r="B718" t="s">
        <v>744</v>
      </c>
      <c r="C718" t="s">
        <v>476</v>
      </c>
      <c r="D718" t="s">
        <v>451</v>
      </c>
      <c r="E718" t="s">
        <v>476</v>
      </c>
      <c r="F718" t="s">
        <v>748</v>
      </c>
      <c r="G718" s="17" t="str">
        <f t="shared" si="22"/>
        <v>PROGRAM.RATE_FILE</v>
      </c>
      <c r="H718" s="17" t="str">
        <f>_xlfn.CONCAT(D732,".",E718)</f>
        <v>PROJECT.RATE_FILE</v>
      </c>
      <c r="I718" s="29" t="s">
        <v>2411</v>
      </c>
      <c r="J7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PROJECT.RATE_FILE</v>
      </c>
      <c r="K718" s="17"/>
    </row>
    <row r="719" spans="1:11" hidden="1" x14ac:dyDescent="0.2">
      <c r="A719" t="s">
        <v>450</v>
      </c>
      <c r="B719" s="14" t="s">
        <v>744</v>
      </c>
      <c r="C719" s="14" t="s">
        <v>629</v>
      </c>
      <c r="D719" t="s">
        <v>451</v>
      </c>
      <c r="E719" s="14" t="s">
        <v>629</v>
      </c>
      <c r="F719" s="14" t="s">
        <v>2382</v>
      </c>
      <c r="G719" s="23" t="str">
        <f t="shared" si="22"/>
        <v>PROGRAM.CA_ID1</v>
      </c>
      <c r="H719" s="23" t="str">
        <f t="shared" ref="H719:H728" si="23">_xlfn.CONCAT(D719,".",E719)</f>
        <v>PROJECT.CA_ID1</v>
      </c>
      <c r="I719" s="30" t="s">
        <v>2411</v>
      </c>
      <c r="J7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PROJECT.CA_ID1</v>
      </c>
      <c r="K719" s="17"/>
    </row>
    <row r="720" spans="1:11" hidden="1" x14ac:dyDescent="0.2">
      <c r="A720" t="s">
        <v>450</v>
      </c>
      <c r="B720" s="14" t="s">
        <v>744</v>
      </c>
      <c r="C720" s="14" t="s">
        <v>631</v>
      </c>
      <c r="D720" t="s">
        <v>451</v>
      </c>
      <c r="E720" s="14" t="s">
        <v>631</v>
      </c>
      <c r="F720" s="14" t="s">
        <v>2382</v>
      </c>
      <c r="G720" s="23" t="str">
        <f t="shared" si="22"/>
        <v>PROGRAM.CA_ID2</v>
      </c>
      <c r="H720" s="23" t="str">
        <f t="shared" si="23"/>
        <v>PROJECT.CA_ID2</v>
      </c>
      <c r="I720" s="30" t="s">
        <v>2411</v>
      </c>
      <c r="J7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PROJECT.CA_ID2</v>
      </c>
      <c r="K720" s="17"/>
    </row>
    <row r="721" spans="1:11" hidden="1" x14ac:dyDescent="0.2">
      <c r="A721" t="s">
        <v>450</v>
      </c>
      <c r="B721" s="14" t="s">
        <v>744</v>
      </c>
      <c r="C721" s="14" t="s">
        <v>633</v>
      </c>
      <c r="D721" t="s">
        <v>451</v>
      </c>
      <c r="E721" s="14" t="s">
        <v>633</v>
      </c>
      <c r="F721" s="14" t="s">
        <v>2382</v>
      </c>
      <c r="G721" s="23" t="str">
        <f t="shared" si="22"/>
        <v>PROGRAM.CA_ID3</v>
      </c>
      <c r="H721" s="23" t="str">
        <f t="shared" si="23"/>
        <v>PROJECT.CA_ID3</v>
      </c>
      <c r="I721" s="30" t="s">
        <v>2411</v>
      </c>
      <c r="J7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PROJECT.CA_ID3</v>
      </c>
      <c r="K721" s="17"/>
    </row>
    <row r="722" spans="1:11" hidden="1" x14ac:dyDescent="0.2">
      <c r="A722" t="s">
        <v>450</v>
      </c>
      <c r="B722" s="14" t="s">
        <v>744</v>
      </c>
      <c r="C722" s="14" t="s">
        <v>623</v>
      </c>
      <c r="D722" t="s">
        <v>451</v>
      </c>
      <c r="E722" s="14" t="s">
        <v>623</v>
      </c>
      <c r="F722" s="14" t="s">
        <v>2382</v>
      </c>
      <c r="G722" s="23" t="str">
        <f t="shared" si="22"/>
        <v>PROGRAM.CA_BD1</v>
      </c>
      <c r="H722" s="23" t="str">
        <f t="shared" si="23"/>
        <v>PROJECT.CA_BD1</v>
      </c>
      <c r="I722" s="30" t="s">
        <v>2411</v>
      </c>
      <c r="J7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PROJECT.CA_BD1</v>
      </c>
      <c r="K722" s="17"/>
    </row>
    <row r="723" spans="1:11" hidden="1" x14ac:dyDescent="0.2">
      <c r="A723" t="s">
        <v>450</v>
      </c>
      <c r="B723" s="14" t="s">
        <v>744</v>
      </c>
      <c r="C723" s="14" t="s">
        <v>625</v>
      </c>
      <c r="D723" t="s">
        <v>451</v>
      </c>
      <c r="E723" s="14" t="s">
        <v>625</v>
      </c>
      <c r="F723" s="14" t="s">
        <v>2382</v>
      </c>
      <c r="G723" s="23" t="str">
        <f t="shared" si="22"/>
        <v>PROGRAM.CA_BD2</v>
      </c>
      <c r="H723" s="23" t="str">
        <f t="shared" si="23"/>
        <v>PROJECT.CA_BD2</v>
      </c>
      <c r="I723" s="30" t="s">
        <v>2411</v>
      </c>
      <c r="J7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PROJECT.CA_BD2</v>
      </c>
      <c r="K723" s="17"/>
    </row>
    <row r="724" spans="1:11" hidden="1" x14ac:dyDescent="0.2">
      <c r="A724" t="s">
        <v>450</v>
      </c>
      <c r="B724" s="14" t="s">
        <v>744</v>
      </c>
      <c r="C724" s="14" t="s">
        <v>627</v>
      </c>
      <c r="D724" t="s">
        <v>451</v>
      </c>
      <c r="E724" s="14" t="s">
        <v>627</v>
      </c>
      <c r="F724" s="14" t="s">
        <v>2382</v>
      </c>
      <c r="G724" s="23" t="str">
        <f t="shared" si="22"/>
        <v>PROGRAM.CA_BD3</v>
      </c>
      <c r="H724" s="23" t="str">
        <f t="shared" si="23"/>
        <v>PROJECT.CA_BD3</v>
      </c>
      <c r="I724" s="30" t="s">
        <v>2411</v>
      </c>
      <c r="J7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PROJECT.CA_BD3</v>
      </c>
      <c r="K724" s="17"/>
    </row>
    <row r="725" spans="1:11" hidden="1" x14ac:dyDescent="0.2">
      <c r="A725" t="s">
        <v>450</v>
      </c>
      <c r="B725" s="14" t="s">
        <v>744</v>
      </c>
      <c r="C725" s="14" t="s">
        <v>755</v>
      </c>
      <c r="D725" t="s">
        <v>451</v>
      </c>
      <c r="E725" s="14" t="s">
        <v>755</v>
      </c>
      <c r="F725" s="14" t="s">
        <v>2382</v>
      </c>
      <c r="G725" s="23" t="str">
        <f t="shared" si="22"/>
        <v>PROGRAM.WP_ID</v>
      </c>
      <c r="H725" s="23" t="str">
        <f t="shared" si="23"/>
        <v>PROJECT.WP_ID</v>
      </c>
      <c r="I725" s="30" t="s">
        <v>2411</v>
      </c>
      <c r="J7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PROJECT.WP_ID</v>
      </c>
      <c r="K725" s="17"/>
    </row>
    <row r="726" spans="1:11" hidden="1" x14ac:dyDescent="0.2">
      <c r="A726" t="s">
        <v>450</v>
      </c>
      <c r="B726" s="14" t="s">
        <v>744</v>
      </c>
      <c r="C726" s="14" t="s">
        <v>753</v>
      </c>
      <c r="D726" t="s">
        <v>451</v>
      </c>
      <c r="E726" s="14" t="s">
        <v>753</v>
      </c>
      <c r="F726" s="14" t="s">
        <v>2382</v>
      </c>
      <c r="G726" s="23" t="str">
        <f t="shared" si="22"/>
        <v>PROGRAM.WP_BDN</v>
      </c>
      <c r="H726" s="23" t="str">
        <f t="shared" si="23"/>
        <v>PROJECT.WP_BDN</v>
      </c>
      <c r="I726" s="30" t="s">
        <v>2411</v>
      </c>
      <c r="J7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PROJECT.WP_BDN</v>
      </c>
      <c r="K726" s="17"/>
    </row>
    <row r="727" spans="1:11" hidden="1" x14ac:dyDescent="0.2">
      <c r="A727" t="s">
        <v>450</v>
      </c>
      <c r="B727" s="14" t="s">
        <v>744</v>
      </c>
      <c r="C727" s="14" t="s">
        <v>647</v>
      </c>
      <c r="D727" t="s">
        <v>451</v>
      </c>
      <c r="E727" s="14" t="s">
        <v>647</v>
      </c>
      <c r="F727" s="14" t="s">
        <v>2489</v>
      </c>
      <c r="G727" s="23" t="str">
        <f t="shared" si="22"/>
        <v>PROGRAM.CLC_PROMPT</v>
      </c>
      <c r="H727" s="23" t="str">
        <f t="shared" si="23"/>
        <v>PROJECT.CLC_PROMPT</v>
      </c>
      <c r="I727" s="30" t="s">
        <v>2411</v>
      </c>
      <c r="J7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PROJECT.CLC_PROMPT</v>
      </c>
      <c r="K727" s="17"/>
    </row>
    <row r="728" spans="1:11" hidden="1" x14ac:dyDescent="0.2">
      <c r="A728" t="s">
        <v>450</v>
      </c>
      <c r="B728" s="14" t="s">
        <v>744</v>
      </c>
      <c r="C728" s="14" t="s">
        <v>643</v>
      </c>
      <c r="D728" t="s">
        <v>451</v>
      </c>
      <c r="E728" s="14" t="s">
        <v>643</v>
      </c>
      <c r="F728" s="14" t="s">
        <v>2489</v>
      </c>
      <c r="G728" s="23" t="str">
        <f t="shared" si="22"/>
        <v>PROGRAM.CE_ID</v>
      </c>
      <c r="H728" s="23" t="str">
        <f t="shared" si="23"/>
        <v>PROJECT.CE_ID</v>
      </c>
      <c r="I728" s="30" t="s">
        <v>2411</v>
      </c>
      <c r="J7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PROJECT.CE_ID</v>
      </c>
      <c r="K728" s="17"/>
    </row>
    <row r="729" spans="1:11" hidden="1" x14ac:dyDescent="0.2">
      <c r="A729" t="s">
        <v>450</v>
      </c>
      <c r="B729" s="14" t="s">
        <v>744</v>
      </c>
      <c r="C729" s="14" t="s">
        <v>641</v>
      </c>
      <c r="D729" t="s">
        <v>451</v>
      </c>
      <c r="E729" s="14" t="s">
        <v>641</v>
      </c>
      <c r="F729" s="14" t="s">
        <v>2489</v>
      </c>
      <c r="G729" s="23" t="str">
        <f t="shared" si="22"/>
        <v>PROGRAM.CE_BDN</v>
      </c>
      <c r="H729" s="23" t="e">
        <f>_xlfn.CONCAT(#REF!,".",E729)</f>
        <v>#REF!</v>
      </c>
      <c r="I729" s="30" t="s">
        <v>2411</v>
      </c>
      <c r="J7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PROJECT.CE_BDN</v>
      </c>
      <c r="K729" s="17"/>
    </row>
    <row r="730" spans="1:11" hidden="1" x14ac:dyDescent="0.2">
      <c r="A730" t="s">
        <v>450</v>
      </c>
      <c r="B730" s="9" t="s">
        <v>744</v>
      </c>
      <c r="C730" s="9" t="s">
        <v>611</v>
      </c>
      <c r="D730" t="s">
        <v>451</v>
      </c>
      <c r="E730" s="9" t="s">
        <v>611</v>
      </c>
      <c r="F730" s="9" t="s">
        <v>2490</v>
      </c>
      <c r="G730" s="25" t="str">
        <f t="shared" si="22"/>
        <v>PROGRAM.BATCHNO</v>
      </c>
      <c r="H730" s="25" t="str">
        <f t="shared" ref="H730:H793" si="24">_xlfn.CONCAT(D730,".",E730)</f>
        <v>PROJECT.BATCHNO</v>
      </c>
      <c r="I730" s="30" t="s">
        <v>2411</v>
      </c>
      <c r="J7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PROJECT.BATCHNO</v>
      </c>
      <c r="K730" s="17"/>
    </row>
    <row r="731" spans="1:11" hidden="1" x14ac:dyDescent="0.2">
      <c r="A731" t="s">
        <v>450</v>
      </c>
      <c r="B731" t="s">
        <v>744</v>
      </c>
      <c r="C731" t="s">
        <v>489</v>
      </c>
      <c r="D731" t="s">
        <v>451</v>
      </c>
      <c r="E731" t="s">
        <v>489</v>
      </c>
      <c r="F731" s="14" t="s">
        <v>2491</v>
      </c>
      <c r="G731" s="23" t="str">
        <f t="shared" si="22"/>
        <v>PROGRAM.SPTYPE</v>
      </c>
      <c r="H731" s="23" t="str">
        <f t="shared" si="24"/>
        <v>PROJECT.SPTYPE</v>
      </c>
      <c r="I731" s="30" t="s">
        <v>2411</v>
      </c>
      <c r="J7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PROJECT.SPTYPE</v>
      </c>
      <c r="K731" s="17"/>
    </row>
    <row r="732" spans="1:11" hidden="1" x14ac:dyDescent="0.2">
      <c r="A732" t="s">
        <v>450</v>
      </c>
      <c r="B732" t="s">
        <v>744</v>
      </c>
      <c r="C732" t="s">
        <v>2241</v>
      </c>
      <c r="D732" t="s">
        <v>451</v>
      </c>
      <c r="E732" t="s">
        <v>492</v>
      </c>
      <c r="G732" t="str">
        <f t="shared" si="22"/>
        <v>PROGRAM.LOG</v>
      </c>
      <c r="H732" t="str">
        <f t="shared" si="24"/>
        <v>PROJECT.AUDIT_LOG_LEVEL</v>
      </c>
      <c r="J7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32" s="17"/>
    </row>
    <row r="733" spans="1:11" hidden="1" x14ac:dyDescent="0.2">
      <c r="A733" t="s">
        <v>450</v>
      </c>
      <c r="B733" s="14" t="s">
        <v>744</v>
      </c>
      <c r="C733" s="14" t="s">
        <v>736</v>
      </c>
      <c r="D733" s="14" t="s">
        <v>1068</v>
      </c>
      <c r="E733" s="14" t="s">
        <v>1286</v>
      </c>
      <c r="F733" s="14" t="s">
        <v>2492</v>
      </c>
      <c r="G733" s="23" t="str">
        <f t="shared" si="22"/>
        <v>PROGRAM.PERCENT1</v>
      </c>
      <c r="H733" s="23" t="str">
        <f t="shared" si="24"/>
        <v>PROJECT_COST_CLASS.FCAST_PCT_RANGE1_PERCENT</v>
      </c>
      <c r="I733" s="30" t="s">
        <v>2411</v>
      </c>
      <c r="J7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PROJECT.PERCENT1</v>
      </c>
      <c r="K733" s="17"/>
    </row>
    <row r="734" spans="1:11" hidden="1" x14ac:dyDescent="0.2">
      <c r="A734" t="s">
        <v>450</v>
      </c>
      <c r="B734" s="14" t="s">
        <v>744</v>
      </c>
      <c r="C734" s="14" t="s">
        <v>738</v>
      </c>
      <c r="D734" s="14" t="s">
        <v>1068</v>
      </c>
      <c r="E734" s="14" t="s">
        <v>1289</v>
      </c>
      <c r="F734" s="14" t="s">
        <v>2493</v>
      </c>
      <c r="G734" s="23" t="str">
        <f t="shared" si="22"/>
        <v>PROGRAM.PERCENT2</v>
      </c>
      <c r="H734" s="23" t="str">
        <f t="shared" si="24"/>
        <v>PROJECT_COST_CLASS.FCAST_PCT_RANGE2_PERCENT</v>
      </c>
      <c r="I734" s="30" t="s">
        <v>2411</v>
      </c>
      <c r="J7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PROJECT.PERCENT2</v>
      </c>
      <c r="K734" s="17"/>
    </row>
    <row r="735" spans="1:11" hidden="1" x14ac:dyDescent="0.2">
      <c r="A735" t="s">
        <v>450</v>
      </c>
      <c r="B735" s="14" t="s">
        <v>744</v>
      </c>
      <c r="C735" s="14" t="s">
        <v>740</v>
      </c>
      <c r="D735" s="14" t="s">
        <v>1068</v>
      </c>
      <c r="E735" s="14" t="s">
        <v>1292</v>
      </c>
      <c r="F735" s="14" t="s">
        <v>2494</v>
      </c>
      <c r="G735" s="23" t="str">
        <f t="shared" si="22"/>
        <v>PROGRAM.PERCENT3</v>
      </c>
      <c r="H735" s="23" t="str">
        <f t="shared" si="24"/>
        <v>PROJECT_COST_CLASS.FCAST_PCT_RANGE3_PERCENT</v>
      </c>
      <c r="I735" s="30" t="s">
        <v>2411</v>
      </c>
      <c r="J7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PROJECT.PERCENT3</v>
      </c>
      <c r="K735" s="17"/>
    </row>
    <row r="736" spans="1:11" hidden="1" x14ac:dyDescent="0.2">
      <c r="A736" t="s">
        <v>450</v>
      </c>
      <c r="B736" s="14" t="s">
        <v>744</v>
      </c>
      <c r="C736" s="14" t="s">
        <v>694</v>
      </c>
      <c r="D736" s="14" t="s">
        <v>1068</v>
      </c>
      <c r="E736" s="14" t="s">
        <v>1295</v>
      </c>
      <c r="F736" s="14" t="s">
        <v>2495</v>
      </c>
      <c r="G736" s="23" t="str">
        <f t="shared" si="22"/>
        <v>PROGRAM.FC_TYPE1</v>
      </c>
      <c r="H736" s="23" t="str">
        <f t="shared" si="24"/>
        <v>PROJECT_COST_CLASS.FCAST_PCT_RANGE1_METHOD</v>
      </c>
      <c r="I736" s="30" t="s">
        <v>2411</v>
      </c>
      <c r="J7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PROJECT.FC_TYPE1</v>
      </c>
      <c r="K736" s="17"/>
    </row>
    <row r="737" spans="1:11" hidden="1" x14ac:dyDescent="0.2">
      <c r="A737" t="s">
        <v>450</v>
      </c>
      <c r="B737" s="14" t="s">
        <v>744</v>
      </c>
      <c r="C737" s="14" t="s">
        <v>696</v>
      </c>
      <c r="D737" s="14" t="s">
        <v>1068</v>
      </c>
      <c r="E737" s="14" t="s">
        <v>1298</v>
      </c>
      <c r="F737" s="14" t="s">
        <v>2496</v>
      </c>
      <c r="G737" s="23" t="str">
        <f t="shared" si="22"/>
        <v>PROGRAM.FC_TYPE2</v>
      </c>
      <c r="H737" s="23" t="str">
        <f t="shared" si="24"/>
        <v>PROJECT_COST_CLASS.FCAST_PCT_RANGE2_METHOD</v>
      </c>
      <c r="I737" s="30" t="s">
        <v>2411</v>
      </c>
      <c r="J7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PROJECT.FC_TYPE2</v>
      </c>
      <c r="K737" s="17"/>
    </row>
    <row r="738" spans="1:11" hidden="1" x14ac:dyDescent="0.2">
      <c r="A738" t="s">
        <v>450</v>
      </c>
      <c r="B738" s="14" t="s">
        <v>744</v>
      </c>
      <c r="C738" s="14" t="s">
        <v>698</v>
      </c>
      <c r="D738" s="14" t="s">
        <v>1068</v>
      </c>
      <c r="E738" s="14" t="s">
        <v>1301</v>
      </c>
      <c r="F738" s="14" t="s">
        <v>2497</v>
      </c>
      <c r="G738" s="23" t="str">
        <f t="shared" si="22"/>
        <v>PROGRAM.FC_TYPE3</v>
      </c>
      <c r="H738" s="23" t="str">
        <f t="shared" si="24"/>
        <v>PROJECT_COST_CLASS.FCAST_PCT_RANGE3_METHOD</v>
      </c>
      <c r="I738" s="30" t="s">
        <v>2411</v>
      </c>
      <c r="J7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PROJECT.FC_TYPE3</v>
      </c>
      <c r="K738" s="17"/>
    </row>
    <row r="739" spans="1:11" hidden="1" x14ac:dyDescent="0.2">
      <c r="A739" t="s">
        <v>450</v>
      </c>
      <c r="B739" s="14" t="s">
        <v>744</v>
      </c>
      <c r="C739" s="14" t="s">
        <v>700</v>
      </c>
      <c r="D739" s="14" t="s">
        <v>1068</v>
      </c>
      <c r="E739" s="14" t="s">
        <v>1304</v>
      </c>
      <c r="F739" s="14" t="s">
        <v>2498</v>
      </c>
      <c r="G739" s="23" t="str">
        <f t="shared" si="22"/>
        <v>PROGRAM.FC_TYPE4</v>
      </c>
      <c r="H739" s="23" t="str">
        <f t="shared" si="24"/>
        <v>PROJECT_COST_CLASS.FCAST_PCT_RANGE4_METHOD</v>
      </c>
      <c r="I739" s="30" t="s">
        <v>2411</v>
      </c>
      <c r="J7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PROJECT.FC_TYPE4</v>
      </c>
      <c r="K739" s="17"/>
    </row>
    <row r="740" spans="1:11" hidden="1" x14ac:dyDescent="0.2">
      <c r="A740" t="s">
        <v>450</v>
      </c>
      <c r="B740" t="s">
        <v>744</v>
      </c>
      <c r="C740" t="s">
        <v>495</v>
      </c>
      <c r="D740" t="s">
        <v>451</v>
      </c>
      <c r="E740" t="s">
        <v>495</v>
      </c>
      <c r="F740" t="s">
        <v>2499</v>
      </c>
      <c r="G740" s="17" t="str">
        <f t="shared" si="22"/>
        <v>PROGRAM.SCALECAP</v>
      </c>
      <c r="H740" s="17" t="str">
        <f t="shared" si="24"/>
        <v>PROJECT.SCALECAP</v>
      </c>
      <c r="I740" s="29"/>
      <c r="J7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40" s="17"/>
    </row>
    <row r="741" spans="1:11" hidden="1" x14ac:dyDescent="0.2">
      <c r="A741" t="s">
        <v>450</v>
      </c>
      <c r="B741" t="s">
        <v>744</v>
      </c>
      <c r="C741" t="s">
        <v>2185</v>
      </c>
      <c r="D741" t="s">
        <v>451</v>
      </c>
      <c r="E741" t="s">
        <v>498</v>
      </c>
      <c r="F741" t="s">
        <v>2500</v>
      </c>
      <c r="G741" s="17" t="str">
        <f t="shared" si="22"/>
        <v>PROGRAM.SSD</v>
      </c>
      <c r="H741" s="17" t="str">
        <f t="shared" si="24"/>
        <v>PROJECT.BASELINE_START</v>
      </c>
      <c r="I741" s="29"/>
      <c r="J7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41" s="17"/>
    </row>
    <row r="742" spans="1:11" hidden="1" x14ac:dyDescent="0.2">
      <c r="A742" t="s">
        <v>450</v>
      </c>
      <c r="B742" t="s">
        <v>744</v>
      </c>
      <c r="C742" t="s">
        <v>2184</v>
      </c>
      <c r="D742" t="s">
        <v>451</v>
      </c>
      <c r="E742" t="s">
        <v>501</v>
      </c>
      <c r="F742" t="s">
        <v>2501</v>
      </c>
      <c r="G742" s="17" t="str">
        <f t="shared" si="22"/>
        <v>PROGRAM.SFD</v>
      </c>
      <c r="H742" s="17" t="str">
        <f t="shared" si="24"/>
        <v>PROJECT.BASELINE_FINISH</v>
      </c>
      <c r="I742" s="29"/>
      <c r="J7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42" s="17"/>
    </row>
    <row r="743" spans="1:11" hidden="1" x14ac:dyDescent="0.2">
      <c r="A743" t="s">
        <v>450</v>
      </c>
      <c r="B743" t="s">
        <v>744</v>
      </c>
      <c r="C743" t="s">
        <v>2175</v>
      </c>
      <c r="D743" t="s">
        <v>451</v>
      </c>
      <c r="E743" t="s">
        <v>504</v>
      </c>
      <c r="F743" t="s">
        <v>2502</v>
      </c>
      <c r="G743" s="17" t="str">
        <f t="shared" si="22"/>
        <v>PROGRAM.AFD</v>
      </c>
      <c r="H743" s="17" t="str">
        <f t="shared" si="24"/>
        <v>PROJECT.FORECAST_FINISH</v>
      </c>
      <c r="I743" s="29"/>
      <c r="J7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43" s="17"/>
    </row>
    <row r="744" spans="1:11" hidden="1" x14ac:dyDescent="0.2">
      <c r="A744" t="s">
        <v>450</v>
      </c>
      <c r="B744" t="s">
        <v>744</v>
      </c>
      <c r="C744" t="s">
        <v>507</v>
      </c>
      <c r="D744" t="s">
        <v>451</v>
      </c>
      <c r="E744" t="s">
        <v>507</v>
      </c>
      <c r="F744" t="s">
        <v>2503</v>
      </c>
      <c r="G744" s="17" t="str">
        <f t="shared" si="22"/>
        <v>PROGRAM.SCALEFAC</v>
      </c>
      <c r="H744" s="17" t="str">
        <f t="shared" si="24"/>
        <v>PROJECT.SCALEFAC</v>
      </c>
      <c r="I744" s="29"/>
      <c r="J7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44" s="17"/>
    </row>
    <row r="745" spans="1:11" hidden="1" x14ac:dyDescent="0.2">
      <c r="A745" t="s">
        <v>450</v>
      </c>
      <c r="B745" s="14" t="s">
        <v>744</v>
      </c>
      <c r="C745" s="14" t="s">
        <v>659</v>
      </c>
      <c r="D745" s="14" t="s">
        <v>451</v>
      </c>
      <c r="E745" s="14" t="s">
        <v>659</v>
      </c>
      <c r="F745" s="14"/>
      <c r="G745" s="23" t="str">
        <f t="shared" si="22"/>
        <v>PROGRAM.CONT_NAME</v>
      </c>
      <c r="H745" s="23" t="str">
        <f t="shared" si="24"/>
        <v>PROJECT.CONT_NAME</v>
      </c>
      <c r="I745" s="30" t="s">
        <v>2411</v>
      </c>
      <c r="J7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PROJECT.CONT_NAME</v>
      </c>
      <c r="K745" s="17"/>
    </row>
    <row r="746" spans="1:11" hidden="1" x14ac:dyDescent="0.2">
      <c r="A746" t="s">
        <v>450</v>
      </c>
      <c r="B746" s="14" t="s">
        <v>744</v>
      </c>
      <c r="C746" s="14" t="s">
        <v>657</v>
      </c>
      <c r="D746" s="14" t="s">
        <v>451</v>
      </c>
      <c r="E746" s="14" t="s">
        <v>657</v>
      </c>
      <c r="F746" s="14"/>
      <c r="G746" s="23" t="str">
        <f t="shared" si="22"/>
        <v>PROGRAM.CONT_LOC</v>
      </c>
      <c r="H746" s="23" t="str">
        <f t="shared" si="24"/>
        <v>PROJECT.CONT_LOC</v>
      </c>
      <c r="I746" s="30" t="s">
        <v>2411</v>
      </c>
      <c r="J7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PROJECT.CONT_LOC</v>
      </c>
      <c r="K746" s="17"/>
    </row>
    <row r="747" spans="1:11" hidden="1" x14ac:dyDescent="0.2">
      <c r="A747" t="s">
        <v>450</v>
      </c>
      <c r="B747" s="14" t="s">
        <v>744</v>
      </c>
      <c r="C747" s="14" t="s">
        <v>651</v>
      </c>
      <c r="D747" s="14" t="s">
        <v>451</v>
      </c>
      <c r="E747" s="14" t="s">
        <v>651</v>
      </c>
      <c r="F747" s="14"/>
      <c r="G747" s="23" t="str">
        <f t="shared" si="22"/>
        <v>PROGRAM.CONT_FLAG</v>
      </c>
      <c r="H747" s="23" t="str">
        <f t="shared" si="24"/>
        <v>PROJECT.CONT_FLAG</v>
      </c>
      <c r="I747" s="30" t="s">
        <v>2411</v>
      </c>
      <c r="J7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PROJECT.CONT_FLAG</v>
      </c>
      <c r="K747" s="17"/>
    </row>
    <row r="748" spans="1:11" hidden="1" x14ac:dyDescent="0.2">
      <c r="A748" t="s">
        <v>450</v>
      </c>
      <c r="B748" s="14" t="s">
        <v>744</v>
      </c>
      <c r="C748" s="14" t="s">
        <v>684</v>
      </c>
      <c r="D748" s="14" t="s">
        <v>451</v>
      </c>
      <c r="E748" s="14" t="s">
        <v>684</v>
      </c>
      <c r="F748" s="14"/>
      <c r="G748" s="23" t="str">
        <f t="shared" si="22"/>
        <v>PROGRAM.CONT_TYPE</v>
      </c>
      <c r="H748" s="23" t="str">
        <f t="shared" si="24"/>
        <v>PROJECT.CONT_TYPE</v>
      </c>
      <c r="I748" s="30" t="s">
        <v>2411</v>
      </c>
      <c r="J7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PROJECT.CONT_TYPE</v>
      </c>
      <c r="K748" s="17"/>
    </row>
    <row r="749" spans="1:11" hidden="1" x14ac:dyDescent="0.2">
      <c r="A749" t="s">
        <v>450</v>
      </c>
      <c r="B749" s="14" t="s">
        <v>744</v>
      </c>
      <c r="C749" s="14" t="s">
        <v>661</v>
      </c>
      <c r="D749" s="14" t="s">
        <v>451</v>
      </c>
      <c r="E749" s="14" t="s">
        <v>661</v>
      </c>
      <c r="F749" s="9"/>
      <c r="G749" s="25" t="str">
        <f t="shared" si="22"/>
        <v>PROGRAM.CONT_NO</v>
      </c>
      <c r="H749" s="25" t="str">
        <f t="shared" si="24"/>
        <v>PROJECT.CONT_NO</v>
      </c>
      <c r="I749" s="30" t="s">
        <v>2411</v>
      </c>
      <c r="J7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PROJECT.CONT_NO</v>
      </c>
      <c r="K749" s="17"/>
    </row>
    <row r="750" spans="1:11" hidden="1" x14ac:dyDescent="0.2">
      <c r="A750" t="s">
        <v>450</v>
      </c>
      <c r="B750" s="14" t="s">
        <v>744</v>
      </c>
      <c r="C750" s="14" t="s">
        <v>746</v>
      </c>
      <c r="D750" s="14" t="s">
        <v>451</v>
      </c>
      <c r="E750" s="14" t="s">
        <v>746</v>
      </c>
      <c r="F750" s="14"/>
      <c r="G750" s="23" t="str">
        <f t="shared" si="22"/>
        <v>PROGRAM.QUANTITY</v>
      </c>
      <c r="H750" s="23" t="str">
        <f t="shared" si="24"/>
        <v>PROJECT.QUANTITY</v>
      </c>
      <c r="I750" s="30" t="s">
        <v>2411</v>
      </c>
      <c r="J7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PROJECT.QUANTITY</v>
      </c>
      <c r="K750" s="17"/>
    </row>
    <row r="751" spans="1:11" hidden="1" x14ac:dyDescent="0.2">
      <c r="A751" t="s">
        <v>450</v>
      </c>
      <c r="B751" t="s">
        <v>744</v>
      </c>
      <c r="C751" t="s">
        <v>510</v>
      </c>
      <c r="D751" t="s">
        <v>451</v>
      </c>
      <c r="E751" t="s">
        <v>510</v>
      </c>
      <c r="F751" t="s">
        <v>2504</v>
      </c>
      <c r="G751" s="17" t="str">
        <f t="shared" si="22"/>
        <v>PROGRAM.FEE_PRCENT</v>
      </c>
      <c r="H751" s="17" t="str">
        <f t="shared" si="24"/>
        <v>PROJECT.FEE_PRCENT</v>
      </c>
      <c r="I751" s="29"/>
      <c r="J7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1" s="17"/>
    </row>
    <row r="752" spans="1:11" hidden="1" x14ac:dyDescent="0.2">
      <c r="A752" t="s">
        <v>450</v>
      </c>
      <c r="B752" s="14" t="s">
        <v>744</v>
      </c>
      <c r="C752" s="14" t="s">
        <v>749</v>
      </c>
      <c r="D752" t="s">
        <v>451</v>
      </c>
      <c r="E752" s="14" t="s">
        <v>749</v>
      </c>
      <c r="F752" s="14"/>
      <c r="G752" s="23" t="str">
        <f t="shared" si="22"/>
        <v>PROGRAM.SHARERATIO</v>
      </c>
      <c r="H752" s="23" t="str">
        <f t="shared" si="24"/>
        <v>PROJECT.SHARERATIO</v>
      </c>
      <c r="I752" s="30" t="s">
        <v>2411</v>
      </c>
      <c r="J7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PROJECT.SHARERATIO</v>
      </c>
      <c r="K752" s="17"/>
    </row>
    <row r="753" spans="1:11" hidden="1" x14ac:dyDescent="0.2">
      <c r="A753" t="s">
        <v>450</v>
      </c>
      <c r="B753" t="s">
        <v>744</v>
      </c>
      <c r="C753" t="s">
        <v>513</v>
      </c>
      <c r="D753" t="s">
        <v>451</v>
      </c>
      <c r="E753" t="s">
        <v>513</v>
      </c>
      <c r="F753" t="s">
        <v>2505</v>
      </c>
      <c r="G753" s="17" t="str">
        <f t="shared" si="22"/>
        <v>PROGRAM.CTC</v>
      </c>
      <c r="H753" s="17" t="str">
        <f t="shared" si="24"/>
        <v>PROJECT.CTC</v>
      </c>
      <c r="I753" s="29"/>
      <c r="J7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3" s="17"/>
    </row>
    <row r="754" spans="1:11" hidden="1" x14ac:dyDescent="0.2">
      <c r="A754" t="s">
        <v>450</v>
      </c>
      <c r="B754" t="s">
        <v>744</v>
      </c>
      <c r="C754" t="s">
        <v>516</v>
      </c>
      <c r="D754" t="s">
        <v>451</v>
      </c>
      <c r="E754" t="s">
        <v>516</v>
      </c>
      <c r="F754" t="s">
        <v>2506</v>
      </c>
      <c r="G754" s="17" t="str">
        <f t="shared" si="22"/>
        <v>PROGRAM.AUW</v>
      </c>
      <c r="H754" s="17" t="str">
        <f t="shared" si="24"/>
        <v>PROJECT.AUW</v>
      </c>
      <c r="I754" s="29"/>
      <c r="J7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4" s="17"/>
    </row>
    <row r="755" spans="1:11" hidden="1" x14ac:dyDescent="0.2">
      <c r="A755" t="s">
        <v>450</v>
      </c>
      <c r="B755" t="s">
        <v>744</v>
      </c>
      <c r="C755" t="s">
        <v>519</v>
      </c>
      <c r="D755" t="s">
        <v>451</v>
      </c>
      <c r="E755" t="s">
        <v>519</v>
      </c>
      <c r="F755" t="s">
        <v>2507</v>
      </c>
      <c r="G755" s="17" t="str">
        <f t="shared" si="22"/>
        <v>PROGRAM.OTC</v>
      </c>
      <c r="H755" s="17" t="str">
        <f t="shared" si="24"/>
        <v>PROJECT.OTC</v>
      </c>
      <c r="I755" s="29"/>
      <c r="J7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5" s="17"/>
    </row>
    <row r="756" spans="1:11" hidden="1" x14ac:dyDescent="0.2">
      <c r="A756" t="s">
        <v>450</v>
      </c>
      <c r="B756" t="s">
        <v>744</v>
      </c>
      <c r="C756" t="s">
        <v>522</v>
      </c>
      <c r="D756" t="s">
        <v>451</v>
      </c>
      <c r="E756" t="s">
        <v>522</v>
      </c>
      <c r="F756" t="s">
        <v>2508</v>
      </c>
      <c r="G756" s="17" t="str">
        <f t="shared" si="22"/>
        <v>PROGRAM.CBB</v>
      </c>
      <c r="H756" s="17" t="str">
        <f t="shared" si="24"/>
        <v>PROJECT.CBB</v>
      </c>
      <c r="I756" s="29"/>
      <c r="J7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6" s="17"/>
    </row>
    <row r="757" spans="1:11" hidden="1" x14ac:dyDescent="0.2">
      <c r="A757" t="s">
        <v>450</v>
      </c>
      <c r="B757" t="s">
        <v>744</v>
      </c>
      <c r="C757" t="s">
        <v>525</v>
      </c>
      <c r="D757" t="s">
        <v>451</v>
      </c>
      <c r="E757" t="s">
        <v>525</v>
      </c>
      <c r="F757" t="s">
        <v>2509</v>
      </c>
      <c r="G757" s="17" t="str">
        <f t="shared" si="22"/>
        <v>PROGRAM.FEE</v>
      </c>
      <c r="H757" s="17" t="str">
        <f t="shared" si="24"/>
        <v>PROJECT.FEE</v>
      </c>
      <c r="I757" s="29"/>
      <c r="J7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7" s="17"/>
    </row>
    <row r="758" spans="1:11" hidden="1" x14ac:dyDescent="0.2">
      <c r="A758" t="s">
        <v>450</v>
      </c>
      <c r="B758" t="s">
        <v>744</v>
      </c>
      <c r="C758" t="s">
        <v>528</v>
      </c>
      <c r="D758" t="s">
        <v>451</v>
      </c>
      <c r="E758" t="s">
        <v>528</v>
      </c>
      <c r="F758" t="s">
        <v>2510</v>
      </c>
      <c r="G758" s="17" t="str">
        <f t="shared" si="22"/>
        <v>PROGRAM.MR</v>
      </c>
      <c r="H758" s="17" t="str">
        <f t="shared" si="24"/>
        <v>PROJECT.MR</v>
      </c>
      <c r="I758" s="29"/>
      <c r="J7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8" s="17"/>
    </row>
    <row r="759" spans="1:11" hidden="1" x14ac:dyDescent="0.2">
      <c r="A759" t="s">
        <v>450</v>
      </c>
      <c r="B759" t="s">
        <v>744</v>
      </c>
      <c r="C759" t="s">
        <v>531</v>
      </c>
      <c r="D759" t="s">
        <v>451</v>
      </c>
      <c r="E759" t="s">
        <v>531</v>
      </c>
      <c r="F759" t="s">
        <v>2511</v>
      </c>
      <c r="G759" s="17" t="str">
        <f t="shared" si="22"/>
        <v>PROGRAM.UB</v>
      </c>
      <c r="H759" s="17" t="str">
        <f t="shared" si="24"/>
        <v>PROJECT.UB</v>
      </c>
      <c r="I759" s="29"/>
      <c r="J7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59" s="17"/>
    </row>
    <row r="760" spans="1:11" hidden="1" x14ac:dyDescent="0.2">
      <c r="A760" t="s">
        <v>450</v>
      </c>
      <c r="B760" t="s">
        <v>744</v>
      </c>
      <c r="C760" t="s">
        <v>534</v>
      </c>
      <c r="D760" t="s">
        <v>451</v>
      </c>
      <c r="E760" t="s">
        <v>534</v>
      </c>
      <c r="F760" t="s">
        <v>2512</v>
      </c>
      <c r="G760" s="17" t="str">
        <f t="shared" si="22"/>
        <v>PROGRAM.CEILING</v>
      </c>
      <c r="H760" s="17" t="str">
        <f t="shared" si="24"/>
        <v>PROJECT.CEILING</v>
      </c>
      <c r="I760" s="29"/>
      <c r="J7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0" s="17"/>
    </row>
    <row r="761" spans="1:11" hidden="1" x14ac:dyDescent="0.2">
      <c r="A761" t="s">
        <v>450</v>
      </c>
      <c r="B761" t="s">
        <v>744</v>
      </c>
      <c r="C761" t="s">
        <v>537</v>
      </c>
      <c r="D761" t="s">
        <v>451</v>
      </c>
      <c r="E761" t="s">
        <v>537</v>
      </c>
      <c r="F761" t="s">
        <v>538</v>
      </c>
      <c r="G761" s="17" t="str">
        <f t="shared" si="22"/>
        <v>PROGRAM.LRE</v>
      </c>
      <c r="H761" s="17" t="str">
        <f t="shared" si="24"/>
        <v>PROJECT.LRE</v>
      </c>
      <c r="I761" s="29"/>
      <c r="J7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1" s="17"/>
    </row>
    <row r="762" spans="1:11" hidden="1" x14ac:dyDescent="0.2">
      <c r="A762" t="s">
        <v>450</v>
      </c>
      <c r="B762" t="s">
        <v>744</v>
      </c>
      <c r="C762" t="s">
        <v>540</v>
      </c>
      <c r="D762" t="s">
        <v>451</v>
      </c>
      <c r="E762" t="s">
        <v>540</v>
      </c>
      <c r="F762" t="s">
        <v>2513</v>
      </c>
      <c r="G762" s="17" t="str">
        <f t="shared" si="22"/>
        <v>PROGRAM.ESTCEILING</v>
      </c>
      <c r="H762" s="17" t="str">
        <f t="shared" si="24"/>
        <v>PROJECT.ESTCEILING</v>
      </c>
      <c r="I762" s="29"/>
      <c r="J7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2" s="17"/>
    </row>
    <row r="763" spans="1:11" hidden="1" x14ac:dyDescent="0.2">
      <c r="A763" t="s">
        <v>450</v>
      </c>
      <c r="B763" t="s">
        <v>744</v>
      </c>
      <c r="C763" t="s">
        <v>543</v>
      </c>
      <c r="D763" t="s">
        <v>451</v>
      </c>
      <c r="E763" t="s">
        <v>543</v>
      </c>
      <c r="F763" t="s">
        <v>2514</v>
      </c>
      <c r="G763" s="17" t="str">
        <f t="shared" si="22"/>
        <v>PROGRAM.ESTMR</v>
      </c>
      <c r="H763" s="17" t="str">
        <f t="shared" si="24"/>
        <v>PROJECT.ESTMR</v>
      </c>
      <c r="I763" s="29"/>
      <c r="J7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3" s="17"/>
    </row>
    <row r="764" spans="1:11" hidden="1" x14ac:dyDescent="0.2">
      <c r="A764" t="s">
        <v>450</v>
      </c>
      <c r="B764" t="s">
        <v>744</v>
      </c>
      <c r="C764" t="s">
        <v>546</v>
      </c>
      <c r="D764" t="s">
        <v>451</v>
      </c>
      <c r="E764" t="s">
        <v>546</v>
      </c>
      <c r="F764" t="s">
        <v>2515</v>
      </c>
      <c r="G764" s="17" t="str">
        <f t="shared" si="22"/>
        <v>PROGRAM.ESTUB</v>
      </c>
      <c r="H764" s="17" t="str">
        <f t="shared" si="24"/>
        <v>PROJECT.ESTUB</v>
      </c>
      <c r="I764" s="29"/>
      <c r="J7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4" s="17"/>
    </row>
    <row r="765" spans="1:11" hidden="1" x14ac:dyDescent="0.2">
      <c r="A765" t="s">
        <v>450</v>
      </c>
      <c r="B765" t="s">
        <v>744</v>
      </c>
      <c r="C765" t="s">
        <v>549</v>
      </c>
      <c r="D765" t="s">
        <v>451</v>
      </c>
      <c r="E765" t="s">
        <v>549</v>
      </c>
      <c r="F765" s="9" t="s">
        <v>2516</v>
      </c>
      <c r="G765" s="25" t="str">
        <f t="shared" si="22"/>
        <v>PROGRAM.BASELINED</v>
      </c>
      <c r="H765" s="25" t="str">
        <f t="shared" si="24"/>
        <v>PROJECT.BASELINED</v>
      </c>
      <c r="I765" s="33"/>
      <c r="J7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5" s="17"/>
    </row>
    <row r="766" spans="1:11" hidden="1" x14ac:dyDescent="0.2">
      <c r="A766" t="s">
        <v>450</v>
      </c>
      <c r="B766" s="14" t="s">
        <v>744</v>
      </c>
      <c r="C766" s="14" t="s">
        <v>637</v>
      </c>
      <c r="D766" s="14" t="s">
        <v>451</v>
      </c>
      <c r="E766" s="14" t="s">
        <v>637</v>
      </c>
      <c r="F766" s="14" t="s">
        <v>2489</v>
      </c>
      <c r="G766" s="23" t="str">
        <f t="shared" si="22"/>
        <v>PROGRAM.CAMCODE</v>
      </c>
      <c r="H766" s="23" t="str">
        <f t="shared" si="24"/>
        <v>PROJECT.CAMCODE</v>
      </c>
      <c r="I766" s="30" t="s">
        <v>2411</v>
      </c>
      <c r="J7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PROJECT.CAMCODE</v>
      </c>
      <c r="K766" s="17"/>
    </row>
    <row r="767" spans="1:11" hidden="1" x14ac:dyDescent="0.2">
      <c r="A767" t="s">
        <v>450</v>
      </c>
      <c r="B767" t="s">
        <v>744</v>
      </c>
      <c r="C767" t="s">
        <v>552</v>
      </c>
      <c r="D767" t="s">
        <v>451</v>
      </c>
      <c r="E767" t="s">
        <v>552</v>
      </c>
      <c r="F767" t="s">
        <v>2517</v>
      </c>
      <c r="G767" s="17" t="str">
        <f t="shared" si="22"/>
        <v>PROGRAM.OTB</v>
      </c>
      <c r="H767" s="17" t="str">
        <f t="shared" si="24"/>
        <v>PROJECT.OTB</v>
      </c>
      <c r="I767" s="29"/>
      <c r="J7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7" s="17"/>
    </row>
    <row r="768" spans="1:11" hidden="1" x14ac:dyDescent="0.2">
      <c r="A768" t="s">
        <v>450</v>
      </c>
      <c r="B768" s="14" t="s">
        <v>744</v>
      </c>
      <c r="C768" s="14" t="s">
        <v>716</v>
      </c>
      <c r="D768" s="14" t="s">
        <v>451</v>
      </c>
      <c r="E768" s="14" t="s">
        <v>716</v>
      </c>
      <c r="F768" s="14" t="s">
        <v>2382</v>
      </c>
      <c r="G768" s="23" t="str">
        <f t="shared" si="22"/>
        <v>PROGRAM.OPP_PROJ</v>
      </c>
      <c r="H768" s="23" t="str">
        <f t="shared" si="24"/>
        <v>PROJECT.OPP_PROJ</v>
      </c>
      <c r="I768" s="30" t="s">
        <v>2411</v>
      </c>
      <c r="J7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PROJECT.OPP_PROJ</v>
      </c>
      <c r="K768" s="17"/>
    </row>
    <row r="769" spans="1:11" hidden="1" x14ac:dyDescent="0.2">
      <c r="A769" t="s">
        <v>450</v>
      </c>
      <c r="B769" t="s">
        <v>744</v>
      </c>
      <c r="C769" t="s">
        <v>704</v>
      </c>
      <c r="D769" t="s">
        <v>451</v>
      </c>
      <c r="E769" t="s">
        <v>479</v>
      </c>
      <c r="F769" t="s">
        <v>2518</v>
      </c>
      <c r="G769" s="17" t="str">
        <f t="shared" si="22"/>
        <v>PROGRAM.FISC_RW</v>
      </c>
      <c r="H769" s="17" t="str">
        <f t="shared" si="24"/>
        <v>PROJECT.RW_FISCAL_CALENDAR_UID</v>
      </c>
      <c r="I769" s="29"/>
      <c r="J7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69" s="17"/>
    </row>
    <row r="770" spans="1:11" ht="16" hidden="1" x14ac:dyDescent="0.2">
      <c r="A770" t="s">
        <v>450</v>
      </c>
      <c r="B770" t="s">
        <v>744</v>
      </c>
      <c r="C770" t="s">
        <v>704</v>
      </c>
      <c r="D770" t="s">
        <v>451</v>
      </c>
      <c r="E770" t="s">
        <v>704</v>
      </c>
      <c r="F770" s="40"/>
      <c r="G770" s="39" t="str">
        <f t="shared" si="22"/>
        <v>PROGRAM.FISC_RW</v>
      </c>
      <c r="H770" s="39" t="str">
        <f t="shared" si="24"/>
        <v>PROJECT.FISC_RW</v>
      </c>
      <c r="I770" s="35" t="s">
        <v>2411</v>
      </c>
      <c r="J770" s="39"/>
      <c r="K770" s="39"/>
    </row>
    <row r="771" spans="1:11" hidden="1" x14ac:dyDescent="0.2">
      <c r="A771" t="s">
        <v>450</v>
      </c>
      <c r="B771" t="s">
        <v>744</v>
      </c>
      <c r="C771" t="s">
        <v>554</v>
      </c>
      <c r="D771" t="s">
        <v>451</v>
      </c>
      <c r="E771" t="s">
        <v>554</v>
      </c>
      <c r="F771" t="s">
        <v>2519</v>
      </c>
      <c r="G771" s="17" t="str">
        <f t="shared" si="22"/>
        <v>PROGRAM.CCN_USEBDN</v>
      </c>
      <c r="H771" s="17" t="str">
        <f t="shared" si="24"/>
        <v>PROJECT.CCN_USEBDN</v>
      </c>
      <c r="I771" s="29"/>
      <c r="J7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1" s="17"/>
    </row>
    <row r="772" spans="1:11" hidden="1" x14ac:dyDescent="0.2">
      <c r="A772" t="s">
        <v>450</v>
      </c>
      <c r="B772" t="s">
        <v>744</v>
      </c>
      <c r="C772" t="s">
        <v>639</v>
      </c>
      <c r="D772" t="s">
        <v>451</v>
      </c>
      <c r="E772" t="s">
        <v>464</v>
      </c>
      <c r="F772" t="s">
        <v>2520</v>
      </c>
      <c r="G772" s="17" t="str">
        <f t="shared" si="22"/>
        <v>PROGRAM.CCN_BDN</v>
      </c>
      <c r="H772" s="17" t="str">
        <f t="shared" si="24"/>
        <v>PROJECT.CHANGE_NUMBER_CODE_FILE_UID</v>
      </c>
      <c r="I772" s="29"/>
      <c r="J7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2" s="17"/>
    </row>
    <row r="773" spans="1:11" hidden="1" x14ac:dyDescent="0.2">
      <c r="A773" t="s">
        <v>450</v>
      </c>
      <c r="B773" t="s">
        <v>744</v>
      </c>
      <c r="C773" t="s">
        <v>2237</v>
      </c>
      <c r="D773" t="s">
        <v>451</v>
      </c>
      <c r="E773" t="s">
        <v>557</v>
      </c>
      <c r="F773" t="s">
        <v>2521</v>
      </c>
      <c r="G773" s="17" t="str">
        <f t="shared" si="22"/>
        <v>PROGRAM.CCN_VAL</v>
      </c>
      <c r="H773" s="17" t="str">
        <f t="shared" si="24"/>
        <v>PROJECT.CCN_REQUIRED</v>
      </c>
      <c r="I773" s="29"/>
      <c r="J7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3" s="17"/>
    </row>
    <row r="774" spans="1:11" x14ac:dyDescent="0.2">
      <c r="A774" t="s">
        <v>450</v>
      </c>
      <c r="B774" t="s">
        <v>744</v>
      </c>
      <c r="C774" t="s">
        <v>718</v>
      </c>
      <c r="D774" t="s">
        <v>1620</v>
      </c>
      <c r="E774" t="s">
        <v>1626</v>
      </c>
      <c r="G774" t="str">
        <f t="shared" si="22"/>
        <v>PROGRAM.P1</v>
      </c>
      <c r="H774" t="str">
        <f t="shared" si="24"/>
        <v>USER_CODE_VALUE.CODE_UID</v>
      </c>
      <c r="J7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4" s="17"/>
    </row>
    <row r="775" spans="1:11" x14ac:dyDescent="0.2">
      <c r="A775" t="s">
        <v>450</v>
      </c>
      <c r="B775" t="s">
        <v>744</v>
      </c>
      <c r="C775" t="s">
        <v>720</v>
      </c>
      <c r="D775" t="s">
        <v>1620</v>
      </c>
      <c r="E775" t="s">
        <v>1626</v>
      </c>
      <c r="G775" t="str">
        <f t="shared" si="22"/>
        <v>PROGRAM.P2</v>
      </c>
      <c r="H775" t="str">
        <f t="shared" si="24"/>
        <v>USER_CODE_VALUE.CODE_UID</v>
      </c>
      <c r="J7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5" s="17"/>
    </row>
    <row r="776" spans="1:11" x14ac:dyDescent="0.2">
      <c r="A776" t="s">
        <v>450</v>
      </c>
      <c r="B776" t="s">
        <v>744</v>
      </c>
      <c r="C776" t="s">
        <v>722</v>
      </c>
      <c r="D776" t="s">
        <v>1620</v>
      </c>
      <c r="E776" t="s">
        <v>1626</v>
      </c>
      <c r="G776" t="str">
        <f t="shared" si="22"/>
        <v>PROGRAM.P3</v>
      </c>
      <c r="H776" t="str">
        <f t="shared" si="24"/>
        <v>USER_CODE_VALUE.CODE_UID</v>
      </c>
      <c r="J7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6" s="17"/>
    </row>
    <row r="777" spans="1:11" x14ac:dyDescent="0.2">
      <c r="A777" t="s">
        <v>450</v>
      </c>
      <c r="B777" t="s">
        <v>744</v>
      </c>
      <c r="C777" t="s">
        <v>724</v>
      </c>
      <c r="D777" t="s">
        <v>1620</v>
      </c>
      <c r="E777" t="s">
        <v>1626</v>
      </c>
      <c r="G777" t="str">
        <f t="shared" si="22"/>
        <v>PROGRAM.P4</v>
      </c>
      <c r="H777" t="str">
        <f t="shared" si="24"/>
        <v>USER_CODE_VALUE.CODE_UID</v>
      </c>
      <c r="J7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7" s="17"/>
    </row>
    <row r="778" spans="1:11" x14ac:dyDescent="0.2">
      <c r="A778" t="s">
        <v>450</v>
      </c>
      <c r="B778" t="s">
        <v>744</v>
      </c>
      <c r="C778" t="s">
        <v>726</v>
      </c>
      <c r="D778" t="s">
        <v>1620</v>
      </c>
      <c r="E778" t="s">
        <v>1626</v>
      </c>
      <c r="G778" t="str">
        <f t="shared" si="22"/>
        <v>PROGRAM.P5</v>
      </c>
      <c r="H778" t="str">
        <f t="shared" si="24"/>
        <v>USER_CODE_VALUE.CODE_UID</v>
      </c>
      <c r="J7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8" s="17"/>
    </row>
    <row r="779" spans="1:11" x14ac:dyDescent="0.2">
      <c r="A779" t="s">
        <v>450</v>
      </c>
      <c r="B779" t="s">
        <v>744</v>
      </c>
      <c r="C779" t="s">
        <v>728</v>
      </c>
      <c r="D779" t="s">
        <v>1620</v>
      </c>
      <c r="E779" t="s">
        <v>1626</v>
      </c>
      <c r="G779" t="str">
        <f t="shared" ref="G779:G842" si="25">_xlfn.CONCAT(B779,".",C779)</f>
        <v>PROGRAM.P6</v>
      </c>
      <c r="H779" t="str">
        <f t="shared" si="24"/>
        <v>USER_CODE_VALUE.CODE_UID</v>
      </c>
      <c r="J7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79" s="17"/>
    </row>
    <row r="780" spans="1:11" x14ac:dyDescent="0.2">
      <c r="A780" t="s">
        <v>450</v>
      </c>
      <c r="B780" t="s">
        <v>744</v>
      </c>
      <c r="C780" t="s">
        <v>730</v>
      </c>
      <c r="D780" t="s">
        <v>1620</v>
      </c>
      <c r="E780" t="s">
        <v>1626</v>
      </c>
      <c r="G780" t="str">
        <f t="shared" si="25"/>
        <v>PROGRAM.P7</v>
      </c>
      <c r="H780" t="str">
        <f t="shared" si="24"/>
        <v>USER_CODE_VALUE.CODE_UID</v>
      </c>
      <c r="J7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0" s="17"/>
    </row>
    <row r="781" spans="1:11" x14ac:dyDescent="0.2">
      <c r="A781" t="s">
        <v>450</v>
      </c>
      <c r="B781" t="s">
        <v>744</v>
      </c>
      <c r="C781" t="s">
        <v>732</v>
      </c>
      <c r="D781" t="s">
        <v>1620</v>
      </c>
      <c r="E781" t="s">
        <v>1626</v>
      </c>
      <c r="G781" t="str">
        <f t="shared" si="25"/>
        <v>PROGRAM.P8</v>
      </c>
      <c r="H781" t="str">
        <f t="shared" si="24"/>
        <v>USER_CODE_VALUE.CODE_UID</v>
      </c>
      <c r="J7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1" s="17"/>
    </row>
    <row r="782" spans="1:11" x14ac:dyDescent="0.2">
      <c r="A782" t="s">
        <v>450</v>
      </c>
      <c r="B782" t="s">
        <v>744</v>
      </c>
      <c r="C782" t="s">
        <v>734</v>
      </c>
      <c r="D782" t="s">
        <v>1620</v>
      </c>
      <c r="E782" t="s">
        <v>1626</v>
      </c>
      <c r="G782" t="str">
        <f t="shared" si="25"/>
        <v>PROGRAM.P9</v>
      </c>
      <c r="H782" t="str">
        <f t="shared" si="24"/>
        <v>USER_CODE_VALUE.CODE_UID</v>
      </c>
      <c r="J7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2" s="17"/>
    </row>
    <row r="783" spans="1:11" hidden="1" x14ac:dyDescent="0.2">
      <c r="A783" t="s">
        <v>450</v>
      </c>
      <c r="B783" s="14" t="s">
        <v>744</v>
      </c>
      <c r="C783" s="14" t="s">
        <v>714</v>
      </c>
      <c r="D783" s="14" t="s">
        <v>451</v>
      </c>
      <c r="E783" s="14" t="s">
        <v>714</v>
      </c>
      <c r="F783" t="s">
        <v>2522</v>
      </c>
      <c r="G783" t="str">
        <f t="shared" si="25"/>
        <v>PROGRAM.MPSCODE</v>
      </c>
      <c r="H783" t="str">
        <f t="shared" si="24"/>
        <v>PROJECT.MPSCODE</v>
      </c>
      <c r="I783" s="30" t="s">
        <v>2411</v>
      </c>
      <c r="J7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PROJECT.MPSCODE</v>
      </c>
      <c r="K783" s="17"/>
    </row>
    <row r="784" spans="1:11" hidden="1" x14ac:dyDescent="0.2">
      <c r="A784" t="s">
        <v>450</v>
      </c>
      <c r="B784" t="s">
        <v>744</v>
      </c>
      <c r="C784" t="s">
        <v>710</v>
      </c>
      <c r="D784" t="s">
        <v>451</v>
      </c>
      <c r="E784" t="s">
        <v>2523</v>
      </c>
      <c r="F784" t="s">
        <v>2524</v>
      </c>
      <c r="G784" s="17" t="str">
        <f t="shared" si="25"/>
        <v>PROGRAM.MGRFILE</v>
      </c>
      <c r="H784" s="17" t="str">
        <f t="shared" si="24"/>
        <v>PROJECT.CAM_CODE_FILE_UID</v>
      </c>
      <c r="I784" s="29"/>
      <c r="J7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4" s="17"/>
    </row>
    <row r="785" spans="1:11" hidden="1" x14ac:dyDescent="0.2">
      <c r="A785" t="s">
        <v>450</v>
      </c>
      <c r="B785" t="s">
        <v>744</v>
      </c>
      <c r="C785" t="s">
        <v>2242</v>
      </c>
      <c r="D785" t="s">
        <v>451</v>
      </c>
      <c r="E785" t="s">
        <v>560</v>
      </c>
      <c r="F785" t="s">
        <v>2525</v>
      </c>
      <c r="G785" s="17" t="str">
        <f t="shared" si="25"/>
        <v>PROGRAM.MGRVALID</v>
      </c>
      <c r="H785" s="17" t="str">
        <f t="shared" si="24"/>
        <v>PROJECT.CAM_REQUIRED</v>
      </c>
      <c r="I785" s="29"/>
      <c r="J7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85" s="17"/>
    </row>
    <row r="786" spans="1:11" hidden="1" x14ac:dyDescent="0.2">
      <c r="A786" t="s">
        <v>450</v>
      </c>
      <c r="B786" s="14" t="s">
        <v>744</v>
      </c>
      <c r="C786" s="14" t="s">
        <v>712</v>
      </c>
      <c r="D786" s="14" t="s">
        <v>451</v>
      </c>
      <c r="E786" s="14" t="s">
        <v>712</v>
      </c>
      <c r="F786" s="14" t="s">
        <v>2522</v>
      </c>
      <c r="G786" s="23" t="str">
        <f t="shared" si="25"/>
        <v>PROGRAM.MGRTYPE</v>
      </c>
      <c r="H786" s="23" t="str">
        <f t="shared" si="24"/>
        <v>PROJECT.MGRTYPE</v>
      </c>
      <c r="I786" s="30" t="s">
        <v>2411</v>
      </c>
      <c r="J7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PROJECT.MGRTYPE</v>
      </c>
      <c r="K786" s="17"/>
    </row>
    <row r="787" spans="1:11" hidden="1" x14ac:dyDescent="0.2">
      <c r="A787" t="s">
        <v>450</v>
      </c>
      <c r="B787" s="14" t="s">
        <v>744</v>
      </c>
      <c r="C787" s="14" t="s">
        <v>686</v>
      </c>
      <c r="D787" s="14" t="s">
        <v>451</v>
      </c>
      <c r="E787" s="14" t="s">
        <v>686</v>
      </c>
      <c r="F787" s="14"/>
      <c r="G787" s="23" t="str">
        <f t="shared" si="25"/>
        <v>PROGRAM.CONTRACT</v>
      </c>
      <c r="H787" s="23" t="str">
        <f t="shared" si="24"/>
        <v>PROJECT.CONTRACT</v>
      </c>
      <c r="I787" s="30" t="s">
        <v>2411</v>
      </c>
      <c r="J7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PROJECT.CONTRACT</v>
      </c>
      <c r="K787" s="17"/>
    </row>
    <row r="788" spans="1:11" hidden="1" x14ac:dyDescent="0.2">
      <c r="A788" t="s">
        <v>450</v>
      </c>
      <c r="B788" s="14" t="s">
        <v>744</v>
      </c>
      <c r="C788" s="14" t="s">
        <v>663</v>
      </c>
      <c r="D788" s="14" t="s">
        <v>451</v>
      </c>
      <c r="E788" s="14" t="s">
        <v>663</v>
      </c>
      <c r="F788" s="14"/>
      <c r="G788" s="23" t="str">
        <f t="shared" si="25"/>
        <v>PROGRAM.CONT_PHASE</v>
      </c>
      <c r="H788" s="23" t="str">
        <f t="shared" si="24"/>
        <v>PROJECT.CONT_PHASE</v>
      </c>
      <c r="I788" s="30" t="s">
        <v>2411</v>
      </c>
      <c r="J7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PROJECT.CONT_PHASE</v>
      </c>
      <c r="K788" s="17"/>
    </row>
    <row r="789" spans="1:11" hidden="1" x14ac:dyDescent="0.2">
      <c r="A789" t="s">
        <v>450</v>
      </c>
      <c r="B789" s="14" t="s">
        <v>744</v>
      </c>
      <c r="C789" s="14" t="s">
        <v>672</v>
      </c>
      <c r="D789" s="14" t="s">
        <v>451</v>
      </c>
      <c r="E789" s="14" t="s">
        <v>672</v>
      </c>
      <c r="F789" s="14"/>
      <c r="G789" s="23" t="str">
        <f t="shared" si="25"/>
        <v>PROGRAM.CONT_REPN</v>
      </c>
      <c r="H789" s="23" t="str">
        <f t="shared" si="24"/>
        <v>PROJECT.CONT_REPN</v>
      </c>
      <c r="I789" s="30" t="s">
        <v>2411</v>
      </c>
      <c r="J7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PROJECT.CONT_REPN</v>
      </c>
      <c r="K789" s="17"/>
    </row>
    <row r="790" spans="1:11" hidden="1" x14ac:dyDescent="0.2">
      <c r="A790" t="s">
        <v>450</v>
      </c>
      <c r="B790" s="14" t="s">
        <v>744</v>
      </c>
      <c r="C790" s="14" t="s">
        <v>676</v>
      </c>
      <c r="D790" s="14" t="s">
        <v>451</v>
      </c>
      <c r="E790" s="14" t="s">
        <v>676</v>
      </c>
      <c r="F790" s="14"/>
      <c r="G790" s="23" t="str">
        <f t="shared" si="25"/>
        <v>PROGRAM.CONT_REPT</v>
      </c>
      <c r="H790" s="23" t="str">
        <f t="shared" si="24"/>
        <v>PROJECT.CONT_REPT</v>
      </c>
      <c r="I790" s="30" t="s">
        <v>2411</v>
      </c>
      <c r="J7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PROJECT.CONT_REPT</v>
      </c>
      <c r="K790" s="17"/>
    </row>
    <row r="791" spans="1:11" hidden="1" x14ac:dyDescent="0.2">
      <c r="A791" t="s">
        <v>450</v>
      </c>
      <c r="B791" t="s">
        <v>744</v>
      </c>
      <c r="C791" t="s">
        <v>2238</v>
      </c>
      <c r="D791" t="s">
        <v>451</v>
      </c>
      <c r="E791" t="s">
        <v>563</v>
      </c>
      <c r="F791" t="s">
        <v>2526</v>
      </c>
      <c r="G791" s="17" t="str">
        <f t="shared" si="25"/>
        <v>PROGRAM.CLASSFCN</v>
      </c>
      <c r="H791" s="17" t="str">
        <f t="shared" si="24"/>
        <v>PROJECT.CLASSIFICATION</v>
      </c>
      <c r="I791" s="29"/>
      <c r="J7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1" s="17"/>
    </row>
    <row r="792" spans="1:11" hidden="1" x14ac:dyDescent="0.2">
      <c r="A792" t="s">
        <v>450</v>
      </c>
      <c r="B792" t="s">
        <v>744</v>
      </c>
      <c r="C792" t="s">
        <v>2239</v>
      </c>
      <c r="D792" t="s">
        <v>451</v>
      </c>
      <c r="E792" t="s">
        <v>566</v>
      </c>
      <c r="F792" s="10" t="s">
        <v>2527</v>
      </c>
      <c r="G792" s="26" t="str">
        <f t="shared" si="25"/>
        <v>PROGRAM.EVMS_ACC</v>
      </c>
      <c r="H792" s="26" t="str">
        <f t="shared" si="24"/>
        <v>PROJECT.EVMS_ACCEPTANCE</v>
      </c>
      <c r="I792" s="34"/>
      <c r="J7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2" s="17"/>
    </row>
    <row r="793" spans="1:11" hidden="1" x14ac:dyDescent="0.2">
      <c r="A793" t="s">
        <v>450</v>
      </c>
      <c r="B793" t="s">
        <v>744</v>
      </c>
      <c r="C793" t="s">
        <v>2240</v>
      </c>
      <c r="D793" t="s">
        <v>451</v>
      </c>
      <c r="E793" t="s">
        <v>570</v>
      </c>
      <c r="F793" s="10" t="s">
        <v>2528</v>
      </c>
      <c r="G793" s="26" t="str">
        <f t="shared" si="25"/>
        <v>PROGRAM.EVMS_ADATE</v>
      </c>
      <c r="H793" s="26" t="str">
        <f t="shared" si="24"/>
        <v>PROJECT.EVMS_ACCEPTANCE_DATE</v>
      </c>
      <c r="I793" s="34"/>
      <c r="J7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3" s="17"/>
    </row>
    <row r="794" spans="1:11" hidden="1" x14ac:dyDescent="0.2">
      <c r="A794" t="s">
        <v>450</v>
      </c>
      <c r="B794" t="s">
        <v>744</v>
      </c>
      <c r="C794" t="s">
        <v>573</v>
      </c>
      <c r="D794" t="s">
        <v>451</v>
      </c>
      <c r="E794" t="s">
        <v>573</v>
      </c>
      <c r="F794" t="s">
        <v>2529</v>
      </c>
      <c r="G794" s="17" t="str">
        <f t="shared" si="25"/>
        <v>PROGRAM.OTB_DATE</v>
      </c>
      <c r="H794" s="17" t="str">
        <f t="shared" ref="H794:H857" si="26">_xlfn.CONCAT(D794,".",E794)</f>
        <v>PROJECT.OTB_DATE</v>
      </c>
      <c r="I794" s="29"/>
      <c r="J7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4" s="17"/>
    </row>
    <row r="795" spans="1:11" hidden="1" x14ac:dyDescent="0.2">
      <c r="A795" t="s">
        <v>450</v>
      </c>
      <c r="B795" t="s">
        <v>744</v>
      </c>
      <c r="C795" t="s">
        <v>576</v>
      </c>
      <c r="D795" t="s">
        <v>451</v>
      </c>
      <c r="E795" t="s">
        <v>576</v>
      </c>
      <c r="F795" t="s">
        <v>2530</v>
      </c>
      <c r="G795" s="17" t="str">
        <f t="shared" si="25"/>
        <v>PROGRAM.EAC_BEST</v>
      </c>
      <c r="H795" s="17" t="str">
        <f t="shared" si="26"/>
        <v>PROJECT.EAC_BEST</v>
      </c>
      <c r="I795" s="29"/>
      <c r="J7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5" s="17"/>
    </row>
    <row r="796" spans="1:11" hidden="1" x14ac:dyDescent="0.2">
      <c r="A796" t="s">
        <v>450</v>
      </c>
      <c r="B796" t="s">
        <v>744</v>
      </c>
      <c r="C796" t="s">
        <v>579</v>
      </c>
      <c r="D796" t="s">
        <v>451</v>
      </c>
      <c r="E796" t="s">
        <v>579</v>
      </c>
      <c r="F796" t="s">
        <v>2531</v>
      </c>
      <c r="G796" s="17" t="str">
        <f t="shared" si="25"/>
        <v>PROGRAM.EAC_WORST</v>
      </c>
      <c r="H796" s="17" t="str">
        <f t="shared" si="26"/>
        <v>PROJECT.EAC_WORST</v>
      </c>
      <c r="I796" s="29"/>
      <c r="J7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796" s="17"/>
    </row>
    <row r="797" spans="1:11" hidden="1" x14ac:dyDescent="0.2">
      <c r="A797" t="s">
        <v>450</v>
      </c>
      <c r="B797" s="14" t="s">
        <v>744</v>
      </c>
      <c r="C797" s="14" t="s">
        <v>600</v>
      </c>
      <c r="D797" s="14" t="s">
        <v>1372</v>
      </c>
      <c r="E797" s="14" t="s">
        <v>600</v>
      </c>
      <c r="F797" s="14" t="s">
        <v>2532</v>
      </c>
      <c r="G797" s="23" t="str">
        <f t="shared" si="25"/>
        <v>PROGRAM.ACWP</v>
      </c>
      <c r="H797" s="23" t="str">
        <f t="shared" si="26"/>
        <v>PROJECT_COST_TOTAL.ACWP</v>
      </c>
      <c r="I797" s="30" t="s">
        <v>2411</v>
      </c>
      <c r="J7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PROJECT.ACWP</v>
      </c>
      <c r="K797" s="17"/>
    </row>
    <row r="798" spans="1:11" hidden="1" x14ac:dyDescent="0.2">
      <c r="A798" t="s">
        <v>450</v>
      </c>
      <c r="B798" s="14" t="s">
        <v>744</v>
      </c>
      <c r="C798" s="14" t="s">
        <v>602</v>
      </c>
      <c r="D798" s="14" t="s">
        <v>1372</v>
      </c>
      <c r="E798" s="14" t="s">
        <v>602</v>
      </c>
      <c r="F798" s="14" t="s">
        <v>2533</v>
      </c>
      <c r="G798" s="23" t="str">
        <f t="shared" si="25"/>
        <v>PROGRAM.ACWP_HRS</v>
      </c>
      <c r="H798" s="23" t="str">
        <f t="shared" si="26"/>
        <v>PROJECT_COST_TOTAL.ACWP_HRS</v>
      </c>
      <c r="I798" s="30" t="s">
        <v>2411</v>
      </c>
      <c r="J7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PROJECT.ACWP_HRS</v>
      </c>
      <c r="K798" s="17"/>
    </row>
    <row r="799" spans="1:11" hidden="1" x14ac:dyDescent="0.2">
      <c r="A799" t="s">
        <v>450</v>
      </c>
      <c r="B799" s="14" t="s">
        <v>744</v>
      </c>
      <c r="C799" s="14" t="s">
        <v>613</v>
      </c>
      <c r="D799" s="14" t="s">
        <v>1372</v>
      </c>
      <c r="E799" s="14" t="s">
        <v>613</v>
      </c>
      <c r="F799" s="14" t="s">
        <v>2534</v>
      </c>
      <c r="G799" s="23" t="str">
        <f t="shared" si="25"/>
        <v>PROGRAM.BCWP</v>
      </c>
      <c r="H799" s="23" t="str">
        <f t="shared" si="26"/>
        <v>PROJECT_COST_TOTAL.BCWP</v>
      </c>
      <c r="I799" s="30" t="s">
        <v>2411</v>
      </c>
      <c r="J7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PROJECT.BCWP</v>
      </c>
      <c r="K799" s="17"/>
    </row>
    <row r="800" spans="1:11" hidden="1" x14ac:dyDescent="0.2">
      <c r="A800" t="s">
        <v>450</v>
      </c>
      <c r="B800" s="14" t="s">
        <v>744</v>
      </c>
      <c r="C800" s="14" t="s">
        <v>615</v>
      </c>
      <c r="D800" s="14" t="s">
        <v>1372</v>
      </c>
      <c r="E800" s="14" t="s">
        <v>615</v>
      </c>
      <c r="F800" s="14" t="s">
        <v>2535</v>
      </c>
      <c r="G800" s="23" t="str">
        <f t="shared" si="25"/>
        <v>PROGRAM.BCWP_HRS</v>
      </c>
      <c r="H800" s="23" t="str">
        <f t="shared" si="26"/>
        <v>PROJECT_COST_TOTAL.BCWP_HRS</v>
      </c>
      <c r="I800" s="30" t="s">
        <v>2411</v>
      </c>
      <c r="J8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PROJECT.BCWP_HRS</v>
      </c>
      <c r="K800" s="17"/>
    </row>
    <row r="801" spans="1:11" hidden="1" x14ac:dyDescent="0.2">
      <c r="A801" t="s">
        <v>450</v>
      </c>
      <c r="B801" s="14" t="s">
        <v>744</v>
      </c>
      <c r="C801" s="14" t="s">
        <v>617</v>
      </c>
      <c r="D801" s="14" t="s">
        <v>1372</v>
      </c>
      <c r="E801" s="14" t="s">
        <v>617</v>
      </c>
      <c r="F801" s="14" t="s">
        <v>2536</v>
      </c>
      <c r="G801" s="23" t="str">
        <f t="shared" si="25"/>
        <v>PROGRAM.BCWS</v>
      </c>
      <c r="H801" s="23" t="str">
        <f t="shared" si="26"/>
        <v>PROJECT_COST_TOTAL.BCWS</v>
      </c>
      <c r="I801" s="30" t="s">
        <v>2411</v>
      </c>
      <c r="J8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PROJECT.BCWS</v>
      </c>
      <c r="K801" s="17"/>
    </row>
    <row r="802" spans="1:11" hidden="1" x14ac:dyDescent="0.2">
      <c r="A802" t="s">
        <v>450</v>
      </c>
      <c r="B802" s="14" t="s">
        <v>744</v>
      </c>
      <c r="C802" s="14" t="s">
        <v>619</v>
      </c>
      <c r="D802" s="14" t="s">
        <v>1372</v>
      </c>
      <c r="E802" s="14" t="s">
        <v>619</v>
      </c>
      <c r="F802" s="14" t="s">
        <v>2537</v>
      </c>
      <c r="G802" s="23" t="str">
        <f t="shared" si="25"/>
        <v>PROGRAM.BCWS_HRS</v>
      </c>
      <c r="H802" s="23" t="str">
        <f t="shared" si="26"/>
        <v>PROJECT_COST_TOTAL.BCWS_HRS</v>
      </c>
      <c r="I802" s="30" t="s">
        <v>2411</v>
      </c>
      <c r="J8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PROJECT.BCWS_HRS</v>
      </c>
      <c r="K802" s="17"/>
    </row>
    <row r="803" spans="1:11" hidden="1" x14ac:dyDescent="0.2">
      <c r="A803" t="s">
        <v>450</v>
      </c>
      <c r="B803" s="14" t="s">
        <v>744</v>
      </c>
      <c r="C803" s="14" t="s">
        <v>607</v>
      </c>
      <c r="D803" s="14" t="s">
        <v>1372</v>
      </c>
      <c r="E803" s="14" t="s">
        <v>607</v>
      </c>
      <c r="F803" s="14" t="s">
        <v>2538</v>
      </c>
      <c r="G803" s="23" t="str">
        <f t="shared" si="25"/>
        <v>PROGRAM.BAC</v>
      </c>
      <c r="H803" s="23" t="str">
        <f t="shared" si="26"/>
        <v>PROJECT_COST_TOTAL.BAC</v>
      </c>
      <c r="I803" s="30" t="s">
        <v>2411</v>
      </c>
      <c r="J8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PROJECT.BAC</v>
      </c>
      <c r="K803" s="17"/>
    </row>
    <row r="804" spans="1:11" hidden="1" x14ac:dyDescent="0.2">
      <c r="A804" t="s">
        <v>450</v>
      </c>
      <c r="B804" s="14" t="s">
        <v>744</v>
      </c>
      <c r="C804" s="14" t="s">
        <v>609</v>
      </c>
      <c r="D804" s="14" t="s">
        <v>1372</v>
      </c>
      <c r="E804" s="14" t="s">
        <v>609</v>
      </c>
      <c r="F804" s="14" t="s">
        <v>2539</v>
      </c>
      <c r="G804" s="23" t="str">
        <f t="shared" si="25"/>
        <v>PROGRAM.BAC_HRS</v>
      </c>
      <c r="H804" s="23" t="str">
        <f t="shared" si="26"/>
        <v>PROJECT_COST_TOTAL.BAC_HRS</v>
      </c>
      <c r="I804" s="30" t="s">
        <v>2411</v>
      </c>
      <c r="J8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PROJECT.BAC_HRS</v>
      </c>
      <c r="K804" s="17"/>
    </row>
    <row r="805" spans="1:11" hidden="1" x14ac:dyDescent="0.2">
      <c r="A805" t="s">
        <v>450</v>
      </c>
      <c r="B805" s="14" t="s">
        <v>744</v>
      </c>
      <c r="C805" s="14" t="s">
        <v>690</v>
      </c>
      <c r="D805" s="14" t="s">
        <v>1372</v>
      </c>
      <c r="E805" s="14" t="s">
        <v>690</v>
      </c>
      <c r="F805" s="14" t="s">
        <v>2540</v>
      </c>
      <c r="G805" s="23" t="str">
        <f t="shared" si="25"/>
        <v>PROGRAM.EAC</v>
      </c>
      <c r="H805" s="23" t="str">
        <f t="shared" si="26"/>
        <v>PROJECT_COST_TOTAL.EAC</v>
      </c>
      <c r="I805" s="30" t="s">
        <v>2411</v>
      </c>
      <c r="J8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PROJECT.EAC</v>
      </c>
      <c r="K805" s="17"/>
    </row>
    <row r="806" spans="1:11" hidden="1" x14ac:dyDescent="0.2">
      <c r="A806" t="s">
        <v>450</v>
      </c>
      <c r="B806" s="14" t="s">
        <v>744</v>
      </c>
      <c r="C806" s="14" t="s">
        <v>692</v>
      </c>
      <c r="D806" s="14" t="s">
        <v>1372</v>
      </c>
      <c r="E806" s="14" t="s">
        <v>692</v>
      </c>
      <c r="F806" s="14" t="s">
        <v>2541</v>
      </c>
      <c r="G806" s="23" t="str">
        <f t="shared" si="25"/>
        <v>PROGRAM.EAC_HRS</v>
      </c>
      <c r="H806" s="23" t="str">
        <f t="shared" si="26"/>
        <v>PROJECT_COST_TOTAL.EAC_HRS</v>
      </c>
      <c r="I806" s="30" t="s">
        <v>2411</v>
      </c>
      <c r="J8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PROJECT.EAC_HRS</v>
      </c>
      <c r="K806" s="17"/>
    </row>
    <row r="807" spans="1:11" hidden="1" x14ac:dyDescent="0.2">
      <c r="A807" t="s">
        <v>450</v>
      </c>
      <c r="B807" t="s">
        <v>744</v>
      </c>
      <c r="C807" t="s">
        <v>582</v>
      </c>
      <c r="D807" t="s">
        <v>451</v>
      </c>
      <c r="E807" t="s">
        <v>582</v>
      </c>
      <c r="F807" t="s">
        <v>2542</v>
      </c>
      <c r="G807" s="17" t="str">
        <f t="shared" si="25"/>
        <v>PROGRAM.COMPLETE</v>
      </c>
      <c r="H807" s="17" t="str">
        <f t="shared" si="26"/>
        <v>PROJECT.COMPLETE</v>
      </c>
      <c r="I807" s="29"/>
      <c r="J8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07" s="17"/>
    </row>
    <row r="808" spans="1:11" hidden="1" x14ac:dyDescent="0.2">
      <c r="A808" t="s">
        <v>450</v>
      </c>
      <c r="B808" t="s">
        <v>744</v>
      </c>
      <c r="C808" t="s">
        <v>585</v>
      </c>
      <c r="D808" t="s">
        <v>451</v>
      </c>
      <c r="E808" t="s">
        <v>585</v>
      </c>
      <c r="F808" t="s">
        <v>2543</v>
      </c>
      <c r="G808" s="17" t="str">
        <f t="shared" si="25"/>
        <v>PROGRAM.DEFINITE</v>
      </c>
      <c r="H808" s="17" t="str">
        <f t="shared" si="26"/>
        <v>PROJECT.DEFINITE</v>
      </c>
      <c r="I808" s="29"/>
      <c r="J8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08" s="17"/>
    </row>
    <row r="809" spans="1:11" hidden="1" x14ac:dyDescent="0.2">
      <c r="A809" t="s">
        <v>450</v>
      </c>
      <c r="B809" t="s">
        <v>744</v>
      </c>
      <c r="C809" t="s">
        <v>2236</v>
      </c>
      <c r="D809" t="s">
        <v>451</v>
      </c>
      <c r="E809" t="s">
        <v>588</v>
      </c>
      <c r="F809" t="s">
        <v>2544</v>
      </c>
      <c r="G809" s="17" t="str">
        <f t="shared" si="25"/>
        <v>PROGRAM.C_SYMBOL</v>
      </c>
      <c r="H809" s="17" t="str">
        <f t="shared" si="26"/>
        <v>PROJECT.CURRENCY_SYMBOL</v>
      </c>
      <c r="I809" s="29"/>
      <c r="J8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09" s="17"/>
    </row>
    <row r="810" spans="1:11" hidden="1" x14ac:dyDescent="0.2">
      <c r="A810" t="s">
        <v>450</v>
      </c>
      <c r="B810" t="s">
        <v>744</v>
      </c>
      <c r="C810" t="s">
        <v>2235</v>
      </c>
      <c r="D810" t="s">
        <v>451</v>
      </c>
      <c r="E810" t="s">
        <v>591</v>
      </c>
      <c r="F810" t="s">
        <v>2545</v>
      </c>
      <c r="G810" s="17" t="str">
        <f t="shared" si="25"/>
        <v>PROGRAM.C_RIGHT</v>
      </c>
      <c r="H810" s="17" t="str">
        <f t="shared" si="26"/>
        <v>PROJECT.CURRENCY_SYMBOL_RIGHT</v>
      </c>
      <c r="I810" s="29"/>
      <c r="J8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0" s="17"/>
    </row>
    <row r="811" spans="1:11" hidden="1" x14ac:dyDescent="0.2">
      <c r="A811" s="19" t="s">
        <v>450</v>
      </c>
      <c r="B811" s="14" t="s">
        <v>744</v>
      </c>
      <c r="C811" s="14" t="s">
        <v>708</v>
      </c>
      <c r="D811" t="s">
        <v>451</v>
      </c>
      <c r="E811" s="14" t="s">
        <v>708</v>
      </c>
      <c r="F811" s="14" t="s">
        <v>2546</v>
      </c>
      <c r="G811" s="23" t="str">
        <f t="shared" si="25"/>
        <v>PROGRAM.ISMASTER</v>
      </c>
      <c r="H811" s="23" t="str">
        <f t="shared" si="26"/>
        <v>PROJECT.ISMASTER</v>
      </c>
      <c r="I811" s="30" t="s">
        <v>2411</v>
      </c>
      <c r="J8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PROJECT.ISMASTER</v>
      </c>
      <c r="K811" s="17"/>
    </row>
    <row r="812" spans="1:11" hidden="1" x14ac:dyDescent="0.2">
      <c r="A812" t="s">
        <v>450</v>
      </c>
      <c r="B812" s="14" t="s">
        <v>744</v>
      </c>
      <c r="C812" s="14" t="s">
        <v>742</v>
      </c>
      <c r="D812" t="s">
        <v>451</v>
      </c>
      <c r="E812" s="14" t="s">
        <v>742</v>
      </c>
      <c r="F812" s="14" t="s">
        <v>2547</v>
      </c>
      <c r="G812" s="23" t="str">
        <f t="shared" si="25"/>
        <v>PROGRAM.PRODVIS</v>
      </c>
      <c r="H812" s="23" t="str">
        <f t="shared" si="26"/>
        <v>PROJECT.PRODVIS</v>
      </c>
      <c r="I812" s="30" t="s">
        <v>2411</v>
      </c>
      <c r="J8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PROJECT.PRODVIS</v>
      </c>
      <c r="K812" s="17"/>
    </row>
    <row r="813" spans="1:11" hidden="1" x14ac:dyDescent="0.2">
      <c r="A813" t="s">
        <v>450</v>
      </c>
      <c r="B813" t="s">
        <v>744</v>
      </c>
      <c r="C813" t="s">
        <v>35</v>
      </c>
      <c r="D813" t="s">
        <v>451</v>
      </c>
      <c r="E813" t="s">
        <v>35</v>
      </c>
      <c r="F813" t="s">
        <v>2548</v>
      </c>
      <c r="G813" s="17" t="str">
        <f t="shared" si="25"/>
        <v>PROGRAM.SEQUENCE</v>
      </c>
      <c r="H813" s="17" t="str">
        <f t="shared" si="26"/>
        <v>PROJECT.SEQUENCE</v>
      </c>
      <c r="I813" s="29"/>
      <c r="J8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3" s="17"/>
    </row>
    <row r="814" spans="1:11" hidden="1" x14ac:dyDescent="0.2">
      <c r="A814" t="s">
        <v>450</v>
      </c>
      <c r="B814" t="s">
        <v>744</v>
      </c>
      <c r="C814" t="s">
        <v>2111</v>
      </c>
      <c r="D814" t="s">
        <v>451</v>
      </c>
      <c r="E814" t="s">
        <v>71</v>
      </c>
      <c r="F814" t="s">
        <v>2549</v>
      </c>
      <c r="G814" s="17" t="str">
        <f t="shared" si="25"/>
        <v>PROGRAM.LASTUPDATE</v>
      </c>
      <c r="H814" s="17" t="str">
        <f t="shared" si="26"/>
        <v>PROJECT.LAST_MODIFIED_DATE</v>
      </c>
      <c r="I814" s="29"/>
      <c r="J8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4" s="17"/>
    </row>
    <row r="815" spans="1:11" hidden="1" x14ac:dyDescent="0.2">
      <c r="A815" t="s">
        <v>450</v>
      </c>
      <c r="B815" t="s">
        <v>744</v>
      </c>
      <c r="C815" t="s">
        <v>2112</v>
      </c>
      <c r="D815" t="s">
        <v>451</v>
      </c>
      <c r="E815" t="s">
        <v>68</v>
      </c>
      <c r="F815" t="s">
        <v>2550</v>
      </c>
      <c r="G815" s="17" t="str">
        <f t="shared" si="25"/>
        <v>PROGRAM.USR_ID</v>
      </c>
      <c r="H815" s="17" t="str">
        <f t="shared" si="26"/>
        <v>PROJECT.LAST_MODIFIED_BY_USER_UID</v>
      </c>
      <c r="I815" s="29"/>
      <c r="J8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5" s="17"/>
    </row>
    <row r="816" spans="1:11" hidden="1" x14ac:dyDescent="0.2">
      <c r="A816" t="s">
        <v>450</v>
      </c>
      <c r="B816" s="14" t="s">
        <v>744</v>
      </c>
      <c r="C816" s="14" t="s">
        <v>706</v>
      </c>
      <c r="D816" s="14" t="s">
        <v>451</v>
      </c>
      <c r="E816" s="14" t="s">
        <v>706</v>
      </c>
      <c r="F816" s="14" t="s">
        <v>2382</v>
      </c>
      <c r="G816" s="23" t="str">
        <f t="shared" si="25"/>
        <v>PROGRAM.IPMR2_CODE</v>
      </c>
      <c r="H816" s="23" t="str">
        <f t="shared" si="26"/>
        <v>PROJECT.IPMR2_CODE</v>
      </c>
      <c r="I816" s="30" t="s">
        <v>2411</v>
      </c>
      <c r="J8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PROJECT.IPMR2_CODE</v>
      </c>
      <c r="K816" s="17"/>
    </row>
    <row r="817" spans="1:11" hidden="1" x14ac:dyDescent="0.2">
      <c r="A817" t="s">
        <v>450</v>
      </c>
      <c r="B817" s="14" t="s">
        <v>744</v>
      </c>
      <c r="C817" s="14" t="s">
        <v>604</v>
      </c>
      <c r="D817" s="14" t="s">
        <v>451</v>
      </c>
      <c r="E817" s="14" t="s">
        <v>604</v>
      </c>
      <c r="F817" s="14"/>
      <c r="G817" s="23" t="str">
        <f t="shared" si="25"/>
        <v>PROGRAM.ADDRESS</v>
      </c>
      <c r="H817" s="23" t="str">
        <f t="shared" si="26"/>
        <v>PROJECT.ADDRESS</v>
      </c>
      <c r="I817" s="30"/>
      <c r="J8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7" s="17"/>
    </row>
    <row r="818" spans="1:11" hidden="1" x14ac:dyDescent="0.2">
      <c r="A818" t="s">
        <v>450</v>
      </c>
      <c r="B818" s="14" t="s">
        <v>744</v>
      </c>
      <c r="C818" s="14" t="s">
        <v>751</v>
      </c>
      <c r="D818" s="14" t="s">
        <v>451</v>
      </c>
      <c r="E818" s="14" t="s">
        <v>751</v>
      </c>
      <c r="F818" s="14"/>
      <c r="G818" s="23" t="str">
        <f t="shared" si="25"/>
        <v>PROGRAM.STATE</v>
      </c>
      <c r="H818" s="23" t="str">
        <f t="shared" si="26"/>
        <v>PROJECT.STATE</v>
      </c>
      <c r="I818" s="30"/>
      <c r="J8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8" s="17"/>
    </row>
    <row r="819" spans="1:11" hidden="1" x14ac:dyDescent="0.2">
      <c r="A819" t="s">
        <v>450</v>
      </c>
      <c r="B819" s="14" t="s">
        <v>744</v>
      </c>
      <c r="C819" s="14" t="s">
        <v>757</v>
      </c>
      <c r="D819" s="14" t="s">
        <v>451</v>
      </c>
      <c r="E819" s="14" t="s">
        <v>757</v>
      </c>
      <c r="F819" s="14"/>
      <c r="G819" s="23" t="str">
        <f t="shared" si="25"/>
        <v>PROGRAM.ZIP</v>
      </c>
      <c r="H819" s="23" t="str">
        <f t="shared" si="26"/>
        <v>PROJECT.ZIP</v>
      </c>
      <c r="I819" s="30"/>
      <c r="J8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19" s="17"/>
    </row>
    <row r="820" spans="1:11" hidden="1" x14ac:dyDescent="0.2">
      <c r="A820" t="s">
        <v>450</v>
      </c>
      <c r="B820" t="s">
        <v>744</v>
      </c>
      <c r="C820" t="s">
        <v>594</v>
      </c>
      <c r="D820" t="s">
        <v>451</v>
      </c>
      <c r="E820" t="s">
        <v>594</v>
      </c>
      <c r="F820" s="9"/>
      <c r="G820" s="25" t="str">
        <f t="shared" si="25"/>
        <v>PROGRAM.ESTPRICE</v>
      </c>
      <c r="H820" s="25" t="str">
        <f t="shared" si="26"/>
        <v>PROJECT.ESTPRICE</v>
      </c>
      <c r="I820" s="33"/>
      <c r="J8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0" s="17"/>
    </row>
    <row r="821" spans="1:11" hidden="1" x14ac:dyDescent="0.2">
      <c r="A821" t="s">
        <v>450</v>
      </c>
      <c r="B821" s="14" t="s">
        <v>744</v>
      </c>
      <c r="C821" s="14" t="s">
        <v>645</v>
      </c>
      <c r="D821" t="s">
        <v>451</v>
      </c>
      <c r="E821" s="14" t="s">
        <v>645</v>
      </c>
      <c r="F821" s="14"/>
      <c r="G821" s="23" t="str">
        <f t="shared" si="25"/>
        <v>PROGRAM.CITY</v>
      </c>
      <c r="H821" s="23" t="str">
        <f t="shared" si="26"/>
        <v>PROJECT.CITY</v>
      </c>
      <c r="I821" s="30"/>
      <c r="J8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1" s="17"/>
    </row>
    <row r="822" spans="1:11" hidden="1" x14ac:dyDescent="0.2">
      <c r="A822" t="s">
        <v>450</v>
      </c>
      <c r="B822" s="14" t="s">
        <v>744</v>
      </c>
      <c r="C822" s="14" t="s">
        <v>688</v>
      </c>
      <c r="D822" t="s">
        <v>451</v>
      </c>
      <c r="E822" s="14" t="s">
        <v>688</v>
      </c>
      <c r="F822" s="14"/>
      <c r="G822" s="23" t="str">
        <f t="shared" si="25"/>
        <v>PROGRAM.COUNTRY</v>
      </c>
      <c r="H822" s="23" t="str">
        <f t="shared" si="26"/>
        <v>PROJECT.COUNTRY</v>
      </c>
      <c r="I822" s="30"/>
      <c r="J8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2" s="17"/>
    </row>
    <row r="823" spans="1:11" hidden="1" x14ac:dyDescent="0.2">
      <c r="A823" t="s">
        <v>450</v>
      </c>
      <c r="B823" s="14" t="s">
        <v>744</v>
      </c>
      <c r="C823" s="14" t="s">
        <v>655</v>
      </c>
      <c r="D823" t="s">
        <v>451</v>
      </c>
      <c r="E823" s="14" t="s">
        <v>655</v>
      </c>
      <c r="F823" s="14"/>
      <c r="G823" s="23" t="str">
        <f t="shared" si="25"/>
        <v>PROGRAM.CONT_IDTYPE</v>
      </c>
      <c r="H823" s="23" t="str">
        <f t="shared" si="26"/>
        <v>PROJECT.CONT_IDTYPE</v>
      </c>
      <c r="I823" s="30"/>
      <c r="J8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3" s="17"/>
    </row>
    <row r="824" spans="1:11" hidden="1" x14ac:dyDescent="0.2">
      <c r="A824" t="s">
        <v>450</v>
      </c>
      <c r="B824" s="14" t="s">
        <v>744</v>
      </c>
      <c r="C824" s="14" t="s">
        <v>653</v>
      </c>
      <c r="D824" t="s">
        <v>451</v>
      </c>
      <c r="E824" s="14" t="s">
        <v>653</v>
      </c>
      <c r="F824" s="14"/>
      <c r="G824" s="23" t="str">
        <f t="shared" si="25"/>
        <v>PROGRAM.CONT_IDCODE</v>
      </c>
      <c r="H824" s="23" t="str">
        <f t="shared" si="26"/>
        <v>PROJECT.CONT_IDCODE</v>
      </c>
      <c r="I824" s="30"/>
      <c r="J8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4" s="17"/>
    </row>
    <row r="825" spans="1:11" hidden="1" x14ac:dyDescent="0.2">
      <c r="A825" t="s">
        <v>450</v>
      </c>
      <c r="B825" s="14" t="s">
        <v>744</v>
      </c>
      <c r="C825" s="14" t="s">
        <v>665</v>
      </c>
      <c r="D825" t="s">
        <v>451</v>
      </c>
      <c r="E825" s="14" t="s">
        <v>665</v>
      </c>
      <c r="F825" s="14"/>
      <c r="G825" s="23" t="str">
        <f t="shared" si="25"/>
        <v>PROGRAM.CONT_PROGRAM</v>
      </c>
      <c r="H825" s="23" t="str">
        <f t="shared" si="26"/>
        <v>PROJECT.CONT_PROGRAM</v>
      </c>
      <c r="I825" s="30"/>
      <c r="J8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5" s="17"/>
    </row>
    <row r="826" spans="1:11" hidden="1" x14ac:dyDescent="0.2">
      <c r="A826" t="s">
        <v>450</v>
      </c>
      <c r="B826" s="14" t="s">
        <v>744</v>
      </c>
      <c r="C826" s="14" t="s">
        <v>674</v>
      </c>
      <c r="D826" t="s">
        <v>451</v>
      </c>
      <c r="E826" s="14" t="s">
        <v>674</v>
      </c>
      <c r="F826" s="14"/>
      <c r="G826" s="23" t="str">
        <f t="shared" si="25"/>
        <v>PROGRAM.CONT_REPPHONE</v>
      </c>
      <c r="H826" s="23" t="str">
        <f t="shared" si="26"/>
        <v>PROJECT.CONT_REPPHONE</v>
      </c>
      <c r="I826" s="30"/>
      <c r="J8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6" s="17"/>
    </row>
    <row r="827" spans="1:11" hidden="1" x14ac:dyDescent="0.2">
      <c r="A827" t="s">
        <v>450</v>
      </c>
      <c r="B827" s="14" t="s">
        <v>744</v>
      </c>
      <c r="C827" s="14" t="s">
        <v>2551</v>
      </c>
      <c r="D827" t="s">
        <v>451</v>
      </c>
      <c r="E827" s="14" t="s">
        <v>2551</v>
      </c>
      <c r="F827" s="14"/>
      <c r="G827" s="23" t="str">
        <f t="shared" si="25"/>
        <v>PROGRAM.CONT_REPEMAIL </v>
      </c>
      <c r="H827" s="23" t="str">
        <f t="shared" si="26"/>
        <v>PROJECT.CONT_REPEMAIL </v>
      </c>
      <c r="I827" s="30"/>
      <c r="J8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7" s="17"/>
    </row>
    <row r="828" spans="1:11" hidden="1" x14ac:dyDescent="0.2">
      <c r="A828" t="s">
        <v>450</v>
      </c>
      <c r="B828" s="14" t="s">
        <v>744</v>
      </c>
      <c r="C828" s="14" t="s">
        <v>2552</v>
      </c>
      <c r="D828" t="s">
        <v>451</v>
      </c>
      <c r="E828" s="14" t="s">
        <v>2552</v>
      </c>
      <c r="F828" s="14"/>
      <c r="G828" s="23" t="str">
        <f t="shared" si="25"/>
        <v>PROGRAM.CONT_STATEMENT </v>
      </c>
      <c r="H828" s="23" t="str">
        <f t="shared" si="26"/>
        <v>PROJECT.CONT_STATEMENT </v>
      </c>
      <c r="I828" s="30"/>
      <c r="J8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8" s="17"/>
    </row>
    <row r="829" spans="1:11" hidden="1" x14ac:dyDescent="0.2">
      <c r="A829" t="s">
        <v>450</v>
      </c>
      <c r="B829" s="14" t="s">
        <v>744</v>
      </c>
      <c r="C829" s="14" t="s">
        <v>2553</v>
      </c>
      <c r="D829" t="s">
        <v>451</v>
      </c>
      <c r="E829" s="14" t="s">
        <v>2553</v>
      </c>
      <c r="F829" s="14"/>
      <c r="G829" s="23" t="str">
        <f t="shared" si="25"/>
        <v>PROGRAM.CONT_TASK </v>
      </c>
      <c r="H829" s="23" t="str">
        <f t="shared" si="26"/>
        <v>PROJECT.CONT_TASK </v>
      </c>
      <c r="I829" s="30"/>
      <c r="J8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29" s="17"/>
    </row>
    <row r="830" spans="1:11" hidden="1" x14ac:dyDescent="0.2">
      <c r="A830" t="s">
        <v>450</v>
      </c>
      <c r="B830" s="14" t="s">
        <v>744</v>
      </c>
      <c r="C830" s="14" t="s">
        <v>2554</v>
      </c>
      <c r="D830" t="s">
        <v>451</v>
      </c>
      <c r="E830" s="14" t="s">
        <v>2554</v>
      </c>
      <c r="F830" s="14"/>
      <c r="G830" s="23" t="str">
        <f t="shared" si="25"/>
        <v>PROGRAM.CONT_PROGTYPE </v>
      </c>
      <c r="H830" s="23" t="str">
        <f t="shared" si="26"/>
        <v>PROJECT.CONT_PROGTYPE </v>
      </c>
      <c r="I830" s="30"/>
      <c r="J8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0" s="17"/>
    </row>
    <row r="831" spans="1:11" hidden="1" x14ac:dyDescent="0.2">
      <c r="A831" t="s">
        <v>450</v>
      </c>
      <c r="B831" s="14" t="s">
        <v>744</v>
      </c>
      <c r="C831" s="14" t="s">
        <v>2555</v>
      </c>
      <c r="D831" t="s">
        <v>451</v>
      </c>
      <c r="E831" s="14" t="s">
        <v>2555</v>
      </c>
      <c r="F831" s="14"/>
      <c r="G831" s="23" t="str">
        <f t="shared" si="25"/>
        <v>PROGRAM.CONT_TYPE </v>
      </c>
      <c r="H831" s="23" t="str">
        <f t="shared" si="26"/>
        <v>PROJECT.CONT_TYPE </v>
      </c>
      <c r="I831" s="30"/>
      <c r="J8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1" s="17"/>
    </row>
    <row r="832" spans="1:11" ht="16" hidden="1" x14ac:dyDescent="0.2">
      <c r="A832" s="20"/>
      <c r="B832" t="s">
        <v>744</v>
      </c>
      <c r="C832" t="s">
        <v>649</v>
      </c>
      <c r="D832" t="s">
        <v>451</v>
      </c>
      <c r="E832" t="s">
        <v>649</v>
      </c>
      <c r="F832" s="41"/>
      <c r="G832" s="42" t="str">
        <f t="shared" si="25"/>
        <v>PROGRAM.CLIN_CODE</v>
      </c>
      <c r="H832" s="42" t="str">
        <f t="shared" si="26"/>
        <v>PROJECT.CLIN_CODE</v>
      </c>
      <c r="I832" s="43" t="s">
        <v>2411</v>
      </c>
      <c r="J832" s="39"/>
      <c r="K832" s="39"/>
    </row>
    <row r="833" spans="1:11" hidden="1" x14ac:dyDescent="0.2">
      <c r="A833" t="s">
        <v>450</v>
      </c>
      <c r="B833" t="s">
        <v>744</v>
      </c>
      <c r="C833" t="s">
        <v>649</v>
      </c>
      <c r="D833" t="s">
        <v>451</v>
      </c>
      <c r="E833" t="s">
        <v>467</v>
      </c>
      <c r="F833" t="s">
        <v>2556</v>
      </c>
      <c r="G833" s="17" t="str">
        <f t="shared" si="25"/>
        <v>PROGRAM.CLIN_CODE</v>
      </c>
      <c r="H833" s="17" t="str">
        <f t="shared" si="26"/>
        <v>PROJECT.CLIN_CODE_FILE_UID</v>
      </c>
      <c r="I833" s="29"/>
      <c r="J8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3" s="17"/>
    </row>
    <row r="834" spans="1:11" hidden="1" x14ac:dyDescent="0.2">
      <c r="A834" t="s">
        <v>450</v>
      </c>
      <c r="B834" t="s">
        <v>744</v>
      </c>
      <c r="C834" t="s">
        <v>2557</v>
      </c>
      <c r="D834" t="s">
        <v>451</v>
      </c>
      <c r="E834" t="s">
        <v>597</v>
      </c>
      <c r="F834" t="s">
        <v>2558</v>
      </c>
      <c r="G834" s="17" t="str">
        <f t="shared" si="25"/>
        <v>PROGRAM.OTB_MR </v>
      </c>
      <c r="H834" s="17" t="str">
        <f t="shared" si="26"/>
        <v>PROJECT.OTB_MR</v>
      </c>
      <c r="I834" s="29"/>
      <c r="J8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4" s="17"/>
    </row>
    <row r="835" spans="1:11" hidden="1" x14ac:dyDescent="0.2">
      <c r="A835" t="s">
        <v>450</v>
      </c>
      <c r="B835" t="s">
        <v>744</v>
      </c>
      <c r="C835" t="s">
        <v>600</v>
      </c>
      <c r="D835" t="s">
        <v>1372</v>
      </c>
      <c r="E835" t="s">
        <v>600</v>
      </c>
      <c r="F835" t="s">
        <v>2559</v>
      </c>
      <c r="G835" s="17" t="str">
        <f t="shared" si="25"/>
        <v>PROGRAM.ACWP</v>
      </c>
      <c r="H835" s="17" t="str">
        <f t="shared" si="26"/>
        <v>PROJECT_COST_TOTAL.ACWP</v>
      </c>
      <c r="I835" s="29"/>
      <c r="J8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5" s="17"/>
    </row>
    <row r="836" spans="1:11" hidden="1" x14ac:dyDescent="0.2">
      <c r="A836" t="s">
        <v>450</v>
      </c>
      <c r="B836" t="s">
        <v>744</v>
      </c>
      <c r="C836" t="s">
        <v>602</v>
      </c>
      <c r="D836" t="s">
        <v>1372</v>
      </c>
      <c r="E836" t="s">
        <v>602</v>
      </c>
      <c r="F836" t="s">
        <v>2560</v>
      </c>
      <c r="G836" s="17" t="str">
        <f t="shared" si="25"/>
        <v>PROGRAM.ACWP_HRS</v>
      </c>
      <c r="H836" s="17" t="str">
        <f t="shared" si="26"/>
        <v>PROJECT_COST_TOTAL.ACWP_HRS</v>
      </c>
      <c r="I836" s="29"/>
      <c r="J8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6" s="17"/>
    </row>
    <row r="837" spans="1:11" hidden="1" x14ac:dyDescent="0.2">
      <c r="A837" t="s">
        <v>450</v>
      </c>
      <c r="B837" t="s">
        <v>744</v>
      </c>
      <c r="C837" t="s">
        <v>613</v>
      </c>
      <c r="D837" t="s">
        <v>1372</v>
      </c>
      <c r="E837" t="s">
        <v>613</v>
      </c>
      <c r="F837" t="s">
        <v>1376</v>
      </c>
      <c r="G837" s="17" t="str">
        <f t="shared" si="25"/>
        <v>PROGRAM.BCWP</v>
      </c>
      <c r="H837" s="17" t="str">
        <f t="shared" si="26"/>
        <v>PROJECT_COST_TOTAL.BCWP</v>
      </c>
      <c r="I837" s="29"/>
      <c r="J8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7" s="17"/>
    </row>
    <row r="838" spans="1:11" hidden="1" x14ac:dyDescent="0.2">
      <c r="A838" t="s">
        <v>450</v>
      </c>
      <c r="B838" t="s">
        <v>744</v>
      </c>
      <c r="C838" t="s">
        <v>615</v>
      </c>
      <c r="D838" t="s">
        <v>1372</v>
      </c>
      <c r="E838" t="s">
        <v>615</v>
      </c>
      <c r="F838" t="s">
        <v>2561</v>
      </c>
      <c r="G838" s="17" t="str">
        <f t="shared" si="25"/>
        <v>PROGRAM.BCWP_HRS</v>
      </c>
      <c r="H838" s="17" t="str">
        <f t="shared" si="26"/>
        <v>PROJECT_COST_TOTAL.BCWP_HRS</v>
      </c>
      <c r="I838" s="29"/>
      <c r="J8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8" s="17"/>
    </row>
    <row r="839" spans="1:11" hidden="1" x14ac:dyDescent="0.2">
      <c r="A839" t="s">
        <v>450</v>
      </c>
      <c r="B839" t="s">
        <v>744</v>
      </c>
      <c r="C839" t="s">
        <v>617</v>
      </c>
      <c r="D839" t="s">
        <v>1372</v>
      </c>
      <c r="E839" t="s">
        <v>617</v>
      </c>
      <c r="F839" t="s">
        <v>1377</v>
      </c>
      <c r="G839" s="17" t="str">
        <f t="shared" si="25"/>
        <v>PROGRAM.BCWS</v>
      </c>
      <c r="H839" s="17" t="str">
        <f t="shared" si="26"/>
        <v>PROJECT_COST_TOTAL.BCWS</v>
      </c>
      <c r="I839" s="29"/>
      <c r="J8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39" s="17"/>
    </row>
    <row r="840" spans="1:11" hidden="1" x14ac:dyDescent="0.2">
      <c r="A840" t="s">
        <v>450</v>
      </c>
      <c r="B840" t="s">
        <v>744</v>
      </c>
      <c r="C840" t="s">
        <v>619</v>
      </c>
      <c r="D840" t="s">
        <v>1372</v>
      </c>
      <c r="E840" t="s">
        <v>619</v>
      </c>
      <c r="F840" t="s">
        <v>2562</v>
      </c>
      <c r="G840" s="17" t="str">
        <f t="shared" si="25"/>
        <v>PROGRAM.BCWS_HRS</v>
      </c>
      <c r="H840" s="17" t="str">
        <f t="shared" si="26"/>
        <v>PROJECT_COST_TOTAL.BCWS_HRS</v>
      </c>
      <c r="I840" s="29"/>
      <c r="J8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0" s="17"/>
    </row>
    <row r="841" spans="1:11" hidden="1" x14ac:dyDescent="0.2">
      <c r="A841" t="s">
        <v>450</v>
      </c>
      <c r="B841" t="s">
        <v>744</v>
      </c>
      <c r="C841" t="s">
        <v>607</v>
      </c>
      <c r="D841" t="s">
        <v>1372</v>
      </c>
      <c r="E841" t="s">
        <v>607</v>
      </c>
      <c r="F841" t="s">
        <v>2563</v>
      </c>
      <c r="G841" s="17" t="str">
        <f t="shared" si="25"/>
        <v>PROGRAM.BAC</v>
      </c>
      <c r="H841" s="17" t="str">
        <f t="shared" si="26"/>
        <v>PROJECT_COST_TOTAL.BAC</v>
      </c>
      <c r="I841" s="29"/>
      <c r="J8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1" s="17"/>
    </row>
    <row r="842" spans="1:11" hidden="1" x14ac:dyDescent="0.2">
      <c r="A842" t="s">
        <v>450</v>
      </c>
      <c r="B842" t="s">
        <v>744</v>
      </c>
      <c r="C842" t="s">
        <v>609</v>
      </c>
      <c r="D842" t="s">
        <v>1372</v>
      </c>
      <c r="E842" t="s">
        <v>609</v>
      </c>
      <c r="F842" t="s">
        <v>2564</v>
      </c>
      <c r="G842" s="17" t="str">
        <f t="shared" si="25"/>
        <v>PROGRAM.BAC_HRS</v>
      </c>
      <c r="H842" s="17" t="str">
        <f t="shared" si="26"/>
        <v>PROJECT_COST_TOTAL.BAC_HRS</v>
      </c>
      <c r="I842" s="29"/>
      <c r="J8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2" s="17"/>
    </row>
    <row r="843" spans="1:11" hidden="1" x14ac:dyDescent="0.2">
      <c r="A843" t="s">
        <v>450</v>
      </c>
      <c r="B843" t="s">
        <v>744</v>
      </c>
      <c r="C843" t="s">
        <v>690</v>
      </c>
      <c r="D843" t="s">
        <v>1372</v>
      </c>
      <c r="E843" t="s">
        <v>690</v>
      </c>
      <c r="F843" t="s">
        <v>2565</v>
      </c>
      <c r="G843" s="17" t="str">
        <f t="shared" ref="G843:G906" si="27">_xlfn.CONCAT(B843,".",C843)</f>
        <v>PROGRAM.EAC</v>
      </c>
      <c r="H843" s="17" t="str">
        <f t="shared" si="26"/>
        <v>PROJECT_COST_TOTAL.EAC</v>
      </c>
      <c r="I843" s="29"/>
      <c r="J8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3" s="17"/>
    </row>
    <row r="844" spans="1:11" hidden="1" x14ac:dyDescent="0.2">
      <c r="A844" t="s">
        <v>450</v>
      </c>
      <c r="B844" t="s">
        <v>744</v>
      </c>
      <c r="C844" t="s">
        <v>692</v>
      </c>
      <c r="D844" t="s">
        <v>1372</v>
      </c>
      <c r="E844" t="s">
        <v>692</v>
      </c>
      <c r="F844" t="s">
        <v>1384</v>
      </c>
      <c r="G844" s="17" t="str">
        <f t="shared" si="27"/>
        <v>PROGRAM.EAC_HRS</v>
      </c>
      <c r="H844" s="17" t="str">
        <f t="shared" si="26"/>
        <v>PROJECT_COST_TOTAL.EAC_HRS</v>
      </c>
      <c r="I844" s="29"/>
      <c r="J8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4" s="17"/>
    </row>
    <row r="845" spans="1:11" hidden="1" x14ac:dyDescent="0.2">
      <c r="A845" s="14" t="s">
        <v>450</v>
      </c>
      <c r="B845" s="14" t="s">
        <v>2257</v>
      </c>
      <c r="C845" s="14" t="s">
        <v>744</v>
      </c>
      <c r="D845" s="14"/>
      <c r="E845" s="14"/>
      <c r="F845" s="14" t="s">
        <v>2566</v>
      </c>
      <c r="G845" s="23" t="str">
        <f t="shared" si="27"/>
        <v>TPHASE.PROGRAM</v>
      </c>
      <c r="H845" s="23" t="str">
        <f t="shared" si="26"/>
        <v>.</v>
      </c>
      <c r="I845" s="30" t="s">
        <v>2411</v>
      </c>
      <c r="J8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PROJECT_CAWP_RESOURCE_TPHASE.PROGRAM</v>
      </c>
      <c r="K845" s="17"/>
    </row>
    <row r="846" spans="1:11" hidden="1" x14ac:dyDescent="0.2">
      <c r="A846" t="s">
        <v>450</v>
      </c>
      <c r="B846" t="s">
        <v>2257</v>
      </c>
      <c r="C846" t="s">
        <v>1009</v>
      </c>
      <c r="D846" t="s">
        <v>1104</v>
      </c>
      <c r="E846" t="s">
        <v>1106</v>
      </c>
      <c r="G846" s="17" t="str">
        <f t="shared" si="27"/>
        <v>TPHASE.CAWPID</v>
      </c>
      <c r="H846" s="17" t="str">
        <f t="shared" si="26"/>
        <v>PROJECT_CAWP_RESOURCE_TPHASE.PROJECT_CAWP_RESOURCE_UID</v>
      </c>
      <c r="I846" s="29"/>
      <c r="J8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6" s="17"/>
    </row>
    <row r="847" spans="1:11" hidden="1" x14ac:dyDescent="0.2">
      <c r="A847" t="s">
        <v>450</v>
      </c>
      <c r="B847" t="s">
        <v>2257</v>
      </c>
      <c r="C847" t="s">
        <v>2258</v>
      </c>
      <c r="D847" t="s">
        <v>1104</v>
      </c>
      <c r="E847" t="s">
        <v>857</v>
      </c>
      <c r="G847" s="17" t="str">
        <f t="shared" si="27"/>
        <v>TPHASE.DF_DATE</v>
      </c>
      <c r="H847" s="17" t="str">
        <f t="shared" si="26"/>
        <v>PROJECT_CAWP_RESOURCE_TPHASE.TPHASE_DATE</v>
      </c>
      <c r="I847" s="29"/>
      <c r="J8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47" s="17"/>
    </row>
    <row r="848" spans="1:11" hidden="1" x14ac:dyDescent="0.2">
      <c r="A848" s="14" t="s">
        <v>450</v>
      </c>
      <c r="B848" s="14" t="s">
        <v>2257</v>
      </c>
      <c r="C848" s="14" t="s">
        <v>1098</v>
      </c>
      <c r="D848" s="14"/>
      <c r="E848" s="14"/>
      <c r="F848" s="14" t="s">
        <v>2567</v>
      </c>
      <c r="G848" s="23" t="str">
        <f t="shared" si="27"/>
        <v>TPHASE.CECODE</v>
      </c>
      <c r="H848" s="23" t="str">
        <f t="shared" si="26"/>
        <v>.</v>
      </c>
      <c r="I848" s="30" t="s">
        <v>2411</v>
      </c>
      <c r="J8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PROJECT_CAWP_RESOURCE_TPHASE.CECODE</v>
      </c>
      <c r="K848" s="23"/>
    </row>
    <row r="849" spans="1:11" hidden="1" x14ac:dyDescent="0.2">
      <c r="A849" s="14" t="s">
        <v>450</v>
      </c>
      <c r="B849" s="14" t="s">
        <v>2257</v>
      </c>
      <c r="C849" s="14" t="s">
        <v>1100</v>
      </c>
      <c r="D849" s="14"/>
      <c r="E849" s="14"/>
      <c r="F849" s="14" t="s">
        <v>2566</v>
      </c>
      <c r="G849" s="23" t="str">
        <f t="shared" si="27"/>
        <v>TPHASE.CLASS</v>
      </c>
      <c r="H849" s="23" t="str">
        <f t="shared" si="26"/>
        <v>.</v>
      </c>
      <c r="I849" s="30" t="s">
        <v>2411</v>
      </c>
      <c r="J8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PROJECT_CAWP_RESOURCE_TPHASE.CLASS</v>
      </c>
      <c r="K849" s="23"/>
    </row>
    <row r="850" spans="1:11" hidden="1" x14ac:dyDescent="0.2">
      <c r="A850" s="14" t="s">
        <v>450</v>
      </c>
      <c r="B850" s="14" t="s">
        <v>2257</v>
      </c>
      <c r="C850" s="14" t="s">
        <v>611</v>
      </c>
      <c r="D850" s="14"/>
      <c r="E850" s="14"/>
      <c r="F850" s="14" t="s">
        <v>2568</v>
      </c>
      <c r="G850" s="23" t="str">
        <f t="shared" si="27"/>
        <v>TPHASE.BATCHNO</v>
      </c>
      <c r="H850" s="23" t="str">
        <f t="shared" si="26"/>
        <v>.</v>
      </c>
      <c r="I850" s="30" t="s">
        <v>2411</v>
      </c>
      <c r="J8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PROJECT_CAWP_RESOURCE_TPHASE.BATCHNO</v>
      </c>
      <c r="K850" s="23"/>
    </row>
    <row r="851" spans="1:11" hidden="1" x14ac:dyDescent="0.2">
      <c r="A851" s="14" t="s">
        <v>450</v>
      </c>
      <c r="B851" s="14" t="s">
        <v>2257</v>
      </c>
      <c r="C851" s="14" t="s">
        <v>1180</v>
      </c>
      <c r="D851" s="14"/>
      <c r="E851" s="14"/>
      <c r="F851" s="14" t="s">
        <v>2568</v>
      </c>
      <c r="G851" s="23" t="str">
        <f t="shared" si="27"/>
        <v>TPHASE.COM</v>
      </c>
      <c r="H851" s="23" t="str">
        <f t="shared" si="26"/>
        <v>.</v>
      </c>
      <c r="I851" s="30" t="s">
        <v>2411</v>
      </c>
      <c r="J8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PROJECT_CAWP_RESOURCE_TPHASE.COM</v>
      </c>
      <c r="K851" s="23"/>
    </row>
    <row r="852" spans="1:11" hidden="1" x14ac:dyDescent="0.2">
      <c r="A852" s="14" t="s">
        <v>450</v>
      </c>
      <c r="B852" s="14" t="s">
        <v>2257</v>
      </c>
      <c r="C852" s="14" t="s">
        <v>1182</v>
      </c>
      <c r="D852" s="14"/>
      <c r="E852" s="14"/>
      <c r="F852" s="14" t="s">
        <v>2568</v>
      </c>
      <c r="G852" s="23" t="str">
        <f t="shared" si="27"/>
        <v>TPHASE.DIRECT</v>
      </c>
      <c r="H852" s="23" t="str">
        <f t="shared" si="26"/>
        <v>.</v>
      </c>
      <c r="I852" s="30" t="s">
        <v>2411</v>
      </c>
      <c r="J8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PROJECT_CAWP_RESOURCE_TPHASE.DIRECT</v>
      </c>
      <c r="K852" s="23"/>
    </row>
    <row r="853" spans="1:11" hidden="1" x14ac:dyDescent="0.2">
      <c r="A853" s="14" t="s">
        <v>450</v>
      </c>
      <c r="B853" s="14" t="s">
        <v>2257</v>
      </c>
      <c r="C853" s="14" t="s">
        <v>525</v>
      </c>
      <c r="D853" s="14"/>
      <c r="E853" s="14"/>
      <c r="F853" s="14" t="s">
        <v>2568</v>
      </c>
      <c r="G853" s="23" t="str">
        <f t="shared" si="27"/>
        <v>TPHASE.FEE</v>
      </c>
      <c r="H853" s="23" t="str">
        <f t="shared" si="26"/>
        <v>.</v>
      </c>
      <c r="I853" s="30" t="s">
        <v>2411</v>
      </c>
      <c r="J8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PROJECT_CAWP_RESOURCE_TPHASE.FEE</v>
      </c>
      <c r="K853" s="23"/>
    </row>
    <row r="854" spans="1:11" hidden="1" x14ac:dyDescent="0.2">
      <c r="A854" s="14" t="s">
        <v>450</v>
      </c>
      <c r="B854" s="14" t="s">
        <v>2257</v>
      </c>
      <c r="C854" s="14" t="s">
        <v>1185</v>
      </c>
      <c r="D854" s="14"/>
      <c r="E854" s="14"/>
      <c r="F854" s="14" t="s">
        <v>2568</v>
      </c>
      <c r="G854" s="23" t="str">
        <f t="shared" si="27"/>
        <v>TPHASE.FRINGE</v>
      </c>
      <c r="H854" s="23" t="str">
        <f t="shared" si="26"/>
        <v>.</v>
      </c>
      <c r="I854" s="30" t="s">
        <v>2411</v>
      </c>
      <c r="J8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PROJECT_CAWP_RESOURCE_TPHASE.FRINGE</v>
      </c>
      <c r="K854" s="23"/>
    </row>
    <row r="855" spans="1:11" hidden="1" x14ac:dyDescent="0.2">
      <c r="A855" s="14" t="s">
        <v>450</v>
      </c>
      <c r="B855" s="14" t="s">
        <v>2257</v>
      </c>
      <c r="C855" s="14" t="s">
        <v>1187</v>
      </c>
      <c r="D855" s="14"/>
      <c r="E855" s="14"/>
      <c r="F855" s="14" t="s">
        <v>2568</v>
      </c>
      <c r="G855" s="23" t="str">
        <f t="shared" si="27"/>
        <v>TPHASE.FTE</v>
      </c>
      <c r="H855" s="23" t="str">
        <f t="shared" si="26"/>
        <v>.</v>
      </c>
      <c r="I855" s="30" t="s">
        <v>2411</v>
      </c>
      <c r="J8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PROJECT_CAWP_RESOURCE_TPHASE.FTE</v>
      </c>
      <c r="K855" s="23"/>
    </row>
    <row r="856" spans="1:11" hidden="1" x14ac:dyDescent="0.2">
      <c r="A856" s="14" t="s">
        <v>450</v>
      </c>
      <c r="B856" s="14" t="s">
        <v>2257</v>
      </c>
      <c r="C856" s="14" t="s">
        <v>1189</v>
      </c>
      <c r="D856" s="14"/>
      <c r="E856" s="14"/>
      <c r="F856" s="14" t="s">
        <v>2568</v>
      </c>
      <c r="G856" s="23" t="str">
        <f t="shared" si="27"/>
        <v>TPHASE.GANDA</v>
      </c>
      <c r="H856" s="23" t="str">
        <f t="shared" si="26"/>
        <v>.</v>
      </c>
      <c r="I856" s="30" t="s">
        <v>2411</v>
      </c>
      <c r="J8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PROJECT_CAWP_RESOURCE_TPHASE.GANDA</v>
      </c>
      <c r="K856" s="23"/>
    </row>
    <row r="857" spans="1:11" hidden="1" x14ac:dyDescent="0.2">
      <c r="A857" s="14" t="s">
        <v>450</v>
      </c>
      <c r="B857" s="14" t="s">
        <v>2257</v>
      </c>
      <c r="C857" s="14" t="s">
        <v>299</v>
      </c>
      <c r="D857" s="14"/>
      <c r="E857" s="14"/>
      <c r="F857" s="14" t="s">
        <v>2568</v>
      </c>
      <c r="G857" s="23" t="str">
        <f t="shared" si="27"/>
        <v>TPHASE.HOURS</v>
      </c>
      <c r="H857" s="23" t="str">
        <f t="shared" si="26"/>
        <v>.</v>
      </c>
      <c r="I857" s="30" t="s">
        <v>2411</v>
      </c>
      <c r="J8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PROJECT_CAWP_RESOURCE_TPHASE.HOURS</v>
      </c>
      <c r="K857" s="23"/>
    </row>
    <row r="858" spans="1:11" hidden="1" x14ac:dyDescent="0.2">
      <c r="A858" s="14" t="s">
        <v>450</v>
      </c>
      <c r="B858" s="14" t="s">
        <v>2257</v>
      </c>
      <c r="C858" s="14" t="s">
        <v>1192</v>
      </c>
      <c r="D858" s="14"/>
      <c r="E858" s="14"/>
      <c r="F858" s="14" t="s">
        <v>2568</v>
      </c>
      <c r="G858" s="23" t="str">
        <f t="shared" si="27"/>
        <v>TPHASE.OVERHEAD</v>
      </c>
      <c r="H858" s="23" t="str">
        <f t="shared" ref="H858:H921" si="28">_xlfn.CONCAT(D858,".",E858)</f>
        <v>.</v>
      </c>
      <c r="I858" s="30" t="s">
        <v>2411</v>
      </c>
      <c r="J8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PROJECT_CAWP_RESOURCE_TPHASE.OVERHEAD</v>
      </c>
      <c r="K858" s="23"/>
    </row>
    <row r="859" spans="1:11" hidden="1" x14ac:dyDescent="0.2">
      <c r="A859" t="s">
        <v>450</v>
      </c>
      <c r="D859" t="s">
        <v>859</v>
      </c>
      <c r="E859" t="s">
        <v>30</v>
      </c>
      <c r="G859" s="17" t="str">
        <f t="shared" si="27"/>
        <v>.</v>
      </c>
      <c r="H859" s="17" t="str">
        <f t="shared" si="28"/>
        <v>PROJECT_CALC_RESULT.ROW_UID</v>
      </c>
      <c r="I859" s="29"/>
      <c r="J8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59" s="17"/>
    </row>
    <row r="860" spans="1:11" hidden="1" x14ac:dyDescent="0.2">
      <c r="A860" t="s">
        <v>450</v>
      </c>
      <c r="D860" t="s">
        <v>859</v>
      </c>
      <c r="E860" s="18" t="s">
        <v>61</v>
      </c>
      <c r="G860" s="17" t="str">
        <f t="shared" si="27"/>
        <v>.</v>
      </c>
      <c r="H860" s="17" t="str">
        <f t="shared" si="28"/>
        <v>PROJECT_CALC_RESULT.CREATED_BY_USER_UID</v>
      </c>
      <c r="I860" s="29"/>
      <c r="J8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0" s="17"/>
    </row>
    <row r="861" spans="1:11" hidden="1" x14ac:dyDescent="0.2">
      <c r="A861" t="s">
        <v>450</v>
      </c>
      <c r="D861" t="s">
        <v>859</v>
      </c>
      <c r="E861" t="s">
        <v>64</v>
      </c>
      <c r="G861" s="17" t="str">
        <f t="shared" si="27"/>
        <v>.</v>
      </c>
      <c r="H861" s="17" t="str">
        <f t="shared" si="28"/>
        <v>PROJECT_CALC_RESULT.CREATED_DATE</v>
      </c>
      <c r="I861" s="29"/>
      <c r="J8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1" s="17"/>
    </row>
    <row r="862" spans="1:11" hidden="1" x14ac:dyDescent="0.2">
      <c r="A862" t="s">
        <v>450</v>
      </c>
      <c r="D862" t="s">
        <v>1218</v>
      </c>
      <c r="E862" t="s">
        <v>47</v>
      </c>
      <c r="G862" s="17" t="str">
        <f t="shared" si="27"/>
        <v>.</v>
      </c>
      <c r="H862" s="17" t="str">
        <f t="shared" si="28"/>
        <v>PROJECT_CONTROL_ACCOUNT.NAME</v>
      </c>
      <c r="I862" s="29"/>
      <c r="J8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2" s="17"/>
    </row>
    <row r="863" spans="1:11" hidden="1" x14ac:dyDescent="0.2">
      <c r="A863" t="s">
        <v>450</v>
      </c>
      <c r="D863" t="s">
        <v>1218</v>
      </c>
      <c r="E863" t="s">
        <v>1223</v>
      </c>
      <c r="G863" s="17" t="str">
        <f t="shared" si="27"/>
        <v>.</v>
      </c>
      <c r="H863" s="17" t="str">
        <f t="shared" si="28"/>
        <v>PROJECT_CONTROL_ACCOUNT.CONTRACT_CLIN_UID</v>
      </c>
      <c r="I863" s="29"/>
      <c r="J8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3" s="17"/>
    </row>
    <row r="864" spans="1:11" hidden="1" x14ac:dyDescent="0.2">
      <c r="A864" t="s">
        <v>450</v>
      </c>
      <c r="D864" t="s">
        <v>1218</v>
      </c>
      <c r="E864" t="s">
        <v>882</v>
      </c>
      <c r="G864" s="17" t="str">
        <f t="shared" si="27"/>
        <v>.</v>
      </c>
      <c r="H864" s="17" t="str">
        <f t="shared" si="28"/>
        <v>PROJECT_CONTROL_ACCOUNT.OBS_CODE_UID</v>
      </c>
      <c r="I864" s="29"/>
      <c r="J8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4" s="17"/>
    </row>
    <row r="865" spans="1:11" hidden="1" x14ac:dyDescent="0.2">
      <c r="A865" t="s">
        <v>450</v>
      </c>
      <c r="D865" t="s">
        <v>1218</v>
      </c>
      <c r="E865" t="s">
        <v>885</v>
      </c>
      <c r="G865" s="17" t="str">
        <f t="shared" si="27"/>
        <v>.</v>
      </c>
      <c r="H865" s="17" t="str">
        <f t="shared" si="28"/>
        <v>PROJECT_CONTROL_ACCOUNT.WBS_CODE_UID</v>
      </c>
      <c r="I865" s="29"/>
      <c r="J8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5" s="17"/>
    </row>
    <row r="866" spans="1:11" hidden="1" x14ac:dyDescent="0.2">
      <c r="A866" t="s">
        <v>450</v>
      </c>
      <c r="D866" t="s">
        <v>1218</v>
      </c>
      <c r="E866" s="18" t="s">
        <v>61</v>
      </c>
      <c r="G866" s="17" t="str">
        <f t="shared" si="27"/>
        <v>.</v>
      </c>
      <c r="H866" s="17" t="str">
        <f t="shared" si="28"/>
        <v>PROJECT_CONTROL_ACCOUNT.CREATED_BY_USER_UID</v>
      </c>
      <c r="I866" s="29"/>
      <c r="J8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6" s="17"/>
    </row>
    <row r="867" spans="1:11" hidden="1" x14ac:dyDescent="0.2">
      <c r="A867" t="s">
        <v>450</v>
      </c>
      <c r="D867" t="s">
        <v>1218</v>
      </c>
      <c r="E867" t="s">
        <v>64</v>
      </c>
      <c r="G867" s="17" t="str">
        <f t="shared" si="27"/>
        <v>.</v>
      </c>
      <c r="H867" s="17" t="str">
        <f t="shared" si="28"/>
        <v>PROJECT_CONTROL_ACCOUNT.CREATED_DATE</v>
      </c>
      <c r="I867" s="29"/>
      <c r="J8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7" s="17"/>
    </row>
    <row r="868" spans="1:11" hidden="1" x14ac:dyDescent="0.2">
      <c r="A868" t="s">
        <v>450</v>
      </c>
      <c r="D868" t="s">
        <v>1218</v>
      </c>
      <c r="E868" t="s">
        <v>926</v>
      </c>
      <c r="G868" s="17" t="str">
        <f t="shared" si="27"/>
        <v>.</v>
      </c>
      <c r="H868" s="17" t="str">
        <f t="shared" si="28"/>
        <v>PROJECT_CONTROL_ACCOUNT.FORECAST_START</v>
      </c>
      <c r="I868" s="29"/>
      <c r="J8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8" s="17"/>
    </row>
    <row r="869" spans="1:11" hidden="1" x14ac:dyDescent="0.2">
      <c r="A869" t="s">
        <v>450</v>
      </c>
      <c r="D869" t="s">
        <v>1218</v>
      </c>
      <c r="E869" t="s">
        <v>504</v>
      </c>
      <c r="G869" s="17" t="str">
        <f t="shared" si="27"/>
        <v>.</v>
      </c>
      <c r="H869" s="17" t="str">
        <f t="shared" si="28"/>
        <v>PROJECT_CONTROL_ACCOUNT.FORECAST_FINISH</v>
      </c>
      <c r="I869" s="29"/>
      <c r="J8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69" s="17"/>
    </row>
    <row r="870" spans="1:11" hidden="1" x14ac:dyDescent="0.2">
      <c r="A870" t="s">
        <v>450</v>
      </c>
      <c r="D870" t="s">
        <v>1219</v>
      </c>
      <c r="E870" t="s">
        <v>47</v>
      </c>
      <c r="G870" s="17" t="str">
        <f t="shared" si="27"/>
        <v>.</v>
      </c>
      <c r="H870" s="17" t="str">
        <f t="shared" si="28"/>
        <v>PROJECT_WORK_PACKAGE.NAME</v>
      </c>
      <c r="I870" s="29"/>
      <c r="J8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0" s="17"/>
    </row>
    <row r="871" spans="1:11" hidden="1" x14ac:dyDescent="0.2">
      <c r="A871" t="s">
        <v>450</v>
      </c>
      <c r="D871" t="s">
        <v>1219</v>
      </c>
      <c r="E871" t="s">
        <v>1243</v>
      </c>
      <c r="G871" s="17" t="str">
        <f t="shared" si="27"/>
        <v>.</v>
      </c>
      <c r="H871" s="17" t="str">
        <f t="shared" si="28"/>
        <v>PROJECT_WORK_PACKAGE.PROJECT_CONTROL_ACCOUNT_UID</v>
      </c>
      <c r="I871" s="29"/>
      <c r="J8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1" s="17"/>
    </row>
    <row r="872" spans="1:11" hidden="1" x14ac:dyDescent="0.2">
      <c r="A872" t="s">
        <v>450</v>
      </c>
      <c r="D872" t="s">
        <v>1219</v>
      </c>
      <c r="E872" t="s">
        <v>882</v>
      </c>
      <c r="G872" s="17" t="str">
        <f t="shared" si="27"/>
        <v>.</v>
      </c>
      <c r="H872" s="17" t="str">
        <f t="shared" si="28"/>
        <v>PROJECT_WORK_PACKAGE.OBS_CODE_UID</v>
      </c>
      <c r="I872" s="29"/>
      <c r="J8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2" s="17"/>
    </row>
    <row r="873" spans="1:11" hidden="1" x14ac:dyDescent="0.2">
      <c r="A873" t="s">
        <v>450</v>
      </c>
      <c r="D873" t="s">
        <v>1219</v>
      </c>
      <c r="E873" t="s">
        <v>885</v>
      </c>
      <c r="G873" s="17" t="str">
        <f t="shared" si="27"/>
        <v>.</v>
      </c>
      <c r="H873" s="17" t="str">
        <f t="shared" si="28"/>
        <v>PROJECT_WORK_PACKAGE.WBS_CODE_UID</v>
      </c>
      <c r="I873" s="29"/>
      <c r="J8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3" s="17"/>
    </row>
    <row r="874" spans="1:11" hidden="1" x14ac:dyDescent="0.2">
      <c r="A874" t="s">
        <v>450</v>
      </c>
      <c r="D874" t="s">
        <v>1219</v>
      </c>
      <c r="E874" t="s">
        <v>926</v>
      </c>
      <c r="G874" s="17" t="str">
        <f t="shared" si="27"/>
        <v>.</v>
      </c>
      <c r="H874" s="17" t="str">
        <f t="shared" si="28"/>
        <v>PROJECT_WORK_PACKAGE.FORECAST_START</v>
      </c>
      <c r="I874" s="29"/>
      <c r="J8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4" s="17"/>
    </row>
    <row r="875" spans="1:11" hidden="1" x14ac:dyDescent="0.2">
      <c r="A875" t="s">
        <v>450</v>
      </c>
      <c r="D875" t="s">
        <v>1219</v>
      </c>
      <c r="E875" t="s">
        <v>504</v>
      </c>
      <c r="G875" s="17" t="str">
        <f t="shared" si="27"/>
        <v>.</v>
      </c>
      <c r="H875" s="17" t="str">
        <f t="shared" si="28"/>
        <v>PROJECT_WORK_PACKAGE.FORECAST_FINISH</v>
      </c>
      <c r="I875" s="29"/>
      <c r="J8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5" s="17"/>
    </row>
    <row r="876" spans="1:11" hidden="1" x14ac:dyDescent="0.2">
      <c r="A876" t="s">
        <v>450</v>
      </c>
      <c r="D876" t="s">
        <v>1219</v>
      </c>
      <c r="E876" s="18" t="s">
        <v>61</v>
      </c>
      <c r="G876" s="17" t="str">
        <f t="shared" si="27"/>
        <v>.</v>
      </c>
      <c r="H876" s="17" t="str">
        <f t="shared" si="28"/>
        <v>PROJECT_WORK_PACKAGE.CREATED_BY_USER_UID</v>
      </c>
      <c r="I876" s="29"/>
      <c r="J8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6" s="17"/>
    </row>
    <row r="877" spans="1:11" hidden="1" x14ac:dyDescent="0.2">
      <c r="A877" t="s">
        <v>450</v>
      </c>
      <c r="D877" t="s">
        <v>1219</v>
      </c>
      <c r="E877" t="s">
        <v>64</v>
      </c>
      <c r="G877" s="17" t="str">
        <f t="shared" si="27"/>
        <v>.</v>
      </c>
      <c r="H877" s="17" t="str">
        <f t="shared" si="28"/>
        <v>PROJECT_WORK_PACKAGE.CREATED_DATE</v>
      </c>
      <c r="I877" s="29"/>
      <c r="J8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7" s="17"/>
    </row>
    <row r="878" spans="1:11" hidden="1" x14ac:dyDescent="0.2">
      <c r="A878" t="s">
        <v>450</v>
      </c>
      <c r="D878" t="s">
        <v>1194</v>
      </c>
      <c r="E878" t="s">
        <v>30</v>
      </c>
      <c r="F878" t="s">
        <v>2569</v>
      </c>
      <c r="G878" s="17" t="str">
        <f t="shared" si="27"/>
        <v>.</v>
      </c>
      <c r="H878" s="17" t="str">
        <f t="shared" si="28"/>
        <v>PROJECT_CAWP_TOTAL.ROW_UID</v>
      </c>
      <c r="I878" s="29"/>
      <c r="J8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8" s="17"/>
    </row>
    <row r="879" spans="1:11" hidden="1" x14ac:dyDescent="0.2">
      <c r="A879" t="s">
        <v>450</v>
      </c>
      <c r="D879" t="s">
        <v>1068</v>
      </c>
      <c r="E879" t="s">
        <v>30</v>
      </c>
      <c r="G879" s="17" t="str">
        <f t="shared" si="27"/>
        <v>.</v>
      </c>
      <c r="H879" s="17" t="str">
        <f t="shared" si="28"/>
        <v>PROJECT_COST_CLASS.ROW_UID</v>
      </c>
      <c r="I879" s="29"/>
      <c r="J8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79" s="17"/>
    </row>
    <row r="880" spans="1:11" hidden="1" x14ac:dyDescent="0.2">
      <c r="A880" t="s">
        <v>450</v>
      </c>
      <c r="D880" t="s">
        <v>1068</v>
      </c>
      <c r="E880" s="18" t="s">
        <v>61</v>
      </c>
      <c r="G880" s="17" t="str">
        <f t="shared" si="27"/>
        <v>.</v>
      </c>
      <c r="H880" s="17" t="str">
        <f t="shared" si="28"/>
        <v>PROJECT_COST_CLASS.CREATED_BY_USER_UID</v>
      </c>
      <c r="I880" s="29"/>
      <c r="J8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0" s="17"/>
    </row>
    <row r="881" spans="1:11" hidden="1" x14ac:dyDescent="0.2">
      <c r="A881" t="s">
        <v>450</v>
      </c>
      <c r="D881" t="s">
        <v>1068</v>
      </c>
      <c r="E881" t="s">
        <v>64</v>
      </c>
      <c r="G881" s="17" t="str">
        <f t="shared" si="27"/>
        <v>.</v>
      </c>
      <c r="H881" s="17" t="str">
        <f t="shared" si="28"/>
        <v>PROJECT_COST_CLASS.CREATED_DATE</v>
      </c>
      <c r="I881" s="29"/>
      <c r="J8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1" s="17"/>
    </row>
    <row r="882" spans="1:11" hidden="1" x14ac:dyDescent="0.2">
      <c r="A882" t="s">
        <v>450</v>
      </c>
      <c r="D882" t="s">
        <v>1068</v>
      </c>
      <c r="E882" t="s">
        <v>1286</v>
      </c>
      <c r="F882" t="s">
        <v>2570</v>
      </c>
      <c r="G882" s="17" t="str">
        <f t="shared" si="27"/>
        <v>.</v>
      </c>
      <c r="H882" s="17" t="str">
        <f t="shared" si="28"/>
        <v>PROJECT_COST_CLASS.FCAST_PCT_RANGE1_PERCENT</v>
      </c>
      <c r="I882" s="29"/>
      <c r="J8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2" s="17"/>
    </row>
    <row r="883" spans="1:11" hidden="1" x14ac:dyDescent="0.2">
      <c r="A883" t="s">
        <v>450</v>
      </c>
      <c r="D883" t="s">
        <v>1068</v>
      </c>
      <c r="E883" t="s">
        <v>1289</v>
      </c>
      <c r="F883" t="s">
        <v>2571</v>
      </c>
      <c r="G883" s="17" t="str">
        <f t="shared" si="27"/>
        <v>.</v>
      </c>
      <c r="H883" s="17" t="str">
        <f t="shared" si="28"/>
        <v>PROJECT_COST_CLASS.FCAST_PCT_RANGE2_PERCENT</v>
      </c>
      <c r="I883" s="29"/>
      <c r="J8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3" s="17"/>
    </row>
    <row r="884" spans="1:11" hidden="1" x14ac:dyDescent="0.2">
      <c r="A884" t="s">
        <v>450</v>
      </c>
      <c r="D884" t="s">
        <v>1068</v>
      </c>
      <c r="E884" t="s">
        <v>1289</v>
      </c>
      <c r="F884" t="s">
        <v>2572</v>
      </c>
      <c r="G884" s="17" t="str">
        <f t="shared" si="27"/>
        <v>.</v>
      </c>
      <c r="H884" s="17" t="str">
        <f t="shared" si="28"/>
        <v>PROJECT_COST_CLASS.FCAST_PCT_RANGE2_PERCENT</v>
      </c>
      <c r="I884" s="29"/>
      <c r="J8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4" s="17"/>
    </row>
    <row r="885" spans="1:11" hidden="1" x14ac:dyDescent="0.2">
      <c r="A885" t="s">
        <v>450</v>
      </c>
      <c r="D885" t="s">
        <v>1068</v>
      </c>
      <c r="E885" t="s">
        <v>1295</v>
      </c>
      <c r="F885" t="s">
        <v>2573</v>
      </c>
      <c r="G885" s="17" t="str">
        <f t="shared" si="27"/>
        <v>.</v>
      </c>
      <c r="H885" s="17" t="str">
        <f t="shared" si="28"/>
        <v>PROJECT_COST_CLASS.FCAST_PCT_RANGE1_METHOD</v>
      </c>
      <c r="I885" s="29"/>
      <c r="J8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5" s="17"/>
    </row>
    <row r="886" spans="1:11" hidden="1" x14ac:dyDescent="0.2">
      <c r="A886" t="s">
        <v>450</v>
      </c>
      <c r="D886" t="s">
        <v>1068</v>
      </c>
      <c r="E886" t="s">
        <v>1298</v>
      </c>
      <c r="F886" t="s">
        <v>2574</v>
      </c>
      <c r="G886" s="17" t="str">
        <f t="shared" si="27"/>
        <v>.</v>
      </c>
      <c r="H886" s="17" t="str">
        <f t="shared" si="28"/>
        <v>PROJECT_COST_CLASS.FCAST_PCT_RANGE2_METHOD</v>
      </c>
      <c r="I886" s="29"/>
      <c r="J8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6" s="17"/>
    </row>
    <row r="887" spans="1:11" hidden="1" x14ac:dyDescent="0.2">
      <c r="A887" t="s">
        <v>450</v>
      </c>
      <c r="D887" t="s">
        <v>1068</v>
      </c>
      <c r="E887" t="s">
        <v>1301</v>
      </c>
      <c r="F887" t="s">
        <v>2575</v>
      </c>
      <c r="G887" s="17" t="str">
        <f t="shared" si="27"/>
        <v>.</v>
      </c>
      <c r="H887" s="17" t="str">
        <f t="shared" si="28"/>
        <v>PROJECT_COST_CLASS.FCAST_PCT_RANGE3_METHOD</v>
      </c>
      <c r="I887" s="29"/>
      <c r="J8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7" s="17"/>
    </row>
    <row r="888" spans="1:11" hidden="1" x14ac:dyDescent="0.2">
      <c r="A888" t="s">
        <v>450</v>
      </c>
      <c r="D888" t="s">
        <v>1068</v>
      </c>
      <c r="E888" t="s">
        <v>1304</v>
      </c>
      <c r="F888" t="s">
        <v>2576</v>
      </c>
      <c r="G888" s="17" t="str">
        <f t="shared" si="27"/>
        <v>.</v>
      </c>
      <c r="H888" s="17" t="str">
        <f t="shared" si="28"/>
        <v>PROJECT_COST_CLASS.FCAST_PCT_RANGE4_METHOD</v>
      </c>
      <c r="I888" s="29"/>
      <c r="J8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8" s="17"/>
    </row>
    <row r="889" spans="1:11" hidden="1" x14ac:dyDescent="0.2">
      <c r="A889" t="s">
        <v>450</v>
      </c>
      <c r="D889" t="s">
        <v>1332</v>
      </c>
      <c r="E889" t="s">
        <v>30</v>
      </c>
      <c r="G889" s="17" t="str">
        <f t="shared" si="27"/>
        <v>.</v>
      </c>
      <c r="H889" s="17" t="str">
        <f t="shared" si="28"/>
        <v>PROJECT_COST_CLASS_LINK.ROW_UID</v>
      </c>
      <c r="I889" s="29"/>
      <c r="J8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89" s="17"/>
    </row>
    <row r="890" spans="1:11" hidden="1" x14ac:dyDescent="0.2">
      <c r="A890" t="s">
        <v>450</v>
      </c>
      <c r="D890" t="s">
        <v>1332</v>
      </c>
      <c r="E890" t="s">
        <v>35</v>
      </c>
      <c r="G890" s="17" t="str">
        <f t="shared" si="27"/>
        <v>.</v>
      </c>
      <c r="H890" s="17" t="str">
        <f t="shared" si="28"/>
        <v>PROJECT_COST_CLASS_LINK.SEQUENCE</v>
      </c>
      <c r="I890" s="29"/>
      <c r="J8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0" s="17"/>
    </row>
    <row r="891" spans="1:11" hidden="1" x14ac:dyDescent="0.2">
      <c r="A891" t="s">
        <v>450</v>
      </c>
      <c r="D891" t="s">
        <v>1332</v>
      </c>
      <c r="E891" s="18" t="s">
        <v>61</v>
      </c>
      <c r="G891" s="17" t="str">
        <f t="shared" si="27"/>
        <v>.</v>
      </c>
      <c r="H891" s="17" t="str">
        <f t="shared" si="28"/>
        <v>PROJECT_COST_CLASS_LINK.CREATED_BY_USER_UID</v>
      </c>
      <c r="I891" s="29"/>
      <c r="J8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1" s="17"/>
    </row>
    <row r="892" spans="1:11" hidden="1" x14ac:dyDescent="0.2">
      <c r="A892" t="s">
        <v>450</v>
      </c>
      <c r="D892" t="s">
        <v>1332</v>
      </c>
      <c r="E892" t="s">
        <v>64</v>
      </c>
      <c r="G892" s="17" t="str">
        <f t="shared" si="27"/>
        <v>.</v>
      </c>
      <c r="H892" s="17" t="str">
        <f t="shared" si="28"/>
        <v>PROJECT_COST_CLASS_LINK.CREATED_DATE</v>
      </c>
      <c r="I892" s="29"/>
      <c r="J8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2" s="17"/>
    </row>
    <row r="893" spans="1:11" hidden="1" x14ac:dyDescent="0.2">
      <c r="A893" t="s">
        <v>450</v>
      </c>
      <c r="D893" t="s">
        <v>1332</v>
      </c>
      <c r="E893" t="s">
        <v>68</v>
      </c>
      <c r="G893" s="17" t="str">
        <f t="shared" si="27"/>
        <v>.</v>
      </c>
      <c r="H893" s="17" t="str">
        <f t="shared" si="28"/>
        <v>PROJECT_COST_CLASS_LINK.LAST_MODIFIED_BY_USER_UID</v>
      </c>
      <c r="I893" s="29"/>
      <c r="J8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3" s="17"/>
    </row>
    <row r="894" spans="1:11" hidden="1" x14ac:dyDescent="0.2">
      <c r="A894" t="s">
        <v>450</v>
      </c>
      <c r="D894" t="s">
        <v>1332</v>
      </c>
      <c r="E894" t="s">
        <v>71</v>
      </c>
      <c r="G894" s="17" t="str">
        <f t="shared" si="27"/>
        <v>.</v>
      </c>
      <c r="H894" s="17" t="str">
        <f t="shared" si="28"/>
        <v>PROJECT_COST_CLASS_LINK.LAST_MODIFIED_DATE</v>
      </c>
      <c r="I894" s="29"/>
      <c r="J8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4" s="17"/>
    </row>
    <row r="895" spans="1:11" hidden="1" x14ac:dyDescent="0.2">
      <c r="A895" s="9" t="s">
        <v>450</v>
      </c>
      <c r="B895" s="9"/>
      <c r="C895" s="9"/>
      <c r="D895" s="9" t="s">
        <v>1059</v>
      </c>
      <c r="E895" s="9" t="s">
        <v>1084</v>
      </c>
      <c r="F895" t="s">
        <v>2577</v>
      </c>
      <c r="G895" s="25" t="str">
        <f t="shared" si="27"/>
        <v>.</v>
      </c>
      <c r="H895" s="25" t="str">
        <f t="shared" si="28"/>
        <v>PROJECT_CAWP_RESOURCE.ETC</v>
      </c>
      <c r="I895" s="30" t="s">
        <v>2411</v>
      </c>
      <c r="J895" s="17" t="e">
        <f>IF(ColumnMapping[[#This Row],[Add Old Column to New Table?]]&lt;&gt;"y","",_xlfn.CONCAT(VLOOKUP(ColumnMapping[[#This Row],[Old Table Name]],TableMapping[[#All],[Old Table Name]:[New Table Name]],2,),".",ColumnMapping[[#This Row],[Old Column Name]]))</f>
        <v>#N/A</v>
      </c>
      <c r="K895" s="17"/>
    </row>
    <row r="896" spans="1:11" hidden="1" x14ac:dyDescent="0.2">
      <c r="A896" t="s">
        <v>450</v>
      </c>
      <c r="D896" t="s">
        <v>1059</v>
      </c>
      <c r="E896" t="s">
        <v>1075</v>
      </c>
      <c r="F896" t="s">
        <v>2577</v>
      </c>
      <c r="G896" s="17" t="str">
        <f t="shared" si="27"/>
        <v>.</v>
      </c>
      <c r="H896" s="17" t="str">
        <f t="shared" si="28"/>
        <v>PROJECT_CAWP_RESOURCE.RSSTART</v>
      </c>
      <c r="I896" s="29"/>
      <c r="J8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6" s="17"/>
    </row>
    <row r="897" spans="1:11" hidden="1" x14ac:dyDescent="0.2">
      <c r="A897" t="s">
        <v>450</v>
      </c>
      <c r="D897" t="s">
        <v>1059</v>
      </c>
      <c r="E897" t="s">
        <v>1079</v>
      </c>
      <c r="F897" s="50" t="s">
        <v>2578</v>
      </c>
      <c r="G897" s="17" t="str">
        <f t="shared" si="27"/>
        <v>.</v>
      </c>
      <c r="H897" s="17" t="str">
        <f t="shared" si="28"/>
        <v>PROJECT_CAWP_RESOURCE.RSFINISH</v>
      </c>
      <c r="I897" s="29"/>
      <c r="J8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7" s="17"/>
    </row>
    <row r="898" spans="1:11" hidden="1" x14ac:dyDescent="0.2">
      <c r="A898" t="s">
        <v>450</v>
      </c>
      <c r="D898" t="s">
        <v>1059</v>
      </c>
      <c r="E898" t="s">
        <v>30</v>
      </c>
      <c r="G898" s="17" t="str">
        <f t="shared" si="27"/>
        <v>.</v>
      </c>
      <c r="H898" s="17" t="str">
        <f t="shared" si="28"/>
        <v>PROJECT_CAWP_RESOURCE.ROW_UID</v>
      </c>
      <c r="I898" s="29"/>
      <c r="J8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8" s="17"/>
    </row>
    <row r="899" spans="1:11" hidden="1" x14ac:dyDescent="0.2">
      <c r="A899" t="s">
        <v>450</v>
      </c>
      <c r="D899" t="s">
        <v>1059</v>
      </c>
      <c r="E899" t="s">
        <v>64</v>
      </c>
      <c r="G899" s="17" t="str">
        <f t="shared" si="27"/>
        <v>.</v>
      </c>
      <c r="H899" s="17" t="str">
        <f t="shared" si="28"/>
        <v>PROJECT_CAWP_RESOURCE.CREATED_DATE</v>
      </c>
      <c r="I899" s="29"/>
      <c r="J8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899" s="17"/>
    </row>
    <row r="900" spans="1:11" hidden="1" x14ac:dyDescent="0.2">
      <c r="A900" t="s">
        <v>450</v>
      </c>
      <c r="D900" t="s">
        <v>1059</v>
      </c>
      <c r="E900" s="18" t="s">
        <v>61</v>
      </c>
      <c r="G900" s="17" t="str">
        <f t="shared" si="27"/>
        <v>.</v>
      </c>
      <c r="H900" s="17" t="str">
        <f t="shared" si="28"/>
        <v>PROJECT_CAWP_RESOURCE.CREATED_BY_USER_UID</v>
      </c>
      <c r="I900" s="29"/>
      <c r="J9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0" s="17"/>
    </row>
    <row r="901" spans="1:11" hidden="1" x14ac:dyDescent="0.2">
      <c r="A901" t="s">
        <v>450</v>
      </c>
      <c r="D901" t="s">
        <v>1347</v>
      </c>
      <c r="E901" t="s">
        <v>30</v>
      </c>
      <c r="G901" s="17" t="str">
        <f t="shared" si="27"/>
        <v>.</v>
      </c>
      <c r="H901" s="17" t="str">
        <f t="shared" si="28"/>
        <v>PROJECT_COST_SET.ROW_UID</v>
      </c>
      <c r="I901" s="29"/>
      <c r="J9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1" s="17"/>
    </row>
    <row r="902" spans="1:11" hidden="1" x14ac:dyDescent="0.2">
      <c r="A902" t="s">
        <v>450</v>
      </c>
      <c r="D902" t="s">
        <v>1347</v>
      </c>
      <c r="E902" s="18" t="s">
        <v>61</v>
      </c>
      <c r="G902" s="17" t="str">
        <f t="shared" si="27"/>
        <v>.</v>
      </c>
      <c r="H902" s="17" t="str">
        <f t="shared" si="28"/>
        <v>PROJECT_COST_SET.CREATED_BY_USER_UID</v>
      </c>
      <c r="I902" s="29"/>
      <c r="J9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2" s="17"/>
    </row>
    <row r="903" spans="1:11" hidden="1" x14ac:dyDescent="0.2">
      <c r="A903" t="s">
        <v>450</v>
      </c>
      <c r="D903" t="s">
        <v>1347</v>
      </c>
      <c r="E903" t="s">
        <v>64</v>
      </c>
      <c r="G903" s="17" t="str">
        <f t="shared" si="27"/>
        <v>.</v>
      </c>
      <c r="H903" s="17" t="str">
        <f t="shared" si="28"/>
        <v>PROJECT_COST_SET.CREATED_DATE</v>
      </c>
      <c r="I903" s="29"/>
      <c r="J9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3" s="17"/>
    </row>
    <row r="904" spans="1:11" hidden="1" x14ac:dyDescent="0.2">
      <c r="A904" t="s">
        <v>450</v>
      </c>
      <c r="D904" t="s">
        <v>1358</v>
      </c>
      <c r="E904" t="s">
        <v>30</v>
      </c>
      <c r="G904" s="17" t="str">
        <f t="shared" si="27"/>
        <v>.</v>
      </c>
      <c r="H904" s="17" t="str">
        <f t="shared" si="28"/>
        <v>PROJECT_COST_SET_CLASS.ROW_UID</v>
      </c>
      <c r="I904" s="29"/>
      <c r="J9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4" s="17"/>
    </row>
    <row r="905" spans="1:11" hidden="1" x14ac:dyDescent="0.2">
      <c r="A905" t="s">
        <v>450</v>
      </c>
      <c r="D905" t="s">
        <v>1358</v>
      </c>
      <c r="E905" t="s">
        <v>35</v>
      </c>
      <c r="G905" s="17" t="str">
        <f t="shared" si="27"/>
        <v>.</v>
      </c>
      <c r="H905" s="17" t="str">
        <f t="shared" si="28"/>
        <v>PROJECT_COST_SET_CLASS.SEQUENCE</v>
      </c>
      <c r="I905" s="29"/>
      <c r="J9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5" s="17"/>
    </row>
    <row r="906" spans="1:11" hidden="1" x14ac:dyDescent="0.2">
      <c r="A906" t="s">
        <v>450</v>
      </c>
      <c r="D906" t="s">
        <v>1358</v>
      </c>
      <c r="E906" s="18" t="s">
        <v>61</v>
      </c>
      <c r="G906" s="17" t="str">
        <f t="shared" si="27"/>
        <v>.</v>
      </c>
      <c r="H906" s="17" t="str">
        <f t="shared" si="28"/>
        <v>PROJECT_COST_SET_CLASS.CREATED_BY_USER_UID</v>
      </c>
      <c r="I906" s="29"/>
      <c r="J9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6" s="17"/>
    </row>
    <row r="907" spans="1:11" hidden="1" x14ac:dyDescent="0.2">
      <c r="A907" t="s">
        <v>450</v>
      </c>
      <c r="D907" t="s">
        <v>1358</v>
      </c>
      <c r="E907" t="s">
        <v>64</v>
      </c>
      <c r="G907" s="17" t="str">
        <f t="shared" ref="G907:G970" si="29">_xlfn.CONCAT(B907,".",C907)</f>
        <v>.</v>
      </c>
      <c r="H907" s="17" t="str">
        <f t="shared" si="28"/>
        <v>PROJECT_COST_SET_CLASS.CREATED_DATE</v>
      </c>
      <c r="I907" s="29"/>
      <c r="J9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7" s="17"/>
    </row>
    <row r="908" spans="1:11" hidden="1" x14ac:dyDescent="0.2">
      <c r="A908" t="s">
        <v>450</v>
      </c>
      <c r="D908" t="s">
        <v>1358</v>
      </c>
      <c r="E908" t="s">
        <v>68</v>
      </c>
      <c r="G908" s="17" t="str">
        <f t="shared" si="29"/>
        <v>.</v>
      </c>
      <c r="H908" s="17" t="str">
        <f t="shared" si="28"/>
        <v>PROJECT_COST_SET_CLASS.LAST_MODIFIED_BY_USER_UID</v>
      </c>
      <c r="I908" s="29"/>
      <c r="J9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8" s="17"/>
    </row>
    <row r="909" spans="1:11" hidden="1" x14ac:dyDescent="0.2">
      <c r="A909" t="s">
        <v>450</v>
      </c>
      <c r="D909" t="s">
        <v>1358</v>
      </c>
      <c r="E909" t="s">
        <v>71</v>
      </c>
      <c r="G909" s="17" t="str">
        <f t="shared" si="29"/>
        <v>.</v>
      </c>
      <c r="H909" s="17" t="str">
        <f t="shared" si="28"/>
        <v>PROJECT_COST_SET_CLASS.LAST_MODIFIED_DATE</v>
      </c>
      <c r="I909" s="29"/>
      <c r="J9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09" s="17"/>
    </row>
    <row r="910" spans="1:11" hidden="1" x14ac:dyDescent="0.2">
      <c r="A910" t="s">
        <v>450</v>
      </c>
      <c r="D910" t="s">
        <v>1399</v>
      </c>
      <c r="E910" t="s">
        <v>30</v>
      </c>
      <c r="G910" s="17" t="str">
        <f t="shared" si="29"/>
        <v>.</v>
      </c>
      <c r="H910" s="17" t="str">
        <f t="shared" si="28"/>
        <v>PROJECT_WP_MILESTONE.ROW_UID</v>
      </c>
      <c r="I910" s="29"/>
      <c r="J9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0" s="17"/>
    </row>
    <row r="911" spans="1:11" hidden="1" x14ac:dyDescent="0.2">
      <c r="A911" t="s">
        <v>450</v>
      </c>
      <c r="D911" t="s">
        <v>1399</v>
      </c>
      <c r="E911" s="18" t="s">
        <v>61</v>
      </c>
      <c r="G911" s="17" t="str">
        <f t="shared" si="29"/>
        <v>.</v>
      </c>
      <c r="H911" s="17" t="str">
        <f t="shared" si="28"/>
        <v>PROJECT_WP_MILESTONE.CREATED_BY_USER_UID</v>
      </c>
      <c r="I911" s="29"/>
      <c r="J9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1" s="17"/>
    </row>
    <row r="912" spans="1:11" hidden="1" x14ac:dyDescent="0.2">
      <c r="A912" t="s">
        <v>450</v>
      </c>
      <c r="D912" t="s">
        <v>1399</v>
      </c>
      <c r="E912" t="s">
        <v>64</v>
      </c>
      <c r="G912" s="17" t="str">
        <f t="shared" si="29"/>
        <v>.</v>
      </c>
      <c r="H912" s="17" t="str">
        <f t="shared" si="28"/>
        <v>PROJECT_WP_MILESTONE.CREATED_DATE</v>
      </c>
      <c r="I912" s="29"/>
      <c r="J9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2" s="17"/>
    </row>
    <row r="913" spans="1:11" hidden="1" x14ac:dyDescent="0.2">
      <c r="A913" t="s">
        <v>450</v>
      </c>
      <c r="D913" t="s">
        <v>451</v>
      </c>
      <c r="E913" t="s">
        <v>30</v>
      </c>
      <c r="G913" s="17" t="str">
        <f t="shared" si="29"/>
        <v>.</v>
      </c>
      <c r="H913" s="17" t="str">
        <f t="shared" si="28"/>
        <v>PROJECT.ROW_UID</v>
      </c>
      <c r="I913" s="29"/>
      <c r="J9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3" s="17"/>
    </row>
    <row r="914" spans="1:11" hidden="1" x14ac:dyDescent="0.2">
      <c r="A914" t="s">
        <v>450</v>
      </c>
      <c r="D914" t="s">
        <v>451</v>
      </c>
      <c r="E914" t="s">
        <v>15</v>
      </c>
      <c r="G914" s="17" t="str">
        <f t="shared" si="29"/>
        <v>.</v>
      </c>
      <c r="H914" s="17" t="str">
        <f t="shared" si="28"/>
        <v>PROJECT.DESCRIPTION</v>
      </c>
      <c r="I914" s="29"/>
      <c r="J9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4" s="17"/>
    </row>
    <row r="915" spans="1:11" hidden="1" x14ac:dyDescent="0.2">
      <c r="A915" t="s">
        <v>450</v>
      </c>
      <c r="D915" t="s">
        <v>451</v>
      </c>
      <c r="E915" t="s">
        <v>2579</v>
      </c>
      <c r="G915" s="17" t="str">
        <f t="shared" si="29"/>
        <v>.</v>
      </c>
      <c r="H915" s="17" t="str">
        <f t="shared" si="28"/>
        <v>PROJECT.PROGRAM_UID</v>
      </c>
      <c r="I915" s="29"/>
      <c r="J9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5" s="17"/>
    </row>
    <row r="916" spans="1:11" hidden="1" x14ac:dyDescent="0.2">
      <c r="A916" t="s">
        <v>450</v>
      </c>
      <c r="D916" t="s">
        <v>451</v>
      </c>
      <c r="E916" t="s">
        <v>2580</v>
      </c>
      <c r="G916" s="17" t="str">
        <f t="shared" si="29"/>
        <v>.</v>
      </c>
      <c r="H916" s="17" t="str">
        <f t="shared" si="28"/>
        <v>PROJECT.CONTRACT_UID</v>
      </c>
      <c r="I916" s="29"/>
      <c r="J9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6" s="17"/>
    </row>
    <row r="917" spans="1:11" hidden="1" x14ac:dyDescent="0.2">
      <c r="A917" t="s">
        <v>450</v>
      </c>
      <c r="D917" t="s">
        <v>451</v>
      </c>
      <c r="E917" t="s">
        <v>458</v>
      </c>
      <c r="G917" s="17" t="str">
        <f t="shared" si="29"/>
        <v>.</v>
      </c>
      <c r="H917" s="17" t="str">
        <f t="shared" si="28"/>
        <v>PROJECT.WBS_CODE_FILE_UID</v>
      </c>
      <c r="I917" s="29"/>
      <c r="J9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7" s="17"/>
    </row>
    <row r="918" spans="1:11" hidden="1" x14ac:dyDescent="0.2">
      <c r="A918" t="s">
        <v>450</v>
      </c>
      <c r="D918" t="s">
        <v>451</v>
      </c>
      <c r="E918" t="s">
        <v>461</v>
      </c>
      <c r="G918" s="17" t="str">
        <f t="shared" si="29"/>
        <v>.</v>
      </c>
      <c r="H918" s="17" t="str">
        <f t="shared" si="28"/>
        <v>PROJECT.OBS_CODE_FILE_UID</v>
      </c>
      <c r="I918" s="29"/>
      <c r="J9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8" s="17"/>
    </row>
    <row r="919" spans="1:11" hidden="1" x14ac:dyDescent="0.2">
      <c r="A919" t="s">
        <v>450</v>
      </c>
      <c r="D919" t="s">
        <v>451</v>
      </c>
      <c r="E919" t="s">
        <v>104</v>
      </c>
      <c r="G919" s="17" t="str">
        <f t="shared" si="29"/>
        <v>.</v>
      </c>
      <c r="H919" s="17" t="str">
        <f t="shared" si="28"/>
        <v>PROJECT.OWNER_USER_UID</v>
      </c>
      <c r="I919" s="29"/>
      <c r="J9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19" s="17"/>
    </row>
    <row r="920" spans="1:11" hidden="1" x14ac:dyDescent="0.2">
      <c r="A920" t="s">
        <v>450</v>
      </c>
      <c r="D920" t="s">
        <v>451</v>
      </c>
      <c r="E920" t="s">
        <v>453</v>
      </c>
      <c r="G920" s="17" t="str">
        <f t="shared" si="29"/>
        <v>.</v>
      </c>
      <c r="H920" s="17" t="str">
        <f t="shared" si="28"/>
        <v>PROJECT.INACTIVE</v>
      </c>
      <c r="I920" s="29"/>
      <c r="J9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0" s="17"/>
    </row>
    <row r="921" spans="1:11" hidden="1" x14ac:dyDescent="0.2">
      <c r="A921" t="s">
        <v>450</v>
      </c>
      <c r="D921" t="s">
        <v>451</v>
      </c>
      <c r="E921" t="s">
        <v>2581</v>
      </c>
      <c r="G921" s="17" t="str">
        <f t="shared" si="29"/>
        <v>.</v>
      </c>
      <c r="H921" s="17" t="str">
        <f t="shared" si="28"/>
        <v>PROJECT.OBS_REQUIRED</v>
      </c>
      <c r="I921" s="29"/>
      <c r="J9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1" s="17"/>
    </row>
    <row r="922" spans="1:11" hidden="1" x14ac:dyDescent="0.2">
      <c r="A922" t="s">
        <v>450</v>
      </c>
      <c r="D922" t="s">
        <v>451</v>
      </c>
      <c r="E922" t="s">
        <v>2582</v>
      </c>
      <c r="G922" s="17" t="str">
        <f t="shared" si="29"/>
        <v>.</v>
      </c>
      <c r="H922" s="17" t="str">
        <f t="shared" ref="H922:H985" si="30">_xlfn.CONCAT(D922,".",E922)</f>
        <v>PROJECT.WBS_REQUIRED</v>
      </c>
      <c r="I922" s="29"/>
      <c r="J9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2" s="17"/>
    </row>
    <row r="923" spans="1:11" hidden="1" x14ac:dyDescent="0.2">
      <c r="A923" t="s">
        <v>450</v>
      </c>
      <c r="D923" t="s">
        <v>451</v>
      </c>
      <c r="E923" s="18" t="s">
        <v>61</v>
      </c>
      <c r="G923" s="17" t="str">
        <f t="shared" si="29"/>
        <v>.</v>
      </c>
      <c r="H923" s="17" t="str">
        <f t="shared" si="30"/>
        <v>PROJECT.CREATED_BY_USER_UID</v>
      </c>
      <c r="I923" s="29"/>
      <c r="J9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3" s="17"/>
    </row>
    <row r="924" spans="1:11" hidden="1" x14ac:dyDescent="0.2">
      <c r="A924" t="s">
        <v>450</v>
      </c>
      <c r="D924" t="s">
        <v>451</v>
      </c>
      <c r="E924" t="s">
        <v>64</v>
      </c>
      <c r="G924" s="17" t="str">
        <f t="shared" si="29"/>
        <v>.</v>
      </c>
      <c r="H924" s="17" t="str">
        <f t="shared" si="30"/>
        <v>PROJECT.CREATED_DATE</v>
      </c>
      <c r="I924" s="29"/>
      <c r="J9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4" s="17"/>
    </row>
    <row r="925" spans="1:11" hidden="1" x14ac:dyDescent="0.2">
      <c r="A925" t="s">
        <v>450</v>
      </c>
      <c r="D925" t="s">
        <v>1372</v>
      </c>
      <c r="E925" t="s">
        <v>30</v>
      </c>
      <c r="G925" s="17" t="str">
        <f t="shared" si="29"/>
        <v>.</v>
      </c>
      <c r="H925" s="17" t="str">
        <f t="shared" si="30"/>
        <v>PROJECT_COST_TOTAL.ROW_UID</v>
      </c>
      <c r="I925" s="29"/>
      <c r="J9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5" s="17"/>
    </row>
    <row r="926" spans="1:11" hidden="1" x14ac:dyDescent="0.2">
      <c r="A926" t="s">
        <v>450</v>
      </c>
      <c r="D926" t="s">
        <v>1372</v>
      </c>
      <c r="E926" t="s">
        <v>1013</v>
      </c>
      <c r="G926" s="17" t="str">
        <f t="shared" si="29"/>
        <v>.</v>
      </c>
      <c r="H926" s="17" t="str">
        <f t="shared" si="30"/>
        <v>PROJECT_COST_TOTAL.EAC_NONLAB</v>
      </c>
      <c r="I926" s="29"/>
      <c r="J9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6" s="17"/>
    </row>
    <row r="927" spans="1:11" hidden="1" x14ac:dyDescent="0.2">
      <c r="A927" t="s">
        <v>450</v>
      </c>
      <c r="D927" t="s">
        <v>1372</v>
      </c>
      <c r="E927" t="s">
        <v>949</v>
      </c>
      <c r="F927" t="s">
        <v>2583</v>
      </c>
      <c r="G927" s="17" t="str">
        <f t="shared" si="29"/>
        <v>.</v>
      </c>
      <c r="H927" s="17" t="str">
        <f t="shared" si="30"/>
        <v>PROJECT_COST_TOTAL.ACWPCP</v>
      </c>
      <c r="I927" s="29"/>
      <c r="J9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7" s="17"/>
    </row>
    <row r="928" spans="1:11" hidden="1" x14ac:dyDescent="0.2">
      <c r="A928" t="s">
        <v>450</v>
      </c>
      <c r="D928" t="s">
        <v>1372</v>
      </c>
      <c r="E928" t="s">
        <v>955</v>
      </c>
      <c r="F928" t="s">
        <v>2584</v>
      </c>
      <c r="G928" s="17" t="str">
        <f t="shared" si="29"/>
        <v>.</v>
      </c>
      <c r="H928" s="17" t="str">
        <f t="shared" si="30"/>
        <v>PROJECT_COST_TOTAL.BCWPCP</v>
      </c>
      <c r="I928" s="29"/>
      <c r="J9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8" s="17"/>
    </row>
    <row r="929" spans="1:11" hidden="1" x14ac:dyDescent="0.2">
      <c r="A929" t="s">
        <v>450</v>
      </c>
      <c r="D929" t="s">
        <v>1372</v>
      </c>
      <c r="E929" t="s">
        <v>959</v>
      </c>
      <c r="F929" t="s">
        <v>2585</v>
      </c>
      <c r="G929" s="17" t="str">
        <f t="shared" si="29"/>
        <v>.</v>
      </c>
      <c r="H929" s="17" t="str">
        <f t="shared" si="30"/>
        <v>PROJECT_COST_TOTAL.BCWSCP</v>
      </c>
      <c r="I929" s="29"/>
      <c r="J9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29" s="17"/>
    </row>
    <row r="930" spans="1:11" hidden="1" x14ac:dyDescent="0.2">
      <c r="A930" t="s">
        <v>450</v>
      </c>
      <c r="D930" t="s">
        <v>1372</v>
      </c>
      <c r="E930" t="s">
        <v>951</v>
      </c>
      <c r="F930" t="s">
        <v>2586</v>
      </c>
      <c r="G930" s="17" t="str">
        <f t="shared" si="29"/>
        <v>.</v>
      </c>
      <c r="H930" s="17" t="str">
        <f t="shared" si="30"/>
        <v>PROJECT_COST_TOTAL.ACWPCP_HRS</v>
      </c>
      <c r="I930" s="29"/>
      <c r="J9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0" s="17"/>
    </row>
    <row r="931" spans="1:11" hidden="1" x14ac:dyDescent="0.2">
      <c r="A931" t="s">
        <v>450</v>
      </c>
      <c r="D931" t="s">
        <v>1372</v>
      </c>
      <c r="E931" t="s">
        <v>957</v>
      </c>
      <c r="F931" t="s">
        <v>2587</v>
      </c>
      <c r="G931" s="17" t="str">
        <f t="shared" si="29"/>
        <v>.</v>
      </c>
      <c r="H931" s="17" t="str">
        <f t="shared" si="30"/>
        <v>PROJECT_COST_TOTAL.BCWPCP_HRS</v>
      </c>
      <c r="I931" s="29"/>
      <c r="J9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1" s="17"/>
    </row>
    <row r="932" spans="1:11" hidden="1" x14ac:dyDescent="0.2">
      <c r="A932" t="s">
        <v>450</v>
      </c>
      <c r="D932" t="s">
        <v>1372</v>
      </c>
      <c r="E932" t="s">
        <v>961</v>
      </c>
      <c r="F932" t="s">
        <v>2588</v>
      </c>
      <c r="G932" s="17" t="str">
        <f t="shared" si="29"/>
        <v>.</v>
      </c>
      <c r="H932" s="17" t="str">
        <f t="shared" si="30"/>
        <v>PROJECT_COST_TOTAL.BCWSCP_HRS</v>
      </c>
      <c r="I932" s="29"/>
      <c r="J9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2" s="17"/>
    </row>
    <row r="933" spans="1:11" hidden="1" x14ac:dyDescent="0.2">
      <c r="A933" t="s">
        <v>450</v>
      </c>
      <c r="D933" t="s">
        <v>1104</v>
      </c>
      <c r="E933" t="s">
        <v>30</v>
      </c>
      <c r="G933" s="17" t="str">
        <f t="shared" si="29"/>
        <v>.</v>
      </c>
      <c r="H933" s="17" t="str">
        <f t="shared" si="30"/>
        <v>PROJECT_CAWP_RESOURCE_TPHASE.ROW_UID</v>
      </c>
      <c r="I933" s="29"/>
      <c r="J9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3" s="17"/>
    </row>
    <row r="934" spans="1:11" hidden="1" x14ac:dyDescent="0.2">
      <c r="A934" t="s">
        <v>450</v>
      </c>
      <c r="D934" t="s">
        <v>1104</v>
      </c>
      <c r="E934" t="s">
        <v>35</v>
      </c>
      <c r="G934" s="17" t="str">
        <f t="shared" si="29"/>
        <v>.</v>
      </c>
      <c r="H934" s="17" t="str">
        <f t="shared" si="30"/>
        <v>PROJECT_CAWP_RESOURCE_TPHASE.SEQUENCE</v>
      </c>
      <c r="I934" s="29"/>
      <c r="J9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4" s="17"/>
    </row>
    <row r="935" spans="1:11" hidden="1" x14ac:dyDescent="0.2">
      <c r="A935" t="s">
        <v>450</v>
      </c>
      <c r="D935" t="s">
        <v>1104</v>
      </c>
      <c r="E935" t="s">
        <v>1113</v>
      </c>
      <c r="G935" s="17" t="str">
        <f t="shared" si="29"/>
        <v>.</v>
      </c>
      <c r="H935" s="17" t="str">
        <f t="shared" si="30"/>
        <v>PROJECT_CAWP_RESOURCE_TPHASE.RESULT1</v>
      </c>
      <c r="I935" s="29"/>
      <c r="J9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5" s="17"/>
    </row>
    <row r="936" spans="1:11" hidden="1" x14ac:dyDescent="0.2">
      <c r="A936" t="s">
        <v>450</v>
      </c>
      <c r="D936" t="s">
        <v>1104</v>
      </c>
      <c r="E936" t="s">
        <v>1117</v>
      </c>
      <c r="G936" s="17" t="str">
        <f t="shared" si="29"/>
        <v>.</v>
      </c>
      <c r="H936" s="17" t="str">
        <f t="shared" si="30"/>
        <v>PROJECT_CAWP_RESOURCE_TPHASE.RESULT2</v>
      </c>
      <c r="I936" s="29"/>
      <c r="J9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6" s="17"/>
    </row>
    <row r="937" spans="1:11" hidden="1" x14ac:dyDescent="0.2">
      <c r="A937" t="s">
        <v>450</v>
      </c>
      <c r="D937" t="s">
        <v>1104</v>
      </c>
      <c r="E937" t="s">
        <v>1120</v>
      </c>
      <c r="G937" s="17" t="str">
        <f t="shared" si="29"/>
        <v>.</v>
      </c>
      <c r="H937" s="17" t="str">
        <f t="shared" si="30"/>
        <v>PROJECT_CAWP_RESOURCE_TPHASE.RESULT3</v>
      </c>
      <c r="I937" s="29"/>
      <c r="J9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7" s="17"/>
    </row>
    <row r="938" spans="1:11" hidden="1" x14ac:dyDescent="0.2">
      <c r="A938" t="s">
        <v>450</v>
      </c>
      <c r="D938" t="s">
        <v>1104</v>
      </c>
      <c r="E938" t="s">
        <v>1123</v>
      </c>
      <c r="G938" s="17" t="str">
        <f t="shared" si="29"/>
        <v>.</v>
      </c>
      <c r="H938" s="17" t="str">
        <f t="shared" si="30"/>
        <v>PROJECT_CAWP_RESOURCE_TPHASE.RESULT4</v>
      </c>
      <c r="I938" s="29"/>
      <c r="J9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8" s="17"/>
    </row>
    <row r="939" spans="1:11" hidden="1" x14ac:dyDescent="0.2">
      <c r="A939" t="s">
        <v>450</v>
      </c>
      <c r="D939" t="s">
        <v>1104</v>
      </c>
      <c r="E939" t="s">
        <v>1126</v>
      </c>
      <c r="G939" s="17" t="str">
        <f t="shared" si="29"/>
        <v>.</v>
      </c>
      <c r="H939" s="17" t="str">
        <f t="shared" si="30"/>
        <v>PROJECT_CAWP_RESOURCE_TPHASE.RESULT5</v>
      </c>
      <c r="I939" s="29"/>
      <c r="J9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39" s="17"/>
    </row>
    <row r="940" spans="1:11" hidden="1" x14ac:dyDescent="0.2">
      <c r="A940" t="s">
        <v>450</v>
      </c>
      <c r="D940" t="s">
        <v>1104</v>
      </c>
      <c r="E940" t="s">
        <v>1129</v>
      </c>
      <c r="G940" s="17" t="str">
        <f t="shared" si="29"/>
        <v>.</v>
      </c>
      <c r="H940" s="17" t="str">
        <f t="shared" si="30"/>
        <v>PROJECT_CAWP_RESOURCE_TPHASE.RESULT6</v>
      </c>
      <c r="I940" s="29"/>
      <c r="J9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0" s="17"/>
    </row>
    <row r="941" spans="1:11" hidden="1" x14ac:dyDescent="0.2">
      <c r="A941" t="s">
        <v>450</v>
      </c>
      <c r="D941" t="s">
        <v>1104</v>
      </c>
      <c r="E941" t="s">
        <v>1132</v>
      </c>
      <c r="G941" s="17" t="str">
        <f t="shared" si="29"/>
        <v>.</v>
      </c>
      <c r="H941" s="17" t="str">
        <f t="shared" si="30"/>
        <v>PROJECT_CAWP_RESOURCE_TPHASE.RESULT7</v>
      </c>
      <c r="I941" s="29"/>
      <c r="J9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1" s="17"/>
    </row>
    <row r="942" spans="1:11" hidden="1" x14ac:dyDescent="0.2">
      <c r="A942" t="s">
        <v>450</v>
      </c>
      <c r="D942" t="s">
        <v>1104</v>
      </c>
      <c r="E942" t="s">
        <v>1135</v>
      </c>
      <c r="G942" s="17" t="str">
        <f t="shared" si="29"/>
        <v>.</v>
      </c>
      <c r="H942" s="17" t="str">
        <f t="shared" si="30"/>
        <v>PROJECT_CAWP_RESOURCE_TPHASE.RESULT8</v>
      </c>
      <c r="I942" s="29"/>
      <c r="J9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2" s="17"/>
    </row>
    <row r="943" spans="1:11" hidden="1" x14ac:dyDescent="0.2">
      <c r="A943" t="s">
        <v>450</v>
      </c>
      <c r="D943" t="s">
        <v>1104</v>
      </c>
      <c r="E943" t="s">
        <v>1138</v>
      </c>
      <c r="G943" s="17" t="str">
        <f t="shared" si="29"/>
        <v>.</v>
      </c>
      <c r="H943" s="17" t="str">
        <f t="shared" si="30"/>
        <v>PROJECT_CAWP_RESOURCE_TPHASE.RESULT9</v>
      </c>
      <c r="I943" s="29"/>
      <c r="J9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3" s="17"/>
    </row>
    <row r="944" spans="1:11" hidden="1" x14ac:dyDescent="0.2">
      <c r="A944" t="s">
        <v>450</v>
      </c>
      <c r="D944" t="s">
        <v>1104</v>
      </c>
      <c r="E944" t="s">
        <v>1141</v>
      </c>
      <c r="G944" s="17" t="str">
        <f t="shared" si="29"/>
        <v>.</v>
      </c>
      <c r="H944" s="17" t="str">
        <f t="shared" si="30"/>
        <v>PROJECT_CAWP_RESOURCE_TPHASE.RESULT10</v>
      </c>
      <c r="I944" s="29"/>
      <c r="J9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4" s="17"/>
    </row>
    <row r="945" spans="1:11" hidden="1" x14ac:dyDescent="0.2">
      <c r="A945" t="s">
        <v>450</v>
      </c>
      <c r="D945" t="s">
        <v>1104</v>
      </c>
      <c r="E945" t="s">
        <v>1144</v>
      </c>
      <c r="G945" s="17" t="str">
        <f t="shared" si="29"/>
        <v>.</v>
      </c>
      <c r="H945" s="17" t="str">
        <f t="shared" si="30"/>
        <v>PROJECT_CAWP_RESOURCE_TPHASE.RESULT11</v>
      </c>
      <c r="I945" s="29"/>
      <c r="J9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5" s="17"/>
    </row>
    <row r="946" spans="1:11" hidden="1" x14ac:dyDescent="0.2">
      <c r="A946" t="s">
        <v>450</v>
      </c>
      <c r="D946" t="s">
        <v>1104</v>
      </c>
      <c r="E946" t="s">
        <v>1147</v>
      </c>
      <c r="G946" s="17" t="str">
        <f t="shared" si="29"/>
        <v>.</v>
      </c>
      <c r="H946" s="17" t="str">
        <f t="shared" si="30"/>
        <v>PROJECT_CAWP_RESOURCE_TPHASE.RESULT12</v>
      </c>
      <c r="I946" s="29"/>
      <c r="J9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6" s="17"/>
    </row>
    <row r="947" spans="1:11" hidden="1" x14ac:dyDescent="0.2">
      <c r="A947" t="s">
        <v>450</v>
      </c>
      <c r="D947" t="s">
        <v>1104</v>
      </c>
      <c r="E947" t="s">
        <v>1150</v>
      </c>
      <c r="G947" s="17" t="str">
        <f t="shared" si="29"/>
        <v>.</v>
      </c>
      <c r="H947" s="17" t="str">
        <f t="shared" si="30"/>
        <v>PROJECT_CAWP_RESOURCE_TPHASE.RESULT13</v>
      </c>
      <c r="I947" s="29"/>
      <c r="J9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7" s="17"/>
    </row>
    <row r="948" spans="1:11" hidden="1" x14ac:dyDescent="0.2">
      <c r="A948" t="s">
        <v>450</v>
      </c>
      <c r="D948" t="s">
        <v>1104</v>
      </c>
      <c r="E948" t="s">
        <v>1153</v>
      </c>
      <c r="G948" s="17" t="str">
        <f t="shared" si="29"/>
        <v>.</v>
      </c>
      <c r="H948" s="17" t="str">
        <f t="shared" si="30"/>
        <v>PROJECT_CAWP_RESOURCE_TPHASE.RESULT14</v>
      </c>
      <c r="I948" s="29"/>
      <c r="J9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8" s="17"/>
    </row>
    <row r="949" spans="1:11" hidden="1" x14ac:dyDescent="0.2">
      <c r="A949" t="s">
        <v>450</v>
      </c>
      <c r="D949" t="s">
        <v>1104</v>
      </c>
      <c r="E949" t="s">
        <v>1156</v>
      </c>
      <c r="G949" s="17" t="str">
        <f t="shared" si="29"/>
        <v>.</v>
      </c>
      <c r="H949" s="17" t="str">
        <f t="shared" si="30"/>
        <v>PROJECT_CAWP_RESOURCE_TPHASE.RESULT15</v>
      </c>
      <c r="I949" s="29"/>
      <c r="J9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49" s="17"/>
    </row>
    <row r="950" spans="1:11" hidden="1" x14ac:dyDescent="0.2">
      <c r="A950" t="s">
        <v>450</v>
      </c>
      <c r="D950" t="s">
        <v>1104</v>
      </c>
      <c r="E950" t="s">
        <v>1159</v>
      </c>
      <c r="G950" s="17" t="str">
        <f t="shared" si="29"/>
        <v>.</v>
      </c>
      <c r="H950" s="17" t="str">
        <f t="shared" si="30"/>
        <v>PROJECT_CAWP_RESOURCE_TPHASE.RESULT16</v>
      </c>
      <c r="I950" s="29"/>
      <c r="J9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0" s="17"/>
    </row>
    <row r="951" spans="1:11" hidden="1" x14ac:dyDescent="0.2">
      <c r="A951" t="s">
        <v>450</v>
      </c>
      <c r="D951" t="s">
        <v>1104</v>
      </c>
      <c r="E951" t="s">
        <v>1162</v>
      </c>
      <c r="G951" s="17" t="str">
        <f t="shared" si="29"/>
        <v>.</v>
      </c>
      <c r="H951" s="17" t="str">
        <f t="shared" si="30"/>
        <v>PROJECT_CAWP_RESOURCE_TPHASE.RESULT17</v>
      </c>
      <c r="I951" s="29"/>
      <c r="J9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1" s="17"/>
    </row>
    <row r="952" spans="1:11" hidden="1" x14ac:dyDescent="0.2">
      <c r="A952" t="s">
        <v>450</v>
      </c>
      <c r="D952" t="s">
        <v>1104</v>
      </c>
      <c r="E952" t="s">
        <v>1165</v>
      </c>
      <c r="G952" s="17" t="str">
        <f t="shared" si="29"/>
        <v>.</v>
      </c>
      <c r="H952" s="17" t="str">
        <f t="shared" si="30"/>
        <v>PROJECT_CAWP_RESOURCE_TPHASE.RESULT18</v>
      </c>
      <c r="I952" s="29"/>
      <c r="J9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2" s="17"/>
    </row>
    <row r="953" spans="1:11" hidden="1" x14ac:dyDescent="0.2">
      <c r="A953" t="s">
        <v>450</v>
      </c>
      <c r="D953" t="s">
        <v>1104</v>
      </c>
      <c r="E953" t="s">
        <v>1168</v>
      </c>
      <c r="G953" s="17" t="str">
        <f t="shared" si="29"/>
        <v>.</v>
      </c>
      <c r="H953" s="17" t="str">
        <f t="shared" si="30"/>
        <v>PROJECT_CAWP_RESOURCE_TPHASE.RESULT19</v>
      </c>
      <c r="I953" s="29"/>
      <c r="J9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3" s="17"/>
    </row>
    <row r="954" spans="1:11" hidden="1" x14ac:dyDescent="0.2">
      <c r="A954" t="s">
        <v>450</v>
      </c>
      <c r="D954" t="s">
        <v>1104</v>
      </c>
      <c r="E954" t="s">
        <v>1171</v>
      </c>
      <c r="G954" s="17" t="str">
        <f t="shared" si="29"/>
        <v>.</v>
      </c>
      <c r="H954" s="17" t="str">
        <f t="shared" si="30"/>
        <v>PROJECT_CAWP_RESOURCE_TPHASE.RESULT20</v>
      </c>
      <c r="I954" s="29"/>
      <c r="J9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4" s="17"/>
    </row>
    <row r="955" spans="1:11" hidden="1" x14ac:dyDescent="0.2">
      <c r="A955" t="s">
        <v>450</v>
      </c>
      <c r="D955" t="s">
        <v>1104</v>
      </c>
      <c r="E955" s="18" t="s">
        <v>61</v>
      </c>
      <c r="G955" s="17" t="str">
        <f t="shared" si="29"/>
        <v>.</v>
      </c>
      <c r="H955" s="17" t="str">
        <f t="shared" si="30"/>
        <v>PROJECT_CAWP_RESOURCE_TPHASE.CREATED_BY_USER_UID</v>
      </c>
      <c r="I955" s="29"/>
      <c r="J9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5" s="17"/>
    </row>
    <row r="956" spans="1:11" hidden="1" x14ac:dyDescent="0.2">
      <c r="A956" t="s">
        <v>450</v>
      </c>
      <c r="D956" t="s">
        <v>1104</v>
      </c>
      <c r="E956" t="s">
        <v>64</v>
      </c>
      <c r="G956" s="17" t="str">
        <f t="shared" si="29"/>
        <v>.</v>
      </c>
      <c r="H956" s="17" t="str">
        <f t="shared" si="30"/>
        <v>PROJECT_CAWP_RESOURCE_TPHASE.CREATED_DATE</v>
      </c>
      <c r="I956" s="29"/>
      <c r="J9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6" s="17"/>
    </row>
    <row r="957" spans="1:11" hidden="1" x14ac:dyDescent="0.2">
      <c r="A957" t="s">
        <v>450</v>
      </c>
      <c r="D957" t="s">
        <v>1104</v>
      </c>
      <c r="E957" t="s">
        <v>68</v>
      </c>
      <c r="G957" s="17" t="str">
        <f t="shared" si="29"/>
        <v>.</v>
      </c>
      <c r="H957" s="17" t="str">
        <f t="shared" si="30"/>
        <v>PROJECT_CAWP_RESOURCE_TPHASE.LAST_MODIFIED_BY_USER_UID</v>
      </c>
      <c r="I957" s="29"/>
      <c r="J9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7" s="17"/>
    </row>
    <row r="958" spans="1:11" hidden="1" x14ac:dyDescent="0.2">
      <c r="A958" t="s">
        <v>450</v>
      </c>
      <c r="D958" t="s">
        <v>1104</v>
      </c>
      <c r="E958" t="s">
        <v>71</v>
      </c>
      <c r="G958" s="17" t="str">
        <f t="shared" si="29"/>
        <v>.</v>
      </c>
      <c r="H958" s="17" t="str">
        <f t="shared" si="30"/>
        <v>PROJECT_CAWP_RESOURCE_TPHASE.LAST_MODIFIED_DATE</v>
      </c>
      <c r="I958" s="29"/>
      <c r="J9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8" s="17"/>
    </row>
    <row r="959" spans="1:11" hidden="1" x14ac:dyDescent="0.2">
      <c r="A959" s="20" t="s">
        <v>450</v>
      </c>
      <c r="B959" s="17"/>
      <c r="C959" s="17"/>
      <c r="D959" s="17" t="s">
        <v>764</v>
      </c>
      <c r="E959" s="17" t="s">
        <v>770</v>
      </c>
      <c r="F959" s="21"/>
      <c r="G959" s="21" t="str">
        <f t="shared" si="29"/>
        <v>.</v>
      </c>
      <c r="H959" s="21" t="str">
        <f t="shared" si="30"/>
        <v>PROJECT_AUDIT_LOG.PROJECT_UID</v>
      </c>
      <c r="I959" s="35"/>
      <c r="J9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59" s="17"/>
    </row>
    <row r="960" spans="1:11" hidden="1" x14ac:dyDescent="0.2">
      <c r="A960" s="20" t="s">
        <v>450</v>
      </c>
      <c r="B960" s="17"/>
      <c r="C960" s="17"/>
      <c r="D960" s="17" t="s">
        <v>764</v>
      </c>
      <c r="E960" s="17" t="s">
        <v>772</v>
      </c>
      <c r="F960" s="21"/>
      <c r="G960" s="21" t="str">
        <f t="shared" si="29"/>
        <v>.</v>
      </c>
      <c r="H960" s="21" t="str">
        <f t="shared" si="30"/>
        <v>PROJECT_AUDIT_LOG.PROJECT_CONTROL_ACCOUNT_NAME</v>
      </c>
      <c r="I960" s="35"/>
      <c r="J9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0" s="17"/>
    </row>
    <row r="961" spans="1:11" ht="32" hidden="1" x14ac:dyDescent="0.2">
      <c r="A961" s="20" t="s">
        <v>450</v>
      </c>
      <c r="B961" s="17"/>
      <c r="C961" s="17"/>
      <c r="D961" s="17" t="s">
        <v>764</v>
      </c>
      <c r="E961" s="17" t="s">
        <v>68</v>
      </c>
      <c r="F961" s="21" t="s">
        <v>2589</v>
      </c>
      <c r="G961" s="21" t="str">
        <f t="shared" si="29"/>
        <v>.</v>
      </c>
      <c r="H961" s="21" t="str">
        <f t="shared" si="30"/>
        <v>PROJECT_AUDIT_LOG.LAST_MODIFIED_BY_USER_UID</v>
      </c>
      <c r="I961" s="35"/>
      <c r="J9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1" s="17"/>
    </row>
    <row r="962" spans="1:11" hidden="1" x14ac:dyDescent="0.2">
      <c r="A962" s="20" t="s">
        <v>450</v>
      </c>
      <c r="B962" s="17"/>
      <c r="C962" s="17"/>
      <c r="D962" s="17" t="s">
        <v>764</v>
      </c>
      <c r="E962" s="17" t="s">
        <v>71</v>
      </c>
      <c r="F962" s="21"/>
      <c r="G962" s="21" t="str">
        <f t="shared" si="29"/>
        <v>.</v>
      </c>
      <c r="H962" s="21" t="str">
        <f t="shared" si="30"/>
        <v>PROJECT_AUDIT_LOG.LAST_MODIFIED_DATE</v>
      </c>
      <c r="I962" s="35"/>
      <c r="J9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2" s="17"/>
    </row>
    <row r="963" spans="1:11" hidden="1" x14ac:dyDescent="0.2">
      <c r="A963" s="20" t="s">
        <v>450</v>
      </c>
      <c r="B963" s="17"/>
      <c r="C963" s="17"/>
      <c r="D963" s="17" t="s">
        <v>764</v>
      </c>
      <c r="E963" s="17" t="s">
        <v>35</v>
      </c>
      <c r="F963" s="21"/>
      <c r="G963" s="21" t="str">
        <f t="shared" si="29"/>
        <v>.</v>
      </c>
      <c r="H963" s="21" t="str">
        <f t="shared" si="30"/>
        <v>PROJECT_AUDIT_LOG.SEQUENCE</v>
      </c>
      <c r="I963" s="35"/>
      <c r="J9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3" s="17"/>
    </row>
    <row r="964" spans="1:11" hidden="1" x14ac:dyDescent="0.2">
      <c r="A964" s="20" t="s">
        <v>450</v>
      </c>
      <c r="B964" s="17"/>
      <c r="C964" s="17"/>
      <c r="D964" s="17" t="s">
        <v>852</v>
      </c>
      <c r="E964" s="17" t="s">
        <v>770</v>
      </c>
      <c r="F964" s="21"/>
      <c r="G964" s="21" t="str">
        <f t="shared" si="29"/>
        <v>.</v>
      </c>
      <c r="H964" s="21" t="str">
        <f t="shared" si="30"/>
        <v>PROJECT_AUDIT_LOG_TPHASE.PROJECT_UID</v>
      </c>
      <c r="I964" s="35"/>
      <c r="J9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4" s="17"/>
    </row>
    <row r="965" spans="1:11" ht="16" hidden="1" x14ac:dyDescent="0.2">
      <c r="A965" s="20" t="s">
        <v>450</v>
      </c>
      <c r="B965" s="17"/>
      <c r="C965" s="17"/>
      <c r="D965" s="17" t="s">
        <v>852</v>
      </c>
      <c r="E965" s="17" t="s">
        <v>854</v>
      </c>
      <c r="F965" s="21" t="s">
        <v>2590</v>
      </c>
      <c r="G965" s="21" t="str">
        <f t="shared" si="29"/>
        <v>.</v>
      </c>
      <c r="H965" s="21" t="str">
        <f t="shared" si="30"/>
        <v>PROJECT_AUDIT_LOG_TPHASE.PROJECT_AUDIT_LOG_UID</v>
      </c>
      <c r="I965" s="35"/>
      <c r="J9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5" s="17"/>
    </row>
    <row r="966" spans="1:11" hidden="1" x14ac:dyDescent="0.2">
      <c r="A966" s="20" t="s">
        <v>450</v>
      </c>
      <c r="B966" s="17"/>
      <c r="C966" s="17"/>
      <c r="D966" s="17" t="s">
        <v>852</v>
      </c>
      <c r="E966" s="17" t="s">
        <v>35</v>
      </c>
      <c r="F966" s="21"/>
      <c r="G966" s="21" t="str">
        <f t="shared" si="29"/>
        <v>.</v>
      </c>
      <c r="H966" s="21" t="str">
        <f t="shared" si="30"/>
        <v>PROJECT_AUDIT_LOG_TPHASE.SEQUENCE</v>
      </c>
      <c r="I966" s="35"/>
      <c r="J9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6" s="17"/>
    </row>
    <row r="967" spans="1:11" hidden="1" x14ac:dyDescent="0.2">
      <c r="A967" s="20" t="s">
        <v>450</v>
      </c>
      <c r="B967" s="17"/>
      <c r="C967" s="17"/>
      <c r="D967" s="17" t="s">
        <v>852</v>
      </c>
      <c r="E967" s="17" t="s">
        <v>30</v>
      </c>
      <c r="F967" s="21"/>
      <c r="G967" s="21" t="str">
        <f t="shared" si="29"/>
        <v>.</v>
      </c>
      <c r="H967" s="21" t="str">
        <f t="shared" si="30"/>
        <v>PROJECT_AUDIT_LOG_TPHASE.ROW_UID</v>
      </c>
      <c r="I967" s="35"/>
      <c r="J9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7" s="17"/>
    </row>
    <row r="968" spans="1:11" hidden="1" x14ac:dyDescent="0.2">
      <c r="A968" s="20" t="s">
        <v>450</v>
      </c>
      <c r="B968" s="17"/>
      <c r="C968" s="17"/>
      <c r="D968" s="17" t="s">
        <v>815</v>
      </c>
      <c r="E968" s="17" t="s">
        <v>770</v>
      </c>
      <c r="F968" s="21"/>
      <c r="G968" s="21" t="str">
        <f t="shared" si="29"/>
        <v>.</v>
      </c>
      <c r="H968" s="21" t="str">
        <f t="shared" si="30"/>
        <v>PROJECT_AUDIT_LOG_ACCOUNTS.PROJECT_UID</v>
      </c>
      <c r="I968" s="35"/>
      <c r="J9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8" s="17"/>
    </row>
    <row r="969" spans="1:11" hidden="1" x14ac:dyDescent="0.2">
      <c r="A969" s="20" t="s">
        <v>450</v>
      </c>
      <c r="B969" s="17"/>
      <c r="C969" s="17"/>
      <c r="D969" s="17" t="s">
        <v>815</v>
      </c>
      <c r="E969" s="17" t="s">
        <v>61</v>
      </c>
      <c r="F969" s="21"/>
      <c r="G969" s="21" t="str">
        <f t="shared" si="29"/>
        <v>.</v>
      </c>
      <c r="H969" s="21" t="str">
        <f t="shared" si="30"/>
        <v>PROJECT_AUDIT_LOG_ACCOUNTS.CREATED_BY_USER_UID</v>
      </c>
      <c r="I969" s="35"/>
      <c r="J9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69" s="17"/>
    </row>
    <row r="970" spans="1:11" hidden="1" x14ac:dyDescent="0.2">
      <c r="A970" s="20" t="s">
        <v>450</v>
      </c>
      <c r="B970" s="17"/>
      <c r="C970" s="17"/>
      <c r="D970" s="17" t="s">
        <v>815</v>
      </c>
      <c r="E970" s="17" t="s">
        <v>64</v>
      </c>
      <c r="F970" s="21"/>
      <c r="G970" s="21" t="str">
        <f t="shared" si="29"/>
        <v>.</v>
      </c>
      <c r="H970" s="21" t="str">
        <f t="shared" si="30"/>
        <v>PROJECT_AUDIT_LOG_ACCOUNTS.CREATED_DATE</v>
      </c>
      <c r="I970" s="35"/>
      <c r="J9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0" s="17"/>
    </row>
    <row r="971" spans="1:11" hidden="1" x14ac:dyDescent="0.2">
      <c r="A971" s="20" t="s">
        <v>450</v>
      </c>
      <c r="B971" s="17"/>
      <c r="C971" s="17"/>
      <c r="D971" s="17" t="s">
        <v>815</v>
      </c>
      <c r="E971" s="17" t="s">
        <v>68</v>
      </c>
      <c r="F971" s="21"/>
      <c r="G971" s="21" t="str">
        <f t="shared" ref="G971:G1034" si="31">_xlfn.CONCAT(B971,".",C971)</f>
        <v>.</v>
      </c>
      <c r="H971" s="21" t="str">
        <f t="shared" si="30"/>
        <v>PROJECT_AUDIT_LOG_ACCOUNTS.LAST_MODIFIED_BY_USER_UID</v>
      </c>
      <c r="I971" s="35"/>
      <c r="J9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1" s="17"/>
    </row>
    <row r="972" spans="1:11" hidden="1" x14ac:dyDescent="0.2">
      <c r="A972" s="20" t="s">
        <v>450</v>
      </c>
      <c r="B972" s="17"/>
      <c r="C972" s="17"/>
      <c r="D972" s="17" t="s">
        <v>815</v>
      </c>
      <c r="E972" s="17" t="s">
        <v>71</v>
      </c>
      <c r="F972" s="21"/>
      <c r="G972" s="21" t="str">
        <f t="shared" si="31"/>
        <v>.</v>
      </c>
      <c r="H972" s="21" t="str">
        <f t="shared" si="30"/>
        <v>PROJECT_AUDIT_LOG_ACCOUNTS.LAST_MODIFIED_DATE</v>
      </c>
      <c r="I972" s="35"/>
      <c r="J9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2" s="17"/>
    </row>
    <row r="973" spans="1:11" hidden="1" x14ac:dyDescent="0.2">
      <c r="A973" s="20" t="s">
        <v>450</v>
      </c>
      <c r="B973" s="17"/>
      <c r="C973" s="17"/>
      <c r="D973" s="17" t="s">
        <v>815</v>
      </c>
      <c r="E973" s="17" t="s">
        <v>35</v>
      </c>
      <c r="F973" s="21"/>
      <c r="G973" s="21" t="str">
        <f t="shared" si="31"/>
        <v>.</v>
      </c>
      <c r="H973" s="21" t="str">
        <f t="shared" si="30"/>
        <v>PROJECT_AUDIT_LOG_ACCOUNTS.SEQUENCE</v>
      </c>
      <c r="I973" s="35"/>
      <c r="J9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3" s="17"/>
    </row>
    <row r="974" spans="1:11" hidden="1" x14ac:dyDescent="0.2">
      <c r="A974" s="20" t="s">
        <v>450</v>
      </c>
      <c r="B974" s="17"/>
      <c r="C974" s="17"/>
      <c r="D974" s="17" t="s">
        <v>815</v>
      </c>
      <c r="E974" s="17" t="s">
        <v>30</v>
      </c>
      <c r="F974" s="21"/>
      <c r="G974" s="21" t="str">
        <f t="shared" si="31"/>
        <v>.</v>
      </c>
      <c r="H974" s="21" t="str">
        <f t="shared" si="30"/>
        <v>PROJECT_AUDIT_LOG_ACCOUNTS.ROW_UID</v>
      </c>
      <c r="I974" s="35"/>
      <c r="J9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4" s="17"/>
    </row>
    <row r="975" spans="1:11" hidden="1" x14ac:dyDescent="0.2">
      <c r="A975" s="20" t="s">
        <v>450</v>
      </c>
      <c r="B975" s="17"/>
      <c r="C975" s="17"/>
      <c r="D975" s="17" t="s">
        <v>831</v>
      </c>
      <c r="E975" s="17" t="s">
        <v>770</v>
      </c>
      <c r="F975" s="21"/>
      <c r="G975" s="21" t="str">
        <f t="shared" si="31"/>
        <v>.</v>
      </c>
      <c r="H975" s="21" t="str">
        <f t="shared" si="30"/>
        <v>PROJECT_AUDIT_LOG_HISTORY.PROJECT_UID</v>
      </c>
      <c r="I975" s="35"/>
      <c r="J9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5" s="17"/>
    </row>
    <row r="976" spans="1:11" hidden="1" x14ac:dyDescent="0.2">
      <c r="A976" s="20" t="s">
        <v>450</v>
      </c>
      <c r="B976" s="17"/>
      <c r="C976" s="17"/>
      <c r="D976" s="17" t="s">
        <v>831</v>
      </c>
      <c r="E976" s="17" t="s">
        <v>68</v>
      </c>
      <c r="F976" s="21"/>
      <c r="G976" s="21" t="str">
        <f t="shared" si="31"/>
        <v>.</v>
      </c>
      <c r="H976" s="21" t="str">
        <f t="shared" si="30"/>
        <v>PROJECT_AUDIT_LOG_HISTORY.LAST_MODIFIED_BY_USER_UID</v>
      </c>
      <c r="I976" s="35"/>
      <c r="J9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6" s="17"/>
    </row>
    <row r="977" spans="1:11" hidden="1" x14ac:dyDescent="0.2">
      <c r="A977" s="20" t="s">
        <v>450</v>
      </c>
      <c r="B977" s="17"/>
      <c r="C977" s="17"/>
      <c r="D977" s="17" t="s">
        <v>831</v>
      </c>
      <c r="E977" s="17" t="s">
        <v>71</v>
      </c>
      <c r="F977" s="21"/>
      <c r="G977" s="21" t="str">
        <f t="shared" si="31"/>
        <v>.</v>
      </c>
      <c r="H977" s="21" t="str">
        <f t="shared" si="30"/>
        <v>PROJECT_AUDIT_LOG_HISTORY.LAST_MODIFIED_DATE</v>
      </c>
      <c r="I977" s="35"/>
      <c r="J9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7" s="17"/>
    </row>
    <row r="978" spans="1:11" hidden="1" x14ac:dyDescent="0.2">
      <c r="A978" s="20" t="s">
        <v>450</v>
      </c>
      <c r="B978" s="17"/>
      <c r="C978" s="17"/>
      <c r="D978" s="17" t="s">
        <v>831</v>
      </c>
      <c r="E978" s="17" t="s">
        <v>35</v>
      </c>
      <c r="F978" s="21"/>
      <c r="G978" s="21" t="str">
        <f t="shared" si="31"/>
        <v>.</v>
      </c>
      <c r="H978" s="21" t="str">
        <f t="shared" si="30"/>
        <v>PROJECT_AUDIT_LOG_HISTORY.SEQUENCE</v>
      </c>
      <c r="I978" s="35"/>
      <c r="J9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8" s="17"/>
    </row>
    <row r="979" spans="1:11" hidden="1" x14ac:dyDescent="0.2">
      <c r="A979" s="20" t="s">
        <v>450</v>
      </c>
      <c r="B979" s="17"/>
      <c r="C979" s="17"/>
      <c r="D979" s="17" t="s">
        <v>831</v>
      </c>
      <c r="E979" s="17" t="s">
        <v>30</v>
      </c>
      <c r="F979" s="21"/>
      <c r="G979" s="21" t="str">
        <f t="shared" si="31"/>
        <v>.</v>
      </c>
      <c r="H979" s="21" t="str">
        <f t="shared" si="30"/>
        <v>PROJECT_AUDIT_LOG_HISTORY.ROW_UID</v>
      </c>
      <c r="I979" s="35"/>
      <c r="J9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79" s="17"/>
    </row>
    <row r="980" spans="1:11" hidden="1" x14ac:dyDescent="0.2">
      <c r="A980" t="s">
        <v>1416</v>
      </c>
      <c r="B980" t="s">
        <v>1417</v>
      </c>
      <c r="C980" t="s">
        <v>1433</v>
      </c>
      <c r="D980" t="s">
        <v>476</v>
      </c>
      <c r="E980" t="s">
        <v>47</v>
      </c>
      <c r="F980" t="s">
        <v>748</v>
      </c>
      <c r="G980" s="17" t="str">
        <f t="shared" si="31"/>
        <v>RATE.RATEFILE</v>
      </c>
      <c r="H980" s="17" t="str">
        <f t="shared" si="30"/>
        <v>RATE_FILE.NAME</v>
      </c>
      <c r="I980" s="29"/>
      <c r="J9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0" s="17"/>
    </row>
    <row r="981" spans="1:11" hidden="1" x14ac:dyDescent="0.2">
      <c r="A981" t="s">
        <v>1416</v>
      </c>
      <c r="B981" t="s">
        <v>1417</v>
      </c>
      <c r="C981" t="s">
        <v>35</v>
      </c>
      <c r="D981" t="s">
        <v>476</v>
      </c>
      <c r="E981" t="s">
        <v>35</v>
      </c>
      <c r="F981" t="s">
        <v>2436</v>
      </c>
      <c r="G981" s="17" t="str">
        <f t="shared" si="31"/>
        <v>RATE.SEQUENCE</v>
      </c>
      <c r="H981" s="17" t="str">
        <f t="shared" si="30"/>
        <v>RATE_FILE.SEQUENCE</v>
      </c>
      <c r="I981" s="29"/>
      <c r="J9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1" s="17"/>
    </row>
    <row r="982" spans="1:11" hidden="1" x14ac:dyDescent="0.2">
      <c r="A982" t="s">
        <v>1416</v>
      </c>
      <c r="B982" t="s">
        <v>1417</v>
      </c>
      <c r="C982" t="s">
        <v>2111</v>
      </c>
      <c r="D982" t="s">
        <v>476</v>
      </c>
      <c r="E982" t="s">
        <v>71</v>
      </c>
      <c r="F982" t="s">
        <v>2437</v>
      </c>
      <c r="G982" s="17" t="str">
        <f t="shared" si="31"/>
        <v>RATE.LASTUPDATE</v>
      </c>
      <c r="H982" s="17" t="str">
        <f t="shared" si="30"/>
        <v>RATE_FILE.LAST_MODIFIED_DATE</v>
      </c>
      <c r="I982" s="29"/>
      <c r="J9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2" s="17"/>
    </row>
    <row r="983" spans="1:11" hidden="1" x14ac:dyDescent="0.2">
      <c r="A983" t="s">
        <v>1416</v>
      </c>
      <c r="B983" t="s">
        <v>1417</v>
      </c>
      <c r="C983" t="s">
        <v>2112</v>
      </c>
      <c r="D983" t="s">
        <v>476</v>
      </c>
      <c r="E983" t="s">
        <v>68</v>
      </c>
      <c r="F983" t="s">
        <v>2591</v>
      </c>
      <c r="G983" s="17" t="str">
        <f t="shared" si="31"/>
        <v>RATE.USR_ID</v>
      </c>
      <c r="H983" s="17" t="str">
        <f t="shared" si="30"/>
        <v>RATE_FILE.LAST_MODIFIED_BY_USER_UID</v>
      </c>
      <c r="I983" s="29"/>
      <c r="J9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3" s="17"/>
    </row>
    <row r="984" spans="1:11" hidden="1" x14ac:dyDescent="0.2">
      <c r="A984" t="s">
        <v>1416</v>
      </c>
      <c r="B984" t="s">
        <v>2243</v>
      </c>
      <c r="C984" t="s">
        <v>1433</v>
      </c>
      <c r="D984" t="s">
        <v>1420</v>
      </c>
      <c r="E984" t="s">
        <v>475</v>
      </c>
      <c r="F984" t="s">
        <v>748</v>
      </c>
      <c r="G984" s="17" t="str">
        <f t="shared" si="31"/>
        <v>RATEDESC.RATEFILE</v>
      </c>
      <c r="H984" s="17" t="str">
        <f t="shared" si="30"/>
        <v>RATE_SET.RATE_FILE_UID</v>
      </c>
      <c r="I984" s="29"/>
      <c r="J9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4" s="17"/>
    </row>
    <row r="985" spans="1:11" hidden="1" x14ac:dyDescent="0.2">
      <c r="A985" t="s">
        <v>1416</v>
      </c>
      <c r="B985" t="s">
        <v>2243</v>
      </c>
      <c r="C985" t="s">
        <v>1434</v>
      </c>
      <c r="D985" t="s">
        <v>1420</v>
      </c>
      <c r="E985" t="s">
        <v>47</v>
      </c>
      <c r="F985" t="s">
        <v>2592</v>
      </c>
      <c r="G985" s="17" t="str">
        <f t="shared" si="31"/>
        <v>RATEDESC.RATE_TABLE</v>
      </c>
      <c r="H985" s="17" t="str">
        <f t="shared" si="30"/>
        <v>RATE_SET.NAME</v>
      </c>
      <c r="I985" s="29"/>
      <c r="J9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5" s="17"/>
    </row>
    <row r="986" spans="1:11" hidden="1" x14ac:dyDescent="0.2">
      <c r="A986" t="s">
        <v>1416</v>
      </c>
      <c r="B986" t="s">
        <v>2243</v>
      </c>
      <c r="C986" t="s">
        <v>2244</v>
      </c>
      <c r="D986" t="s">
        <v>1420</v>
      </c>
      <c r="E986" t="s">
        <v>15</v>
      </c>
      <c r="F986" t="s">
        <v>2433</v>
      </c>
      <c r="G986" s="17" t="str">
        <f t="shared" si="31"/>
        <v>RATEDESC.RTDESC</v>
      </c>
      <c r="H986" s="17" t="str">
        <f t="shared" ref="H986:H1050" si="32">_xlfn.CONCAT(D986,".",E986)</f>
        <v>RATE_SET.DESCRIPTION</v>
      </c>
      <c r="I986" s="29"/>
      <c r="J9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6" s="17"/>
    </row>
    <row r="987" spans="1:11" x14ac:dyDescent="0.2">
      <c r="A987" s="14" t="s">
        <v>1416</v>
      </c>
      <c r="B987" s="14" t="s">
        <v>2243</v>
      </c>
      <c r="C987" s="14" t="s">
        <v>963</v>
      </c>
      <c r="D987" s="14" t="s">
        <v>1620</v>
      </c>
      <c r="E987" s="14" t="s">
        <v>1626</v>
      </c>
      <c r="F987" s="9" t="s">
        <v>2593</v>
      </c>
      <c r="G987" s="25" t="str">
        <f t="shared" si="31"/>
        <v>RATEDESC.C1</v>
      </c>
      <c r="H987" s="25" t="str">
        <f t="shared" si="32"/>
        <v>USER_CODE_VALUE.CODE_UID</v>
      </c>
      <c r="I987" s="33"/>
      <c r="J9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7" s="17"/>
    </row>
    <row r="988" spans="1:11" hidden="1" x14ac:dyDescent="0.2">
      <c r="A988" s="14" t="s">
        <v>1416</v>
      </c>
      <c r="B988" s="14" t="s">
        <v>2243</v>
      </c>
      <c r="C988" s="14" t="s">
        <v>985</v>
      </c>
      <c r="D988" s="14"/>
      <c r="E988" s="14"/>
      <c r="F988" s="9" t="s">
        <v>2593</v>
      </c>
      <c r="G988" s="25" t="str">
        <f t="shared" si="31"/>
        <v>RATEDESC.C2</v>
      </c>
      <c r="H988" s="25" t="str">
        <f t="shared" si="32"/>
        <v>.</v>
      </c>
      <c r="I988" s="30" t="s">
        <v>2411</v>
      </c>
      <c r="J9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RATE_SET.C2</v>
      </c>
      <c r="K988" s="17"/>
    </row>
    <row r="989" spans="1:11" hidden="1" x14ac:dyDescent="0.2">
      <c r="A989" t="s">
        <v>1416</v>
      </c>
      <c r="B989" t="s">
        <v>2243</v>
      </c>
      <c r="C989" t="s">
        <v>35</v>
      </c>
      <c r="D989" t="s">
        <v>1420</v>
      </c>
      <c r="E989" t="s">
        <v>35</v>
      </c>
      <c r="F989" t="s">
        <v>2436</v>
      </c>
      <c r="G989" s="17" t="str">
        <f t="shared" si="31"/>
        <v>RATEDESC.SEQUENCE</v>
      </c>
      <c r="H989" s="17" t="str">
        <f t="shared" si="32"/>
        <v>RATE_SET.SEQUENCE</v>
      </c>
      <c r="I989" s="29"/>
      <c r="J9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89" s="17"/>
    </row>
    <row r="990" spans="1:11" hidden="1" x14ac:dyDescent="0.2">
      <c r="A990" t="s">
        <v>1416</v>
      </c>
      <c r="B990" t="s">
        <v>2243</v>
      </c>
      <c r="C990" t="s">
        <v>2111</v>
      </c>
      <c r="D990" t="s">
        <v>1420</v>
      </c>
      <c r="E990" t="s">
        <v>71</v>
      </c>
      <c r="F990" t="s">
        <v>2437</v>
      </c>
      <c r="G990" s="17" t="str">
        <f t="shared" si="31"/>
        <v>RATEDESC.LASTUPDATE</v>
      </c>
      <c r="H990" s="17" t="str">
        <f t="shared" si="32"/>
        <v>RATE_SET.LAST_MODIFIED_DATE</v>
      </c>
      <c r="I990" s="29"/>
      <c r="J9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0" s="17"/>
    </row>
    <row r="991" spans="1:11" hidden="1" x14ac:dyDescent="0.2">
      <c r="A991" t="s">
        <v>1416</v>
      </c>
      <c r="B991" t="s">
        <v>2243</v>
      </c>
      <c r="C991" t="s">
        <v>2112</v>
      </c>
      <c r="D991" t="s">
        <v>1420</v>
      </c>
      <c r="E991" t="s">
        <v>68</v>
      </c>
      <c r="F991" t="s">
        <v>2591</v>
      </c>
      <c r="G991" s="17" t="str">
        <f t="shared" si="31"/>
        <v>RATEDESC.USR_ID</v>
      </c>
      <c r="H991" s="17" t="str">
        <f t="shared" si="32"/>
        <v>RATE_SET.LAST_MODIFIED_BY_USER_UID</v>
      </c>
      <c r="I991" s="29"/>
      <c r="J9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1" s="17"/>
    </row>
    <row r="992" spans="1:11" hidden="1" x14ac:dyDescent="0.2">
      <c r="A992" s="14" t="s">
        <v>1416</v>
      </c>
      <c r="B992" s="14" t="s">
        <v>2245</v>
      </c>
      <c r="C992" s="14" t="s">
        <v>1433</v>
      </c>
      <c r="D992" s="14"/>
      <c r="E992" s="14"/>
      <c r="F992" s="14" t="s">
        <v>2594</v>
      </c>
      <c r="G992" s="23" t="str">
        <f t="shared" si="31"/>
        <v>RATEDETL.RATEFILE</v>
      </c>
      <c r="H992" s="23" t="str">
        <f t="shared" si="32"/>
        <v>.</v>
      </c>
      <c r="I992" s="30" t="s">
        <v>2411</v>
      </c>
      <c r="J9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RATE.RATEFILE</v>
      </c>
      <c r="K992" s="17"/>
    </row>
    <row r="993" spans="1:11" hidden="1" x14ac:dyDescent="0.2">
      <c r="A993" t="s">
        <v>1416</v>
      </c>
      <c r="B993" t="s">
        <v>2245</v>
      </c>
      <c r="C993" t="s">
        <v>1434</v>
      </c>
      <c r="D993" t="s">
        <v>1417</v>
      </c>
      <c r="E993" t="s">
        <v>1419</v>
      </c>
      <c r="F993" t="s">
        <v>2592</v>
      </c>
      <c r="G993" s="17" t="str">
        <f t="shared" si="31"/>
        <v>RATEDETL.RATE_TABLE</v>
      </c>
      <c r="H993" s="17" t="str">
        <f t="shared" si="32"/>
        <v>RATE.RATE_SET_UID</v>
      </c>
      <c r="I993" s="29"/>
      <c r="J9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3" s="17"/>
    </row>
    <row r="994" spans="1:11" hidden="1" x14ac:dyDescent="0.2">
      <c r="A994" t="s">
        <v>1416</v>
      </c>
      <c r="B994" t="s">
        <v>2245</v>
      </c>
      <c r="C994" t="s">
        <v>1423</v>
      </c>
      <c r="D994" t="s">
        <v>1417</v>
      </c>
      <c r="E994" t="s">
        <v>1423</v>
      </c>
      <c r="F994" t="s">
        <v>2595</v>
      </c>
      <c r="G994" s="17" t="str">
        <f t="shared" si="31"/>
        <v>RATEDETL.RATE_DATE</v>
      </c>
      <c r="H994" s="17" t="str">
        <f t="shared" si="32"/>
        <v>RATE.RATE_DATE</v>
      </c>
      <c r="I994" s="29"/>
      <c r="J9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4" s="17"/>
    </row>
    <row r="995" spans="1:11" hidden="1" x14ac:dyDescent="0.2">
      <c r="A995" t="s">
        <v>1416</v>
      </c>
      <c r="B995" t="s">
        <v>2245</v>
      </c>
      <c r="C995" t="s">
        <v>1417</v>
      </c>
      <c r="D995" t="s">
        <v>1417</v>
      </c>
      <c r="E995" t="s">
        <v>1426</v>
      </c>
      <c r="F995" t="s">
        <v>2596</v>
      </c>
      <c r="G995" s="17" t="str">
        <f t="shared" si="31"/>
        <v>RATEDETL.RATE</v>
      </c>
      <c r="H995" s="17" t="str">
        <f t="shared" si="32"/>
        <v>RATE.RATE_VALUE</v>
      </c>
      <c r="I995" s="29"/>
      <c r="J9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5" s="17"/>
    </row>
    <row r="996" spans="1:11" hidden="1" x14ac:dyDescent="0.2">
      <c r="A996" t="s">
        <v>1416</v>
      </c>
      <c r="B996" t="s">
        <v>2245</v>
      </c>
      <c r="C996" t="s">
        <v>35</v>
      </c>
      <c r="D996" t="s">
        <v>1417</v>
      </c>
      <c r="E996" t="s">
        <v>35</v>
      </c>
      <c r="F996" t="s">
        <v>2436</v>
      </c>
      <c r="G996" s="17" t="str">
        <f t="shared" si="31"/>
        <v>RATEDETL.SEQUENCE</v>
      </c>
      <c r="H996" s="17" t="str">
        <f t="shared" si="32"/>
        <v>RATE.SEQUENCE</v>
      </c>
      <c r="I996" s="29"/>
      <c r="J9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6" s="17"/>
    </row>
    <row r="997" spans="1:11" hidden="1" x14ac:dyDescent="0.2">
      <c r="A997" t="s">
        <v>1416</v>
      </c>
      <c r="B997" t="s">
        <v>2245</v>
      </c>
      <c r="C997" t="s">
        <v>2111</v>
      </c>
      <c r="D997" t="s">
        <v>1417</v>
      </c>
      <c r="E997" t="s">
        <v>71</v>
      </c>
      <c r="F997" t="s">
        <v>2437</v>
      </c>
      <c r="G997" s="17" t="str">
        <f t="shared" si="31"/>
        <v>RATEDETL.LASTUPDATE</v>
      </c>
      <c r="H997" s="17" t="str">
        <f t="shared" si="32"/>
        <v>RATE.LAST_MODIFIED_DATE</v>
      </c>
      <c r="I997" s="29"/>
      <c r="J9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7" s="17"/>
    </row>
    <row r="998" spans="1:11" hidden="1" x14ac:dyDescent="0.2">
      <c r="A998" t="s">
        <v>1416</v>
      </c>
      <c r="B998" t="s">
        <v>2245</v>
      </c>
      <c r="C998" t="s">
        <v>2112</v>
      </c>
      <c r="D998" t="s">
        <v>1417</v>
      </c>
      <c r="E998" t="s">
        <v>68</v>
      </c>
      <c r="F998" t="s">
        <v>2591</v>
      </c>
      <c r="G998" s="17" t="str">
        <f t="shared" si="31"/>
        <v>RATEDETL.USR_ID</v>
      </c>
      <c r="H998" s="17" t="str">
        <f t="shared" si="32"/>
        <v>RATE.LAST_MODIFIED_BY_USER_UID</v>
      </c>
      <c r="I998" s="29"/>
      <c r="J9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8" s="17"/>
    </row>
    <row r="999" spans="1:11" hidden="1" x14ac:dyDescent="0.2">
      <c r="A999" t="s">
        <v>1416</v>
      </c>
      <c r="D999" t="s">
        <v>476</v>
      </c>
      <c r="E999" t="s">
        <v>30</v>
      </c>
      <c r="F999" t="s">
        <v>2597</v>
      </c>
      <c r="G999" s="17" t="str">
        <f t="shared" si="31"/>
        <v>.</v>
      </c>
      <c r="H999" s="17" t="str">
        <f t="shared" si="32"/>
        <v>RATE_FILE.ROW_UID</v>
      </c>
      <c r="I999" s="29"/>
      <c r="J9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999" s="17"/>
    </row>
    <row r="1000" spans="1:11" hidden="1" x14ac:dyDescent="0.2">
      <c r="A1000" t="s">
        <v>1416</v>
      </c>
      <c r="D1000" t="s">
        <v>476</v>
      </c>
      <c r="E1000" t="s">
        <v>15</v>
      </c>
      <c r="G1000" s="17" t="str">
        <f t="shared" si="31"/>
        <v>.</v>
      </c>
      <c r="H1000" s="17" t="str">
        <f t="shared" si="32"/>
        <v>RATE_FILE.DESCRIPTION</v>
      </c>
      <c r="I1000" s="29"/>
      <c r="J10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0" s="17"/>
    </row>
    <row r="1001" spans="1:11" hidden="1" x14ac:dyDescent="0.2">
      <c r="A1001" t="s">
        <v>1416</v>
      </c>
      <c r="D1001" t="s">
        <v>476</v>
      </c>
      <c r="E1001" t="s">
        <v>104</v>
      </c>
      <c r="G1001" s="17" t="str">
        <f t="shared" si="31"/>
        <v>.</v>
      </c>
      <c r="H1001" s="17" t="str">
        <f t="shared" si="32"/>
        <v>RATE_FILE.OWNER_USER_UID</v>
      </c>
      <c r="I1001" s="29"/>
      <c r="J10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1" s="17"/>
    </row>
    <row r="1002" spans="1:11" hidden="1" x14ac:dyDescent="0.2">
      <c r="A1002" t="s">
        <v>1416</v>
      </c>
      <c r="D1002" t="s">
        <v>476</v>
      </c>
      <c r="E1002" s="18" t="s">
        <v>61</v>
      </c>
      <c r="G1002" s="17" t="str">
        <f t="shared" si="31"/>
        <v>.</v>
      </c>
      <c r="H1002" s="17" t="str">
        <f t="shared" si="32"/>
        <v>RATE_FILE.CREATED_BY_USER_UID</v>
      </c>
      <c r="I1002" s="29"/>
      <c r="J10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2" s="17"/>
    </row>
    <row r="1003" spans="1:11" hidden="1" x14ac:dyDescent="0.2">
      <c r="A1003" t="s">
        <v>1416</v>
      </c>
      <c r="D1003" t="s">
        <v>476</v>
      </c>
      <c r="E1003" t="s">
        <v>64</v>
      </c>
      <c r="G1003" s="17" t="str">
        <f t="shared" si="31"/>
        <v>.</v>
      </c>
      <c r="H1003" s="17" t="str">
        <f t="shared" si="32"/>
        <v>RATE_FILE.CREATED_DATE</v>
      </c>
      <c r="I1003" s="29"/>
      <c r="J10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3" s="17"/>
    </row>
    <row r="1004" spans="1:11" hidden="1" x14ac:dyDescent="0.2">
      <c r="A1004" t="s">
        <v>1416</v>
      </c>
      <c r="D1004" t="s">
        <v>1420</v>
      </c>
      <c r="E1004" t="s">
        <v>30</v>
      </c>
      <c r="F1004" t="s">
        <v>2598</v>
      </c>
      <c r="G1004" s="17" t="str">
        <f t="shared" si="31"/>
        <v>.</v>
      </c>
      <c r="H1004" s="17" t="str">
        <f t="shared" si="32"/>
        <v>RATE_SET.ROW_UID</v>
      </c>
      <c r="I1004" s="29"/>
      <c r="J10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4" s="17"/>
    </row>
    <row r="1005" spans="1:11" hidden="1" x14ac:dyDescent="0.2">
      <c r="A1005" t="s">
        <v>1416</v>
      </c>
      <c r="D1005" t="s">
        <v>1420</v>
      </c>
      <c r="E1005" s="18" t="s">
        <v>61</v>
      </c>
      <c r="G1005" s="17" t="str">
        <f t="shared" si="31"/>
        <v>.</v>
      </c>
      <c r="H1005" s="17" t="str">
        <f t="shared" si="32"/>
        <v>RATE_SET.CREATED_BY_USER_UID</v>
      </c>
      <c r="I1005" s="29"/>
      <c r="J10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5" s="17"/>
    </row>
    <row r="1006" spans="1:11" hidden="1" x14ac:dyDescent="0.2">
      <c r="A1006" t="s">
        <v>1416</v>
      </c>
      <c r="D1006" t="s">
        <v>1420</v>
      </c>
      <c r="E1006" t="s">
        <v>64</v>
      </c>
      <c r="G1006" s="17" t="str">
        <f t="shared" si="31"/>
        <v>.</v>
      </c>
      <c r="H1006" s="17" t="str">
        <f t="shared" si="32"/>
        <v>RATE_SET.CREATED_DATE</v>
      </c>
      <c r="I1006" s="29"/>
      <c r="J10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6" s="17"/>
    </row>
    <row r="1007" spans="1:11" hidden="1" x14ac:dyDescent="0.2">
      <c r="A1007" t="s">
        <v>1416</v>
      </c>
      <c r="D1007" t="s">
        <v>1417</v>
      </c>
      <c r="E1007" t="s">
        <v>30</v>
      </c>
      <c r="F1007" t="s">
        <v>2599</v>
      </c>
      <c r="G1007" s="17" t="str">
        <f t="shared" si="31"/>
        <v>.</v>
      </c>
      <c r="H1007" s="17" t="str">
        <f t="shared" si="32"/>
        <v>RATE.ROW_UID</v>
      </c>
      <c r="I1007" s="29"/>
      <c r="J10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7" s="17"/>
    </row>
    <row r="1008" spans="1:11" hidden="1" x14ac:dyDescent="0.2">
      <c r="A1008" t="s">
        <v>1416</v>
      </c>
      <c r="D1008" t="s">
        <v>1417</v>
      </c>
      <c r="E1008" s="18" t="s">
        <v>61</v>
      </c>
      <c r="G1008" s="17" t="str">
        <f t="shared" si="31"/>
        <v>.</v>
      </c>
      <c r="H1008" s="17" t="str">
        <f t="shared" si="32"/>
        <v>RATE.CREATED_BY_USER_UID</v>
      </c>
      <c r="I1008" s="29"/>
      <c r="J10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8" s="17"/>
    </row>
    <row r="1009" spans="1:11" hidden="1" x14ac:dyDescent="0.2">
      <c r="A1009" t="s">
        <v>1416</v>
      </c>
      <c r="D1009" t="s">
        <v>1417</v>
      </c>
      <c r="E1009" t="s">
        <v>64</v>
      </c>
      <c r="G1009" s="17" t="str">
        <f t="shared" si="31"/>
        <v>.</v>
      </c>
      <c r="H1009" s="17" t="str">
        <f t="shared" si="32"/>
        <v>RATE.CREATED_DATE</v>
      </c>
      <c r="I1009" s="29"/>
      <c r="J10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09" s="17"/>
    </row>
    <row r="1010" spans="1:11" hidden="1" x14ac:dyDescent="0.2">
      <c r="A1010" t="s">
        <v>1451</v>
      </c>
      <c r="B1010" t="s">
        <v>2159</v>
      </c>
      <c r="C1010" t="s">
        <v>1501</v>
      </c>
      <c r="D1010" t="s">
        <v>472</v>
      </c>
      <c r="E1010" t="s">
        <v>47</v>
      </c>
      <c r="G1010" s="17" t="str">
        <f t="shared" si="31"/>
        <v>CALC.CALCFILE</v>
      </c>
      <c r="H1010" s="17" t="str">
        <f t="shared" si="32"/>
        <v>RESOURCE_FILE.NAME</v>
      </c>
      <c r="I1010" s="29"/>
      <c r="J10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0" s="17"/>
    </row>
    <row r="1011" spans="1:11" hidden="1" x14ac:dyDescent="0.2">
      <c r="A1011" t="s">
        <v>1451</v>
      </c>
      <c r="B1011" t="s">
        <v>2159</v>
      </c>
      <c r="C1011" t="s">
        <v>90</v>
      </c>
      <c r="D1011" t="s">
        <v>472</v>
      </c>
      <c r="E1011" t="s">
        <v>90</v>
      </c>
      <c r="G1011" s="17" t="str">
        <f t="shared" si="31"/>
        <v>CALC.CODE_TYPE</v>
      </c>
      <c r="H1011" s="17" t="str">
        <f t="shared" si="32"/>
        <v>RESOURCE_FILE.CODE_TYPE</v>
      </c>
      <c r="I1011" s="29"/>
      <c r="J10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1" s="17"/>
    </row>
    <row r="1012" spans="1:11" hidden="1" x14ac:dyDescent="0.2">
      <c r="A1012" s="14" t="s">
        <v>1451</v>
      </c>
      <c r="B1012" s="14" t="s">
        <v>2159</v>
      </c>
      <c r="C1012" s="14" t="s">
        <v>155</v>
      </c>
      <c r="D1012" t="s">
        <v>472</v>
      </c>
      <c r="E1012" s="14" t="s">
        <v>155</v>
      </c>
      <c r="F1012" s="14" t="s">
        <v>2416</v>
      </c>
      <c r="G1012" s="23" t="str">
        <f t="shared" si="31"/>
        <v>CALC.CODELENGTH</v>
      </c>
      <c r="H1012" s="23" t="str">
        <f t="shared" si="32"/>
        <v>RESOURCE_FILE.CODELENGTH</v>
      </c>
      <c r="I1012" s="30" t="s">
        <v>2411</v>
      </c>
      <c r="J10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RESOURCE_FILE.CODELENGTH</v>
      </c>
      <c r="K1012" s="17"/>
    </row>
    <row r="1013" spans="1:11" hidden="1" x14ac:dyDescent="0.2">
      <c r="A1013" s="14" t="s">
        <v>1451</v>
      </c>
      <c r="B1013" s="14" t="s">
        <v>2159</v>
      </c>
      <c r="C1013" s="14" t="s">
        <v>113</v>
      </c>
      <c r="D1013" t="s">
        <v>472</v>
      </c>
      <c r="E1013" s="14" t="s">
        <v>113</v>
      </c>
      <c r="F1013" s="14" t="s">
        <v>2416</v>
      </c>
      <c r="G1013" s="23" t="str">
        <f t="shared" si="31"/>
        <v>CALC.MAX_LEVEL</v>
      </c>
      <c r="H1013" s="23" t="str">
        <f t="shared" si="32"/>
        <v>RESOURCE_FILE.MAX_LEVEL</v>
      </c>
      <c r="I1013" s="30" t="s">
        <v>2411</v>
      </c>
      <c r="J10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RESOURCE_FILE.MAX_LEVEL</v>
      </c>
      <c r="K1013" s="17"/>
    </row>
    <row r="1014" spans="1:11" hidden="1" x14ac:dyDescent="0.2">
      <c r="A1014" s="14" t="s">
        <v>1451</v>
      </c>
      <c r="B1014" s="14" t="s">
        <v>2159</v>
      </c>
      <c r="C1014" s="14" t="s">
        <v>111</v>
      </c>
      <c r="D1014" t="s">
        <v>472</v>
      </c>
      <c r="E1014" s="14" t="s">
        <v>111</v>
      </c>
      <c r="F1014" s="14" t="s">
        <v>2417</v>
      </c>
      <c r="G1014" s="23" t="str">
        <f t="shared" si="31"/>
        <v>CALC.PAD_CHAR</v>
      </c>
      <c r="H1014" s="23" t="str">
        <f t="shared" si="32"/>
        <v>RESOURCE_FILE.PAD_CHAR</v>
      </c>
      <c r="I1014" s="30" t="s">
        <v>2411</v>
      </c>
      <c r="J10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RESOURCE_FILE.PAD_CHAR</v>
      </c>
      <c r="K1014" s="17"/>
    </row>
    <row r="1015" spans="1:11" hidden="1" x14ac:dyDescent="0.2">
      <c r="A1015" s="14" t="s">
        <v>1451</v>
      </c>
      <c r="B1015" s="14" t="s">
        <v>2159</v>
      </c>
      <c r="C1015" s="14" t="s">
        <v>93</v>
      </c>
      <c r="D1015" t="s">
        <v>472</v>
      </c>
      <c r="E1015" s="14" t="s">
        <v>93</v>
      </c>
      <c r="F1015" s="14" t="s">
        <v>2600</v>
      </c>
      <c r="G1015" s="23" t="str">
        <f t="shared" si="31"/>
        <v>CALC.TH_FLAGS</v>
      </c>
      <c r="H1015" s="23" t="str">
        <f t="shared" si="32"/>
        <v>RESOURCE_FILE.TH_FLAGS</v>
      </c>
      <c r="I1015" s="30" t="s">
        <v>2411</v>
      </c>
      <c r="J10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RESOURCE_FILE.TH_FLAGS</v>
      </c>
      <c r="K1015" s="17"/>
    </row>
    <row r="1016" spans="1:11" hidden="1" x14ac:dyDescent="0.2">
      <c r="A1016" t="s">
        <v>1451</v>
      </c>
      <c r="B1016" t="s">
        <v>2159</v>
      </c>
      <c r="C1016" t="s">
        <v>1433</v>
      </c>
      <c r="D1016" t="s">
        <v>472</v>
      </c>
      <c r="E1016" t="s">
        <v>475</v>
      </c>
      <c r="G1016" s="17" t="str">
        <f t="shared" si="31"/>
        <v>CALC.RATEFILE</v>
      </c>
      <c r="H1016" s="17" t="str">
        <f t="shared" si="32"/>
        <v>RESOURCE_FILE.RATE_FILE_UID</v>
      </c>
      <c r="I1016" s="29"/>
      <c r="J10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6" s="17"/>
    </row>
    <row r="1017" spans="1:11" hidden="1" x14ac:dyDescent="0.2">
      <c r="A1017" t="s">
        <v>1451</v>
      </c>
      <c r="B1017" t="s">
        <v>2159</v>
      </c>
      <c r="C1017" t="s">
        <v>1433</v>
      </c>
      <c r="D1017" t="s">
        <v>472</v>
      </c>
      <c r="E1017" s="39" t="s">
        <v>1433</v>
      </c>
      <c r="F1017" s="40"/>
      <c r="G1017" s="39" t="str">
        <f t="shared" si="31"/>
        <v>CALC.RATEFILE</v>
      </c>
      <c r="H1017" s="39" t="str">
        <f t="shared" si="32"/>
        <v>RESOURCE_FILE.RATEFILE</v>
      </c>
      <c r="I1017" s="35"/>
      <c r="J10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7" s="39"/>
    </row>
    <row r="1018" spans="1:11" hidden="1" x14ac:dyDescent="0.2">
      <c r="A1018" t="s">
        <v>1451</v>
      </c>
      <c r="B1018" t="s">
        <v>2159</v>
      </c>
      <c r="C1018" t="s">
        <v>1508</v>
      </c>
      <c r="D1018" t="s">
        <v>472</v>
      </c>
      <c r="E1018" t="s">
        <v>1508</v>
      </c>
      <c r="G1018" s="17" t="str">
        <f t="shared" si="31"/>
        <v>CALC.RSLTALL</v>
      </c>
      <c r="H1018" s="17" t="str">
        <f t="shared" si="32"/>
        <v>RESOURCE_FILE.RSLTALL</v>
      </c>
      <c r="I1018" s="29"/>
      <c r="J10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8" s="17"/>
    </row>
    <row r="1019" spans="1:11" hidden="1" x14ac:dyDescent="0.2">
      <c r="A1019" t="s">
        <v>1451</v>
      </c>
      <c r="B1019" t="s">
        <v>2159</v>
      </c>
      <c r="C1019" t="s">
        <v>1511</v>
      </c>
      <c r="D1019" t="s">
        <v>472</v>
      </c>
      <c r="E1019" t="s">
        <v>1511</v>
      </c>
      <c r="G1019" s="17" t="str">
        <f t="shared" si="31"/>
        <v>CALC.RSLTCURR</v>
      </c>
      <c r="H1019" s="17" t="str">
        <f t="shared" si="32"/>
        <v>RESOURCE_FILE.RSLTCURR</v>
      </c>
      <c r="I1019" s="29"/>
      <c r="J10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19" s="17"/>
    </row>
    <row r="1020" spans="1:11" hidden="1" x14ac:dyDescent="0.2">
      <c r="A1020" s="14" t="s">
        <v>1451</v>
      </c>
      <c r="B1020" s="14" t="s">
        <v>2159</v>
      </c>
      <c r="C1020" s="14" t="s">
        <v>115</v>
      </c>
      <c r="D1020" t="s">
        <v>472</v>
      </c>
      <c r="E1020" s="14" t="s">
        <v>115</v>
      </c>
      <c r="F1020" s="14" t="s">
        <v>2416</v>
      </c>
      <c r="G1020" s="23" t="str">
        <f t="shared" si="31"/>
        <v>CALC.LEVEL1</v>
      </c>
      <c r="H1020" s="23" t="str">
        <f t="shared" si="32"/>
        <v>RESOURCE_FILE.LEVEL1</v>
      </c>
      <c r="I1020" s="30" t="s">
        <v>2411</v>
      </c>
      <c r="J10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</v>
      </c>
      <c r="K1020" s="17"/>
    </row>
    <row r="1021" spans="1:11" hidden="1" x14ac:dyDescent="0.2">
      <c r="A1021" s="14" t="s">
        <v>1451</v>
      </c>
      <c r="B1021" s="14" t="s">
        <v>2159</v>
      </c>
      <c r="C1021" s="14" t="s">
        <v>117</v>
      </c>
      <c r="D1021" t="s">
        <v>472</v>
      </c>
      <c r="E1021" s="14" t="s">
        <v>117</v>
      </c>
      <c r="F1021" s="14" t="s">
        <v>2416</v>
      </c>
      <c r="G1021" s="23" t="str">
        <f t="shared" si="31"/>
        <v>CALC.LEVEL2</v>
      </c>
      <c r="H1021" s="23" t="str">
        <f t="shared" si="32"/>
        <v>RESOURCE_FILE.LEVEL2</v>
      </c>
      <c r="I1021" s="30" t="s">
        <v>2411</v>
      </c>
      <c r="J10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RESOURCE_FILE.LEVEL2</v>
      </c>
      <c r="K1021" s="17"/>
    </row>
    <row r="1022" spans="1:11" hidden="1" x14ac:dyDescent="0.2">
      <c r="A1022" s="14" t="s">
        <v>1451</v>
      </c>
      <c r="B1022" s="14" t="s">
        <v>2159</v>
      </c>
      <c r="C1022" s="14" t="s">
        <v>119</v>
      </c>
      <c r="D1022" t="s">
        <v>472</v>
      </c>
      <c r="E1022" s="14" t="s">
        <v>119</v>
      </c>
      <c r="F1022" s="14" t="s">
        <v>2416</v>
      </c>
      <c r="G1022" s="23" t="str">
        <f t="shared" si="31"/>
        <v>CALC.LEVEL3</v>
      </c>
      <c r="H1022" s="23" t="str">
        <f t="shared" si="32"/>
        <v>RESOURCE_FILE.LEVEL3</v>
      </c>
      <c r="I1022" s="30" t="s">
        <v>2411</v>
      </c>
      <c r="J10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RESOURCE_FILE.LEVEL3</v>
      </c>
      <c r="K1022" s="17"/>
    </row>
    <row r="1023" spans="1:11" hidden="1" x14ac:dyDescent="0.2">
      <c r="A1023" s="14" t="s">
        <v>1451</v>
      </c>
      <c r="B1023" s="14" t="s">
        <v>2159</v>
      </c>
      <c r="C1023" s="14" t="s">
        <v>121</v>
      </c>
      <c r="D1023" t="s">
        <v>472</v>
      </c>
      <c r="E1023" s="14" t="s">
        <v>121</v>
      </c>
      <c r="F1023" s="14" t="s">
        <v>2416</v>
      </c>
      <c r="G1023" s="23" t="str">
        <f t="shared" si="31"/>
        <v>CALC.LEVEL4</v>
      </c>
      <c r="H1023" s="23" t="str">
        <f t="shared" si="32"/>
        <v>RESOURCE_FILE.LEVEL4</v>
      </c>
      <c r="I1023" s="30" t="s">
        <v>2411</v>
      </c>
      <c r="J10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RESOURCE_FILE.LEVEL4</v>
      </c>
      <c r="K1023" s="17"/>
    </row>
    <row r="1024" spans="1:11" hidden="1" x14ac:dyDescent="0.2">
      <c r="A1024" s="14" t="s">
        <v>1451</v>
      </c>
      <c r="B1024" s="14" t="s">
        <v>2159</v>
      </c>
      <c r="C1024" s="14" t="s">
        <v>123</v>
      </c>
      <c r="D1024" t="s">
        <v>472</v>
      </c>
      <c r="E1024" s="14" t="s">
        <v>123</v>
      </c>
      <c r="F1024" s="14" t="s">
        <v>2416</v>
      </c>
      <c r="G1024" s="23" t="str">
        <f t="shared" si="31"/>
        <v>CALC.LEVEL5</v>
      </c>
      <c r="H1024" s="23" t="str">
        <f t="shared" si="32"/>
        <v>RESOURCE_FILE.LEVEL5</v>
      </c>
      <c r="I1024" s="30" t="s">
        <v>2411</v>
      </c>
      <c r="J10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RESOURCE_FILE.LEVEL5</v>
      </c>
      <c r="K1024" s="17"/>
    </row>
    <row r="1025" spans="1:11" hidden="1" x14ac:dyDescent="0.2">
      <c r="A1025" s="14" t="s">
        <v>1451</v>
      </c>
      <c r="B1025" s="14" t="s">
        <v>2159</v>
      </c>
      <c r="C1025" s="14" t="s">
        <v>125</v>
      </c>
      <c r="D1025" t="s">
        <v>472</v>
      </c>
      <c r="E1025" s="14" t="s">
        <v>125</v>
      </c>
      <c r="F1025" s="14" t="s">
        <v>2416</v>
      </c>
      <c r="G1025" s="23" t="str">
        <f t="shared" si="31"/>
        <v>CALC.LEVEL6</v>
      </c>
      <c r="H1025" s="23" t="str">
        <f t="shared" si="32"/>
        <v>RESOURCE_FILE.LEVEL6</v>
      </c>
      <c r="I1025" s="30" t="s">
        <v>2411</v>
      </c>
      <c r="J10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RESOURCE_FILE.LEVEL6</v>
      </c>
      <c r="K1025" s="17"/>
    </row>
    <row r="1026" spans="1:11" hidden="1" x14ac:dyDescent="0.2">
      <c r="A1026" s="14" t="s">
        <v>1451</v>
      </c>
      <c r="B1026" s="14" t="s">
        <v>2159</v>
      </c>
      <c r="C1026" s="14" t="s">
        <v>127</v>
      </c>
      <c r="D1026" t="s">
        <v>472</v>
      </c>
      <c r="E1026" s="14" t="s">
        <v>127</v>
      </c>
      <c r="F1026" s="14" t="s">
        <v>2416</v>
      </c>
      <c r="G1026" s="23" t="str">
        <f t="shared" si="31"/>
        <v>CALC.LEVEL7</v>
      </c>
      <c r="H1026" s="23" t="str">
        <f t="shared" si="32"/>
        <v>RESOURCE_FILE.LEVEL7</v>
      </c>
      <c r="I1026" s="30" t="s">
        <v>2411</v>
      </c>
      <c r="J10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RESOURCE_FILE.LEVEL7</v>
      </c>
      <c r="K1026" s="17"/>
    </row>
    <row r="1027" spans="1:11" hidden="1" x14ac:dyDescent="0.2">
      <c r="A1027" s="14" t="s">
        <v>1451</v>
      </c>
      <c r="B1027" s="14" t="s">
        <v>2159</v>
      </c>
      <c r="C1027" s="14" t="s">
        <v>129</v>
      </c>
      <c r="D1027" t="s">
        <v>472</v>
      </c>
      <c r="E1027" s="14" t="s">
        <v>129</v>
      </c>
      <c r="F1027" s="14" t="s">
        <v>2416</v>
      </c>
      <c r="G1027" s="23" t="str">
        <f t="shared" si="31"/>
        <v>CALC.LEVEL8</v>
      </c>
      <c r="H1027" s="23" t="str">
        <f t="shared" si="32"/>
        <v>RESOURCE_FILE.LEVEL8</v>
      </c>
      <c r="I1027" s="30" t="s">
        <v>2411</v>
      </c>
      <c r="J10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RESOURCE_FILE.LEVEL8</v>
      </c>
      <c r="K1027" s="17"/>
    </row>
    <row r="1028" spans="1:11" hidden="1" x14ac:dyDescent="0.2">
      <c r="A1028" s="14" t="s">
        <v>1451</v>
      </c>
      <c r="B1028" s="14" t="s">
        <v>2159</v>
      </c>
      <c r="C1028" s="14" t="s">
        <v>131</v>
      </c>
      <c r="D1028" t="s">
        <v>472</v>
      </c>
      <c r="E1028" s="14" t="s">
        <v>131</v>
      </c>
      <c r="F1028" s="14" t="s">
        <v>2416</v>
      </c>
      <c r="G1028" s="23" t="str">
        <f t="shared" si="31"/>
        <v>CALC.LEVEL9</v>
      </c>
      <c r="H1028" s="23" t="str">
        <f t="shared" si="32"/>
        <v>RESOURCE_FILE.LEVEL9</v>
      </c>
      <c r="I1028" s="30" t="s">
        <v>2411</v>
      </c>
      <c r="J10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RESOURCE_FILE.LEVEL9</v>
      </c>
      <c r="K1028" s="17"/>
    </row>
    <row r="1029" spans="1:11" s="14" customFormat="1" hidden="1" x14ac:dyDescent="0.2">
      <c r="A1029" s="14" t="s">
        <v>1451</v>
      </c>
      <c r="B1029" s="14" t="s">
        <v>2159</v>
      </c>
      <c r="C1029" s="14" t="s">
        <v>133</v>
      </c>
      <c r="D1029" t="s">
        <v>472</v>
      </c>
      <c r="E1029" s="14" t="s">
        <v>133</v>
      </c>
      <c r="F1029" s="14" t="s">
        <v>2416</v>
      </c>
      <c r="G1029" s="23" t="str">
        <f t="shared" si="31"/>
        <v>CALC.LEVEL10</v>
      </c>
      <c r="H1029" s="23" t="str">
        <f t="shared" si="32"/>
        <v>RESOURCE_FILE.LEVEL10</v>
      </c>
      <c r="I1029" s="30" t="s">
        <v>2411</v>
      </c>
      <c r="J10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RESOURCE_FILE.LEVEL10</v>
      </c>
      <c r="K1029" s="17"/>
    </row>
    <row r="1030" spans="1:11" s="14" customFormat="1" hidden="1" x14ac:dyDescent="0.2">
      <c r="A1030" s="14" t="s">
        <v>1451</v>
      </c>
      <c r="B1030" s="14" t="s">
        <v>2159</v>
      </c>
      <c r="C1030" s="14" t="s">
        <v>135</v>
      </c>
      <c r="D1030" t="s">
        <v>472</v>
      </c>
      <c r="E1030" s="14" t="s">
        <v>135</v>
      </c>
      <c r="F1030" s="14" t="s">
        <v>2416</v>
      </c>
      <c r="G1030" s="23" t="str">
        <f t="shared" si="31"/>
        <v>CALC.LEVEL11</v>
      </c>
      <c r="H1030" s="23" t="str">
        <f t="shared" si="32"/>
        <v>RESOURCE_FILE.LEVEL11</v>
      </c>
      <c r="I1030" s="30" t="s">
        <v>2411</v>
      </c>
      <c r="J10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RESOURCE_FILE.LEVEL11</v>
      </c>
      <c r="K1030" s="17"/>
    </row>
    <row r="1031" spans="1:11" hidden="1" x14ac:dyDescent="0.2">
      <c r="A1031" s="14" t="s">
        <v>1451</v>
      </c>
      <c r="B1031" s="14" t="s">
        <v>2159</v>
      </c>
      <c r="C1031" s="14" t="s">
        <v>137</v>
      </c>
      <c r="D1031" t="s">
        <v>472</v>
      </c>
      <c r="E1031" s="14" t="s">
        <v>137</v>
      </c>
      <c r="F1031" s="14" t="s">
        <v>2416</v>
      </c>
      <c r="G1031" s="23" t="str">
        <f t="shared" si="31"/>
        <v>CALC.LEVEL12</v>
      </c>
      <c r="H1031" s="23" t="str">
        <f t="shared" si="32"/>
        <v>RESOURCE_FILE.LEVEL12</v>
      </c>
      <c r="I1031" s="30" t="s">
        <v>2411</v>
      </c>
      <c r="J10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RESOURCE_FILE.LEVEL12</v>
      </c>
      <c r="K1031" s="17"/>
    </row>
    <row r="1032" spans="1:11" s="14" customFormat="1" hidden="1" x14ac:dyDescent="0.2">
      <c r="A1032" s="14" t="s">
        <v>1451</v>
      </c>
      <c r="B1032" s="14" t="s">
        <v>2159</v>
      </c>
      <c r="C1032" s="14" t="s">
        <v>139</v>
      </c>
      <c r="D1032" t="s">
        <v>472</v>
      </c>
      <c r="E1032" s="14" t="s">
        <v>139</v>
      </c>
      <c r="F1032" s="14" t="s">
        <v>2416</v>
      </c>
      <c r="G1032" s="23" t="str">
        <f t="shared" si="31"/>
        <v>CALC.LEVEL13</v>
      </c>
      <c r="H1032" s="23" t="str">
        <f t="shared" si="32"/>
        <v>RESOURCE_FILE.LEVEL13</v>
      </c>
      <c r="I1032" s="30" t="s">
        <v>2411</v>
      </c>
      <c r="J10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RESOURCE_FILE.LEVEL13</v>
      </c>
      <c r="K1032" s="17"/>
    </row>
    <row r="1033" spans="1:11" s="14" customFormat="1" hidden="1" x14ac:dyDescent="0.2">
      <c r="A1033" s="14" t="s">
        <v>1451</v>
      </c>
      <c r="B1033" s="14" t="s">
        <v>2159</v>
      </c>
      <c r="C1033" s="14" t="s">
        <v>141</v>
      </c>
      <c r="D1033" t="s">
        <v>472</v>
      </c>
      <c r="E1033" s="14" t="s">
        <v>141</v>
      </c>
      <c r="F1033" s="14" t="s">
        <v>2416</v>
      </c>
      <c r="G1033" s="23" t="str">
        <f t="shared" si="31"/>
        <v>CALC.LEVEL14</v>
      </c>
      <c r="H1033" s="23" t="str">
        <f t="shared" si="32"/>
        <v>RESOURCE_FILE.LEVEL14</v>
      </c>
      <c r="I1033" s="30" t="s">
        <v>2411</v>
      </c>
      <c r="J10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RESOURCE_FILE.LEVEL14</v>
      </c>
      <c r="K1033" s="17"/>
    </row>
    <row r="1034" spans="1:11" s="14" customFormat="1" hidden="1" x14ac:dyDescent="0.2">
      <c r="A1034" s="14" t="s">
        <v>1451</v>
      </c>
      <c r="B1034" s="14" t="s">
        <v>2159</v>
      </c>
      <c r="C1034" s="14" t="s">
        <v>143</v>
      </c>
      <c r="D1034" t="s">
        <v>472</v>
      </c>
      <c r="E1034" s="14" t="s">
        <v>143</v>
      </c>
      <c r="F1034" s="14" t="s">
        <v>2416</v>
      </c>
      <c r="G1034" s="23" t="str">
        <f t="shared" si="31"/>
        <v>CALC.LEVEL15</v>
      </c>
      <c r="H1034" s="23" t="str">
        <f t="shared" si="32"/>
        <v>RESOURCE_FILE.LEVEL15</v>
      </c>
      <c r="I1034" s="30" t="s">
        <v>2411</v>
      </c>
      <c r="J10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RESOURCE_FILE.LEVEL15</v>
      </c>
      <c r="K1034" s="17"/>
    </row>
    <row r="1035" spans="1:11" s="14" customFormat="1" hidden="1" x14ac:dyDescent="0.2">
      <c r="A1035" s="14" t="s">
        <v>1451</v>
      </c>
      <c r="B1035" s="14" t="s">
        <v>2159</v>
      </c>
      <c r="C1035" s="14" t="s">
        <v>145</v>
      </c>
      <c r="D1035" t="s">
        <v>472</v>
      </c>
      <c r="E1035" s="14" t="s">
        <v>145</v>
      </c>
      <c r="F1035" s="14" t="s">
        <v>2416</v>
      </c>
      <c r="G1035" s="23" t="str">
        <f t="shared" ref="G1035:G1100" si="33">_xlfn.CONCAT(B1035,".",C1035)</f>
        <v>CALC.LEVEL16</v>
      </c>
      <c r="H1035" s="23" t="str">
        <f t="shared" si="32"/>
        <v>RESOURCE_FILE.LEVEL16</v>
      </c>
      <c r="I1035" s="30" t="s">
        <v>2411</v>
      </c>
      <c r="J10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RESOURCE_FILE.LEVEL16</v>
      </c>
      <c r="K1035" s="17"/>
    </row>
    <row r="1036" spans="1:11" s="14" customFormat="1" hidden="1" x14ac:dyDescent="0.2">
      <c r="A1036" s="14" t="s">
        <v>1451</v>
      </c>
      <c r="B1036" s="14" t="s">
        <v>2159</v>
      </c>
      <c r="C1036" s="14" t="s">
        <v>147</v>
      </c>
      <c r="D1036" t="s">
        <v>472</v>
      </c>
      <c r="E1036" s="14" t="s">
        <v>147</v>
      </c>
      <c r="F1036" s="14" t="s">
        <v>2416</v>
      </c>
      <c r="G1036" s="23" t="str">
        <f t="shared" si="33"/>
        <v>CALC.LEVEL17</v>
      </c>
      <c r="H1036" s="23" t="str">
        <f t="shared" si="32"/>
        <v>RESOURCE_FILE.LEVEL17</v>
      </c>
      <c r="I1036" s="30" t="s">
        <v>2411</v>
      </c>
      <c r="J10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RESOURCE_FILE.LEVEL17</v>
      </c>
      <c r="K1036" s="17"/>
    </row>
    <row r="1037" spans="1:11" s="14" customFormat="1" hidden="1" x14ac:dyDescent="0.2">
      <c r="A1037" s="14" t="s">
        <v>1451</v>
      </c>
      <c r="B1037" s="14" t="s">
        <v>2159</v>
      </c>
      <c r="C1037" s="14" t="s">
        <v>149</v>
      </c>
      <c r="D1037" t="s">
        <v>472</v>
      </c>
      <c r="E1037" s="14" t="s">
        <v>149</v>
      </c>
      <c r="F1037" s="14" t="s">
        <v>2416</v>
      </c>
      <c r="G1037" s="23" t="str">
        <f t="shared" si="33"/>
        <v>CALC.LEVEL18</v>
      </c>
      <c r="H1037" s="23" t="str">
        <f t="shared" si="32"/>
        <v>RESOURCE_FILE.LEVEL18</v>
      </c>
      <c r="I1037" s="30" t="s">
        <v>2411</v>
      </c>
      <c r="J10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RESOURCE_FILE.LEVEL18</v>
      </c>
      <c r="K1037" s="17"/>
    </row>
    <row r="1038" spans="1:11" s="14" customFormat="1" hidden="1" x14ac:dyDescent="0.2">
      <c r="A1038" s="14" t="s">
        <v>1451</v>
      </c>
      <c r="B1038" s="14" t="s">
        <v>2159</v>
      </c>
      <c r="C1038" s="14" t="s">
        <v>151</v>
      </c>
      <c r="D1038" t="s">
        <v>472</v>
      </c>
      <c r="E1038" s="14" t="s">
        <v>151</v>
      </c>
      <c r="F1038" s="14" t="s">
        <v>2416</v>
      </c>
      <c r="G1038" s="23" t="str">
        <f t="shared" si="33"/>
        <v>CALC.LEVEL19</v>
      </c>
      <c r="H1038" s="23" t="str">
        <f t="shared" si="32"/>
        <v>RESOURCE_FILE.LEVEL19</v>
      </c>
      <c r="I1038" s="30" t="s">
        <v>2411</v>
      </c>
      <c r="J10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RESOURCE_FILE.LEVEL19</v>
      </c>
      <c r="K1038" s="17"/>
    </row>
    <row r="1039" spans="1:11" s="14" customFormat="1" hidden="1" x14ac:dyDescent="0.2">
      <c r="A1039" s="14" t="s">
        <v>1451</v>
      </c>
      <c r="B1039" s="14" t="s">
        <v>2159</v>
      </c>
      <c r="C1039" s="14" t="s">
        <v>153</v>
      </c>
      <c r="D1039" t="s">
        <v>472</v>
      </c>
      <c r="E1039" s="14" t="s">
        <v>153</v>
      </c>
      <c r="F1039" s="14" t="s">
        <v>2416</v>
      </c>
      <c r="G1039" s="23" t="str">
        <f t="shared" si="33"/>
        <v>CALC.LEVEL20</v>
      </c>
      <c r="H1039" s="23" t="str">
        <f t="shared" si="32"/>
        <v>RESOURCE_FILE.LEVEL20</v>
      </c>
      <c r="I1039" s="30" t="s">
        <v>2411</v>
      </c>
      <c r="J10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RESOURCE_FILE.LEVEL20</v>
      </c>
      <c r="K1039" s="17"/>
    </row>
    <row r="1040" spans="1:11" s="14" customFormat="1" hidden="1" x14ac:dyDescent="0.2">
      <c r="A1040" t="s">
        <v>1451</v>
      </c>
      <c r="B1040" t="s">
        <v>2159</v>
      </c>
      <c r="C1040" t="s">
        <v>2112</v>
      </c>
      <c r="D1040" t="s">
        <v>472</v>
      </c>
      <c r="E1040" s="18" t="s">
        <v>68</v>
      </c>
      <c r="F1040"/>
      <c r="G1040" s="17" t="str">
        <f t="shared" si="33"/>
        <v>CALC.USR_ID</v>
      </c>
      <c r="H1040" s="17" t="str">
        <f t="shared" si="32"/>
        <v>RESOURCE_FILE.LAST_MODIFIED_BY_USER_UID</v>
      </c>
      <c r="I1040" s="29"/>
      <c r="J10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0" s="17"/>
    </row>
    <row r="1041" spans="1:11" hidden="1" x14ac:dyDescent="0.2">
      <c r="A1041" t="s">
        <v>1451</v>
      </c>
      <c r="B1041" t="s">
        <v>2159</v>
      </c>
      <c r="C1041" t="s">
        <v>2111</v>
      </c>
      <c r="D1041" t="s">
        <v>472</v>
      </c>
      <c r="E1041" t="s">
        <v>71</v>
      </c>
      <c r="G1041" s="17" t="str">
        <f t="shared" si="33"/>
        <v>CALC.LASTUPDATE</v>
      </c>
      <c r="H1041" s="17" t="str">
        <f t="shared" si="32"/>
        <v>RESOURCE_FILE.LAST_MODIFIED_DATE</v>
      </c>
      <c r="I1041" s="29"/>
      <c r="J10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1" s="17"/>
    </row>
    <row r="1042" spans="1:11" hidden="1" x14ac:dyDescent="0.2">
      <c r="A1042" t="s">
        <v>1451</v>
      </c>
      <c r="B1042" t="s">
        <v>2159</v>
      </c>
      <c r="C1042" t="s">
        <v>35</v>
      </c>
      <c r="D1042" t="s">
        <v>472</v>
      </c>
      <c r="E1042" t="s">
        <v>35</v>
      </c>
      <c r="G1042" s="17" t="str">
        <f t="shared" si="33"/>
        <v>CALC.SEQUENCE</v>
      </c>
      <c r="H1042" s="17" t="str">
        <f t="shared" si="32"/>
        <v>RESOURCE_FILE.SEQUENCE</v>
      </c>
      <c r="I1042" s="29"/>
      <c r="J10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2" s="17"/>
    </row>
    <row r="1043" spans="1:11" hidden="1" x14ac:dyDescent="0.2">
      <c r="A1043" t="s">
        <v>1451</v>
      </c>
      <c r="B1043" t="s">
        <v>2160</v>
      </c>
      <c r="C1043" t="s">
        <v>1501</v>
      </c>
      <c r="D1043" t="s">
        <v>1064</v>
      </c>
      <c r="E1043" t="s">
        <v>471</v>
      </c>
      <c r="G1043" s="17" t="str">
        <f t="shared" si="33"/>
        <v>CALCDESC.CALCFILE</v>
      </c>
      <c r="H1043" s="17" t="str">
        <f t="shared" si="32"/>
        <v>RESOURCES.RESOURCE_FILE_UID</v>
      </c>
      <c r="I1043" s="29"/>
      <c r="J10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3" s="17"/>
    </row>
    <row r="1044" spans="1:11" hidden="1" x14ac:dyDescent="0.2">
      <c r="A1044" t="s">
        <v>1451</v>
      </c>
      <c r="B1044" t="s">
        <v>2160</v>
      </c>
      <c r="C1044" t="s">
        <v>1501</v>
      </c>
      <c r="D1044" t="s">
        <v>1064</v>
      </c>
      <c r="E1044" t="s">
        <v>1501</v>
      </c>
      <c r="F1044" s="40"/>
      <c r="G1044" s="39" t="str">
        <f>_xlfn.CONCAT(B1044,".",C1044)</f>
        <v>CALCDESC.CALCFILE</v>
      </c>
      <c r="H1044" s="39" t="str">
        <f>_xlfn.CONCAT(D1044,".",E1044)</f>
        <v>RESOURCES.CALCFILE</v>
      </c>
      <c r="I1044" s="35"/>
      <c r="J1044" s="39"/>
      <c r="K1044" s="39"/>
    </row>
    <row r="1045" spans="1:11" hidden="1" x14ac:dyDescent="0.2">
      <c r="A1045" t="s">
        <v>1451</v>
      </c>
      <c r="B1045" t="s">
        <v>2160</v>
      </c>
      <c r="C1045" t="s">
        <v>1098</v>
      </c>
      <c r="D1045" t="s">
        <v>1064</v>
      </c>
      <c r="E1045" t="s">
        <v>47</v>
      </c>
      <c r="G1045" s="17" t="str">
        <f t="shared" si="33"/>
        <v>CALCDESC.CECODE</v>
      </c>
      <c r="H1045" s="17" t="str">
        <f t="shared" si="32"/>
        <v>RESOURCES.NAME</v>
      </c>
      <c r="I1045" s="29"/>
      <c r="J10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5" s="17"/>
    </row>
    <row r="1046" spans="1:11" hidden="1" x14ac:dyDescent="0.2">
      <c r="A1046" t="s">
        <v>1451</v>
      </c>
      <c r="B1046" t="s">
        <v>2160</v>
      </c>
      <c r="C1046" t="s">
        <v>2162</v>
      </c>
      <c r="D1046" t="s">
        <v>1064</v>
      </c>
      <c r="E1046" t="s">
        <v>15</v>
      </c>
      <c r="G1046" s="17" t="str">
        <f t="shared" si="33"/>
        <v>CALCDESC.CEDESC</v>
      </c>
      <c r="H1046" s="17" t="str">
        <f t="shared" si="32"/>
        <v>RESOURCES.DESCRIPTION</v>
      </c>
      <c r="I1046" s="29"/>
      <c r="J10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6" s="17"/>
    </row>
    <row r="1047" spans="1:11" hidden="1" x14ac:dyDescent="0.2">
      <c r="A1047" t="s">
        <v>1451</v>
      </c>
      <c r="B1047" t="s">
        <v>2160</v>
      </c>
      <c r="C1047" t="s">
        <v>2146</v>
      </c>
      <c r="D1047" t="s">
        <v>1064</v>
      </c>
      <c r="E1047" t="s">
        <v>1528</v>
      </c>
      <c r="G1047" s="17" t="str">
        <f t="shared" si="33"/>
        <v>CALCDESC.PARENT</v>
      </c>
      <c r="H1047" s="17" t="str">
        <f t="shared" si="32"/>
        <v>RESOURCES.PARENT_RESOURCES_UID</v>
      </c>
      <c r="I1047" s="29"/>
      <c r="J10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7" s="17"/>
    </row>
    <row r="1048" spans="1:11" hidden="1" x14ac:dyDescent="0.2">
      <c r="A1048" t="s">
        <v>1451</v>
      </c>
      <c r="B1048" t="s">
        <v>2160</v>
      </c>
      <c r="C1048" t="s">
        <v>2161</v>
      </c>
      <c r="D1048" t="s">
        <v>1064</v>
      </c>
      <c r="E1048" t="s">
        <v>1533</v>
      </c>
      <c r="G1048" s="17" t="str">
        <f t="shared" si="33"/>
        <v>CALCDESC.CE_LEVEL</v>
      </c>
      <c r="H1048" s="17" t="str">
        <f t="shared" si="32"/>
        <v>RESOURCES.RESOURCE_LEVEL</v>
      </c>
      <c r="I1048" s="29"/>
      <c r="J10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48" s="17"/>
    </row>
    <row r="1049" spans="1:11" hidden="1" x14ac:dyDescent="0.2">
      <c r="A1049" s="14" t="s">
        <v>1451</v>
      </c>
      <c r="B1049" s="14" t="s">
        <v>2160</v>
      </c>
      <c r="C1049" s="14" t="s">
        <v>85</v>
      </c>
      <c r="D1049" t="s">
        <v>1064</v>
      </c>
      <c r="E1049" s="14" t="s">
        <v>85</v>
      </c>
      <c r="F1049" s="14" t="s">
        <v>2410</v>
      </c>
      <c r="G1049" s="23" t="str">
        <f t="shared" si="33"/>
        <v>CALCDESC.TAG</v>
      </c>
      <c r="H1049" s="23" t="str">
        <f t="shared" si="32"/>
        <v>RESOURCES.TAG</v>
      </c>
      <c r="I1049" s="30" t="s">
        <v>2411</v>
      </c>
      <c r="J10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RESOURCES.TAG</v>
      </c>
      <c r="K1049" s="17"/>
    </row>
    <row r="1050" spans="1:11" hidden="1" x14ac:dyDescent="0.2">
      <c r="A1050" t="s">
        <v>1451</v>
      </c>
      <c r="B1050" t="s">
        <v>2160</v>
      </c>
      <c r="C1050" t="s">
        <v>2145</v>
      </c>
      <c r="D1050" t="s">
        <v>1064</v>
      </c>
      <c r="E1050" t="s">
        <v>55</v>
      </c>
      <c r="G1050" s="17" t="str">
        <f t="shared" si="33"/>
        <v>CALCDESC.NUMCHILD</v>
      </c>
      <c r="H1050" s="17" t="str">
        <f t="shared" si="32"/>
        <v>RESOURCES.CHILD_COUNT</v>
      </c>
      <c r="I1050" s="29"/>
      <c r="J10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50" s="17"/>
    </row>
    <row r="1051" spans="1:11" hidden="1" x14ac:dyDescent="0.2">
      <c r="A1051" s="14" t="s">
        <v>1451</v>
      </c>
      <c r="B1051" s="14" t="s">
        <v>2160</v>
      </c>
      <c r="C1051" s="14" t="s">
        <v>1588</v>
      </c>
      <c r="D1051" t="s">
        <v>1064</v>
      </c>
      <c r="E1051" s="14" t="s">
        <v>1588</v>
      </c>
      <c r="F1051" s="14" t="s">
        <v>2600</v>
      </c>
      <c r="G1051" s="23" t="str">
        <f t="shared" si="33"/>
        <v>CALCDESC.TH_SPVF</v>
      </c>
      <c r="H1051" s="23" t="str">
        <f t="shared" ref="H1051:H1115" si="34">_xlfn.CONCAT(D1051,".",E1051)</f>
        <v>RESOURCES.TH_SPVF</v>
      </c>
      <c r="I1051" s="30" t="s">
        <v>2411</v>
      </c>
      <c r="J10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RESOURCES.TH_SPVF</v>
      </c>
      <c r="K1051" s="17"/>
    </row>
    <row r="1052" spans="1:11" hidden="1" x14ac:dyDescent="0.2">
      <c r="A1052" s="14" t="s">
        <v>1451</v>
      </c>
      <c r="B1052" s="14" t="s">
        <v>2160</v>
      </c>
      <c r="C1052" s="14" t="s">
        <v>1590</v>
      </c>
      <c r="D1052" t="s">
        <v>1064</v>
      </c>
      <c r="E1052" s="14" t="s">
        <v>1590</v>
      </c>
      <c r="F1052" s="14" t="s">
        <v>2600</v>
      </c>
      <c r="G1052" s="23" t="str">
        <f t="shared" si="33"/>
        <v>CALCDESC.TH_SPVU</v>
      </c>
      <c r="H1052" s="23" t="str">
        <f t="shared" si="34"/>
        <v>RESOURCES.TH_SPVU</v>
      </c>
      <c r="I1052" s="30" t="s">
        <v>2411</v>
      </c>
      <c r="J10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RESOURCES.TH_SPVU</v>
      </c>
      <c r="K1052" s="17"/>
    </row>
    <row r="1053" spans="1:11" hidden="1" x14ac:dyDescent="0.2">
      <c r="A1053" s="14" t="s">
        <v>1451</v>
      </c>
      <c r="B1053" s="14" t="s">
        <v>2160</v>
      </c>
      <c r="C1053" s="14" t="s">
        <v>1584</v>
      </c>
      <c r="D1053" t="s">
        <v>1064</v>
      </c>
      <c r="E1053" s="14" t="s">
        <v>1584</v>
      </c>
      <c r="F1053" s="14" t="s">
        <v>2600</v>
      </c>
      <c r="G1053" s="23" t="str">
        <f t="shared" si="33"/>
        <v>CALCDESC.TH_SPPF</v>
      </c>
      <c r="H1053" s="23" t="str">
        <f t="shared" si="34"/>
        <v>RESOURCES.TH_SPPF</v>
      </c>
      <c r="I1053" s="30" t="s">
        <v>2411</v>
      </c>
      <c r="J10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RESOURCES.TH_SPPF</v>
      </c>
      <c r="K1053" s="17"/>
    </row>
    <row r="1054" spans="1:11" hidden="1" x14ac:dyDescent="0.2">
      <c r="A1054" s="14" t="s">
        <v>1451</v>
      </c>
      <c r="B1054" s="14" t="s">
        <v>2160</v>
      </c>
      <c r="C1054" s="14" t="s">
        <v>1586</v>
      </c>
      <c r="D1054" t="s">
        <v>1064</v>
      </c>
      <c r="E1054" s="14" t="s">
        <v>1586</v>
      </c>
      <c r="F1054" s="14" t="s">
        <v>2600</v>
      </c>
      <c r="G1054" s="23" t="str">
        <f t="shared" si="33"/>
        <v>CALCDESC.TH_SPPU</v>
      </c>
      <c r="H1054" s="23" t="str">
        <f t="shared" si="34"/>
        <v>RESOURCES.TH_SPPU</v>
      </c>
      <c r="I1054" s="30" t="s">
        <v>2411</v>
      </c>
      <c r="J10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RESOURCES.TH_SPPU</v>
      </c>
      <c r="K1054" s="17"/>
    </row>
    <row r="1055" spans="1:11" hidden="1" x14ac:dyDescent="0.2">
      <c r="A1055" s="14" t="s">
        <v>1451</v>
      </c>
      <c r="B1055" s="14" t="s">
        <v>2160</v>
      </c>
      <c r="C1055" s="14" t="s">
        <v>1580</v>
      </c>
      <c r="D1055" t="s">
        <v>1064</v>
      </c>
      <c r="E1055" s="14" t="s">
        <v>1580</v>
      </c>
      <c r="F1055" s="14" t="s">
        <v>2600</v>
      </c>
      <c r="G1055" s="23" t="str">
        <f t="shared" si="33"/>
        <v>CALCDESC.TH_SCVF</v>
      </c>
      <c r="H1055" s="23" t="str">
        <f t="shared" si="34"/>
        <v>RESOURCES.TH_SCVF</v>
      </c>
      <c r="I1055" s="30" t="s">
        <v>2411</v>
      </c>
      <c r="J10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RESOURCES.TH_SCVF</v>
      </c>
      <c r="K1055" s="17"/>
    </row>
    <row r="1056" spans="1:11" hidden="1" x14ac:dyDescent="0.2">
      <c r="A1056" s="14" t="s">
        <v>1451</v>
      </c>
      <c r="B1056" s="14" t="s">
        <v>2160</v>
      </c>
      <c r="C1056" s="14" t="s">
        <v>1582</v>
      </c>
      <c r="D1056" t="s">
        <v>1064</v>
      </c>
      <c r="E1056" s="14" t="s">
        <v>1582</v>
      </c>
      <c r="F1056" s="14" t="s">
        <v>2600</v>
      </c>
      <c r="G1056" s="23" t="str">
        <f t="shared" si="33"/>
        <v>CALCDESC.TH_SCVU</v>
      </c>
      <c r="H1056" s="23" t="str">
        <f t="shared" si="34"/>
        <v>RESOURCES.TH_SCVU</v>
      </c>
      <c r="I1056" s="30" t="s">
        <v>2411</v>
      </c>
      <c r="J10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RESOURCES.TH_SCVU</v>
      </c>
      <c r="K1056" s="17"/>
    </row>
    <row r="1057" spans="1:11" hidden="1" x14ac:dyDescent="0.2">
      <c r="A1057" s="14" t="s">
        <v>1451</v>
      </c>
      <c r="B1057" s="14" t="s">
        <v>2160</v>
      </c>
      <c r="C1057" s="14" t="s">
        <v>1576</v>
      </c>
      <c r="D1057" t="s">
        <v>1064</v>
      </c>
      <c r="E1057" s="14" t="s">
        <v>1576</v>
      </c>
      <c r="F1057" s="14" t="s">
        <v>2600</v>
      </c>
      <c r="G1057" s="23" t="str">
        <f t="shared" si="33"/>
        <v>CALCDESC.TH_SCPF</v>
      </c>
      <c r="H1057" s="23" t="str">
        <f t="shared" si="34"/>
        <v>RESOURCES.TH_SCPF</v>
      </c>
      <c r="I1057" s="30" t="s">
        <v>2411</v>
      </c>
      <c r="J10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RESOURCES.TH_SCPF</v>
      </c>
      <c r="K1057" s="17"/>
    </row>
    <row r="1058" spans="1:11" hidden="1" x14ac:dyDescent="0.2">
      <c r="A1058" s="14" t="s">
        <v>1451</v>
      </c>
      <c r="B1058" s="14" t="s">
        <v>2160</v>
      </c>
      <c r="C1058" s="14" t="s">
        <v>1578</v>
      </c>
      <c r="D1058" t="s">
        <v>1064</v>
      </c>
      <c r="E1058" s="14" t="s">
        <v>1578</v>
      </c>
      <c r="F1058" s="14" t="s">
        <v>2600</v>
      </c>
      <c r="G1058" s="23" t="str">
        <f t="shared" si="33"/>
        <v>CALCDESC.TH_SCPU</v>
      </c>
      <c r="H1058" s="23" t="str">
        <f t="shared" si="34"/>
        <v>RESOURCES.TH_SCPU</v>
      </c>
      <c r="I1058" s="30" t="s">
        <v>2411</v>
      </c>
      <c r="J10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RESOURCES.TH_SCPU</v>
      </c>
      <c r="K1058" s="17"/>
    </row>
    <row r="1059" spans="1:11" hidden="1" x14ac:dyDescent="0.2">
      <c r="A1059" s="14" t="s">
        <v>1451</v>
      </c>
      <c r="B1059" s="14" t="s">
        <v>2160</v>
      </c>
      <c r="C1059" s="14" t="s">
        <v>1572</v>
      </c>
      <c r="D1059" t="s">
        <v>1064</v>
      </c>
      <c r="E1059" s="14" t="s">
        <v>1572</v>
      </c>
      <c r="F1059" s="14" t="s">
        <v>2600</v>
      </c>
      <c r="G1059" s="23" t="str">
        <f t="shared" si="33"/>
        <v>CALCDESC.TH_CPVF</v>
      </c>
      <c r="H1059" s="23" t="str">
        <f t="shared" si="34"/>
        <v>RESOURCES.TH_CPVF</v>
      </c>
      <c r="I1059" s="30" t="s">
        <v>2411</v>
      </c>
      <c r="J10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RESOURCES.TH_CPVF</v>
      </c>
      <c r="K1059" s="17"/>
    </row>
    <row r="1060" spans="1:11" hidden="1" x14ac:dyDescent="0.2">
      <c r="A1060" s="14" t="s">
        <v>1451</v>
      </c>
      <c r="B1060" s="14" t="s">
        <v>2160</v>
      </c>
      <c r="C1060" s="14" t="s">
        <v>1574</v>
      </c>
      <c r="D1060" t="s">
        <v>1064</v>
      </c>
      <c r="E1060" s="14" t="s">
        <v>1574</v>
      </c>
      <c r="F1060" s="14" t="s">
        <v>2600</v>
      </c>
      <c r="G1060" s="23" t="str">
        <f t="shared" si="33"/>
        <v>CALCDESC.TH_CPVU</v>
      </c>
      <c r="H1060" s="23" t="str">
        <f t="shared" si="34"/>
        <v>RESOURCES.TH_CPVU</v>
      </c>
      <c r="I1060" s="30" t="s">
        <v>2411</v>
      </c>
      <c r="J10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RESOURCES.TH_CPVU</v>
      </c>
      <c r="K1060" s="17"/>
    </row>
    <row r="1061" spans="1:11" hidden="1" x14ac:dyDescent="0.2">
      <c r="A1061" s="14" t="s">
        <v>1451</v>
      </c>
      <c r="B1061" s="14" t="s">
        <v>2160</v>
      </c>
      <c r="C1061" s="14" t="s">
        <v>1568</v>
      </c>
      <c r="D1061" t="s">
        <v>1064</v>
      </c>
      <c r="E1061" s="14" t="s">
        <v>1568</v>
      </c>
      <c r="F1061" s="14" t="s">
        <v>2600</v>
      </c>
      <c r="G1061" s="23" t="str">
        <f t="shared" si="33"/>
        <v>CALCDESC.TH_CPPF</v>
      </c>
      <c r="H1061" s="23" t="str">
        <f t="shared" si="34"/>
        <v>RESOURCES.TH_CPPF</v>
      </c>
      <c r="I1061" s="30" t="s">
        <v>2411</v>
      </c>
      <c r="J10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RESOURCES.TH_CPPF</v>
      </c>
      <c r="K1061" s="17"/>
    </row>
    <row r="1062" spans="1:11" hidden="1" x14ac:dyDescent="0.2">
      <c r="A1062" s="14" t="s">
        <v>1451</v>
      </c>
      <c r="B1062" s="14" t="s">
        <v>2160</v>
      </c>
      <c r="C1062" s="14" t="s">
        <v>1570</v>
      </c>
      <c r="D1062" t="s">
        <v>1064</v>
      </c>
      <c r="E1062" s="14" t="s">
        <v>1570</v>
      </c>
      <c r="F1062" s="14" t="s">
        <v>2600</v>
      </c>
      <c r="G1062" s="23" t="str">
        <f t="shared" si="33"/>
        <v>CALCDESC.TH_CPPU</v>
      </c>
      <c r="H1062" s="23" t="str">
        <f t="shared" si="34"/>
        <v>RESOURCES.TH_CPPU</v>
      </c>
      <c r="I1062" s="30" t="s">
        <v>2411</v>
      </c>
      <c r="J10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RESOURCES.TH_CPPU</v>
      </c>
      <c r="K1062" s="17"/>
    </row>
    <row r="1063" spans="1:11" hidden="1" x14ac:dyDescent="0.2">
      <c r="A1063" s="14" t="s">
        <v>1451</v>
      </c>
      <c r="B1063" s="14" t="s">
        <v>2160</v>
      </c>
      <c r="C1063" s="14" t="s">
        <v>1564</v>
      </c>
      <c r="D1063" t="s">
        <v>1064</v>
      </c>
      <c r="E1063" s="14" t="s">
        <v>1564</v>
      </c>
      <c r="F1063" s="14" t="s">
        <v>2600</v>
      </c>
      <c r="G1063" s="23" t="str">
        <f t="shared" si="33"/>
        <v>CALCDESC.TH_CCVF</v>
      </c>
      <c r="H1063" s="23" t="str">
        <f t="shared" si="34"/>
        <v>RESOURCES.TH_CCVF</v>
      </c>
      <c r="I1063" s="30" t="s">
        <v>2411</v>
      </c>
      <c r="J10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RESOURCES.TH_CCVF</v>
      </c>
      <c r="K1063" s="17"/>
    </row>
    <row r="1064" spans="1:11" hidden="1" x14ac:dyDescent="0.2">
      <c r="A1064" s="14" t="s">
        <v>1451</v>
      </c>
      <c r="B1064" s="14" t="s">
        <v>2160</v>
      </c>
      <c r="C1064" s="14" t="s">
        <v>1566</v>
      </c>
      <c r="D1064" t="s">
        <v>1064</v>
      </c>
      <c r="E1064" s="14" t="s">
        <v>1566</v>
      </c>
      <c r="F1064" s="14" t="s">
        <v>2600</v>
      </c>
      <c r="G1064" s="23" t="str">
        <f t="shared" si="33"/>
        <v>CALCDESC.TH_CCVU</v>
      </c>
      <c r="H1064" s="23" t="str">
        <f t="shared" si="34"/>
        <v>RESOURCES.TH_CCVU</v>
      </c>
      <c r="I1064" s="30" t="s">
        <v>2411</v>
      </c>
      <c r="J10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RESOURCES.TH_CCVU</v>
      </c>
      <c r="K1064" s="17"/>
    </row>
    <row r="1065" spans="1:11" hidden="1" x14ac:dyDescent="0.2">
      <c r="A1065" s="14" t="s">
        <v>1451</v>
      </c>
      <c r="B1065" s="14" t="s">
        <v>2160</v>
      </c>
      <c r="C1065" s="14" t="s">
        <v>1560</v>
      </c>
      <c r="D1065" t="s">
        <v>1064</v>
      </c>
      <c r="E1065" s="14" t="s">
        <v>1560</v>
      </c>
      <c r="F1065" s="14" t="s">
        <v>2600</v>
      </c>
      <c r="G1065" s="23" t="str">
        <f t="shared" si="33"/>
        <v>CALCDESC.TH_CCPF</v>
      </c>
      <c r="H1065" s="23" t="str">
        <f t="shared" si="34"/>
        <v>RESOURCES.TH_CCPF</v>
      </c>
      <c r="I1065" s="30" t="s">
        <v>2411</v>
      </c>
      <c r="J10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RESOURCES.TH_CCPF</v>
      </c>
      <c r="K1065" s="17"/>
    </row>
    <row r="1066" spans="1:11" hidden="1" x14ac:dyDescent="0.2">
      <c r="A1066" s="14" t="s">
        <v>1451</v>
      </c>
      <c r="B1066" s="14" t="s">
        <v>2160</v>
      </c>
      <c r="C1066" s="14" t="s">
        <v>1562</v>
      </c>
      <c r="D1066" t="s">
        <v>1064</v>
      </c>
      <c r="E1066" s="14" t="s">
        <v>1562</v>
      </c>
      <c r="F1066" s="14" t="s">
        <v>2600</v>
      </c>
      <c r="G1066" s="23" t="str">
        <f t="shared" si="33"/>
        <v>CALCDESC.TH_CCPU</v>
      </c>
      <c r="H1066" s="23" t="str">
        <f t="shared" si="34"/>
        <v>RESOURCES.TH_CCPU</v>
      </c>
      <c r="I1066" s="30" t="s">
        <v>2411</v>
      </c>
      <c r="J10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RESOURCES.TH_CCPU</v>
      </c>
      <c r="K1066" s="17"/>
    </row>
    <row r="1067" spans="1:11" hidden="1" x14ac:dyDescent="0.2">
      <c r="A1067" s="14" t="s">
        <v>1451</v>
      </c>
      <c r="B1067" s="14" t="s">
        <v>2160</v>
      </c>
      <c r="C1067" s="14" t="s">
        <v>1556</v>
      </c>
      <c r="D1067" t="s">
        <v>1064</v>
      </c>
      <c r="E1067" s="14" t="s">
        <v>1556</v>
      </c>
      <c r="F1067" s="14" t="s">
        <v>2600</v>
      </c>
      <c r="G1067" s="23" t="str">
        <f t="shared" si="33"/>
        <v>CALCDESC.TH_CAVF</v>
      </c>
      <c r="H1067" s="23" t="str">
        <f t="shared" si="34"/>
        <v>RESOURCES.TH_CAVF</v>
      </c>
      <c r="I1067" s="30" t="s">
        <v>2411</v>
      </c>
      <c r="J10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RESOURCES.TH_CAVF</v>
      </c>
      <c r="K1067" s="17"/>
    </row>
    <row r="1068" spans="1:11" hidden="1" x14ac:dyDescent="0.2">
      <c r="A1068" s="14" t="s">
        <v>1451</v>
      </c>
      <c r="B1068" s="14" t="s">
        <v>2160</v>
      </c>
      <c r="C1068" s="14" t="s">
        <v>1558</v>
      </c>
      <c r="D1068" t="s">
        <v>1064</v>
      </c>
      <c r="E1068" s="14" t="s">
        <v>1558</v>
      </c>
      <c r="F1068" s="14" t="s">
        <v>2600</v>
      </c>
      <c r="G1068" s="23" t="str">
        <f t="shared" si="33"/>
        <v>CALCDESC.TH_CAVU</v>
      </c>
      <c r="H1068" s="23" t="str">
        <f t="shared" si="34"/>
        <v>RESOURCES.TH_CAVU</v>
      </c>
      <c r="I1068" s="30" t="s">
        <v>2411</v>
      </c>
      <c r="J10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RESOURCES.TH_CAVU</v>
      </c>
      <c r="K1068" s="17"/>
    </row>
    <row r="1069" spans="1:11" hidden="1" x14ac:dyDescent="0.2">
      <c r="A1069" s="14" t="s">
        <v>1451</v>
      </c>
      <c r="B1069" s="14" t="s">
        <v>2160</v>
      </c>
      <c r="C1069" s="14" t="s">
        <v>1552</v>
      </c>
      <c r="D1069" t="s">
        <v>1064</v>
      </c>
      <c r="E1069" s="14" t="s">
        <v>1552</v>
      </c>
      <c r="F1069" s="14" t="s">
        <v>2600</v>
      </c>
      <c r="G1069" s="23" t="str">
        <f t="shared" si="33"/>
        <v>CALCDESC.TH_CAPF</v>
      </c>
      <c r="H1069" s="23" t="str">
        <f t="shared" si="34"/>
        <v>RESOURCES.TH_CAPF</v>
      </c>
      <c r="I1069" s="30" t="s">
        <v>2411</v>
      </c>
      <c r="J10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RESOURCES.TH_CAPF</v>
      </c>
      <c r="K1069" s="17"/>
    </row>
    <row r="1070" spans="1:11" hidden="1" x14ac:dyDescent="0.2">
      <c r="A1070" s="14" t="s">
        <v>1451</v>
      </c>
      <c r="B1070" s="14" t="s">
        <v>2160</v>
      </c>
      <c r="C1070" s="14" t="s">
        <v>1554</v>
      </c>
      <c r="D1070" t="s">
        <v>1064</v>
      </c>
      <c r="E1070" s="14" t="s">
        <v>1554</v>
      </c>
      <c r="F1070" s="14" t="s">
        <v>2600</v>
      </c>
      <c r="G1070" s="23" t="str">
        <f t="shared" si="33"/>
        <v>CALCDESC.TH_CAPU</v>
      </c>
      <c r="H1070" s="23" t="str">
        <f t="shared" si="34"/>
        <v>RESOURCES.TH_CAPU</v>
      </c>
      <c r="I1070" s="30" t="s">
        <v>2411</v>
      </c>
      <c r="J10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RESOURCES.TH_CAPU</v>
      </c>
      <c r="K1070" s="17"/>
    </row>
    <row r="1071" spans="1:11" x14ac:dyDescent="0.2">
      <c r="A1071" s="14" t="s">
        <v>1451</v>
      </c>
      <c r="B1071" s="14" t="s">
        <v>2160</v>
      </c>
      <c r="C1071" s="14" t="s">
        <v>76</v>
      </c>
      <c r="D1071" s="14" t="s">
        <v>1620</v>
      </c>
      <c r="E1071" s="14" t="s">
        <v>1626</v>
      </c>
      <c r="F1071" s="14" t="s">
        <v>2467</v>
      </c>
      <c r="G1071" s="23" t="str">
        <f t="shared" si="33"/>
        <v>CALCDESC.D1</v>
      </c>
      <c r="H1071" s="23" t="str">
        <f t="shared" si="34"/>
        <v>USER_CODE_VALUE.CODE_UID</v>
      </c>
      <c r="I1071" s="30" t="s">
        <v>2411</v>
      </c>
      <c r="J10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RESOURCES.D1</v>
      </c>
      <c r="K1071" s="17"/>
    </row>
    <row r="1072" spans="1:11" x14ac:dyDescent="0.2">
      <c r="A1072" s="14" t="s">
        <v>1451</v>
      </c>
      <c r="B1072" s="14" t="s">
        <v>2160</v>
      </c>
      <c r="C1072" s="14" t="s">
        <v>77</v>
      </c>
      <c r="D1072" s="14" t="s">
        <v>1620</v>
      </c>
      <c r="E1072" s="14" t="s">
        <v>1626</v>
      </c>
      <c r="F1072" s="14" t="s">
        <v>2467</v>
      </c>
      <c r="G1072" s="23" t="str">
        <f t="shared" si="33"/>
        <v>CALCDESC.D2</v>
      </c>
      <c r="H1072" s="23" t="str">
        <f t="shared" si="34"/>
        <v>USER_CODE_VALUE.CODE_UID</v>
      </c>
      <c r="I1072" s="30" t="s">
        <v>2411</v>
      </c>
      <c r="J10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RESOURCES.D2</v>
      </c>
      <c r="K1072" s="17"/>
    </row>
    <row r="1073" spans="1:11" x14ac:dyDescent="0.2">
      <c r="A1073" s="14" t="s">
        <v>1451</v>
      </c>
      <c r="B1073" s="14" t="s">
        <v>2160</v>
      </c>
      <c r="C1073" s="14" t="s">
        <v>78</v>
      </c>
      <c r="D1073" s="14" t="s">
        <v>1620</v>
      </c>
      <c r="E1073" s="14" t="s">
        <v>1626</v>
      </c>
      <c r="F1073" s="14" t="s">
        <v>2467</v>
      </c>
      <c r="G1073" s="23" t="str">
        <f t="shared" si="33"/>
        <v>CALCDESC.D3</v>
      </c>
      <c r="H1073" s="23" t="str">
        <f t="shared" si="34"/>
        <v>USER_CODE_VALUE.CODE_UID</v>
      </c>
      <c r="I1073" s="30" t="s">
        <v>2411</v>
      </c>
      <c r="J10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RESOURCES.D3</v>
      </c>
      <c r="K1073" s="17"/>
    </row>
    <row r="1074" spans="1:11" x14ac:dyDescent="0.2">
      <c r="A1074" s="14" t="s">
        <v>1451</v>
      </c>
      <c r="B1074" s="14" t="s">
        <v>2160</v>
      </c>
      <c r="C1074" s="14" t="s">
        <v>79</v>
      </c>
      <c r="D1074" s="14" t="s">
        <v>1620</v>
      </c>
      <c r="E1074" s="14" t="s">
        <v>1626</v>
      </c>
      <c r="F1074" s="14" t="s">
        <v>2467</v>
      </c>
      <c r="G1074" s="23" t="str">
        <f t="shared" si="33"/>
        <v>CALCDESC.D4</v>
      </c>
      <c r="H1074" s="23" t="str">
        <f t="shared" si="34"/>
        <v>USER_CODE_VALUE.CODE_UID</v>
      </c>
      <c r="I1074" s="30" t="s">
        <v>2411</v>
      </c>
      <c r="J10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RESOURCES.D4</v>
      </c>
      <c r="K1074" s="17"/>
    </row>
    <row r="1075" spans="1:11" x14ac:dyDescent="0.2">
      <c r="A1075" s="14" t="s">
        <v>1451</v>
      </c>
      <c r="B1075" s="14" t="s">
        <v>2160</v>
      </c>
      <c r="C1075" s="14" t="s">
        <v>80</v>
      </c>
      <c r="D1075" s="14" t="s">
        <v>1620</v>
      </c>
      <c r="E1075" s="14" t="s">
        <v>1626</v>
      </c>
      <c r="F1075" s="14" t="s">
        <v>2467</v>
      </c>
      <c r="G1075" s="23" t="str">
        <f t="shared" si="33"/>
        <v>CALCDESC.D5</v>
      </c>
      <c r="H1075" s="23" t="str">
        <f t="shared" si="34"/>
        <v>USER_CODE_VALUE.CODE_UID</v>
      </c>
      <c r="I1075" s="30" t="s">
        <v>2411</v>
      </c>
      <c r="J10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RESOURCES.D5</v>
      </c>
      <c r="K1075" s="17"/>
    </row>
    <row r="1076" spans="1:11" x14ac:dyDescent="0.2">
      <c r="A1076" s="14" t="s">
        <v>1451</v>
      </c>
      <c r="B1076" s="14" t="s">
        <v>2160</v>
      </c>
      <c r="C1076" s="14" t="s">
        <v>81</v>
      </c>
      <c r="D1076" s="14" t="s">
        <v>1620</v>
      </c>
      <c r="E1076" s="14" t="s">
        <v>1626</v>
      </c>
      <c r="F1076" s="14" t="s">
        <v>2467</v>
      </c>
      <c r="G1076" s="23" t="str">
        <f t="shared" si="33"/>
        <v>CALCDESC.D6</v>
      </c>
      <c r="H1076" s="23" t="str">
        <f t="shared" si="34"/>
        <v>USER_CODE_VALUE.CODE_UID</v>
      </c>
      <c r="I1076" s="30" t="s">
        <v>2411</v>
      </c>
      <c r="J10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RESOURCES.D6</v>
      </c>
      <c r="K1076" s="17"/>
    </row>
    <row r="1077" spans="1:11" x14ac:dyDescent="0.2">
      <c r="A1077" s="14" t="s">
        <v>1451</v>
      </c>
      <c r="B1077" s="14" t="s">
        <v>2160</v>
      </c>
      <c r="C1077" s="14" t="s">
        <v>82</v>
      </c>
      <c r="D1077" s="14" t="s">
        <v>1620</v>
      </c>
      <c r="E1077" s="14" t="s">
        <v>1626</v>
      </c>
      <c r="F1077" s="14" t="s">
        <v>2467</v>
      </c>
      <c r="G1077" s="23" t="str">
        <f t="shared" si="33"/>
        <v>CALCDESC.D7</v>
      </c>
      <c r="H1077" s="23" t="str">
        <f t="shared" si="34"/>
        <v>USER_CODE_VALUE.CODE_UID</v>
      </c>
      <c r="I1077" s="30" t="s">
        <v>2411</v>
      </c>
      <c r="J10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RESOURCES.D7</v>
      </c>
      <c r="K1077" s="17"/>
    </row>
    <row r="1078" spans="1:11" x14ac:dyDescent="0.2">
      <c r="A1078" s="14" t="s">
        <v>1451</v>
      </c>
      <c r="B1078" s="14" t="s">
        <v>2160</v>
      </c>
      <c r="C1078" s="14" t="s">
        <v>83</v>
      </c>
      <c r="D1078" s="14" t="s">
        <v>1620</v>
      </c>
      <c r="E1078" s="14" t="s">
        <v>1626</v>
      </c>
      <c r="F1078" s="14" t="s">
        <v>2467</v>
      </c>
      <c r="G1078" s="23" t="str">
        <f t="shared" si="33"/>
        <v>CALCDESC.D8</v>
      </c>
      <c r="H1078" s="23" t="str">
        <f t="shared" si="34"/>
        <v>USER_CODE_VALUE.CODE_UID</v>
      </c>
      <c r="I1078" s="30" t="s">
        <v>2411</v>
      </c>
      <c r="J10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RESOURCES.D8</v>
      </c>
      <c r="K1078" s="17"/>
    </row>
    <row r="1079" spans="1:11" x14ac:dyDescent="0.2">
      <c r="A1079" s="14" t="s">
        <v>1451</v>
      </c>
      <c r="B1079" s="14" t="s">
        <v>2160</v>
      </c>
      <c r="C1079" s="14" t="s">
        <v>84</v>
      </c>
      <c r="D1079" s="14" t="s">
        <v>1620</v>
      </c>
      <c r="E1079" s="14" t="s">
        <v>1626</v>
      </c>
      <c r="F1079" s="14" t="s">
        <v>2467</v>
      </c>
      <c r="G1079" s="23" t="str">
        <f t="shared" si="33"/>
        <v>CALCDESC.D9</v>
      </c>
      <c r="H1079" s="23" t="str">
        <f t="shared" si="34"/>
        <v>USER_CODE_VALUE.CODE_UID</v>
      </c>
      <c r="I1079" s="30" t="s">
        <v>2411</v>
      </c>
      <c r="J10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RESOURCES.D9</v>
      </c>
      <c r="K1079" s="17"/>
    </row>
    <row r="1080" spans="1:11" hidden="1" x14ac:dyDescent="0.2">
      <c r="A1080" t="s">
        <v>1451</v>
      </c>
      <c r="B1080" t="s">
        <v>2160</v>
      </c>
      <c r="C1080" t="s">
        <v>1015</v>
      </c>
      <c r="D1080" t="s">
        <v>1064</v>
      </c>
      <c r="E1080" t="s">
        <v>1015</v>
      </c>
      <c r="G1080" s="17" t="str">
        <f t="shared" si="33"/>
        <v>CALCDESC.EOC</v>
      </c>
      <c r="H1080" s="17" t="str">
        <f t="shared" si="34"/>
        <v>RESOURCES.EOC</v>
      </c>
      <c r="I1080" s="29"/>
      <c r="J10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0" s="17"/>
    </row>
    <row r="1081" spans="1:11" ht="16" hidden="1" x14ac:dyDescent="0.2">
      <c r="A1081" t="s">
        <v>1451</v>
      </c>
      <c r="B1081" s="39" t="s">
        <v>2160</v>
      </c>
      <c r="C1081" s="39" t="s">
        <v>58</v>
      </c>
      <c r="D1081" s="39" t="s">
        <v>1064</v>
      </c>
      <c r="E1081" s="39" t="s">
        <v>58</v>
      </c>
      <c r="F1081" s="40" t="s">
        <v>2601</v>
      </c>
      <c r="G1081" s="39" t="str">
        <f>_xlfn.CONCAT(B1081,".",C1081)</f>
        <v>CALCDESC.CHILD_POS</v>
      </c>
      <c r="H1081" s="39" t="str">
        <f>_xlfn.CONCAT(D1081,".",E1081)</f>
        <v>RESOURCES.CHILD_POS</v>
      </c>
      <c r="I1081" s="35"/>
      <c r="J1081" s="39"/>
      <c r="K1081" s="39"/>
    </row>
    <row r="1082" spans="1:11" hidden="1" x14ac:dyDescent="0.2">
      <c r="A1082" t="s">
        <v>1451</v>
      </c>
      <c r="B1082" t="s">
        <v>2160</v>
      </c>
      <c r="C1082" t="s">
        <v>35</v>
      </c>
      <c r="D1082" t="s">
        <v>1064</v>
      </c>
      <c r="E1082" t="s">
        <v>35</v>
      </c>
      <c r="G1082" s="17" t="str">
        <f t="shared" si="33"/>
        <v>CALCDESC.SEQUENCE</v>
      </c>
      <c r="H1082" s="17" t="str">
        <f t="shared" si="34"/>
        <v>RESOURCES.SEQUENCE</v>
      </c>
      <c r="I1082" s="29"/>
      <c r="J10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2" s="17"/>
    </row>
    <row r="1083" spans="1:11" hidden="1" x14ac:dyDescent="0.2">
      <c r="A1083" t="s">
        <v>1451</v>
      </c>
      <c r="B1083" t="s">
        <v>2160</v>
      </c>
      <c r="C1083" t="s">
        <v>2111</v>
      </c>
      <c r="D1083" t="s">
        <v>1064</v>
      </c>
      <c r="E1083" t="s">
        <v>71</v>
      </c>
      <c r="G1083" s="17" t="str">
        <f t="shared" si="33"/>
        <v>CALCDESC.LASTUPDATE</v>
      </c>
      <c r="H1083" s="17" t="str">
        <f t="shared" si="34"/>
        <v>RESOURCES.LAST_MODIFIED_DATE</v>
      </c>
      <c r="I1083" s="29"/>
      <c r="J10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3" s="17"/>
    </row>
    <row r="1084" spans="1:11" hidden="1" x14ac:dyDescent="0.2">
      <c r="A1084" t="s">
        <v>1451</v>
      </c>
      <c r="B1084" t="s">
        <v>2160</v>
      </c>
      <c r="C1084" t="s">
        <v>2112</v>
      </c>
      <c r="D1084" t="s">
        <v>1064</v>
      </c>
      <c r="E1084" s="18" t="s">
        <v>68</v>
      </c>
      <c r="G1084" s="17" t="str">
        <f t="shared" si="33"/>
        <v>CALCDESC.USR_ID</v>
      </c>
      <c r="H1084" s="17" t="str">
        <f t="shared" si="34"/>
        <v>RESOURCES.LAST_MODIFIED_BY_USER_UID</v>
      </c>
      <c r="I1084" s="29"/>
      <c r="J10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4" s="17"/>
    </row>
    <row r="1085" spans="1:11" hidden="1" x14ac:dyDescent="0.2">
      <c r="A1085" s="14" t="s">
        <v>1451</v>
      </c>
      <c r="B1085" s="14" t="s">
        <v>2163</v>
      </c>
      <c r="C1085" s="14" t="s">
        <v>1501</v>
      </c>
      <c r="D1085" s="14"/>
      <c r="E1085" s="14"/>
      <c r="F1085" s="14" t="s">
        <v>2602</v>
      </c>
      <c r="G1085" s="23" t="str">
        <f t="shared" si="33"/>
        <v>CALCDETL.CALCFILE</v>
      </c>
      <c r="H1085" s="23" t="str">
        <f t="shared" si="34"/>
        <v>.</v>
      </c>
      <c r="I1085" s="30" t="s">
        <v>2411</v>
      </c>
      <c r="J10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RESOURCE_COST_CALCULATION.CALCFILE</v>
      </c>
      <c r="K1085" s="17"/>
    </row>
    <row r="1086" spans="1:11" hidden="1" x14ac:dyDescent="0.2">
      <c r="A1086" t="s">
        <v>1451</v>
      </c>
      <c r="B1086" t="s">
        <v>2163</v>
      </c>
      <c r="C1086" t="s">
        <v>1098</v>
      </c>
      <c r="D1086" t="s">
        <v>1452</v>
      </c>
      <c r="E1086" t="s">
        <v>1063</v>
      </c>
      <c r="G1086" s="17" t="str">
        <f t="shared" si="33"/>
        <v>CALCDETL.CECODE</v>
      </c>
      <c r="H1086" s="17" t="str">
        <f t="shared" si="34"/>
        <v>RESOURCE_COST_CALCULATION.RESOURCES_UID</v>
      </c>
      <c r="I1086" s="29"/>
      <c r="J10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6" s="17"/>
    </row>
    <row r="1087" spans="1:11" hidden="1" x14ac:dyDescent="0.2">
      <c r="A1087" t="s">
        <v>1451</v>
      </c>
      <c r="B1087" t="s">
        <v>2163</v>
      </c>
      <c r="C1087" t="s">
        <v>1454</v>
      </c>
      <c r="D1087" t="s">
        <v>1452</v>
      </c>
      <c r="E1087" t="s">
        <v>1454</v>
      </c>
      <c r="G1087" s="17" t="str">
        <f t="shared" si="33"/>
        <v>CALCDETL.LINE</v>
      </c>
      <c r="H1087" s="17" t="str">
        <f t="shared" si="34"/>
        <v>RESOURCE_COST_CALCULATION.LINE</v>
      </c>
      <c r="I1087" s="29"/>
      <c r="J108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7" s="17"/>
    </row>
    <row r="1088" spans="1:11" hidden="1" x14ac:dyDescent="0.2">
      <c r="A1088" t="s">
        <v>1451</v>
      </c>
      <c r="B1088" t="s">
        <v>2163</v>
      </c>
      <c r="C1088" t="s">
        <v>865</v>
      </c>
      <c r="D1088" t="s">
        <v>1452</v>
      </c>
      <c r="E1088" t="s">
        <v>1457</v>
      </c>
      <c r="G1088" s="17" t="str">
        <f t="shared" si="33"/>
        <v>CALCDETL.RESULT</v>
      </c>
      <c r="H1088" s="17" t="str">
        <f t="shared" si="34"/>
        <v>RESOURCE_COST_CALCULATION.RESULT_FIELD</v>
      </c>
      <c r="I1088" s="29"/>
      <c r="J108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8" s="17"/>
    </row>
    <row r="1089" spans="1:11" hidden="1" x14ac:dyDescent="0.2">
      <c r="A1089" t="s">
        <v>1451</v>
      </c>
      <c r="B1089" t="s">
        <v>2163</v>
      </c>
      <c r="C1089" t="s">
        <v>2164</v>
      </c>
      <c r="D1089" t="s">
        <v>1452</v>
      </c>
      <c r="E1089" t="s">
        <v>1459</v>
      </c>
      <c r="G1089" s="17" t="str">
        <f t="shared" si="33"/>
        <v>CALCDETL.ALIAS</v>
      </c>
      <c r="H1089" s="17" t="str">
        <f t="shared" si="34"/>
        <v>RESOURCE_COST_CALCULATION.RESULT_LABEL</v>
      </c>
      <c r="I1089" s="29"/>
      <c r="J108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89" s="17"/>
    </row>
    <row r="1090" spans="1:11" hidden="1" x14ac:dyDescent="0.2">
      <c r="A1090" t="s">
        <v>1451</v>
      </c>
      <c r="B1090" t="s">
        <v>2163</v>
      </c>
      <c r="C1090" t="s">
        <v>1463</v>
      </c>
      <c r="D1090" t="s">
        <v>1452</v>
      </c>
      <c r="E1090" t="s">
        <v>1463</v>
      </c>
      <c r="G1090" s="17" t="str">
        <f t="shared" si="33"/>
        <v>CALCDETL.UNITS</v>
      </c>
      <c r="H1090" s="17" t="str">
        <f t="shared" si="34"/>
        <v>RESOURCE_COST_CALCULATION.UNITS</v>
      </c>
      <c r="I1090" s="29"/>
      <c r="J109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0" s="17"/>
    </row>
    <row r="1091" spans="1:11" hidden="1" x14ac:dyDescent="0.2">
      <c r="A1091" t="s">
        <v>1451</v>
      </c>
      <c r="B1091" t="s">
        <v>2163</v>
      </c>
      <c r="C1091" t="s">
        <v>1434</v>
      </c>
      <c r="D1091" t="s">
        <v>1452</v>
      </c>
      <c r="E1091" t="s">
        <v>1419</v>
      </c>
      <c r="G1091" s="17" t="str">
        <f t="shared" si="33"/>
        <v>CALCDETL.RATE_TABLE</v>
      </c>
      <c r="H1091" s="17" t="str">
        <f t="shared" si="34"/>
        <v>RESOURCE_COST_CALCULATION.RATE_SET_UID</v>
      </c>
      <c r="I1091" s="29"/>
      <c r="J109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1" s="17"/>
    </row>
    <row r="1092" spans="1:11" hidden="1" x14ac:dyDescent="0.2">
      <c r="A1092" t="s">
        <v>1451</v>
      </c>
      <c r="B1092" t="s">
        <v>2163</v>
      </c>
      <c r="C1092" t="s">
        <v>868</v>
      </c>
      <c r="D1092" t="s">
        <v>1452</v>
      </c>
      <c r="E1092" t="s">
        <v>868</v>
      </c>
      <c r="G1092" s="17" t="str">
        <f t="shared" si="33"/>
        <v>CALCDETL.CURRENCY</v>
      </c>
      <c r="H1092" s="17" t="str">
        <f t="shared" si="34"/>
        <v>RESOURCE_COST_CALCULATION.CURRENCY</v>
      </c>
      <c r="I1092" s="29"/>
      <c r="J109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2" s="17"/>
    </row>
    <row r="1093" spans="1:11" hidden="1" x14ac:dyDescent="0.2">
      <c r="A1093" t="s">
        <v>1451</v>
      </c>
      <c r="B1093" t="s">
        <v>2163</v>
      </c>
      <c r="C1093" t="s">
        <v>2166</v>
      </c>
      <c r="D1093" t="s">
        <v>1452</v>
      </c>
      <c r="E1093" t="s">
        <v>862</v>
      </c>
      <c r="G1093" s="17" t="str">
        <f t="shared" si="33"/>
        <v>CALCDETL.SORT_CODE</v>
      </c>
      <c r="H1093" s="17" t="str">
        <f t="shared" si="34"/>
        <v>RESOURCE_COST_CALCULATION.RESULT_CODE</v>
      </c>
      <c r="I1093" s="29"/>
      <c r="J109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3" s="17"/>
    </row>
    <row r="1094" spans="1:11" hidden="1" x14ac:dyDescent="0.2">
      <c r="A1094" t="s">
        <v>1451</v>
      </c>
      <c r="B1094" t="s">
        <v>2163</v>
      </c>
      <c r="C1094" t="s">
        <v>2603</v>
      </c>
      <c r="D1094" t="s">
        <v>1452</v>
      </c>
      <c r="E1094" t="s">
        <v>2603</v>
      </c>
      <c r="G1094" s="17" t="str">
        <f t="shared" si="33"/>
        <v>CALCDETL.SOURCE1 - SOURCE 10</v>
      </c>
      <c r="H1094" s="17" t="str">
        <f t="shared" si="34"/>
        <v>RESOURCE_COST_CALCULATION.SOURCE1 - SOURCE 10</v>
      </c>
      <c r="I1094" s="29"/>
      <c r="J109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4" s="17"/>
    </row>
    <row r="1095" spans="1:11" hidden="1" x14ac:dyDescent="0.2">
      <c r="A1095" t="s">
        <v>1451</v>
      </c>
      <c r="B1095" t="s">
        <v>2163</v>
      </c>
      <c r="C1095" t="s">
        <v>35</v>
      </c>
      <c r="D1095" t="s">
        <v>1452</v>
      </c>
      <c r="E1095" t="s">
        <v>35</v>
      </c>
      <c r="G1095" s="17" t="str">
        <f t="shared" si="33"/>
        <v>CALCDETL.SEQUENCE</v>
      </c>
      <c r="H1095" s="17" t="str">
        <f t="shared" si="34"/>
        <v>RESOURCE_COST_CALCULATION.SEQUENCE</v>
      </c>
      <c r="I1095" s="29"/>
      <c r="J109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5" s="17"/>
    </row>
    <row r="1096" spans="1:11" hidden="1" x14ac:dyDescent="0.2">
      <c r="A1096" t="s">
        <v>1451</v>
      </c>
      <c r="B1096" t="s">
        <v>2163</v>
      </c>
      <c r="C1096" t="s">
        <v>2111</v>
      </c>
      <c r="D1096" t="s">
        <v>1452</v>
      </c>
      <c r="E1096" t="s">
        <v>71</v>
      </c>
      <c r="G1096" s="17" t="str">
        <f t="shared" si="33"/>
        <v>CALCDETL.LASTUPDATE</v>
      </c>
      <c r="H1096" s="17" t="str">
        <f t="shared" si="34"/>
        <v>RESOURCE_COST_CALCULATION.LAST_MODIFIED_DATE</v>
      </c>
      <c r="I1096" s="29"/>
      <c r="J109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6" s="17"/>
    </row>
    <row r="1097" spans="1:11" hidden="1" x14ac:dyDescent="0.2">
      <c r="A1097" t="s">
        <v>1451</v>
      </c>
      <c r="B1097" t="s">
        <v>2163</v>
      </c>
      <c r="C1097" t="s">
        <v>2112</v>
      </c>
      <c r="D1097" t="s">
        <v>1452</v>
      </c>
      <c r="E1097" t="s">
        <v>68</v>
      </c>
      <c r="G1097" s="17" t="str">
        <f t="shared" si="33"/>
        <v>CALCDETL.USR_ID</v>
      </c>
      <c r="H1097" s="17" t="str">
        <f t="shared" si="34"/>
        <v>RESOURCE_COST_CALCULATION.LAST_MODIFIED_BY_USER_UID</v>
      </c>
      <c r="I1097" s="29"/>
      <c r="J109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7" s="17"/>
    </row>
    <row r="1098" spans="1:11" hidden="1" x14ac:dyDescent="0.2">
      <c r="A1098" t="s">
        <v>1451</v>
      </c>
      <c r="B1098" t="s">
        <v>2174</v>
      </c>
      <c r="C1098" t="s">
        <v>1501</v>
      </c>
      <c r="D1098" t="s">
        <v>1520</v>
      </c>
      <c r="E1098" t="s">
        <v>471</v>
      </c>
      <c r="G1098" s="17" t="str">
        <f t="shared" si="33"/>
        <v>CALCRESULT.CALCFILE</v>
      </c>
      <c r="H1098" s="17" t="str">
        <f t="shared" si="34"/>
        <v>RESOURCE_FILE_COST_RESULT.RESOURCE_FILE_UID</v>
      </c>
      <c r="I1098" s="29"/>
      <c r="J109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8" s="17"/>
    </row>
    <row r="1099" spans="1:11" hidden="1" x14ac:dyDescent="0.2">
      <c r="A1099" t="s">
        <v>1451</v>
      </c>
      <c r="B1099" t="s">
        <v>2174</v>
      </c>
      <c r="C1099" t="s">
        <v>865</v>
      </c>
      <c r="D1099" t="s">
        <v>1520</v>
      </c>
      <c r="E1099" t="s">
        <v>1457</v>
      </c>
      <c r="G1099" s="17" t="str">
        <f t="shared" si="33"/>
        <v>CALCRESULT.RESULT</v>
      </c>
      <c r="H1099" s="17" t="str">
        <f t="shared" si="34"/>
        <v>RESOURCE_FILE_COST_RESULT.RESULT_FIELD</v>
      </c>
      <c r="I1099" s="29"/>
      <c r="J109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099" s="17"/>
    </row>
    <row r="1100" spans="1:11" hidden="1" x14ac:dyDescent="0.2">
      <c r="A1100" t="s">
        <v>1451</v>
      </c>
      <c r="B1100" t="s">
        <v>2174</v>
      </c>
      <c r="C1100" t="s">
        <v>1454</v>
      </c>
      <c r="D1100" t="s">
        <v>1520</v>
      </c>
      <c r="E1100" t="s">
        <v>1454</v>
      </c>
      <c r="G1100" s="17" t="str">
        <f t="shared" si="33"/>
        <v>CALCRESULT.LINE</v>
      </c>
      <c r="H1100" s="17" t="str">
        <f t="shared" si="34"/>
        <v>RESOURCE_FILE_COST_RESULT.LINE</v>
      </c>
      <c r="I1100" s="29"/>
      <c r="J110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0" s="17"/>
    </row>
    <row r="1101" spans="1:11" hidden="1" x14ac:dyDescent="0.2">
      <c r="A1101" t="s">
        <v>1451</v>
      </c>
      <c r="B1101" t="s">
        <v>2174</v>
      </c>
      <c r="C1101" t="s">
        <v>2164</v>
      </c>
      <c r="D1101" t="s">
        <v>1520</v>
      </c>
      <c r="E1101" t="s">
        <v>1459</v>
      </c>
      <c r="G1101" s="17" t="str">
        <f t="shared" ref="G1101:G1164" si="35">_xlfn.CONCAT(B1101,".",C1101)</f>
        <v>CALCRESULT.ALIAS</v>
      </c>
      <c r="H1101" s="17" t="str">
        <f t="shared" si="34"/>
        <v>RESOURCE_FILE_COST_RESULT.RESULT_LABEL</v>
      </c>
      <c r="I1101" s="29"/>
      <c r="J110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1" s="17"/>
    </row>
    <row r="1102" spans="1:11" hidden="1" x14ac:dyDescent="0.2">
      <c r="A1102" t="s">
        <v>1451</v>
      </c>
      <c r="B1102" t="s">
        <v>2174</v>
      </c>
      <c r="C1102" t="s">
        <v>2165</v>
      </c>
      <c r="D1102" t="s">
        <v>1520</v>
      </c>
      <c r="E1102" t="s">
        <v>868</v>
      </c>
      <c r="G1102" s="17" t="str">
        <f t="shared" si="35"/>
        <v>CALCRESULT.CURRNCY</v>
      </c>
      <c r="H1102" s="17" t="str">
        <f t="shared" si="34"/>
        <v>RESOURCE_FILE_COST_RESULT.CURRENCY</v>
      </c>
      <c r="I1102" s="29"/>
      <c r="J110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2" s="17"/>
    </row>
    <row r="1103" spans="1:11" hidden="1" x14ac:dyDescent="0.2">
      <c r="A1103" t="s">
        <v>1451</v>
      </c>
      <c r="B1103" t="s">
        <v>2174</v>
      </c>
      <c r="C1103" t="s">
        <v>2166</v>
      </c>
      <c r="D1103" t="s">
        <v>1520</v>
      </c>
      <c r="E1103" t="s">
        <v>862</v>
      </c>
      <c r="G1103" s="17" t="str">
        <f t="shared" si="35"/>
        <v>CALCRESULT.SORT_CODE</v>
      </c>
      <c r="H1103" s="17" t="str">
        <f t="shared" si="34"/>
        <v>RESOURCE_FILE_COST_RESULT.RESULT_CODE</v>
      </c>
      <c r="I1103" s="29"/>
      <c r="J110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3" s="17"/>
    </row>
    <row r="1104" spans="1:11" hidden="1" x14ac:dyDescent="0.2">
      <c r="A1104" t="s">
        <v>1451</v>
      </c>
      <c r="B1104" t="s">
        <v>2174</v>
      </c>
      <c r="C1104" t="s">
        <v>1463</v>
      </c>
      <c r="D1104" t="s">
        <v>1520</v>
      </c>
      <c r="E1104" t="s">
        <v>1463</v>
      </c>
      <c r="G1104" s="17" t="str">
        <f t="shared" si="35"/>
        <v>CALCRESULT.UNITS</v>
      </c>
      <c r="H1104" s="17" t="str">
        <f t="shared" si="34"/>
        <v>RESOURCE_FILE_COST_RESULT.UNITS</v>
      </c>
      <c r="I1104" s="29"/>
      <c r="J110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4" s="17"/>
    </row>
    <row r="1105" spans="1:11" hidden="1" x14ac:dyDescent="0.2">
      <c r="A1105" t="s">
        <v>1451</v>
      </c>
      <c r="B1105" t="s">
        <v>2174</v>
      </c>
      <c r="C1105" t="s">
        <v>1434</v>
      </c>
      <c r="D1105" t="s">
        <v>1520</v>
      </c>
      <c r="E1105" t="s">
        <v>1419</v>
      </c>
      <c r="G1105" s="17" t="str">
        <f t="shared" si="35"/>
        <v>CALCRESULT.RATE_TABLE</v>
      </c>
      <c r="H1105" s="17" t="str">
        <f t="shared" si="34"/>
        <v>RESOURCE_FILE_COST_RESULT.RATE_SET_UID</v>
      </c>
      <c r="I1105" s="29"/>
      <c r="J110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5" s="17"/>
    </row>
    <row r="1106" spans="1:11" hidden="1" x14ac:dyDescent="0.2">
      <c r="A1106" t="s">
        <v>1451</v>
      </c>
      <c r="B1106" t="s">
        <v>2174</v>
      </c>
      <c r="C1106" t="s">
        <v>35</v>
      </c>
      <c r="D1106" t="s">
        <v>1520</v>
      </c>
      <c r="E1106" t="s">
        <v>35</v>
      </c>
      <c r="G1106" s="17" t="str">
        <f t="shared" si="35"/>
        <v>CALCRESULT.SEQUENCE</v>
      </c>
      <c r="H1106" s="17" t="str">
        <f t="shared" si="34"/>
        <v>RESOURCE_FILE_COST_RESULT.SEQUENCE</v>
      </c>
      <c r="I1106" s="29"/>
      <c r="J110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6" s="17"/>
    </row>
    <row r="1107" spans="1:11" hidden="1" x14ac:dyDescent="0.2">
      <c r="A1107" t="s">
        <v>1451</v>
      </c>
      <c r="B1107" t="s">
        <v>2174</v>
      </c>
      <c r="C1107" t="s">
        <v>2111</v>
      </c>
      <c r="D1107" t="s">
        <v>1520</v>
      </c>
      <c r="E1107" t="s">
        <v>71</v>
      </c>
      <c r="G1107" s="17" t="str">
        <f t="shared" si="35"/>
        <v>CALCRESULT.LASTUPDATE</v>
      </c>
      <c r="H1107" s="17" t="str">
        <f t="shared" si="34"/>
        <v>RESOURCE_FILE_COST_RESULT.LAST_MODIFIED_DATE</v>
      </c>
      <c r="I1107" s="29"/>
      <c r="J110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7" s="17"/>
    </row>
    <row r="1108" spans="1:11" hidden="1" x14ac:dyDescent="0.2">
      <c r="A1108" t="s">
        <v>1451</v>
      </c>
      <c r="B1108" t="s">
        <v>2174</v>
      </c>
      <c r="C1108" t="s">
        <v>2112</v>
      </c>
      <c r="D1108" t="s">
        <v>1520</v>
      </c>
      <c r="E1108" t="s">
        <v>68</v>
      </c>
      <c r="G1108" s="17" t="str">
        <f t="shared" si="35"/>
        <v>CALCRESULT.USR_ID</v>
      </c>
      <c r="H1108" s="17" t="str">
        <f t="shared" si="34"/>
        <v>RESOURCE_FILE_COST_RESULT.LAST_MODIFIED_BY_USER_UID</v>
      </c>
      <c r="I1108" s="29"/>
      <c r="J110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8" s="17"/>
    </row>
    <row r="1109" spans="1:11" hidden="1" x14ac:dyDescent="0.2">
      <c r="A1109" t="s">
        <v>1451</v>
      </c>
      <c r="D1109" t="s">
        <v>472</v>
      </c>
      <c r="E1109" t="s">
        <v>30</v>
      </c>
      <c r="G1109" s="17" t="str">
        <f t="shared" si="35"/>
        <v>.</v>
      </c>
      <c r="H1109" s="17" t="str">
        <f t="shared" si="34"/>
        <v>RESOURCE_FILE.ROW_UID</v>
      </c>
      <c r="I1109" s="29"/>
      <c r="J110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09" s="17"/>
    </row>
    <row r="1110" spans="1:11" hidden="1" x14ac:dyDescent="0.2">
      <c r="A1110" t="s">
        <v>1451</v>
      </c>
      <c r="D1110" t="s">
        <v>472</v>
      </c>
      <c r="E1110" t="s">
        <v>15</v>
      </c>
      <c r="F1110" t="s">
        <v>2420</v>
      </c>
      <c r="G1110" s="17" t="str">
        <f t="shared" si="35"/>
        <v>.</v>
      </c>
      <c r="H1110" s="17" t="str">
        <f t="shared" si="34"/>
        <v>RESOURCE_FILE.DESCRIPTION</v>
      </c>
      <c r="I1110" s="29"/>
      <c r="J111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0" s="17"/>
    </row>
    <row r="1111" spans="1:11" hidden="1" x14ac:dyDescent="0.2">
      <c r="A1111" t="s">
        <v>1451</v>
      </c>
      <c r="D1111" t="s">
        <v>472</v>
      </c>
      <c r="E1111" t="s">
        <v>104</v>
      </c>
      <c r="F1111" t="s">
        <v>2420</v>
      </c>
      <c r="G1111" s="17" t="str">
        <f t="shared" si="35"/>
        <v>.</v>
      </c>
      <c r="H1111" s="17" t="str">
        <f t="shared" si="34"/>
        <v>RESOURCE_FILE.OWNER_USER_UID</v>
      </c>
      <c r="I1111" s="29"/>
      <c r="J111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1" s="17"/>
    </row>
    <row r="1112" spans="1:11" hidden="1" x14ac:dyDescent="0.2">
      <c r="A1112" t="s">
        <v>1451</v>
      </c>
      <c r="D1112" t="s">
        <v>472</v>
      </c>
      <c r="E1112" s="18" t="s">
        <v>61</v>
      </c>
      <c r="G1112" s="17" t="str">
        <f t="shared" si="35"/>
        <v>.</v>
      </c>
      <c r="H1112" s="17" t="str">
        <f t="shared" si="34"/>
        <v>RESOURCE_FILE.CREATED_BY_USER_UID</v>
      </c>
      <c r="I1112" s="29"/>
      <c r="J111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2" s="17"/>
    </row>
    <row r="1113" spans="1:11" hidden="1" x14ac:dyDescent="0.2">
      <c r="A1113" t="s">
        <v>1451</v>
      </c>
      <c r="D1113" t="s">
        <v>472</v>
      </c>
      <c r="E1113" t="s">
        <v>64</v>
      </c>
      <c r="G1113" s="17" t="str">
        <f t="shared" si="35"/>
        <v>.</v>
      </c>
      <c r="H1113" s="17" t="str">
        <f t="shared" si="34"/>
        <v>RESOURCE_FILE.CREATED_DATE</v>
      </c>
      <c r="I1113" s="29"/>
      <c r="J111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3" s="17"/>
    </row>
    <row r="1114" spans="1:11" hidden="1" x14ac:dyDescent="0.2">
      <c r="A1114" t="s">
        <v>1451</v>
      </c>
      <c r="D1114" t="s">
        <v>1064</v>
      </c>
      <c r="E1114" t="s">
        <v>30</v>
      </c>
      <c r="G1114" s="17" t="str">
        <f t="shared" si="35"/>
        <v>.</v>
      </c>
      <c r="H1114" s="17" t="str">
        <f t="shared" si="34"/>
        <v>RESOURCES.ROW_UID</v>
      </c>
      <c r="I1114" s="29"/>
      <c r="J111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4" s="17"/>
    </row>
    <row r="1115" spans="1:11" hidden="1" x14ac:dyDescent="0.2">
      <c r="A1115" t="s">
        <v>1451</v>
      </c>
      <c r="D1115" t="s">
        <v>1064</v>
      </c>
      <c r="E1115" t="s">
        <v>58</v>
      </c>
      <c r="G1115" s="17" t="str">
        <f t="shared" si="35"/>
        <v>.</v>
      </c>
      <c r="H1115" s="17" t="str">
        <f t="shared" si="34"/>
        <v>RESOURCES.CHILD_POS</v>
      </c>
      <c r="I1115" s="29"/>
      <c r="J111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5" s="17"/>
    </row>
    <row r="1116" spans="1:11" hidden="1" x14ac:dyDescent="0.2">
      <c r="A1116" t="s">
        <v>1451</v>
      </c>
      <c r="D1116" t="s">
        <v>1064</v>
      </c>
      <c r="E1116" s="18" t="s">
        <v>61</v>
      </c>
      <c r="G1116" s="17" t="str">
        <f t="shared" si="35"/>
        <v>.</v>
      </c>
      <c r="H1116" s="17" t="str">
        <f t="shared" ref="H1116:H1179" si="36">_xlfn.CONCAT(D1116,".",E1116)</f>
        <v>RESOURCES.CREATED_BY_USER_UID</v>
      </c>
      <c r="I1116" s="29"/>
      <c r="J111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6" s="17"/>
    </row>
    <row r="1117" spans="1:11" hidden="1" x14ac:dyDescent="0.2">
      <c r="A1117" t="s">
        <v>1451</v>
      </c>
      <c r="D1117" t="s">
        <v>1064</v>
      </c>
      <c r="E1117" t="s">
        <v>64</v>
      </c>
      <c r="G1117" s="17" t="str">
        <f t="shared" si="35"/>
        <v>.</v>
      </c>
      <c r="H1117" s="17" t="str">
        <f t="shared" si="36"/>
        <v>RESOURCES.CREATED_DATE</v>
      </c>
      <c r="I1117" s="29"/>
      <c r="J111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7" s="17"/>
    </row>
    <row r="1118" spans="1:11" hidden="1" x14ac:dyDescent="0.2">
      <c r="A1118" t="s">
        <v>1451</v>
      </c>
      <c r="D1118" t="s">
        <v>1452</v>
      </c>
      <c r="E1118" t="s">
        <v>30</v>
      </c>
      <c r="G1118" s="17" t="str">
        <f t="shared" si="35"/>
        <v>.</v>
      </c>
      <c r="H1118" s="17" t="str">
        <f t="shared" si="36"/>
        <v>RESOURCE_COST_CALCULATION.ROW_UID</v>
      </c>
      <c r="I1118" s="29"/>
      <c r="J111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8" s="17"/>
    </row>
    <row r="1119" spans="1:11" hidden="1" x14ac:dyDescent="0.2">
      <c r="A1119" t="s">
        <v>1451</v>
      </c>
      <c r="D1119" t="s">
        <v>1452</v>
      </c>
      <c r="E1119" s="18" t="s">
        <v>61</v>
      </c>
      <c r="G1119" s="17" t="str">
        <f t="shared" si="35"/>
        <v>.</v>
      </c>
      <c r="H1119" s="17" t="str">
        <f t="shared" si="36"/>
        <v>RESOURCE_COST_CALCULATION.CREATED_BY_USER_UID</v>
      </c>
      <c r="I1119" s="29"/>
      <c r="J111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19" s="17"/>
    </row>
    <row r="1120" spans="1:11" hidden="1" x14ac:dyDescent="0.2">
      <c r="A1120" t="s">
        <v>1451</v>
      </c>
      <c r="D1120" t="s">
        <v>1452</v>
      </c>
      <c r="E1120" t="s">
        <v>64</v>
      </c>
      <c r="G1120" s="17" t="str">
        <f t="shared" si="35"/>
        <v>.</v>
      </c>
      <c r="H1120" s="17" t="str">
        <f t="shared" si="36"/>
        <v>RESOURCE_COST_CALCULATION.CREATED_DATE</v>
      </c>
      <c r="I1120" s="29"/>
      <c r="J112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0" s="17"/>
    </row>
    <row r="1121" spans="1:11" hidden="1" x14ac:dyDescent="0.2">
      <c r="A1121" t="s">
        <v>1451</v>
      </c>
      <c r="D1121" t="s">
        <v>1520</v>
      </c>
      <c r="E1121" t="s">
        <v>30</v>
      </c>
      <c r="G1121" s="17" t="str">
        <f t="shared" si="35"/>
        <v>.</v>
      </c>
      <c r="H1121" s="17" t="str">
        <f t="shared" si="36"/>
        <v>RESOURCE_FILE_COST_RESULT.ROW_UID</v>
      </c>
      <c r="I1121" s="29"/>
      <c r="J112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1" s="17"/>
    </row>
    <row r="1122" spans="1:11" hidden="1" x14ac:dyDescent="0.2">
      <c r="A1122" t="s">
        <v>1451</v>
      </c>
      <c r="D1122" t="s">
        <v>1520</v>
      </c>
      <c r="E1122" s="18" t="s">
        <v>61</v>
      </c>
      <c r="G1122" s="17" t="str">
        <f t="shared" si="35"/>
        <v>.</v>
      </c>
      <c r="H1122" s="17" t="str">
        <f t="shared" si="36"/>
        <v>RESOURCE_FILE_COST_RESULT.CREATED_BY_USER_UID</v>
      </c>
      <c r="I1122" s="29"/>
      <c r="J112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2" s="17"/>
    </row>
    <row r="1123" spans="1:11" hidden="1" x14ac:dyDescent="0.2">
      <c r="A1123" t="s">
        <v>1451</v>
      </c>
      <c r="D1123" t="s">
        <v>1520</v>
      </c>
      <c r="E1123" t="s">
        <v>64</v>
      </c>
      <c r="G1123" s="17" t="str">
        <f t="shared" si="35"/>
        <v>.</v>
      </c>
      <c r="H1123" s="17" t="str">
        <f t="shared" si="36"/>
        <v>RESOURCE_FILE_COST_RESULT.CREATED_DATE</v>
      </c>
      <c r="I1123" s="29"/>
      <c r="J112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3" s="17"/>
    </row>
    <row r="1124" spans="1:11" hidden="1" x14ac:dyDescent="0.2">
      <c r="A1124" t="s">
        <v>1799</v>
      </c>
      <c r="B1124" t="s">
        <v>2256</v>
      </c>
      <c r="C1124" t="s">
        <v>1102</v>
      </c>
      <c r="D1124" t="s">
        <v>1072</v>
      </c>
      <c r="E1124" t="s">
        <v>47</v>
      </c>
      <c r="G1124" s="17" t="str">
        <f t="shared" si="35"/>
        <v>SPREAD.SPREADNAME</v>
      </c>
      <c r="H1124" s="17" t="str">
        <f t="shared" si="36"/>
        <v>SPREAD_CURVE.NAME</v>
      </c>
      <c r="I1124" s="29"/>
      <c r="J112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4" s="17"/>
    </row>
    <row r="1125" spans="1:11" hidden="1" x14ac:dyDescent="0.2">
      <c r="A1125" s="14" t="s">
        <v>1799</v>
      </c>
      <c r="B1125" s="14" t="s">
        <v>2256</v>
      </c>
      <c r="C1125" s="14" t="s">
        <v>1911</v>
      </c>
      <c r="D1125" s="14"/>
      <c r="E1125" s="14"/>
      <c r="F1125" s="14" t="s">
        <v>2604</v>
      </c>
      <c r="G1125" s="23" t="str">
        <f t="shared" si="35"/>
        <v>SPREAD.SPREADORD</v>
      </c>
      <c r="H1125" s="23" t="str">
        <f t="shared" si="36"/>
        <v>.</v>
      </c>
      <c r="I1125" s="30" t="s">
        <v>2411</v>
      </c>
      <c r="J112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SPREAD_CURVE.SPREADORD</v>
      </c>
      <c r="K1125" s="17"/>
    </row>
    <row r="1126" spans="1:11" hidden="1" x14ac:dyDescent="0.2">
      <c r="A1126" t="s">
        <v>1799</v>
      </c>
      <c r="B1126" t="s">
        <v>2256</v>
      </c>
      <c r="C1126" t="s">
        <v>1596</v>
      </c>
      <c r="D1126" t="s">
        <v>1072</v>
      </c>
      <c r="E1126" t="s">
        <v>1596</v>
      </c>
      <c r="G1126" s="17" t="str">
        <f t="shared" si="35"/>
        <v>SPREAD.POINTS</v>
      </c>
      <c r="H1126" s="17" t="str">
        <f t="shared" si="36"/>
        <v>SPREAD_CURVE.POINTS</v>
      </c>
      <c r="I1126" s="29"/>
      <c r="J112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26" s="17"/>
    </row>
    <row r="1127" spans="1:11" hidden="1" x14ac:dyDescent="0.2">
      <c r="A1127" s="14" t="s">
        <v>1799</v>
      </c>
      <c r="B1127" s="14" t="s">
        <v>2256</v>
      </c>
      <c r="C1127" s="14" t="s">
        <v>1807</v>
      </c>
      <c r="D1127" s="14"/>
      <c r="E1127" s="14"/>
      <c r="F1127" s="14" t="s">
        <v>2605</v>
      </c>
      <c r="G1127" s="23" t="str">
        <f t="shared" si="35"/>
        <v>SPREAD.SP_F1</v>
      </c>
      <c r="H1127" s="23" t="str">
        <f t="shared" si="36"/>
        <v>.</v>
      </c>
      <c r="I1127" s="30" t="s">
        <v>2411</v>
      </c>
      <c r="J112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</v>
      </c>
      <c r="K1127" s="17"/>
    </row>
    <row r="1128" spans="1:11" hidden="1" x14ac:dyDescent="0.2">
      <c r="A1128" s="14" t="s">
        <v>1799</v>
      </c>
      <c r="B1128" s="14" t="s">
        <v>2256</v>
      </c>
      <c r="C1128" s="14" t="s">
        <v>1829</v>
      </c>
      <c r="D1128" s="14"/>
      <c r="E1128" s="14"/>
      <c r="F1128" s="14" t="s">
        <v>2605</v>
      </c>
      <c r="G1128" s="23" t="str">
        <f t="shared" si="35"/>
        <v>SPREAD.SP_F2</v>
      </c>
      <c r="H1128" s="23" t="str">
        <f t="shared" si="36"/>
        <v>.</v>
      </c>
      <c r="I1128" s="30" t="s">
        <v>2411</v>
      </c>
      <c r="J112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</v>
      </c>
      <c r="K1128" s="17"/>
    </row>
    <row r="1129" spans="1:11" hidden="1" x14ac:dyDescent="0.2">
      <c r="A1129" s="14" t="s">
        <v>1799</v>
      </c>
      <c r="B1129" s="14" t="s">
        <v>2256</v>
      </c>
      <c r="C1129" s="14" t="s">
        <v>1851</v>
      </c>
      <c r="D1129" s="14"/>
      <c r="E1129" s="14"/>
      <c r="F1129" s="14" t="s">
        <v>2605</v>
      </c>
      <c r="G1129" s="23" t="str">
        <f t="shared" si="35"/>
        <v>SPREAD.SP_F3</v>
      </c>
      <c r="H1129" s="23" t="str">
        <f t="shared" si="36"/>
        <v>.</v>
      </c>
      <c r="I1129" s="30" t="s">
        <v>2411</v>
      </c>
      <c r="J112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</v>
      </c>
      <c r="K1129" s="17"/>
    </row>
    <row r="1130" spans="1:11" hidden="1" x14ac:dyDescent="0.2">
      <c r="A1130" s="14" t="s">
        <v>1799</v>
      </c>
      <c r="B1130" s="14" t="s">
        <v>2256</v>
      </c>
      <c r="C1130" s="14" t="s">
        <v>1873</v>
      </c>
      <c r="D1130" s="14"/>
      <c r="E1130" s="14"/>
      <c r="F1130" s="14" t="s">
        <v>2605</v>
      </c>
      <c r="G1130" s="23" t="str">
        <f t="shared" si="35"/>
        <v>SPREAD.SP_F4</v>
      </c>
      <c r="H1130" s="23" t="str">
        <f t="shared" si="36"/>
        <v>.</v>
      </c>
      <c r="I1130" s="30" t="s">
        <v>2411</v>
      </c>
      <c r="J113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</v>
      </c>
      <c r="K1130" s="17"/>
    </row>
    <row r="1131" spans="1:11" hidden="1" x14ac:dyDescent="0.2">
      <c r="A1131" s="14" t="s">
        <v>1799</v>
      </c>
      <c r="B1131" s="14" t="s">
        <v>2256</v>
      </c>
      <c r="C1131" s="14" t="s">
        <v>1895</v>
      </c>
      <c r="D1131" s="14"/>
      <c r="E1131" s="14"/>
      <c r="F1131" s="14" t="s">
        <v>2605</v>
      </c>
      <c r="G1131" s="23" t="str">
        <f t="shared" si="35"/>
        <v>SPREAD.SP_F5</v>
      </c>
      <c r="H1131" s="23" t="str">
        <f t="shared" si="36"/>
        <v>.</v>
      </c>
      <c r="I1131" s="30" t="s">
        <v>2411</v>
      </c>
      <c r="J113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SPREAD_CURVE.SP_F5</v>
      </c>
      <c r="K1131" s="17"/>
    </row>
    <row r="1132" spans="1:11" hidden="1" x14ac:dyDescent="0.2">
      <c r="A1132" s="14" t="s">
        <v>1799</v>
      </c>
      <c r="B1132" s="14" t="s">
        <v>2256</v>
      </c>
      <c r="C1132" s="14" t="s">
        <v>1903</v>
      </c>
      <c r="D1132" s="14"/>
      <c r="E1132" s="14"/>
      <c r="F1132" s="14" t="s">
        <v>2605</v>
      </c>
      <c r="G1132" s="23" t="str">
        <f t="shared" si="35"/>
        <v>SPREAD.SP_F6</v>
      </c>
      <c r="H1132" s="23" t="str">
        <f t="shared" si="36"/>
        <v>.</v>
      </c>
      <c r="I1132" s="30" t="s">
        <v>2411</v>
      </c>
      <c r="J113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SPREAD_CURVE.SP_F6</v>
      </c>
      <c r="K1132" s="17"/>
    </row>
    <row r="1133" spans="1:11" hidden="1" x14ac:dyDescent="0.2">
      <c r="A1133" s="14" t="s">
        <v>1799</v>
      </c>
      <c r="B1133" s="14" t="s">
        <v>2256</v>
      </c>
      <c r="C1133" s="14" t="s">
        <v>1905</v>
      </c>
      <c r="D1133" s="14"/>
      <c r="E1133" s="14"/>
      <c r="F1133" s="14" t="s">
        <v>2605</v>
      </c>
      <c r="G1133" s="23" t="str">
        <f t="shared" si="35"/>
        <v>SPREAD.SP_F7</v>
      </c>
      <c r="H1133" s="23" t="str">
        <f t="shared" si="36"/>
        <v>.</v>
      </c>
      <c r="I1133" s="30" t="s">
        <v>2411</v>
      </c>
      <c r="J113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SPREAD_CURVE.SP_F7</v>
      </c>
      <c r="K1133" s="17"/>
    </row>
    <row r="1134" spans="1:11" hidden="1" x14ac:dyDescent="0.2">
      <c r="A1134" s="14" t="s">
        <v>1799</v>
      </c>
      <c r="B1134" s="14" t="s">
        <v>2256</v>
      </c>
      <c r="C1134" s="14" t="s">
        <v>1907</v>
      </c>
      <c r="D1134" s="14"/>
      <c r="E1134" s="14"/>
      <c r="F1134" s="14" t="s">
        <v>2605</v>
      </c>
      <c r="G1134" s="23" t="str">
        <f t="shared" si="35"/>
        <v>SPREAD.SP_F8</v>
      </c>
      <c r="H1134" s="23" t="str">
        <f t="shared" si="36"/>
        <v>.</v>
      </c>
      <c r="I1134" s="30" t="s">
        <v>2411</v>
      </c>
      <c r="J113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SPREAD_CURVE.SP_F8</v>
      </c>
      <c r="K1134" s="17"/>
    </row>
    <row r="1135" spans="1:11" hidden="1" x14ac:dyDescent="0.2">
      <c r="A1135" s="14" t="s">
        <v>1799</v>
      </c>
      <c r="B1135" s="14" t="s">
        <v>2256</v>
      </c>
      <c r="C1135" s="14" t="s">
        <v>1909</v>
      </c>
      <c r="D1135" s="14"/>
      <c r="E1135" s="14"/>
      <c r="F1135" s="14" t="s">
        <v>2605</v>
      </c>
      <c r="G1135" s="23" t="str">
        <f t="shared" si="35"/>
        <v>SPREAD.SP_F9</v>
      </c>
      <c r="H1135" s="23" t="str">
        <f t="shared" si="36"/>
        <v>.</v>
      </c>
      <c r="I1135" s="30" t="s">
        <v>2411</v>
      </c>
      <c r="J113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SPREAD_CURVE.SP_F9</v>
      </c>
      <c r="K1135" s="17"/>
    </row>
    <row r="1136" spans="1:11" hidden="1" x14ac:dyDescent="0.2">
      <c r="A1136" s="14" t="s">
        <v>1799</v>
      </c>
      <c r="B1136" s="14" t="s">
        <v>2256</v>
      </c>
      <c r="C1136" s="14" t="s">
        <v>1809</v>
      </c>
      <c r="D1136" s="14"/>
      <c r="E1136" s="14"/>
      <c r="F1136" s="14" t="s">
        <v>2605</v>
      </c>
      <c r="G1136" s="23" t="str">
        <f t="shared" si="35"/>
        <v>SPREAD.SP_F10</v>
      </c>
      <c r="H1136" s="23" t="str">
        <f t="shared" si="36"/>
        <v>.</v>
      </c>
      <c r="I1136" s="30" t="s">
        <v>2411</v>
      </c>
      <c r="J113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SPREAD_CURVE.SP_F10</v>
      </c>
      <c r="K1136" s="17"/>
    </row>
    <row r="1137" spans="1:11" hidden="1" x14ac:dyDescent="0.2">
      <c r="A1137" s="14" t="s">
        <v>1799</v>
      </c>
      <c r="B1137" s="14" t="s">
        <v>2256</v>
      </c>
      <c r="C1137" s="14" t="s">
        <v>1811</v>
      </c>
      <c r="D1137" s="14"/>
      <c r="E1137" s="14"/>
      <c r="F1137" s="14" t="s">
        <v>2605</v>
      </c>
      <c r="G1137" s="23" t="str">
        <f t="shared" si="35"/>
        <v>SPREAD.SP_F11</v>
      </c>
      <c r="H1137" s="23" t="str">
        <f t="shared" si="36"/>
        <v>.</v>
      </c>
      <c r="I1137" s="30" t="s">
        <v>2411</v>
      </c>
      <c r="J113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SPREAD_CURVE.SP_F11</v>
      </c>
      <c r="K1137" s="17"/>
    </row>
    <row r="1138" spans="1:11" hidden="1" x14ac:dyDescent="0.2">
      <c r="A1138" s="14" t="s">
        <v>1799</v>
      </c>
      <c r="B1138" s="14" t="s">
        <v>2256</v>
      </c>
      <c r="C1138" s="14" t="s">
        <v>1813</v>
      </c>
      <c r="D1138" s="14"/>
      <c r="E1138" s="14"/>
      <c r="F1138" s="14" t="s">
        <v>2605</v>
      </c>
      <c r="G1138" s="23" t="str">
        <f t="shared" si="35"/>
        <v>SPREAD.SP_F12</v>
      </c>
      <c r="H1138" s="23" t="str">
        <f t="shared" si="36"/>
        <v>.</v>
      </c>
      <c r="I1138" s="30" t="s">
        <v>2411</v>
      </c>
      <c r="J113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SPREAD_CURVE.SP_F12</v>
      </c>
      <c r="K1138" s="17"/>
    </row>
    <row r="1139" spans="1:11" hidden="1" x14ac:dyDescent="0.2">
      <c r="A1139" s="14" t="s">
        <v>1799</v>
      </c>
      <c r="B1139" s="14" t="s">
        <v>2256</v>
      </c>
      <c r="C1139" s="14" t="s">
        <v>1815</v>
      </c>
      <c r="D1139" s="14"/>
      <c r="E1139" s="14"/>
      <c r="F1139" s="14" t="s">
        <v>2605</v>
      </c>
      <c r="G1139" s="23" t="str">
        <f t="shared" si="35"/>
        <v>SPREAD.SP_F13</v>
      </c>
      <c r="H1139" s="23" t="str">
        <f t="shared" si="36"/>
        <v>.</v>
      </c>
      <c r="I1139" s="30" t="s">
        <v>2411</v>
      </c>
      <c r="J113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SPREAD_CURVE.SP_F13</v>
      </c>
      <c r="K1139" s="17"/>
    </row>
    <row r="1140" spans="1:11" hidden="1" x14ac:dyDescent="0.2">
      <c r="A1140" s="14" t="s">
        <v>1799</v>
      </c>
      <c r="B1140" s="14" t="s">
        <v>2256</v>
      </c>
      <c r="C1140" s="14" t="s">
        <v>1817</v>
      </c>
      <c r="D1140" s="14"/>
      <c r="E1140" s="14"/>
      <c r="F1140" s="14" t="s">
        <v>2605</v>
      </c>
      <c r="G1140" s="23" t="str">
        <f t="shared" si="35"/>
        <v>SPREAD.SP_F14</v>
      </c>
      <c r="H1140" s="23" t="str">
        <f t="shared" si="36"/>
        <v>.</v>
      </c>
      <c r="I1140" s="30" t="s">
        <v>2411</v>
      </c>
      <c r="J114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SPREAD_CURVE.SP_F14</v>
      </c>
      <c r="K1140" s="17"/>
    </row>
    <row r="1141" spans="1:11" hidden="1" x14ac:dyDescent="0.2">
      <c r="A1141" s="14" t="s">
        <v>1799</v>
      </c>
      <c r="B1141" s="14" t="s">
        <v>2256</v>
      </c>
      <c r="C1141" s="14" t="s">
        <v>1819</v>
      </c>
      <c r="D1141" s="14"/>
      <c r="E1141" s="14"/>
      <c r="F1141" s="14" t="s">
        <v>2605</v>
      </c>
      <c r="G1141" s="23" t="str">
        <f t="shared" si="35"/>
        <v>SPREAD.SP_F15</v>
      </c>
      <c r="H1141" s="23" t="str">
        <f t="shared" si="36"/>
        <v>.</v>
      </c>
      <c r="I1141" s="30" t="s">
        <v>2411</v>
      </c>
      <c r="J114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SPREAD_CURVE.SP_F15</v>
      </c>
      <c r="K1141" s="17"/>
    </row>
    <row r="1142" spans="1:11" hidden="1" x14ac:dyDescent="0.2">
      <c r="A1142" s="14" t="s">
        <v>1799</v>
      </c>
      <c r="B1142" s="14" t="s">
        <v>2256</v>
      </c>
      <c r="C1142" s="14" t="s">
        <v>1821</v>
      </c>
      <c r="D1142" s="14"/>
      <c r="E1142" s="14"/>
      <c r="F1142" s="14" t="s">
        <v>2605</v>
      </c>
      <c r="G1142" s="23" t="str">
        <f t="shared" si="35"/>
        <v>SPREAD.SP_F16</v>
      </c>
      <c r="H1142" s="23" t="str">
        <f t="shared" si="36"/>
        <v>.</v>
      </c>
      <c r="I1142" s="30" t="s">
        <v>2411</v>
      </c>
      <c r="J114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SPREAD_CURVE.SP_F16</v>
      </c>
      <c r="K1142" s="17"/>
    </row>
    <row r="1143" spans="1:11" hidden="1" x14ac:dyDescent="0.2">
      <c r="A1143" s="14" t="s">
        <v>1799</v>
      </c>
      <c r="B1143" s="14" t="s">
        <v>2256</v>
      </c>
      <c r="C1143" s="14" t="s">
        <v>1823</v>
      </c>
      <c r="D1143" s="14"/>
      <c r="E1143" s="14"/>
      <c r="F1143" s="14" t="s">
        <v>2605</v>
      </c>
      <c r="G1143" s="23" t="str">
        <f t="shared" si="35"/>
        <v>SPREAD.SP_F17</v>
      </c>
      <c r="H1143" s="23" t="str">
        <f t="shared" si="36"/>
        <v>.</v>
      </c>
      <c r="I1143" s="30" t="s">
        <v>2411</v>
      </c>
      <c r="J114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SPREAD_CURVE.SP_F17</v>
      </c>
      <c r="K1143" s="17"/>
    </row>
    <row r="1144" spans="1:11" hidden="1" x14ac:dyDescent="0.2">
      <c r="A1144" s="14" t="s">
        <v>1799</v>
      </c>
      <c r="B1144" s="14" t="s">
        <v>2256</v>
      </c>
      <c r="C1144" s="14" t="s">
        <v>1825</v>
      </c>
      <c r="D1144" s="14"/>
      <c r="E1144" s="14"/>
      <c r="F1144" s="14" t="s">
        <v>2605</v>
      </c>
      <c r="G1144" s="23" t="str">
        <f t="shared" si="35"/>
        <v>SPREAD.SP_F18</v>
      </c>
      <c r="H1144" s="23" t="str">
        <f t="shared" si="36"/>
        <v>.</v>
      </c>
      <c r="I1144" s="30" t="s">
        <v>2411</v>
      </c>
      <c r="J114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SPREAD_CURVE.SP_F18</v>
      </c>
      <c r="K1144" s="17"/>
    </row>
    <row r="1145" spans="1:11" hidden="1" x14ac:dyDescent="0.2">
      <c r="A1145" s="14" t="s">
        <v>1799</v>
      </c>
      <c r="B1145" s="14" t="s">
        <v>2256</v>
      </c>
      <c r="C1145" s="14" t="s">
        <v>1827</v>
      </c>
      <c r="D1145" s="14"/>
      <c r="E1145" s="14"/>
      <c r="F1145" s="14" t="s">
        <v>2605</v>
      </c>
      <c r="G1145" s="23" t="str">
        <f t="shared" si="35"/>
        <v>SPREAD.SP_F19</v>
      </c>
      <c r="H1145" s="23" t="str">
        <f t="shared" si="36"/>
        <v>.</v>
      </c>
      <c r="I1145" s="30" t="s">
        <v>2411</v>
      </c>
      <c r="J114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SPREAD_CURVE.SP_F19</v>
      </c>
      <c r="K1145" s="17"/>
    </row>
    <row r="1146" spans="1:11" hidden="1" x14ac:dyDescent="0.2">
      <c r="A1146" s="14" t="s">
        <v>1799</v>
      </c>
      <c r="B1146" s="14" t="s">
        <v>2256</v>
      </c>
      <c r="C1146" s="14" t="s">
        <v>1831</v>
      </c>
      <c r="D1146" s="14"/>
      <c r="E1146" s="14"/>
      <c r="F1146" s="14" t="s">
        <v>2605</v>
      </c>
      <c r="G1146" s="23" t="str">
        <f t="shared" si="35"/>
        <v>SPREAD.SP_F20</v>
      </c>
      <c r="H1146" s="23" t="str">
        <f t="shared" si="36"/>
        <v>.</v>
      </c>
      <c r="I1146" s="30" t="s">
        <v>2411</v>
      </c>
      <c r="J114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SPREAD_CURVE.SP_F20</v>
      </c>
      <c r="K1146" s="17"/>
    </row>
    <row r="1147" spans="1:11" hidden="1" x14ac:dyDescent="0.2">
      <c r="A1147" s="14" t="s">
        <v>1799</v>
      </c>
      <c r="B1147" s="14" t="s">
        <v>2256</v>
      </c>
      <c r="C1147" s="14" t="s">
        <v>1833</v>
      </c>
      <c r="D1147" s="14"/>
      <c r="E1147" s="14"/>
      <c r="F1147" s="14" t="s">
        <v>2605</v>
      </c>
      <c r="G1147" s="23" t="str">
        <f t="shared" si="35"/>
        <v>SPREAD.SP_F21</v>
      </c>
      <c r="H1147" s="23" t="str">
        <f t="shared" si="36"/>
        <v>.</v>
      </c>
      <c r="I1147" s="30" t="s">
        <v>2411</v>
      </c>
      <c r="J114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SPREAD_CURVE.SP_F21</v>
      </c>
      <c r="K1147" s="17"/>
    </row>
    <row r="1148" spans="1:11" hidden="1" x14ac:dyDescent="0.2">
      <c r="A1148" s="14" t="s">
        <v>1799</v>
      </c>
      <c r="B1148" s="14" t="s">
        <v>2256</v>
      </c>
      <c r="C1148" s="14" t="s">
        <v>1835</v>
      </c>
      <c r="D1148" s="14"/>
      <c r="E1148" s="14"/>
      <c r="F1148" s="14" t="s">
        <v>2605</v>
      </c>
      <c r="G1148" s="23" t="str">
        <f t="shared" si="35"/>
        <v>SPREAD.SP_F22</v>
      </c>
      <c r="H1148" s="23" t="str">
        <f t="shared" si="36"/>
        <v>.</v>
      </c>
      <c r="I1148" s="30" t="s">
        <v>2411</v>
      </c>
      <c r="J114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SPREAD_CURVE.SP_F22</v>
      </c>
      <c r="K1148" s="17"/>
    </row>
    <row r="1149" spans="1:11" hidden="1" x14ac:dyDescent="0.2">
      <c r="A1149" s="14" t="s">
        <v>1799</v>
      </c>
      <c r="B1149" s="14" t="s">
        <v>2256</v>
      </c>
      <c r="C1149" s="14" t="s">
        <v>1837</v>
      </c>
      <c r="D1149" s="14"/>
      <c r="E1149" s="14"/>
      <c r="F1149" s="14" t="s">
        <v>2605</v>
      </c>
      <c r="G1149" s="23" t="str">
        <f t="shared" si="35"/>
        <v>SPREAD.SP_F23</v>
      </c>
      <c r="H1149" s="23" t="str">
        <f t="shared" si="36"/>
        <v>.</v>
      </c>
      <c r="I1149" s="30" t="s">
        <v>2411</v>
      </c>
      <c r="J114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SPREAD_CURVE.SP_F23</v>
      </c>
      <c r="K1149" s="17"/>
    </row>
    <row r="1150" spans="1:11" hidden="1" x14ac:dyDescent="0.2">
      <c r="A1150" s="14" t="s">
        <v>1799</v>
      </c>
      <c r="B1150" s="14" t="s">
        <v>2256</v>
      </c>
      <c r="C1150" s="14" t="s">
        <v>1839</v>
      </c>
      <c r="D1150" s="14"/>
      <c r="E1150" s="14"/>
      <c r="F1150" s="14" t="s">
        <v>2605</v>
      </c>
      <c r="G1150" s="23" t="str">
        <f t="shared" si="35"/>
        <v>SPREAD.SP_F24</v>
      </c>
      <c r="H1150" s="23" t="str">
        <f t="shared" si="36"/>
        <v>.</v>
      </c>
      <c r="I1150" s="30" t="s">
        <v>2411</v>
      </c>
      <c r="J115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SPREAD_CURVE.SP_F24</v>
      </c>
      <c r="K1150" s="17"/>
    </row>
    <row r="1151" spans="1:11" hidden="1" x14ac:dyDescent="0.2">
      <c r="A1151" s="14" t="s">
        <v>1799</v>
      </c>
      <c r="B1151" s="14" t="s">
        <v>2256</v>
      </c>
      <c r="C1151" s="14" t="s">
        <v>1841</v>
      </c>
      <c r="D1151" s="14"/>
      <c r="E1151" s="14"/>
      <c r="F1151" s="14" t="s">
        <v>2605</v>
      </c>
      <c r="G1151" s="23" t="str">
        <f t="shared" si="35"/>
        <v>SPREAD.SP_F25</v>
      </c>
      <c r="H1151" s="23" t="str">
        <f t="shared" si="36"/>
        <v>.</v>
      </c>
      <c r="I1151" s="30" t="s">
        <v>2411</v>
      </c>
      <c r="J115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SPREAD_CURVE.SP_F25</v>
      </c>
      <c r="K1151" s="17"/>
    </row>
    <row r="1152" spans="1:11" hidden="1" x14ac:dyDescent="0.2">
      <c r="A1152" s="14" t="s">
        <v>1799</v>
      </c>
      <c r="B1152" s="14" t="s">
        <v>2256</v>
      </c>
      <c r="C1152" s="14" t="s">
        <v>1843</v>
      </c>
      <c r="D1152" s="14"/>
      <c r="E1152" s="14"/>
      <c r="F1152" s="14" t="s">
        <v>2605</v>
      </c>
      <c r="G1152" s="23" t="str">
        <f t="shared" si="35"/>
        <v>SPREAD.SP_F26</v>
      </c>
      <c r="H1152" s="23" t="str">
        <f t="shared" si="36"/>
        <v>.</v>
      </c>
      <c r="I1152" s="30" t="s">
        <v>2411</v>
      </c>
      <c r="J115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SPREAD_CURVE.SP_F26</v>
      </c>
      <c r="K1152" s="17"/>
    </row>
    <row r="1153" spans="1:11" hidden="1" x14ac:dyDescent="0.2">
      <c r="A1153" s="14" t="s">
        <v>1799</v>
      </c>
      <c r="B1153" s="14" t="s">
        <v>2256</v>
      </c>
      <c r="C1153" s="14" t="s">
        <v>1845</v>
      </c>
      <c r="D1153" s="14"/>
      <c r="E1153" s="14"/>
      <c r="F1153" s="14" t="s">
        <v>2605</v>
      </c>
      <c r="G1153" s="23" t="str">
        <f t="shared" si="35"/>
        <v>SPREAD.SP_F27</v>
      </c>
      <c r="H1153" s="23" t="str">
        <f t="shared" si="36"/>
        <v>.</v>
      </c>
      <c r="I1153" s="30" t="s">
        <v>2411</v>
      </c>
      <c r="J115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SPREAD_CURVE.SP_F27</v>
      </c>
      <c r="K1153" s="17"/>
    </row>
    <row r="1154" spans="1:11" hidden="1" x14ac:dyDescent="0.2">
      <c r="A1154" s="14" t="s">
        <v>1799</v>
      </c>
      <c r="B1154" s="14" t="s">
        <v>2256</v>
      </c>
      <c r="C1154" s="14" t="s">
        <v>1847</v>
      </c>
      <c r="D1154" s="14"/>
      <c r="E1154" s="14"/>
      <c r="F1154" s="14" t="s">
        <v>2605</v>
      </c>
      <c r="G1154" s="23" t="str">
        <f t="shared" si="35"/>
        <v>SPREAD.SP_F28</v>
      </c>
      <c r="H1154" s="23" t="str">
        <f t="shared" si="36"/>
        <v>.</v>
      </c>
      <c r="I1154" s="30" t="s">
        <v>2411</v>
      </c>
      <c r="J115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SPREAD_CURVE.SP_F28</v>
      </c>
      <c r="K1154" s="17"/>
    </row>
    <row r="1155" spans="1:11" hidden="1" x14ac:dyDescent="0.2">
      <c r="A1155" s="14" t="s">
        <v>1799</v>
      </c>
      <c r="B1155" s="14" t="s">
        <v>2256</v>
      </c>
      <c r="C1155" s="14" t="s">
        <v>1849</v>
      </c>
      <c r="D1155" s="14"/>
      <c r="E1155" s="14"/>
      <c r="F1155" s="14" t="s">
        <v>2605</v>
      </c>
      <c r="G1155" s="23" t="str">
        <f t="shared" si="35"/>
        <v>SPREAD.SP_F29</v>
      </c>
      <c r="H1155" s="23" t="str">
        <f t="shared" si="36"/>
        <v>.</v>
      </c>
      <c r="I1155" s="30" t="s">
        <v>2411</v>
      </c>
      <c r="J115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SPREAD_CURVE.SP_F29</v>
      </c>
      <c r="K1155" s="17"/>
    </row>
    <row r="1156" spans="1:11" hidden="1" x14ac:dyDescent="0.2">
      <c r="A1156" s="14" t="s">
        <v>1799</v>
      </c>
      <c r="B1156" s="14" t="s">
        <v>2256</v>
      </c>
      <c r="C1156" s="14" t="s">
        <v>1853</v>
      </c>
      <c r="D1156" s="14"/>
      <c r="E1156" s="14"/>
      <c r="F1156" s="14" t="s">
        <v>2605</v>
      </c>
      <c r="G1156" s="23" t="str">
        <f t="shared" si="35"/>
        <v>SPREAD.SP_F30</v>
      </c>
      <c r="H1156" s="23" t="str">
        <f t="shared" si="36"/>
        <v>.</v>
      </c>
      <c r="I1156" s="30" t="s">
        <v>2411</v>
      </c>
      <c r="J115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SPREAD_CURVE.SP_F30</v>
      </c>
      <c r="K1156" s="17"/>
    </row>
    <row r="1157" spans="1:11" hidden="1" x14ac:dyDescent="0.2">
      <c r="A1157" s="14" t="s">
        <v>1799</v>
      </c>
      <c r="B1157" s="14" t="s">
        <v>2256</v>
      </c>
      <c r="C1157" s="14" t="s">
        <v>1855</v>
      </c>
      <c r="D1157" s="14"/>
      <c r="E1157" s="14"/>
      <c r="F1157" s="14" t="s">
        <v>2605</v>
      </c>
      <c r="G1157" s="23" t="str">
        <f t="shared" si="35"/>
        <v>SPREAD.SP_F31</v>
      </c>
      <c r="H1157" s="23" t="str">
        <f t="shared" si="36"/>
        <v>.</v>
      </c>
      <c r="I1157" s="30" t="s">
        <v>2411</v>
      </c>
      <c r="J115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SPREAD_CURVE.SP_F31</v>
      </c>
      <c r="K1157" s="17"/>
    </row>
    <row r="1158" spans="1:11" hidden="1" x14ac:dyDescent="0.2">
      <c r="A1158" s="14" t="s">
        <v>1799</v>
      </c>
      <c r="B1158" s="14" t="s">
        <v>2256</v>
      </c>
      <c r="C1158" s="14" t="s">
        <v>1857</v>
      </c>
      <c r="D1158" s="14"/>
      <c r="E1158" s="14"/>
      <c r="F1158" s="14" t="s">
        <v>2605</v>
      </c>
      <c r="G1158" s="23" t="str">
        <f t="shared" si="35"/>
        <v>SPREAD.SP_F32</v>
      </c>
      <c r="H1158" s="23" t="str">
        <f t="shared" si="36"/>
        <v>.</v>
      </c>
      <c r="I1158" s="30" t="s">
        <v>2411</v>
      </c>
      <c r="J115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SPREAD_CURVE.SP_F32</v>
      </c>
      <c r="K1158" s="17"/>
    </row>
    <row r="1159" spans="1:11" hidden="1" x14ac:dyDescent="0.2">
      <c r="A1159" s="14" t="s">
        <v>1799</v>
      </c>
      <c r="B1159" s="14" t="s">
        <v>2256</v>
      </c>
      <c r="C1159" s="14" t="s">
        <v>1859</v>
      </c>
      <c r="D1159" s="14"/>
      <c r="E1159" s="14"/>
      <c r="F1159" s="14" t="s">
        <v>2605</v>
      </c>
      <c r="G1159" s="23" t="str">
        <f t="shared" si="35"/>
        <v>SPREAD.SP_F33</v>
      </c>
      <c r="H1159" s="23" t="str">
        <f t="shared" si="36"/>
        <v>.</v>
      </c>
      <c r="I1159" s="30" t="s">
        <v>2411</v>
      </c>
      <c r="J115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SPREAD_CURVE.SP_F33</v>
      </c>
      <c r="K1159" s="17"/>
    </row>
    <row r="1160" spans="1:11" hidden="1" x14ac:dyDescent="0.2">
      <c r="A1160" s="14" t="s">
        <v>1799</v>
      </c>
      <c r="B1160" s="14" t="s">
        <v>2256</v>
      </c>
      <c r="C1160" s="14" t="s">
        <v>1861</v>
      </c>
      <c r="D1160" s="14"/>
      <c r="E1160" s="14"/>
      <c r="F1160" s="14" t="s">
        <v>2605</v>
      </c>
      <c r="G1160" s="23" t="str">
        <f t="shared" si="35"/>
        <v>SPREAD.SP_F34</v>
      </c>
      <c r="H1160" s="23" t="str">
        <f t="shared" si="36"/>
        <v>.</v>
      </c>
      <c r="I1160" s="30" t="s">
        <v>2411</v>
      </c>
      <c r="J116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SPREAD_CURVE.SP_F34</v>
      </c>
      <c r="K1160" s="17"/>
    </row>
    <row r="1161" spans="1:11" hidden="1" x14ac:dyDescent="0.2">
      <c r="A1161" s="14" t="s">
        <v>1799</v>
      </c>
      <c r="B1161" s="14" t="s">
        <v>2256</v>
      </c>
      <c r="C1161" s="14" t="s">
        <v>1863</v>
      </c>
      <c r="D1161" s="14"/>
      <c r="E1161" s="14"/>
      <c r="F1161" s="14" t="s">
        <v>2605</v>
      </c>
      <c r="G1161" s="23" t="str">
        <f t="shared" si="35"/>
        <v>SPREAD.SP_F35</v>
      </c>
      <c r="H1161" s="23" t="str">
        <f t="shared" si="36"/>
        <v>.</v>
      </c>
      <c r="I1161" s="30" t="s">
        <v>2411</v>
      </c>
      <c r="J116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SPREAD_CURVE.SP_F35</v>
      </c>
      <c r="K1161" s="17"/>
    </row>
    <row r="1162" spans="1:11" hidden="1" x14ac:dyDescent="0.2">
      <c r="A1162" s="14" t="s">
        <v>1799</v>
      </c>
      <c r="B1162" s="14" t="s">
        <v>2256</v>
      </c>
      <c r="C1162" s="14" t="s">
        <v>1865</v>
      </c>
      <c r="D1162" s="14"/>
      <c r="E1162" s="14"/>
      <c r="F1162" s="14" t="s">
        <v>2605</v>
      </c>
      <c r="G1162" s="23" t="str">
        <f t="shared" si="35"/>
        <v>SPREAD.SP_F36</v>
      </c>
      <c r="H1162" s="23" t="str">
        <f t="shared" si="36"/>
        <v>.</v>
      </c>
      <c r="I1162" s="30" t="s">
        <v>2411</v>
      </c>
      <c r="J116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SPREAD_CURVE.SP_F36</v>
      </c>
      <c r="K1162" s="17"/>
    </row>
    <row r="1163" spans="1:11" hidden="1" x14ac:dyDescent="0.2">
      <c r="A1163" s="14" t="s">
        <v>1799</v>
      </c>
      <c r="B1163" s="14" t="s">
        <v>2256</v>
      </c>
      <c r="C1163" s="14" t="s">
        <v>1867</v>
      </c>
      <c r="D1163" s="14"/>
      <c r="E1163" s="14"/>
      <c r="F1163" s="14" t="s">
        <v>2605</v>
      </c>
      <c r="G1163" s="23" t="str">
        <f t="shared" si="35"/>
        <v>SPREAD.SP_F37</v>
      </c>
      <c r="H1163" s="23" t="str">
        <f t="shared" si="36"/>
        <v>.</v>
      </c>
      <c r="I1163" s="30" t="s">
        <v>2411</v>
      </c>
      <c r="J116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SPREAD_CURVE.SP_F37</v>
      </c>
      <c r="K1163" s="17"/>
    </row>
    <row r="1164" spans="1:11" hidden="1" x14ac:dyDescent="0.2">
      <c r="A1164" s="14" t="s">
        <v>1799</v>
      </c>
      <c r="B1164" s="14" t="s">
        <v>2256</v>
      </c>
      <c r="C1164" s="14" t="s">
        <v>1869</v>
      </c>
      <c r="D1164" s="14"/>
      <c r="E1164" s="14"/>
      <c r="F1164" s="14" t="s">
        <v>2605</v>
      </c>
      <c r="G1164" s="23" t="str">
        <f t="shared" si="35"/>
        <v>SPREAD.SP_F38</v>
      </c>
      <c r="H1164" s="23" t="str">
        <f t="shared" si="36"/>
        <v>.</v>
      </c>
      <c r="I1164" s="30" t="s">
        <v>2411</v>
      </c>
      <c r="J116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SPREAD_CURVE.SP_F38</v>
      </c>
      <c r="K1164" s="17"/>
    </row>
    <row r="1165" spans="1:11" hidden="1" x14ac:dyDescent="0.2">
      <c r="A1165" s="14" t="s">
        <v>1799</v>
      </c>
      <c r="B1165" s="14" t="s">
        <v>2256</v>
      </c>
      <c r="C1165" s="14" t="s">
        <v>1871</v>
      </c>
      <c r="D1165" s="14"/>
      <c r="E1165" s="14"/>
      <c r="F1165" s="14" t="s">
        <v>2605</v>
      </c>
      <c r="G1165" s="23" t="str">
        <f t="shared" ref="G1165:G1208" si="37">_xlfn.CONCAT(B1165,".",C1165)</f>
        <v>SPREAD.SP_F39</v>
      </c>
      <c r="H1165" s="23" t="str">
        <f t="shared" si="36"/>
        <v>.</v>
      </c>
      <c r="I1165" s="30" t="s">
        <v>2411</v>
      </c>
      <c r="J116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SPREAD_CURVE.SP_F39</v>
      </c>
      <c r="K1165" s="17"/>
    </row>
    <row r="1166" spans="1:11" hidden="1" x14ac:dyDescent="0.2">
      <c r="A1166" s="14" t="s">
        <v>1799</v>
      </c>
      <c r="B1166" s="14" t="s">
        <v>2256</v>
      </c>
      <c r="C1166" s="14" t="s">
        <v>1875</v>
      </c>
      <c r="D1166" s="14"/>
      <c r="E1166" s="14"/>
      <c r="F1166" s="14" t="s">
        <v>2605</v>
      </c>
      <c r="G1166" s="23" t="str">
        <f t="shared" si="37"/>
        <v>SPREAD.SP_F40</v>
      </c>
      <c r="H1166" s="23" t="str">
        <f t="shared" si="36"/>
        <v>.</v>
      </c>
      <c r="I1166" s="30" t="s">
        <v>2411</v>
      </c>
      <c r="J116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SPREAD_CURVE.SP_F40</v>
      </c>
      <c r="K1166" s="17"/>
    </row>
    <row r="1167" spans="1:11" hidden="1" x14ac:dyDescent="0.2">
      <c r="A1167" s="14" t="s">
        <v>1799</v>
      </c>
      <c r="B1167" s="14" t="s">
        <v>2256</v>
      </c>
      <c r="C1167" s="14" t="s">
        <v>1877</v>
      </c>
      <c r="D1167" s="14"/>
      <c r="E1167" s="14"/>
      <c r="F1167" s="14" t="s">
        <v>2605</v>
      </c>
      <c r="G1167" s="23" t="str">
        <f t="shared" si="37"/>
        <v>SPREAD.SP_F41</v>
      </c>
      <c r="H1167" s="23" t="str">
        <f t="shared" si="36"/>
        <v>.</v>
      </c>
      <c r="I1167" s="30" t="s">
        <v>2411</v>
      </c>
      <c r="J116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SPREAD_CURVE.SP_F41</v>
      </c>
      <c r="K1167" s="17"/>
    </row>
    <row r="1168" spans="1:11" hidden="1" x14ac:dyDescent="0.2">
      <c r="A1168" s="14" t="s">
        <v>1799</v>
      </c>
      <c r="B1168" s="14" t="s">
        <v>2256</v>
      </c>
      <c r="C1168" s="14" t="s">
        <v>1879</v>
      </c>
      <c r="D1168" s="14"/>
      <c r="E1168" s="14"/>
      <c r="F1168" s="14" t="s">
        <v>2605</v>
      </c>
      <c r="G1168" s="23" t="str">
        <f t="shared" si="37"/>
        <v>SPREAD.SP_F42</v>
      </c>
      <c r="H1168" s="23" t="str">
        <f t="shared" si="36"/>
        <v>.</v>
      </c>
      <c r="I1168" s="30" t="s">
        <v>2411</v>
      </c>
      <c r="J116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SPREAD_CURVE.SP_F42</v>
      </c>
      <c r="K1168" s="17"/>
    </row>
    <row r="1169" spans="1:11" hidden="1" x14ac:dyDescent="0.2">
      <c r="A1169" s="14" t="s">
        <v>1799</v>
      </c>
      <c r="B1169" s="14" t="s">
        <v>2256</v>
      </c>
      <c r="C1169" s="14" t="s">
        <v>1881</v>
      </c>
      <c r="D1169" s="14"/>
      <c r="E1169" s="14"/>
      <c r="F1169" s="14" t="s">
        <v>2605</v>
      </c>
      <c r="G1169" s="23" t="str">
        <f t="shared" si="37"/>
        <v>SPREAD.SP_F43</v>
      </c>
      <c r="H1169" s="23" t="str">
        <f t="shared" si="36"/>
        <v>.</v>
      </c>
      <c r="I1169" s="30" t="s">
        <v>2411</v>
      </c>
      <c r="J116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SPREAD_CURVE.SP_F43</v>
      </c>
      <c r="K1169" s="17"/>
    </row>
    <row r="1170" spans="1:11" hidden="1" x14ac:dyDescent="0.2">
      <c r="A1170" s="14" t="s">
        <v>1799</v>
      </c>
      <c r="B1170" s="14" t="s">
        <v>2256</v>
      </c>
      <c r="C1170" s="14" t="s">
        <v>1883</v>
      </c>
      <c r="D1170" s="14"/>
      <c r="E1170" s="14"/>
      <c r="F1170" s="14" t="s">
        <v>2605</v>
      </c>
      <c r="G1170" s="23" t="str">
        <f t="shared" si="37"/>
        <v>SPREAD.SP_F44</v>
      </c>
      <c r="H1170" s="23" t="str">
        <f t="shared" si="36"/>
        <v>.</v>
      </c>
      <c r="I1170" s="30" t="s">
        <v>2411</v>
      </c>
      <c r="J117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SPREAD_CURVE.SP_F44</v>
      </c>
      <c r="K1170" s="17"/>
    </row>
    <row r="1171" spans="1:11" hidden="1" x14ac:dyDescent="0.2">
      <c r="A1171" s="14" t="s">
        <v>1799</v>
      </c>
      <c r="B1171" s="14" t="s">
        <v>2256</v>
      </c>
      <c r="C1171" s="14" t="s">
        <v>1885</v>
      </c>
      <c r="D1171" s="14"/>
      <c r="E1171" s="14"/>
      <c r="F1171" s="14" t="s">
        <v>2605</v>
      </c>
      <c r="G1171" s="23" t="str">
        <f t="shared" si="37"/>
        <v>SPREAD.SP_F45</v>
      </c>
      <c r="H1171" s="23" t="str">
        <f t="shared" si="36"/>
        <v>.</v>
      </c>
      <c r="I1171" s="30" t="s">
        <v>2411</v>
      </c>
      <c r="J117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SPREAD_CURVE.SP_F45</v>
      </c>
      <c r="K1171" s="17"/>
    </row>
    <row r="1172" spans="1:11" hidden="1" x14ac:dyDescent="0.2">
      <c r="A1172" s="14" t="s">
        <v>1799</v>
      </c>
      <c r="B1172" s="14" t="s">
        <v>2256</v>
      </c>
      <c r="C1172" s="14" t="s">
        <v>1887</v>
      </c>
      <c r="D1172" s="14"/>
      <c r="E1172" s="14"/>
      <c r="F1172" s="14" t="s">
        <v>2605</v>
      </c>
      <c r="G1172" s="23" t="str">
        <f t="shared" si="37"/>
        <v>SPREAD.SP_F46</v>
      </c>
      <c r="H1172" s="23" t="str">
        <f t="shared" si="36"/>
        <v>.</v>
      </c>
      <c r="I1172" s="30" t="s">
        <v>2411</v>
      </c>
      <c r="J117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SPREAD_CURVE.SP_F46</v>
      </c>
      <c r="K1172" s="17"/>
    </row>
    <row r="1173" spans="1:11" hidden="1" x14ac:dyDescent="0.2">
      <c r="A1173" s="14" t="s">
        <v>1799</v>
      </c>
      <c r="B1173" s="14" t="s">
        <v>2256</v>
      </c>
      <c r="C1173" s="14" t="s">
        <v>1889</v>
      </c>
      <c r="D1173" s="14"/>
      <c r="E1173" s="14"/>
      <c r="F1173" s="14" t="s">
        <v>2605</v>
      </c>
      <c r="G1173" s="23" t="str">
        <f t="shared" si="37"/>
        <v>SPREAD.SP_F47</v>
      </c>
      <c r="H1173" s="23" t="str">
        <f t="shared" si="36"/>
        <v>.</v>
      </c>
      <c r="I1173" s="30" t="s">
        <v>2411</v>
      </c>
      <c r="J117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SPREAD_CURVE.SP_F47</v>
      </c>
      <c r="K1173" s="17"/>
    </row>
    <row r="1174" spans="1:11" hidden="1" x14ac:dyDescent="0.2">
      <c r="A1174" s="14" t="s">
        <v>1799</v>
      </c>
      <c r="B1174" s="14" t="s">
        <v>2256</v>
      </c>
      <c r="C1174" s="14" t="s">
        <v>1891</v>
      </c>
      <c r="D1174" s="14"/>
      <c r="E1174" s="14"/>
      <c r="F1174" s="14" t="s">
        <v>2605</v>
      </c>
      <c r="G1174" s="23" t="str">
        <f t="shared" si="37"/>
        <v>SPREAD.SP_F48</v>
      </c>
      <c r="H1174" s="23" t="str">
        <f t="shared" si="36"/>
        <v>.</v>
      </c>
      <c r="I1174" s="30" t="s">
        <v>2411</v>
      </c>
      <c r="J117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SPREAD_CURVE.SP_F48</v>
      </c>
      <c r="K1174" s="17"/>
    </row>
    <row r="1175" spans="1:11" hidden="1" x14ac:dyDescent="0.2">
      <c r="A1175" s="14" t="s">
        <v>1799</v>
      </c>
      <c r="B1175" s="14" t="s">
        <v>2256</v>
      </c>
      <c r="C1175" s="14" t="s">
        <v>1893</v>
      </c>
      <c r="D1175" s="14"/>
      <c r="E1175" s="14"/>
      <c r="F1175" s="14" t="s">
        <v>2605</v>
      </c>
      <c r="G1175" s="23" t="str">
        <f t="shared" si="37"/>
        <v>SPREAD.SP_F49</v>
      </c>
      <c r="H1175" s="23" t="str">
        <f t="shared" si="36"/>
        <v>.</v>
      </c>
      <c r="I1175" s="30" t="s">
        <v>2411</v>
      </c>
      <c r="J117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SPREAD_CURVE.SP_F49</v>
      </c>
      <c r="K1175" s="17"/>
    </row>
    <row r="1176" spans="1:11" hidden="1" x14ac:dyDescent="0.2">
      <c r="A1176" s="14" t="s">
        <v>1799</v>
      </c>
      <c r="B1176" s="14" t="s">
        <v>2256</v>
      </c>
      <c r="C1176" s="14" t="s">
        <v>1897</v>
      </c>
      <c r="D1176" s="14"/>
      <c r="E1176" s="14"/>
      <c r="F1176" s="14" t="s">
        <v>2605</v>
      </c>
      <c r="G1176" s="23" t="str">
        <f t="shared" si="37"/>
        <v>SPREAD.SP_F50</v>
      </c>
      <c r="H1176" s="23" t="str">
        <f t="shared" si="36"/>
        <v>.</v>
      </c>
      <c r="I1176" s="30" t="s">
        <v>2411</v>
      </c>
      <c r="J117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SPREAD_CURVE.SP_F50</v>
      </c>
      <c r="K1176" s="17"/>
    </row>
    <row r="1177" spans="1:11" hidden="1" x14ac:dyDescent="0.2">
      <c r="A1177" s="14" t="s">
        <v>1799</v>
      </c>
      <c r="B1177" s="14" t="s">
        <v>2256</v>
      </c>
      <c r="C1177" s="14" t="s">
        <v>1899</v>
      </c>
      <c r="D1177" s="14"/>
      <c r="E1177" s="14"/>
      <c r="F1177" s="14" t="s">
        <v>2605</v>
      </c>
      <c r="G1177" s="23" t="str">
        <f t="shared" si="37"/>
        <v>SPREAD.SP_F51</v>
      </c>
      <c r="H1177" s="23" t="str">
        <f t="shared" si="36"/>
        <v>.</v>
      </c>
      <c r="I1177" s="30" t="s">
        <v>2411</v>
      </c>
      <c r="J1177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SPREAD_CURVE.SP_F51</v>
      </c>
      <c r="K1177" s="17"/>
    </row>
    <row r="1178" spans="1:11" hidden="1" x14ac:dyDescent="0.2">
      <c r="A1178" s="14" t="s">
        <v>1799</v>
      </c>
      <c r="B1178" s="14" t="s">
        <v>2256</v>
      </c>
      <c r="C1178" s="14" t="s">
        <v>1901</v>
      </c>
      <c r="D1178" s="14"/>
      <c r="E1178" s="14"/>
      <c r="F1178" s="14" t="s">
        <v>2605</v>
      </c>
      <c r="G1178" s="23" t="str">
        <f t="shared" si="37"/>
        <v>SPREAD.SP_F52</v>
      </c>
      <c r="H1178" s="23" t="str">
        <f t="shared" si="36"/>
        <v>.</v>
      </c>
      <c r="I1178" s="30" t="s">
        <v>2411</v>
      </c>
      <c r="J1178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>SPREAD_CURVE.SP_F52</v>
      </c>
      <c r="K1178" s="17"/>
    </row>
    <row r="1179" spans="1:11" hidden="1" x14ac:dyDescent="0.2">
      <c r="A1179" t="s">
        <v>1799</v>
      </c>
      <c r="D1179" t="s">
        <v>1072</v>
      </c>
      <c r="E1179" t="s">
        <v>30</v>
      </c>
      <c r="G1179" s="17" t="str">
        <f t="shared" si="37"/>
        <v>.</v>
      </c>
      <c r="H1179" s="17" t="str">
        <f t="shared" si="36"/>
        <v>SPREAD_CURVE.ROW_UID</v>
      </c>
      <c r="I1179" s="29"/>
      <c r="J1179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79" s="17"/>
    </row>
    <row r="1180" spans="1:11" hidden="1" x14ac:dyDescent="0.2">
      <c r="A1180" t="s">
        <v>1799</v>
      </c>
      <c r="D1180" t="s">
        <v>1072</v>
      </c>
      <c r="E1180" t="s">
        <v>35</v>
      </c>
      <c r="G1180" s="17" t="str">
        <f t="shared" si="37"/>
        <v>.</v>
      </c>
      <c r="H1180" s="17" t="str">
        <f t="shared" ref="H1180:H1243" si="38">_xlfn.CONCAT(D1180,".",E1180)</f>
        <v>SPREAD_CURVE.SEQUENCE</v>
      </c>
      <c r="I1180" s="29"/>
      <c r="J1180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0" s="17"/>
    </row>
    <row r="1181" spans="1:11" hidden="1" x14ac:dyDescent="0.2">
      <c r="A1181" t="s">
        <v>1799</v>
      </c>
      <c r="D1181" t="s">
        <v>1072</v>
      </c>
      <c r="E1181" t="s">
        <v>1800</v>
      </c>
      <c r="G1181" s="17" t="str">
        <f t="shared" si="37"/>
        <v>.</v>
      </c>
      <c r="H1181" s="17" t="str">
        <f t="shared" si="38"/>
        <v>SPREAD_CURVE.POINT_VALUES</v>
      </c>
      <c r="I1181" s="29"/>
      <c r="J1181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1" s="17"/>
    </row>
    <row r="1182" spans="1:11" hidden="1" x14ac:dyDescent="0.2">
      <c r="A1182" t="s">
        <v>1799</v>
      </c>
      <c r="D1182" t="s">
        <v>1072</v>
      </c>
      <c r="E1182" s="18" t="s">
        <v>61</v>
      </c>
      <c r="G1182" s="17" t="str">
        <f t="shared" si="37"/>
        <v>.</v>
      </c>
      <c r="H1182" s="17" t="str">
        <f t="shared" si="38"/>
        <v>SPREAD_CURVE.CREATED_BY_USER_UID</v>
      </c>
      <c r="I1182" s="29"/>
      <c r="J1182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2" s="17"/>
    </row>
    <row r="1183" spans="1:11" hidden="1" x14ac:dyDescent="0.2">
      <c r="A1183" t="s">
        <v>1799</v>
      </c>
      <c r="D1183" t="s">
        <v>1072</v>
      </c>
      <c r="E1183" t="s">
        <v>64</v>
      </c>
      <c r="G1183" s="17" t="str">
        <f t="shared" si="37"/>
        <v>.</v>
      </c>
      <c r="H1183" s="17" t="str">
        <f t="shared" si="38"/>
        <v>SPREAD_CURVE.CREATED_DATE</v>
      </c>
      <c r="I1183" s="29"/>
      <c r="J1183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3" s="17"/>
    </row>
    <row r="1184" spans="1:11" hidden="1" x14ac:dyDescent="0.2">
      <c r="A1184" t="s">
        <v>1799</v>
      </c>
      <c r="D1184" t="s">
        <v>1072</v>
      </c>
      <c r="E1184" t="s">
        <v>68</v>
      </c>
      <c r="G1184" s="17" t="str">
        <f t="shared" si="37"/>
        <v>.</v>
      </c>
      <c r="H1184" s="17" t="str">
        <f t="shared" si="38"/>
        <v>SPREAD_CURVE.LAST_MODIFIED_BY_USER_UID</v>
      </c>
      <c r="I1184" s="29"/>
      <c r="J1184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4" s="17"/>
    </row>
    <row r="1185" spans="1:11" hidden="1" x14ac:dyDescent="0.2">
      <c r="A1185" t="s">
        <v>1799</v>
      </c>
      <c r="D1185" t="s">
        <v>1072</v>
      </c>
      <c r="E1185" t="s">
        <v>71</v>
      </c>
      <c r="G1185" s="17" t="str">
        <f t="shared" si="37"/>
        <v>.</v>
      </c>
      <c r="H1185" s="17" t="str">
        <f t="shared" si="38"/>
        <v>SPREAD_CURVE.LAST_MODIFIED_DATE</v>
      </c>
      <c r="I1185" s="29"/>
      <c r="J1185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5" s="17"/>
    </row>
    <row r="1186" spans="1:11" hidden="1" x14ac:dyDescent="0.2">
      <c r="B1186" t="s">
        <v>2207</v>
      </c>
      <c r="C1186" t="s">
        <v>2209</v>
      </c>
      <c r="G1186" s="17" t="str">
        <f t="shared" si="37"/>
        <v>CODEFIELD.CODELEVEL</v>
      </c>
      <c r="H1186" s="17" t="str">
        <f t="shared" si="38"/>
        <v>.</v>
      </c>
      <c r="I1186" s="29"/>
      <c r="J1186" s="17" t="str">
        <f>IF(ColumnMapping[[#This Row],[Add Old Column to New Table?]]&lt;&gt;"y","",_xlfn.CONCAT(VLOOKUP(ColumnMapping[[#This Row],[Old Table Name]],TableMapping[[#All],[Old Table Name]:[New Table Name]],2,),".",ColumnMapping[[#This Row],[Old Column Name]]))</f>
        <v/>
      </c>
      <c r="K1186" s="17"/>
    </row>
    <row r="1187" spans="1:11" hidden="1" x14ac:dyDescent="0.2">
      <c r="B1187" s="14" t="s">
        <v>2453</v>
      </c>
      <c r="C1187" s="14" t="s">
        <v>2606</v>
      </c>
      <c r="D1187" s="14"/>
      <c r="E1187" s="14"/>
      <c r="F1187" s="14" t="s">
        <v>2607</v>
      </c>
      <c r="G1187" s="23" t="str">
        <f t="shared" si="37"/>
        <v>WST_SCA.CODE_NUMBER</v>
      </c>
      <c r="H1187" s="23" t="str">
        <f t="shared" si="38"/>
        <v>.</v>
      </c>
      <c r="I1187" s="30" t="s">
        <v>2411</v>
      </c>
      <c r="J1187" s="17" t="e">
        <f>IF(ColumnMapping[[#This Row],[Add Old Column to New Table?]]&lt;&gt;"y","",_xlfn.CONCAT(VLOOKUP(ColumnMapping[[#This Row],[Old Table Name]],TableMapping[[#All],[Old Table Name]:[New Table Name]],2,),".",ColumnMapping[[#This Row],[Old Column Name]]))</f>
        <v>#N/A</v>
      </c>
      <c r="K1187" s="17"/>
    </row>
    <row r="1188" spans="1:11" hidden="1" x14ac:dyDescent="0.2">
      <c r="A1188" s="20" t="s">
        <v>450</v>
      </c>
      <c r="B1188" s="17" t="s">
        <v>1913</v>
      </c>
      <c r="C1188" t="s">
        <v>2106</v>
      </c>
      <c r="D1188" s="17" t="s">
        <v>1913</v>
      </c>
      <c r="E1188" s="17" t="s">
        <v>47</v>
      </c>
      <c r="F1188" s="21"/>
      <c r="G1188" s="17" t="str">
        <f t="shared" si="37"/>
        <v>ACCOUNTS.ACCT</v>
      </c>
      <c r="H1188" s="17" t="str">
        <f t="shared" si="38"/>
        <v>ACCOUNTS.NAME</v>
      </c>
      <c r="I1188" s="35"/>
      <c r="J1188" s="17"/>
      <c r="K1188" s="17"/>
    </row>
    <row r="1189" spans="1:11" hidden="1" x14ac:dyDescent="0.2">
      <c r="A1189" s="20" t="s">
        <v>450</v>
      </c>
      <c r="B1189" s="17" t="s">
        <v>1913</v>
      </c>
      <c r="C1189" t="s">
        <v>2107</v>
      </c>
      <c r="D1189" s="17" t="s">
        <v>1913</v>
      </c>
      <c r="E1189" s="17" t="s">
        <v>15</v>
      </c>
      <c r="F1189" s="21"/>
      <c r="G1189" s="17" t="str">
        <f t="shared" si="37"/>
        <v>ACCOUNTS.ACCTDESC</v>
      </c>
      <c r="H1189" s="17" t="str">
        <f t="shared" si="38"/>
        <v>ACCOUNTS.DESCRIPTION</v>
      </c>
      <c r="I1189" s="35"/>
      <c r="J1189" s="17"/>
      <c r="K1189" s="17"/>
    </row>
    <row r="1190" spans="1:11" hidden="1" x14ac:dyDescent="0.2">
      <c r="A1190" s="20" t="s">
        <v>450</v>
      </c>
      <c r="B1190" s="17" t="s">
        <v>1913</v>
      </c>
      <c r="C1190" t="s">
        <v>744</v>
      </c>
      <c r="D1190" s="17" t="s">
        <v>1913</v>
      </c>
      <c r="E1190" s="17" t="s">
        <v>770</v>
      </c>
      <c r="F1190" s="21"/>
      <c r="G1190" s="17" t="str">
        <f t="shared" si="37"/>
        <v>ACCOUNTS.PROGRAM</v>
      </c>
      <c r="H1190" s="17" t="str">
        <f t="shared" si="38"/>
        <v>ACCOUNTS.PROJECT_UID</v>
      </c>
      <c r="I1190" s="35"/>
      <c r="J1190" s="17"/>
      <c r="K1190" s="17"/>
    </row>
    <row r="1191" spans="1:11" hidden="1" x14ac:dyDescent="0.2">
      <c r="A1191" s="20" t="s">
        <v>450</v>
      </c>
      <c r="B1191" s="17" t="s">
        <v>1913</v>
      </c>
      <c r="C1191" t="s">
        <v>1256</v>
      </c>
      <c r="D1191" s="17" t="s">
        <v>1913</v>
      </c>
      <c r="E1191" s="17" t="s">
        <v>1256</v>
      </c>
      <c r="F1191" s="21"/>
      <c r="G1191" s="17" t="str">
        <f t="shared" si="37"/>
        <v>ACCOUNTS.REQUIRED</v>
      </c>
      <c r="H1191" s="17" t="str">
        <f t="shared" si="38"/>
        <v>ACCOUNTS.REQUIRED</v>
      </c>
      <c r="I1191" s="35"/>
      <c r="J1191" s="17"/>
      <c r="K1191" s="17"/>
    </row>
    <row r="1192" spans="1:11" hidden="1" x14ac:dyDescent="0.2">
      <c r="A1192" s="20" t="s">
        <v>450</v>
      </c>
      <c r="B1192" s="17" t="s">
        <v>1913</v>
      </c>
      <c r="C1192" t="s">
        <v>744</v>
      </c>
      <c r="D1192" s="17" t="s">
        <v>1913</v>
      </c>
      <c r="E1192" s="17" t="s">
        <v>744</v>
      </c>
      <c r="F1192" s="21"/>
      <c r="G1192" s="17" t="str">
        <f t="shared" si="37"/>
        <v>ACCOUNTS.PROGRAM</v>
      </c>
      <c r="H1192" s="17" t="str">
        <f t="shared" si="38"/>
        <v>ACCOUNTS.PROGRAM</v>
      </c>
      <c r="I1192" s="35"/>
      <c r="J1192" s="17"/>
      <c r="K1192" s="17"/>
    </row>
    <row r="1193" spans="1:11" hidden="1" x14ac:dyDescent="0.2">
      <c r="A1193" s="20" t="s">
        <v>450</v>
      </c>
      <c r="B1193" s="17"/>
      <c r="C1193" s="17"/>
      <c r="D1193" s="17" t="s">
        <v>1913</v>
      </c>
      <c r="E1193" t="s">
        <v>30</v>
      </c>
      <c r="F1193" s="21"/>
      <c r="G1193" s="17" t="str">
        <f t="shared" si="37"/>
        <v>.</v>
      </c>
      <c r="H1193" s="17" t="str">
        <f t="shared" si="38"/>
        <v>ACCOUNTS.ROW_UID</v>
      </c>
      <c r="I1193" s="35"/>
      <c r="J1193" s="17"/>
      <c r="K1193" s="17"/>
    </row>
    <row r="1194" spans="1:11" hidden="1" x14ac:dyDescent="0.2">
      <c r="A1194" s="20" t="s">
        <v>450</v>
      </c>
      <c r="B1194" s="17"/>
      <c r="C1194" s="17"/>
      <c r="D1194" s="17" t="s">
        <v>1913</v>
      </c>
      <c r="E1194" t="s">
        <v>35</v>
      </c>
      <c r="F1194" s="21"/>
      <c r="G1194" s="17" t="str">
        <f t="shared" si="37"/>
        <v>.</v>
      </c>
      <c r="H1194" s="17" t="str">
        <f t="shared" si="38"/>
        <v>ACCOUNTS.SEQUENCE</v>
      </c>
      <c r="I1194" s="35"/>
      <c r="J1194" s="17"/>
      <c r="K1194" s="17"/>
    </row>
    <row r="1195" spans="1:11" hidden="1" x14ac:dyDescent="0.2">
      <c r="A1195" s="20" t="s">
        <v>450</v>
      </c>
      <c r="B1195" s="17"/>
      <c r="C1195" s="17"/>
      <c r="D1195" s="17" t="s">
        <v>1913</v>
      </c>
      <c r="E1195" s="18" t="s">
        <v>61</v>
      </c>
      <c r="F1195" s="21"/>
      <c r="G1195" s="17" t="str">
        <f t="shared" si="37"/>
        <v>.</v>
      </c>
      <c r="H1195" s="17" t="str">
        <f t="shared" si="38"/>
        <v>ACCOUNTS.CREATED_BY_USER_UID</v>
      </c>
      <c r="I1195" s="35"/>
      <c r="J1195" s="17"/>
      <c r="K1195" s="17"/>
    </row>
    <row r="1196" spans="1:11" s="52" customFormat="1" hidden="1" x14ac:dyDescent="0.2">
      <c r="A1196" s="20" t="s">
        <v>450</v>
      </c>
      <c r="B1196" s="17"/>
      <c r="C1196" s="17"/>
      <c r="D1196" s="17" t="s">
        <v>1913</v>
      </c>
      <c r="E1196" t="s">
        <v>64</v>
      </c>
      <c r="F1196" s="21"/>
      <c r="G1196" s="17" t="str">
        <f t="shared" si="37"/>
        <v>.</v>
      </c>
      <c r="H1196" s="17" t="str">
        <f t="shared" si="38"/>
        <v>ACCOUNTS.CREATED_DATE</v>
      </c>
      <c r="I1196" s="35"/>
      <c r="J1196" s="17"/>
      <c r="K1196" s="17"/>
    </row>
    <row r="1197" spans="1:11" s="52" customFormat="1" hidden="1" x14ac:dyDescent="0.2">
      <c r="A1197" s="20" t="s">
        <v>450</v>
      </c>
      <c r="B1197" s="17"/>
      <c r="C1197" s="17"/>
      <c r="D1197" s="17" t="s">
        <v>1913</v>
      </c>
      <c r="E1197" t="s">
        <v>68</v>
      </c>
      <c r="F1197" s="21"/>
      <c r="G1197" s="17" t="str">
        <f t="shared" si="37"/>
        <v>.</v>
      </c>
      <c r="H1197" s="17" t="str">
        <f t="shared" si="38"/>
        <v>ACCOUNTS.LAST_MODIFIED_BY_USER_UID</v>
      </c>
      <c r="I1197" s="35"/>
      <c r="J1197" s="17"/>
      <c r="K1197" s="17"/>
    </row>
    <row r="1198" spans="1:11" s="52" customFormat="1" hidden="1" x14ac:dyDescent="0.2">
      <c r="A1198" s="20" t="s">
        <v>450</v>
      </c>
      <c r="B1198" s="20"/>
      <c r="C1198" s="17"/>
      <c r="D1198" s="17" t="s">
        <v>1913</v>
      </c>
      <c r="E1198" t="s">
        <v>71</v>
      </c>
      <c r="F1198" s="21"/>
      <c r="G1198" s="17" t="str">
        <f t="shared" si="37"/>
        <v>.</v>
      </c>
      <c r="H1198" s="17" t="str">
        <f t="shared" si="38"/>
        <v>ACCOUNTS.LAST_MODIFIED_DATE</v>
      </c>
      <c r="I1198" s="35"/>
      <c r="J1198" s="17"/>
      <c r="K1198" s="17"/>
    </row>
    <row r="1199" spans="1:11" s="52" customFormat="1" hidden="1" x14ac:dyDescent="0.2">
      <c r="A1199" s="51"/>
      <c r="B1199" s="52" t="s">
        <v>2109</v>
      </c>
      <c r="C1199" s="52" t="s">
        <v>1501</v>
      </c>
      <c r="D1199" s="52" t="s">
        <v>2109</v>
      </c>
      <c r="E1199" s="52" t="s">
        <v>1501</v>
      </c>
      <c r="F1199" s="53"/>
      <c r="G1199" s="52" t="str">
        <f t="shared" si="37"/>
        <v>APPBE.CALCFILE</v>
      </c>
      <c r="H1199" s="52" t="str">
        <f t="shared" si="38"/>
        <v>APPBE.CALCFILE</v>
      </c>
      <c r="I1199" s="54"/>
    </row>
    <row r="1200" spans="1:11" s="52" customFormat="1" hidden="1" x14ac:dyDescent="0.2">
      <c r="A1200" s="51"/>
      <c r="B1200" s="52" t="s">
        <v>2109</v>
      </c>
      <c r="C1200" s="52" t="s">
        <v>2110</v>
      </c>
      <c r="D1200" s="52" t="s">
        <v>2109</v>
      </c>
      <c r="E1200" s="52" t="s">
        <v>2110</v>
      </c>
      <c r="F1200" s="53"/>
      <c r="G1200" s="52" t="str">
        <f t="shared" si="37"/>
        <v>APPBE.CALCORDER</v>
      </c>
      <c r="H1200" s="52" t="str">
        <f t="shared" si="38"/>
        <v>APPBE.CALCORDER</v>
      </c>
      <c r="I1200" s="54"/>
    </row>
    <row r="1201" spans="1:9" s="52" customFormat="1" hidden="1" x14ac:dyDescent="0.2">
      <c r="A1201" s="51"/>
      <c r="B1201" s="52" t="s">
        <v>2109</v>
      </c>
      <c r="C1201" s="52" t="s">
        <v>1098</v>
      </c>
      <c r="D1201" s="52" t="s">
        <v>2109</v>
      </c>
      <c r="E1201" s="52" t="s">
        <v>1098</v>
      </c>
      <c r="F1201" s="53"/>
      <c r="G1201" s="52" t="str">
        <f t="shared" si="37"/>
        <v>APPBE.CECODE</v>
      </c>
      <c r="H1201" s="52" t="str">
        <f t="shared" si="38"/>
        <v>APPBE.CECODE</v>
      </c>
      <c r="I1201" s="54"/>
    </row>
    <row r="1202" spans="1:9" s="52" customFormat="1" hidden="1" x14ac:dyDescent="0.2">
      <c r="A1202" s="51"/>
      <c r="B1202" s="52" t="s">
        <v>2109</v>
      </c>
      <c r="C1202" s="52" t="s">
        <v>2111</v>
      </c>
      <c r="D1202" s="52" t="s">
        <v>2109</v>
      </c>
      <c r="E1202" s="52" t="s">
        <v>71</v>
      </c>
      <c r="F1202" s="53"/>
      <c r="G1202" s="52" t="str">
        <f t="shared" si="37"/>
        <v>APPBE.LASTUPDATE</v>
      </c>
      <c r="H1202" s="52" t="str">
        <f t="shared" si="38"/>
        <v>APPBE.LAST_MODIFIED_DATE</v>
      </c>
      <c r="I1202" s="54"/>
    </row>
    <row r="1203" spans="1:9" s="52" customFormat="1" hidden="1" x14ac:dyDescent="0.2">
      <c r="A1203" s="51"/>
      <c r="B1203" s="52" t="s">
        <v>2109</v>
      </c>
      <c r="C1203" s="52" t="s">
        <v>865</v>
      </c>
      <c r="D1203" s="52" t="s">
        <v>2109</v>
      </c>
      <c r="E1203" s="52" t="s">
        <v>865</v>
      </c>
      <c r="F1203" s="53"/>
      <c r="G1203" s="52" t="str">
        <f t="shared" si="37"/>
        <v>APPBE.RESULT</v>
      </c>
      <c r="H1203" s="52" t="str">
        <f t="shared" si="38"/>
        <v>APPBE.RESULT</v>
      </c>
      <c r="I1203" s="54"/>
    </row>
    <row r="1204" spans="1:9" s="52" customFormat="1" hidden="1" x14ac:dyDescent="0.2">
      <c r="A1204" s="51"/>
      <c r="B1204" s="52" t="s">
        <v>2109</v>
      </c>
      <c r="C1204" s="52" t="s">
        <v>35</v>
      </c>
      <c r="D1204" s="52" t="s">
        <v>2109</v>
      </c>
      <c r="E1204" s="52" t="s">
        <v>35</v>
      </c>
      <c r="F1204" s="53"/>
      <c r="G1204" s="52" t="str">
        <f t="shared" si="37"/>
        <v>APPBE.SEQUENCE</v>
      </c>
      <c r="H1204" s="52" t="str">
        <f t="shared" si="38"/>
        <v>APPBE.SEQUENCE</v>
      </c>
      <c r="I1204" s="54"/>
    </row>
    <row r="1205" spans="1:9" s="52" customFormat="1" hidden="1" x14ac:dyDescent="0.2">
      <c r="A1205" s="51"/>
      <c r="B1205" s="52" t="s">
        <v>2109</v>
      </c>
      <c r="C1205" s="52" t="s">
        <v>2112</v>
      </c>
      <c r="D1205" s="52" t="s">
        <v>2109</v>
      </c>
      <c r="E1205" s="52" t="s">
        <v>68</v>
      </c>
      <c r="F1205" s="53"/>
      <c r="G1205" s="52" t="str">
        <f t="shared" si="37"/>
        <v>APPBE.USR_ID</v>
      </c>
      <c r="H1205" s="52" t="str">
        <f t="shared" si="38"/>
        <v>APPBE.LAST_MODIFIED_BY_USER_UID</v>
      </c>
      <c r="I1205" s="54"/>
    </row>
    <row r="1206" spans="1:9" s="52" customFormat="1" hidden="1" x14ac:dyDescent="0.2">
      <c r="A1206" s="51"/>
      <c r="D1206" s="52" t="s">
        <v>2109</v>
      </c>
      <c r="E1206" s="52" t="s">
        <v>30</v>
      </c>
      <c r="F1206" s="53"/>
      <c r="G1206" s="52" t="str">
        <f t="shared" si="37"/>
        <v>.</v>
      </c>
      <c r="H1206" s="52" t="str">
        <f t="shared" si="38"/>
        <v>APPBE.ROW_UID</v>
      </c>
      <c r="I1206" s="54"/>
    </row>
    <row r="1207" spans="1:9" s="52" customFormat="1" hidden="1" x14ac:dyDescent="0.2">
      <c r="A1207" s="51"/>
      <c r="D1207" s="52" t="s">
        <v>2109</v>
      </c>
      <c r="E1207" s="55" t="s">
        <v>61</v>
      </c>
      <c r="F1207" s="53"/>
      <c r="G1207" s="52" t="str">
        <f t="shared" si="37"/>
        <v>.</v>
      </c>
      <c r="H1207" s="52" t="str">
        <f t="shared" si="38"/>
        <v>APPBE.CREATED_BY_USER_UID</v>
      </c>
      <c r="I1207" s="54"/>
    </row>
    <row r="1208" spans="1:9" s="52" customFormat="1" hidden="1" x14ac:dyDescent="0.2">
      <c r="A1208" s="51"/>
      <c r="D1208" s="52" t="s">
        <v>2109</v>
      </c>
      <c r="E1208" s="52" t="s">
        <v>64</v>
      </c>
      <c r="F1208" s="53"/>
      <c r="G1208" s="52" t="str">
        <f t="shared" si="37"/>
        <v>.</v>
      </c>
      <c r="H1208" s="52" t="str">
        <f t="shared" si="38"/>
        <v>APPBE.CREATED_DATE</v>
      </c>
      <c r="I1208" s="54"/>
    </row>
    <row r="1209" spans="1:9" s="52" customFormat="1" hidden="1" x14ac:dyDescent="0.2">
      <c r="A1209" s="51"/>
      <c r="B1209" s="52" t="s">
        <v>2113</v>
      </c>
      <c r="C1209" s="52" t="s">
        <v>1501</v>
      </c>
      <c r="D1209" s="52" t="s">
        <v>2113</v>
      </c>
      <c r="E1209" s="52" t="s">
        <v>1501</v>
      </c>
      <c r="F1209" s="53"/>
      <c r="G1209" s="52" t="e">
        <f>_xlfn.CONCAT(B1209,".",#REF!)</f>
        <v>#REF!</v>
      </c>
      <c r="H1209" s="52" t="str">
        <f t="shared" si="38"/>
        <v>APPBEDTL.CALCFILE</v>
      </c>
      <c r="I1209" s="54"/>
    </row>
    <row r="1210" spans="1:9" s="52" customFormat="1" hidden="1" x14ac:dyDescent="0.2">
      <c r="A1210" s="51"/>
      <c r="B1210" s="52" t="s">
        <v>2113</v>
      </c>
      <c r="C1210" s="52" t="s">
        <v>1098</v>
      </c>
      <c r="D1210" s="52" t="s">
        <v>2113</v>
      </c>
      <c r="E1210" s="52" t="s">
        <v>1098</v>
      </c>
      <c r="F1210" s="53"/>
      <c r="G1210" s="52" t="str">
        <f>_xlfn.CONCAT(B1210,".",C1209)</f>
        <v>APPBEDTL.CALCFILE</v>
      </c>
      <c r="H1210" s="52" t="str">
        <f t="shared" si="38"/>
        <v>APPBEDTL.CECODE</v>
      </c>
      <c r="I1210" s="54"/>
    </row>
    <row r="1211" spans="1:9" s="52" customFormat="1" hidden="1" x14ac:dyDescent="0.2">
      <c r="A1211" s="51"/>
      <c r="B1211" s="52" t="s">
        <v>2113</v>
      </c>
      <c r="C1211" s="52" t="s">
        <v>2111</v>
      </c>
      <c r="D1211" s="52" t="s">
        <v>2113</v>
      </c>
      <c r="E1211" s="52" t="s">
        <v>71</v>
      </c>
      <c r="F1211" s="53"/>
      <c r="G1211" s="52" t="str">
        <f t="shared" ref="G1211:G1242" si="39">_xlfn.CONCAT(B1211,".",C1211)</f>
        <v>APPBEDTL.LASTUPDATE</v>
      </c>
      <c r="H1211" s="52" t="str">
        <f t="shared" si="38"/>
        <v>APPBEDTL.LAST_MODIFIED_DATE</v>
      </c>
      <c r="I1211" s="54"/>
    </row>
    <row r="1212" spans="1:9" s="52" customFormat="1" hidden="1" x14ac:dyDescent="0.2">
      <c r="A1212" s="51"/>
      <c r="B1212" s="52" t="s">
        <v>2113</v>
      </c>
      <c r="C1212" s="52" t="s">
        <v>35</v>
      </c>
      <c r="D1212" s="52" t="s">
        <v>2113</v>
      </c>
      <c r="E1212" s="52" t="s">
        <v>35</v>
      </c>
      <c r="F1212" s="53"/>
      <c r="G1212" s="52" t="str">
        <f t="shared" si="39"/>
        <v>APPBEDTL.SEQUENCE</v>
      </c>
      <c r="H1212" s="52" t="str">
        <f t="shared" si="38"/>
        <v>APPBEDTL.SEQUENCE</v>
      </c>
      <c r="I1212" s="54"/>
    </row>
    <row r="1213" spans="1:9" s="52" customFormat="1" hidden="1" x14ac:dyDescent="0.2">
      <c r="A1213" s="51"/>
      <c r="B1213" s="52" t="s">
        <v>2113</v>
      </c>
      <c r="C1213" s="52" t="s">
        <v>2114</v>
      </c>
      <c r="D1213" s="52" t="s">
        <v>2113</v>
      </c>
      <c r="E1213" s="52" t="s">
        <v>2114</v>
      </c>
      <c r="F1213" s="53"/>
      <c r="G1213" s="52" t="str">
        <f t="shared" si="39"/>
        <v>APPBEDTL.SRC_CECODE</v>
      </c>
      <c r="H1213" s="52" t="str">
        <f t="shared" si="38"/>
        <v>APPBEDTL.SRC_CECODE</v>
      </c>
      <c r="I1213" s="54"/>
    </row>
    <row r="1214" spans="1:9" s="52" customFormat="1" hidden="1" x14ac:dyDescent="0.2">
      <c r="A1214" s="51"/>
      <c r="B1214" s="52" t="s">
        <v>2113</v>
      </c>
      <c r="C1214" s="52" t="s">
        <v>2112</v>
      </c>
      <c r="D1214" s="52" t="s">
        <v>2113</v>
      </c>
      <c r="E1214" s="52" t="s">
        <v>68</v>
      </c>
      <c r="F1214" s="53"/>
      <c r="G1214" s="52" t="str">
        <f t="shared" si="39"/>
        <v>APPBEDTL.USR_ID</v>
      </c>
      <c r="H1214" s="52" t="str">
        <f t="shared" si="38"/>
        <v>APPBEDTL.LAST_MODIFIED_BY_USER_UID</v>
      </c>
      <c r="I1214" s="54"/>
    </row>
    <row r="1215" spans="1:9" s="52" customFormat="1" hidden="1" x14ac:dyDescent="0.2">
      <c r="A1215" s="51"/>
      <c r="D1215" s="52" t="s">
        <v>2113</v>
      </c>
      <c r="E1215" s="52" t="s">
        <v>30</v>
      </c>
      <c r="F1215" s="53"/>
      <c r="G1215" s="52" t="str">
        <f t="shared" si="39"/>
        <v>.</v>
      </c>
      <c r="H1215" s="52" t="str">
        <f t="shared" si="38"/>
        <v>APPBEDTL.ROW_UID</v>
      </c>
      <c r="I1215" s="54"/>
    </row>
    <row r="1216" spans="1:9" s="52" customFormat="1" hidden="1" x14ac:dyDescent="0.2">
      <c r="A1216" s="51"/>
      <c r="D1216" s="52" t="s">
        <v>2113</v>
      </c>
      <c r="E1216" s="55" t="s">
        <v>61</v>
      </c>
      <c r="F1216" s="53"/>
      <c r="G1216" s="52" t="str">
        <f t="shared" si="39"/>
        <v>.</v>
      </c>
      <c r="H1216" s="52" t="str">
        <f t="shared" si="38"/>
        <v>APPBEDTL.CREATED_BY_USER_UID</v>
      </c>
      <c r="I1216" s="54"/>
    </row>
    <row r="1217" spans="1:9" s="52" customFormat="1" hidden="1" x14ac:dyDescent="0.2">
      <c r="A1217" s="51"/>
      <c r="D1217" s="52" t="s">
        <v>2113</v>
      </c>
      <c r="E1217" s="52" t="s">
        <v>64</v>
      </c>
      <c r="F1217" s="53"/>
      <c r="G1217" s="52" t="str">
        <f t="shared" si="39"/>
        <v>.</v>
      </c>
      <c r="H1217" s="52" t="str">
        <f t="shared" si="38"/>
        <v>APPBEDTL.CREATED_DATE</v>
      </c>
      <c r="I1217" s="54"/>
    </row>
    <row r="1218" spans="1:9" s="52" customFormat="1" hidden="1" x14ac:dyDescent="0.2">
      <c r="A1218" s="51"/>
      <c r="B1218" s="52" t="s">
        <v>2115</v>
      </c>
      <c r="C1218" s="52" t="s">
        <v>1098</v>
      </c>
      <c r="D1218" s="52" t="s">
        <v>2115</v>
      </c>
      <c r="E1218" s="52" t="s">
        <v>1098</v>
      </c>
      <c r="F1218" s="53"/>
      <c r="G1218" s="52" t="str">
        <f t="shared" si="39"/>
        <v>APPMAPSC.CECODE</v>
      </c>
      <c r="H1218" s="52" t="str">
        <f t="shared" si="38"/>
        <v>APPMAPSC.CECODE</v>
      </c>
      <c r="I1218" s="54"/>
    </row>
    <row r="1219" spans="1:9" s="52" customFormat="1" hidden="1" x14ac:dyDescent="0.2">
      <c r="A1219" s="51"/>
      <c r="B1219" s="52" t="s">
        <v>2115</v>
      </c>
      <c r="C1219" s="52" t="s">
        <v>2111</v>
      </c>
      <c r="D1219" s="52" t="s">
        <v>2115</v>
      </c>
      <c r="E1219" s="52" t="s">
        <v>71</v>
      </c>
      <c r="F1219" s="53"/>
      <c r="G1219" s="52" t="str">
        <f t="shared" si="39"/>
        <v>APPMAPSC.LASTUPDATE</v>
      </c>
      <c r="H1219" s="52" t="str">
        <f t="shared" si="38"/>
        <v>APPMAPSC.LAST_MODIFIED_DATE</v>
      </c>
      <c r="I1219" s="54"/>
    </row>
    <row r="1220" spans="1:9" s="52" customFormat="1" hidden="1" x14ac:dyDescent="0.2">
      <c r="A1220" s="51"/>
      <c r="B1220" s="52" t="s">
        <v>2115</v>
      </c>
      <c r="C1220" s="52" t="s">
        <v>744</v>
      </c>
      <c r="D1220" s="52" t="s">
        <v>2115</v>
      </c>
      <c r="E1220" s="52" t="s">
        <v>770</v>
      </c>
      <c r="F1220" s="53"/>
      <c r="G1220" s="52" t="str">
        <f t="shared" si="39"/>
        <v>APPMAPSC.PROGRAM</v>
      </c>
      <c r="H1220" s="52" t="str">
        <f t="shared" si="38"/>
        <v>APPMAPSC.PROJECT_UID</v>
      </c>
      <c r="I1220" s="54"/>
    </row>
    <row r="1221" spans="1:9" s="52" customFormat="1" hidden="1" x14ac:dyDescent="0.2">
      <c r="A1221" s="51"/>
      <c r="B1221" s="52" t="s">
        <v>2115</v>
      </c>
      <c r="C1221" s="52" t="s">
        <v>744</v>
      </c>
      <c r="D1221" s="52" t="s">
        <v>2115</v>
      </c>
      <c r="E1221" s="52" t="s">
        <v>744</v>
      </c>
      <c r="F1221" s="53"/>
      <c r="G1221" s="52" t="str">
        <f t="shared" si="39"/>
        <v>APPMAPSC.PROGRAM</v>
      </c>
      <c r="H1221" s="52" t="str">
        <f t="shared" si="38"/>
        <v>APPMAPSC.PROGRAM</v>
      </c>
      <c r="I1221" s="54"/>
    </row>
    <row r="1222" spans="1:9" s="52" customFormat="1" hidden="1" x14ac:dyDescent="0.2">
      <c r="A1222" s="51"/>
      <c r="B1222" s="52" t="s">
        <v>2115</v>
      </c>
      <c r="C1222" s="52" t="s">
        <v>35</v>
      </c>
      <c r="D1222" s="52" t="s">
        <v>2115</v>
      </c>
      <c r="E1222" s="52" t="s">
        <v>35</v>
      </c>
      <c r="F1222" s="53"/>
      <c r="G1222" s="52" t="str">
        <f t="shared" si="39"/>
        <v>APPMAPSC.SEQUENCE</v>
      </c>
      <c r="H1222" s="52" t="str">
        <f t="shared" si="38"/>
        <v>APPMAPSC.SEQUENCE</v>
      </c>
      <c r="I1222" s="54"/>
    </row>
    <row r="1223" spans="1:9" s="52" customFormat="1" hidden="1" x14ac:dyDescent="0.2">
      <c r="A1223" s="51"/>
      <c r="B1223" s="52" t="s">
        <v>2115</v>
      </c>
      <c r="C1223" s="52" t="s">
        <v>2116</v>
      </c>
      <c r="D1223" s="52" t="s">
        <v>2115</v>
      </c>
      <c r="E1223" s="52" t="s">
        <v>2116</v>
      </c>
      <c r="F1223" s="53"/>
      <c r="G1223" s="52" t="str">
        <f t="shared" si="39"/>
        <v>APPMAPSC.SRC_CAWP</v>
      </c>
      <c r="H1223" s="52" t="str">
        <f t="shared" si="38"/>
        <v>APPMAPSC.SRC_CAWP</v>
      </c>
      <c r="I1223" s="54"/>
    </row>
    <row r="1224" spans="1:9" s="52" customFormat="1" hidden="1" x14ac:dyDescent="0.2">
      <c r="A1224" s="51"/>
      <c r="B1224" s="52" t="s">
        <v>2115</v>
      </c>
      <c r="C1224" s="52" t="s">
        <v>2117</v>
      </c>
      <c r="D1224" s="52" t="s">
        <v>2115</v>
      </c>
      <c r="E1224" s="52" t="s">
        <v>2117</v>
      </c>
      <c r="F1224" s="53"/>
      <c r="G1224" s="52" t="str">
        <f t="shared" si="39"/>
        <v>APPMAPSC.SRC_CAWPID</v>
      </c>
      <c r="H1224" s="52" t="str">
        <f t="shared" si="38"/>
        <v>APPMAPSC.SRC_CAWPID</v>
      </c>
      <c r="I1224" s="54"/>
    </row>
    <row r="1225" spans="1:9" s="52" customFormat="1" hidden="1" x14ac:dyDescent="0.2">
      <c r="A1225" s="51"/>
      <c r="B1225" s="52" t="s">
        <v>2115</v>
      </c>
      <c r="C1225" s="52" t="s">
        <v>2118</v>
      </c>
      <c r="D1225" s="52" t="s">
        <v>2115</v>
      </c>
      <c r="E1225" s="52" t="s">
        <v>2118</v>
      </c>
      <c r="F1225" s="53"/>
      <c r="G1225" s="52" t="str">
        <f t="shared" si="39"/>
        <v>APPMAPSC.SRC_PROG</v>
      </c>
      <c r="H1225" s="52" t="str">
        <f t="shared" si="38"/>
        <v>APPMAPSC.SRC_PROG</v>
      </c>
      <c r="I1225" s="54"/>
    </row>
    <row r="1226" spans="1:9" s="52" customFormat="1" hidden="1" x14ac:dyDescent="0.2">
      <c r="A1226" s="51"/>
      <c r="B1226" s="52" t="s">
        <v>2115</v>
      </c>
      <c r="C1226" s="52" t="s">
        <v>2119</v>
      </c>
      <c r="D1226" s="52" t="s">
        <v>2115</v>
      </c>
      <c r="E1226" s="52" t="s">
        <v>2119</v>
      </c>
      <c r="F1226" s="53"/>
      <c r="G1226" s="52" t="str">
        <f t="shared" si="39"/>
        <v>APPMAPSC.TRG_CAWPID</v>
      </c>
      <c r="H1226" s="52" t="str">
        <f t="shared" si="38"/>
        <v>APPMAPSC.TRG_CAWPID</v>
      </c>
      <c r="I1226" s="54"/>
    </row>
    <row r="1227" spans="1:9" s="52" customFormat="1" hidden="1" x14ac:dyDescent="0.2">
      <c r="A1227" s="51"/>
      <c r="B1227" s="52" t="s">
        <v>2115</v>
      </c>
      <c r="C1227" s="52" t="s">
        <v>2120</v>
      </c>
      <c r="D1227" s="52" t="s">
        <v>2115</v>
      </c>
      <c r="E1227" s="52" t="s">
        <v>2120</v>
      </c>
      <c r="F1227" s="53"/>
      <c r="G1227" s="52" t="str">
        <f t="shared" si="39"/>
        <v>APPMAPSC.TRG_PROG</v>
      </c>
      <c r="H1227" s="52" t="str">
        <f t="shared" si="38"/>
        <v>APPMAPSC.TRG_PROG</v>
      </c>
      <c r="I1227" s="54"/>
    </row>
    <row r="1228" spans="1:9" s="52" customFormat="1" hidden="1" x14ac:dyDescent="0.2">
      <c r="A1228" s="51"/>
      <c r="B1228" s="52" t="s">
        <v>2115</v>
      </c>
      <c r="C1228" s="52" t="s">
        <v>2112</v>
      </c>
      <c r="D1228" s="52" t="s">
        <v>2115</v>
      </c>
      <c r="E1228" s="52" t="s">
        <v>68</v>
      </c>
      <c r="F1228" s="53"/>
      <c r="G1228" s="52" t="str">
        <f t="shared" si="39"/>
        <v>APPMAPSC.USR_ID</v>
      </c>
      <c r="H1228" s="52" t="str">
        <f t="shared" si="38"/>
        <v>APPMAPSC.LAST_MODIFIED_BY_USER_UID</v>
      </c>
      <c r="I1228" s="54"/>
    </row>
    <row r="1229" spans="1:9" s="52" customFormat="1" hidden="1" x14ac:dyDescent="0.2">
      <c r="A1229" s="51"/>
      <c r="D1229" s="52" t="s">
        <v>2115</v>
      </c>
      <c r="E1229" s="52" t="s">
        <v>30</v>
      </c>
      <c r="F1229" s="53"/>
      <c r="G1229" s="52" t="str">
        <f t="shared" si="39"/>
        <v>.</v>
      </c>
      <c r="H1229" s="52" t="str">
        <f t="shared" si="38"/>
        <v>APPMAPSC.ROW_UID</v>
      </c>
      <c r="I1229" s="54"/>
    </row>
    <row r="1230" spans="1:9" s="52" customFormat="1" hidden="1" x14ac:dyDescent="0.2">
      <c r="A1230" s="51"/>
      <c r="D1230" s="52" t="s">
        <v>2115</v>
      </c>
      <c r="E1230" s="56" t="s">
        <v>61</v>
      </c>
      <c r="F1230" s="53"/>
      <c r="G1230" s="52" t="str">
        <f t="shared" si="39"/>
        <v>.</v>
      </c>
      <c r="H1230" s="52" t="str">
        <f t="shared" si="38"/>
        <v>APPMAPSC.CREATED_BY_USER_UID</v>
      </c>
      <c r="I1230" s="54"/>
    </row>
    <row r="1231" spans="1:9" s="52" customFormat="1" hidden="1" x14ac:dyDescent="0.2">
      <c r="A1231" s="51"/>
      <c r="D1231" s="52" t="s">
        <v>2115</v>
      </c>
      <c r="E1231" s="52" t="s">
        <v>64</v>
      </c>
      <c r="F1231" s="53"/>
      <c r="G1231" s="52" t="str">
        <f t="shared" si="39"/>
        <v>.</v>
      </c>
      <c r="H1231" s="52" t="str">
        <f t="shared" si="38"/>
        <v>APPMAPSC.CREATED_DATE</v>
      </c>
      <c r="I1231" s="54"/>
    </row>
    <row r="1232" spans="1:9" s="52" customFormat="1" hidden="1" x14ac:dyDescent="0.2">
      <c r="A1232" s="51"/>
      <c r="B1232" s="52" t="s">
        <v>2121</v>
      </c>
      <c r="C1232" s="52" t="s">
        <v>1098</v>
      </c>
      <c r="D1232" s="52" t="s">
        <v>2121</v>
      </c>
      <c r="E1232" s="52" t="s">
        <v>1098</v>
      </c>
      <c r="F1232" s="53"/>
      <c r="G1232" s="52" t="str">
        <f t="shared" si="39"/>
        <v>APPMAPTG.CECODE</v>
      </c>
      <c r="H1232" s="52" t="str">
        <f t="shared" si="38"/>
        <v>APPMAPTG.CECODE</v>
      </c>
      <c r="I1232" s="54"/>
    </row>
    <row r="1233" spans="1:11" s="52" customFormat="1" hidden="1" x14ac:dyDescent="0.2">
      <c r="A1233" s="51"/>
      <c r="B1233" s="57" t="s">
        <v>2121</v>
      </c>
      <c r="C1233" s="57" t="s">
        <v>2111</v>
      </c>
      <c r="D1233" s="57" t="s">
        <v>2121</v>
      </c>
      <c r="E1233" s="52" t="s">
        <v>71</v>
      </c>
      <c r="F1233" s="58"/>
      <c r="G1233" s="57" t="str">
        <f t="shared" si="39"/>
        <v>APPMAPTG.LASTUPDATE</v>
      </c>
      <c r="H1233" s="57" t="str">
        <f t="shared" si="38"/>
        <v>APPMAPTG.LAST_MODIFIED_DATE</v>
      </c>
      <c r="I1233" s="54"/>
      <c r="J1233" s="57"/>
      <c r="K1233" s="57"/>
    </row>
    <row r="1234" spans="1:11" s="52" customFormat="1" hidden="1" x14ac:dyDescent="0.2">
      <c r="A1234" s="51"/>
      <c r="B1234" s="57" t="s">
        <v>2121</v>
      </c>
      <c r="C1234" s="57" t="s">
        <v>744</v>
      </c>
      <c r="D1234" s="57" t="s">
        <v>2121</v>
      </c>
      <c r="E1234" s="52" t="s">
        <v>744</v>
      </c>
      <c r="F1234" s="58"/>
      <c r="G1234" s="57" t="str">
        <f t="shared" si="39"/>
        <v>APPMAPTG.PROGRAM</v>
      </c>
      <c r="H1234" s="57" t="str">
        <f t="shared" si="38"/>
        <v>APPMAPTG.PROGRAM</v>
      </c>
      <c r="I1234" s="54"/>
      <c r="J1234" s="57"/>
      <c r="K1234" s="57"/>
    </row>
    <row r="1235" spans="1:11" s="52" customFormat="1" hidden="1" x14ac:dyDescent="0.2">
      <c r="A1235" s="51"/>
      <c r="B1235" s="57" t="s">
        <v>2121</v>
      </c>
      <c r="C1235" s="57" t="s">
        <v>744</v>
      </c>
      <c r="D1235" s="57" t="s">
        <v>2121</v>
      </c>
      <c r="E1235" s="57" t="s">
        <v>770</v>
      </c>
      <c r="F1235" s="58"/>
      <c r="G1235" s="57" t="str">
        <f t="shared" si="39"/>
        <v>APPMAPTG.PROGRAM</v>
      </c>
      <c r="H1235" s="57" t="str">
        <f t="shared" si="38"/>
        <v>APPMAPTG.PROJECT_UID</v>
      </c>
      <c r="I1235" s="54"/>
      <c r="J1235" s="57"/>
      <c r="K1235" s="57"/>
    </row>
    <row r="1236" spans="1:11" s="52" customFormat="1" hidden="1" x14ac:dyDescent="0.2">
      <c r="A1236" s="51"/>
      <c r="B1236" s="57" t="s">
        <v>2121</v>
      </c>
      <c r="C1236" s="57" t="s">
        <v>1434</v>
      </c>
      <c r="D1236" s="57" t="s">
        <v>2121</v>
      </c>
      <c r="E1236" s="52" t="s">
        <v>1434</v>
      </c>
      <c r="F1236" s="58"/>
      <c r="G1236" s="57" t="str">
        <f t="shared" si="39"/>
        <v>APPMAPTG.RATE_TABLE</v>
      </c>
      <c r="H1236" s="57" t="str">
        <f t="shared" si="38"/>
        <v>APPMAPTG.RATE_TABLE</v>
      </c>
      <c r="I1236" s="54"/>
      <c r="J1236" s="57"/>
      <c r="K1236" s="57"/>
    </row>
    <row r="1237" spans="1:11" s="52" customFormat="1" hidden="1" x14ac:dyDescent="0.2">
      <c r="A1237" s="51"/>
      <c r="B1237" s="57" t="s">
        <v>2121</v>
      </c>
      <c r="C1237" s="57" t="s">
        <v>35</v>
      </c>
      <c r="D1237" s="57" t="s">
        <v>2121</v>
      </c>
      <c r="E1237" s="52" t="s">
        <v>35</v>
      </c>
      <c r="F1237" s="58"/>
      <c r="G1237" s="57" t="str">
        <f t="shared" si="39"/>
        <v>APPMAPTG.SEQUENCE</v>
      </c>
      <c r="H1237" s="57" t="str">
        <f t="shared" si="38"/>
        <v>APPMAPTG.SEQUENCE</v>
      </c>
      <c r="I1237" s="54"/>
      <c r="J1237" s="57"/>
      <c r="K1237" s="57"/>
    </row>
    <row r="1238" spans="1:11" s="52" customFormat="1" hidden="1" x14ac:dyDescent="0.2">
      <c r="A1238" s="51"/>
      <c r="B1238" s="57" t="s">
        <v>2121</v>
      </c>
      <c r="C1238" s="57" t="s">
        <v>2122</v>
      </c>
      <c r="D1238" s="57" t="s">
        <v>2121</v>
      </c>
      <c r="E1238" s="57" t="s">
        <v>2122</v>
      </c>
      <c r="F1238" s="58"/>
      <c r="G1238" s="57" t="str">
        <f t="shared" si="39"/>
        <v>APPMAPTG.TRG_CAWP</v>
      </c>
      <c r="H1238" s="57" t="str">
        <f t="shared" si="38"/>
        <v>APPMAPTG.TRG_CAWP</v>
      </c>
      <c r="I1238" s="54"/>
      <c r="J1238" s="57"/>
      <c r="K1238" s="57"/>
    </row>
    <row r="1239" spans="1:11" s="52" customFormat="1" hidden="1" x14ac:dyDescent="0.2">
      <c r="A1239" s="51"/>
      <c r="B1239" s="57" t="s">
        <v>2121</v>
      </c>
      <c r="C1239" s="57" t="s">
        <v>2119</v>
      </c>
      <c r="D1239" s="57" t="s">
        <v>2121</v>
      </c>
      <c r="E1239" s="57" t="s">
        <v>2119</v>
      </c>
      <c r="F1239" s="58"/>
      <c r="G1239" s="57" t="str">
        <f t="shared" si="39"/>
        <v>APPMAPTG.TRG_CAWPID</v>
      </c>
      <c r="H1239" s="57" t="str">
        <f t="shared" si="38"/>
        <v>APPMAPTG.TRG_CAWPID</v>
      </c>
      <c r="I1239" s="54"/>
      <c r="J1239" s="57"/>
      <c r="K1239" s="57"/>
    </row>
    <row r="1240" spans="1:11" s="52" customFormat="1" hidden="1" x14ac:dyDescent="0.2">
      <c r="A1240" s="51"/>
      <c r="B1240" s="57" t="s">
        <v>2121</v>
      </c>
      <c r="C1240" s="57" t="s">
        <v>2120</v>
      </c>
      <c r="D1240" s="57" t="s">
        <v>2121</v>
      </c>
      <c r="E1240" s="57" t="s">
        <v>2120</v>
      </c>
      <c r="F1240" s="58"/>
      <c r="G1240" s="57" t="str">
        <f t="shared" si="39"/>
        <v>APPMAPTG.TRG_PROG</v>
      </c>
      <c r="H1240" s="57" t="str">
        <f t="shared" si="38"/>
        <v>APPMAPTG.TRG_PROG</v>
      </c>
      <c r="I1240" s="54"/>
      <c r="J1240" s="57"/>
      <c r="K1240" s="57"/>
    </row>
    <row r="1241" spans="1:11" s="52" customFormat="1" hidden="1" x14ac:dyDescent="0.2">
      <c r="A1241" s="51"/>
      <c r="B1241" s="57" t="s">
        <v>2121</v>
      </c>
      <c r="C1241" s="57" t="s">
        <v>2112</v>
      </c>
      <c r="D1241" s="57" t="s">
        <v>2121</v>
      </c>
      <c r="E1241" s="52" t="s">
        <v>68</v>
      </c>
      <c r="F1241" s="58"/>
      <c r="G1241" s="57" t="str">
        <f t="shared" si="39"/>
        <v>APPMAPTG.USR_ID</v>
      </c>
      <c r="H1241" s="57" t="str">
        <f t="shared" si="38"/>
        <v>APPMAPTG.LAST_MODIFIED_BY_USER_UID</v>
      </c>
      <c r="I1241" s="54"/>
      <c r="J1241" s="57"/>
      <c r="K1241" s="57"/>
    </row>
    <row r="1242" spans="1:11" s="52" customFormat="1" hidden="1" x14ac:dyDescent="0.2">
      <c r="A1242" s="51"/>
      <c r="B1242" s="57"/>
      <c r="C1242" s="57"/>
      <c r="D1242" s="57" t="s">
        <v>2121</v>
      </c>
      <c r="E1242" s="57" t="s">
        <v>30</v>
      </c>
      <c r="F1242" s="58"/>
      <c r="G1242" s="57" t="str">
        <f t="shared" si="39"/>
        <v>.</v>
      </c>
      <c r="H1242" s="57" t="str">
        <f t="shared" si="38"/>
        <v>APPMAPTG.ROW_UID</v>
      </c>
      <c r="I1242" s="54"/>
      <c r="J1242" s="57"/>
      <c r="K1242" s="57"/>
    </row>
    <row r="1243" spans="1:11" s="52" customFormat="1" hidden="1" x14ac:dyDescent="0.2">
      <c r="A1243" s="51"/>
      <c r="B1243" s="57"/>
      <c r="C1243" s="57"/>
      <c r="D1243" s="57" t="s">
        <v>2121</v>
      </c>
      <c r="E1243" s="57" t="s">
        <v>61</v>
      </c>
      <c r="F1243" s="58"/>
      <c r="G1243" s="57" t="str">
        <f t="shared" ref="G1243:G1274" si="40">_xlfn.CONCAT(B1243,".",C1243)</f>
        <v>.</v>
      </c>
      <c r="H1243" s="57" t="str">
        <f t="shared" si="38"/>
        <v>APPMAPTG.CREATED_BY_USER_UID</v>
      </c>
      <c r="I1243" s="54"/>
      <c r="J1243" s="57"/>
      <c r="K1243" s="57"/>
    </row>
    <row r="1244" spans="1:11" s="52" customFormat="1" hidden="1" x14ac:dyDescent="0.2">
      <c r="A1244" s="51"/>
      <c r="B1244" s="57"/>
      <c r="C1244" s="57"/>
      <c r="D1244" s="57" t="s">
        <v>2121</v>
      </c>
      <c r="E1244" s="57" t="s">
        <v>64</v>
      </c>
      <c r="F1244" s="58"/>
      <c r="G1244" s="57" t="str">
        <f t="shared" si="40"/>
        <v>.</v>
      </c>
      <c r="H1244" s="57" t="str">
        <f t="shared" ref="H1244:H1307" si="41">_xlfn.CONCAT(D1244,".",E1244)</f>
        <v>APPMAPTG.CREATED_DATE</v>
      </c>
      <c r="I1244" s="54"/>
      <c r="J1244" s="57"/>
      <c r="K1244" s="57"/>
    </row>
    <row r="1245" spans="1:11" s="52" customFormat="1" hidden="1" x14ac:dyDescent="0.2">
      <c r="A1245" s="20" t="s">
        <v>450</v>
      </c>
      <c r="B1245" s="39" t="s">
        <v>2016</v>
      </c>
      <c r="C1245" s="39" t="s">
        <v>2017</v>
      </c>
      <c r="D1245" s="39" t="s">
        <v>2016</v>
      </c>
      <c r="E1245" s="39" t="s">
        <v>2017</v>
      </c>
      <c r="F1245" s="58"/>
      <c r="G1245" s="57" t="str">
        <f t="shared" si="40"/>
        <v>BATCH.BATCHREP_ID</v>
      </c>
      <c r="H1245" s="57" t="str">
        <f t="shared" si="41"/>
        <v>BATCH.BATCHREP_ID</v>
      </c>
      <c r="I1245" s="54"/>
      <c r="J1245" s="57"/>
      <c r="K1245" s="57"/>
    </row>
    <row r="1246" spans="1:11" s="52" customFormat="1" hidden="1" x14ac:dyDescent="0.2">
      <c r="A1246" s="20" t="s">
        <v>450</v>
      </c>
      <c r="B1246" s="39" t="s">
        <v>2016</v>
      </c>
      <c r="C1246" s="39" t="s">
        <v>1962</v>
      </c>
      <c r="D1246" s="39" t="s">
        <v>2016</v>
      </c>
      <c r="E1246" s="39" t="s">
        <v>1962</v>
      </c>
      <c r="F1246" s="58"/>
      <c r="G1246" s="57" t="str">
        <f t="shared" si="40"/>
        <v>BATCH.DIR_ID</v>
      </c>
      <c r="H1246" s="57" t="str">
        <f t="shared" si="41"/>
        <v>BATCH.DIR_ID</v>
      </c>
      <c r="I1246" s="54"/>
      <c r="J1246" s="57"/>
      <c r="K1246" s="57"/>
    </row>
    <row r="1247" spans="1:11" s="52" customFormat="1" hidden="1" x14ac:dyDescent="0.2">
      <c r="A1247" s="20" t="s">
        <v>450</v>
      </c>
      <c r="B1247" s="39" t="s">
        <v>2016</v>
      </c>
      <c r="C1247" s="39" t="s">
        <v>2018</v>
      </c>
      <c r="D1247" s="39" t="s">
        <v>2016</v>
      </c>
      <c r="E1247" s="39" t="s">
        <v>2018</v>
      </c>
      <c r="F1247" s="58"/>
      <c r="G1247" s="57" t="str">
        <f t="shared" si="40"/>
        <v>BATCH.FILTER_ID</v>
      </c>
      <c r="H1247" s="57" t="str">
        <f t="shared" si="41"/>
        <v>BATCH.FILTER_ID</v>
      </c>
      <c r="I1247" s="54"/>
      <c r="J1247" s="57"/>
      <c r="K1247" s="57"/>
    </row>
    <row r="1248" spans="1:11" s="52" customFormat="1" hidden="1" x14ac:dyDescent="0.2">
      <c r="A1248" s="20" t="s">
        <v>450</v>
      </c>
      <c r="B1248" s="39" t="s">
        <v>2016</v>
      </c>
      <c r="C1248" s="39" t="s">
        <v>2019</v>
      </c>
      <c r="D1248" s="39" t="s">
        <v>2016</v>
      </c>
      <c r="E1248" s="39" t="s">
        <v>2019</v>
      </c>
      <c r="F1248" s="58"/>
      <c r="G1248" s="57" t="str">
        <f t="shared" si="40"/>
        <v>BATCH.FILTER_SHARED</v>
      </c>
      <c r="H1248" s="57" t="str">
        <f t="shared" si="41"/>
        <v>BATCH.FILTER_SHARED</v>
      </c>
      <c r="I1248" s="54"/>
      <c r="J1248" s="57"/>
      <c r="K1248" s="57"/>
    </row>
    <row r="1249" spans="1:11" s="52" customFormat="1" hidden="1" x14ac:dyDescent="0.2">
      <c r="A1249" s="20" t="s">
        <v>450</v>
      </c>
      <c r="B1249" s="39" t="s">
        <v>2016</v>
      </c>
      <c r="C1249" s="39" t="s">
        <v>2111</v>
      </c>
      <c r="D1249" s="39" t="s">
        <v>2016</v>
      </c>
      <c r="E1249" s="39" t="s">
        <v>71</v>
      </c>
      <c r="F1249" s="58"/>
      <c r="G1249" s="57" t="str">
        <f t="shared" si="40"/>
        <v>BATCH.LASTUPDATE</v>
      </c>
      <c r="H1249" s="57" t="str">
        <f t="shared" si="41"/>
        <v>BATCH.LAST_MODIFIED_DATE</v>
      </c>
      <c r="I1249" s="54"/>
      <c r="J1249" s="57"/>
      <c r="K1249" s="57"/>
    </row>
    <row r="1250" spans="1:11" s="52" customFormat="1" hidden="1" x14ac:dyDescent="0.2">
      <c r="A1250" s="20" t="s">
        <v>450</v>
      </c>
      <c r="B1250" s="39" t="s">
        <v>2016</v>
      </c>
      <c r="C1250" s="39" t="s">
        <v>1454</v>
      </c>
      <c r="D1250" s="39" t="s">
        <v>2016</v>
      </c>
      <c r="E1250" s="39" t="s">
        <v>1454</v>
      </c>
      <c r="F1250" s="58"/>
      <c r="G1250" s="57" t="str">
        <f t="shared" si="40"/>
        <v>BATCH.LINE</v>
      </c>
      <c r="H1250" s="57" t="str">
        <f t="shared" si="41"/>
        <v>BATCH.LINE</v>
      </c>
      <c r="I1250" s="54"/>
      <c r="J1250" s="57"/>
      <c r="K1250" s="57"/>
    </row>
    <row r="1251" spans="1:11" s="52" customFormat="1" hidden="1" x14ac:dyDescent="0.2">
      <c r="A1251" s="20" t="s">
        <v>450</v>
      </c>
      <c r="B1251" s="39" t="s">
        <v>2016</v>
      </c>
      <c r="C1251" s="39" t="s">
        <v>1936</v>
      </c>
      <c r="D1251" s="39" t="s">
        <v>2016</v>
      </c>
      <c r="E1251" s="39" t="s">
        <v>1936</v>
      </c>
      <c r="F1251" s="58"/>
      <c r="G1251" s="57" t="str">
        <f t="shared" si="40"/>
        <v>BATCH.OWNER_ID</v>
      </c>
      <c r="H1251" s="57" t="str">
        <f t="shared" si="41"/>
        <v>BATCH.OWNER_ID</v>
      </c>
      <c r="I1251" s="54"/>
      <c r="J1251" s="57"/>
      <c r="K1251" s="57"/>
    </row>
    <row r="1252" spans="1:11" s="52" customFormat="1" hidden="1" x14ac:dyDescent="0.2">
      <c r="A1252" s="20" t="s">
        <v>450</v>
      </c>
      <c r="B1252" s="39" t="s">
        <v>2016</v>
      </c>
      <c r="C1252" s="39" t="s">
        <v>2022</v>
      </c>
      <c r="D1252" s="39" t="s">
        <v>2016</v>
      </c>
      <c r="E1252" s="39" t="s">
        <v>2022</v>
      </c>
      <c r="F1252" s="58"/>
      <c r="G1252" s="57" t="str">
        <f t="shared" si="40"/>
        <v>BATCH.REPORT_ID</v>
      </c>
      <c r="H1252" s="57" t="str">
        <f t="shared" si="41"/>
        <v>BATCH.REPORT_ID</v>
      </c>
      <c r="I1252" s="54"/>
      <c r="J1252" s="57"/>
      <c r="K1252" s="57"/>
    </row>
    <row r="1253" spans="1:11" s="52" customFormat="1" hidden="1" x14ac:dyDescent="0.2">
      <c r="A1253" s="20" t="s">
        <v>450</v>
      </c>
      <c r="B1253" s="39" t="s">
        <v>2016</v>
      </c>
      <c r="C1253" s="39" t="s">
        <v>35</v>
      </c>
      <c r="D1253" s="39" t="s">
        <v>2016</v>
      </c>
      <c r="E1253" s="39" t="s">
        <v>35</v>
      </c>
      <c r="F1253" s="58"/>
      <c r="G1253" s="57" t="str">
        <f t="shared" si="40"/>
        <v>BATCH.SEQUENCE</v>
      </c>
      <c r="H1253" s="57" t="str">
        <f t="shared" si="41"/>
        <v>BATCH.SEQUENCE</v>
      </c>
      <c r="I1253" s="54"/>
      <c r="J1253" s="57"/>
      <c r="K1253" s="57"/>
    </row>
    <row r="1254" spans="1:11" s="52" customFormat="1" hidden="1" x14ac:dyDescent="0.2">
      <c r="A1254" s="20" t="s">
        <v>450</v>
      </c>
      <c r="B1254" s="39" t="s">
        <v>2016</v>
      </c>
      <c r="C1254" s="39" t="s">
        <v>2024</v>
      </c>
      <c r="D1254" s="39" t="s">
        <v>2016</v>
      </c>
      <c r="E1254" s="39" t="s">
        <v>2024</v>
      </c>
      <c r="F1254" s="58"/>
      <c r="G1254" s="57" t="str">
        <f t="shared" si="40"/>
        <v>BATCH.SORT_ID</v>
      </c>
      <c r="H1254" s="57" t="str">
        <f t="shared" si="41"/>
        <v>BATCH.SORT_ID</v>
      </c>
      <c r="I1254" s="54"/>
      <c r="J1254" s="57"/>
      <c r="K1254" s="57"/>
    </row>
    <row r="1255" spans="1:11" s="52" customFormat="1" hidden="1" x14ac:dyDescent="0.2">
      <c r="A1255" s="20" t="s">
        <v>450</v>
      </c>
      <c r="B1255" s="39" t="s">
        <v>2016</v>
      </c>
      <c r="C1255" s="39" t="s">
        <v>2026</v>
      </c>
      <c r="D1255" s="39" t="s">
        <v>2016</v>
      </c>
      <c r="E1255" s="39" t="s">
        <v>2026</v>
      </c>
      <c r="F1255" s="58"/>
      <c r="G1255" s="57" t="str">
        <f t="shared" si="40"/>
        <v>BATCH.SORT_SHARED</v>
      </c>
      <c r="H1255" s="57" t="str">
        <f t="shared" si="41"/>
        <v>BATCH.SORT_SHARED</v>
      </c>
      <c r="I1255" s="54"/>
      <c r="J1255" s="57"/>
      <c r="K1255" s="57"/>
    </row>
    <row r="1256" spans="1:11" s="52" customFormat="1" hidden="1" x14ac:dyDescent="0.2">
      <c r="A1256" s="20" t="s">
        <v>450</v>
      </c>
      <c r="B1256" s="39" t="s">
        <v>2016</v>
      </c>
      <c r="C1256" s="39" t="s">
        <v>2112</v>
      </c>
      <c r="D1256" s="39" t="s">
        <v>2016</v>
      </c>
      <c r="E1256" s="39" t="s">
        <v>68</v>
      </c>
      <c r="F1256" s="58"/>
      <c r="G1256" s="57" t="str">
        <f t="shared" si="40"/>
        <v>BATCH.USR_ID</v>
      </c>
      <c r="H1256" s="57" t="str">
        <f t="shared" si="41"/>
        <v>BATCH.LAST_MODIFIED_BY_USER_UID</v>
      </c>
      <c r="I1256" s="54"/>
      <c r="J1256" s="57"/>
      <c r="K1256" s="57"/>
    </row>
    <row r="1257" spans="1:11" s="52" customFormat="1" hidden="1" x14ac:dyDescent="0.2">
      <c r="A1257" s="20" t="s">
        <v>450</v>
      </c>
      <c r="B1257" s="39"/>
      <c r="C1257" s="39"/>
      <c r="D1257" s="39" t="s">
        <v>2016</v>
      </c>
      <c r="E1257" s="39" t="s">
        <v>30</v>
      </c>
      <c r="F1257" s="58"/>
      <c r="G1257" s="57" t="str">
        <f t="shared" si="40"/>
        <v>.</v>
      </c>
      <c r="H1257" s="57" t="str">
        <f t="shared" si="41"/>
        <v>BATCH.ROW_UID</v>
      </c>
      <c r="I1257" s="54"/>
      <c r="J1257" s="57"/>
      <c r="K1257" s="57"/>
    </row>
    <row r="1258" spans="1:11" s="52" customFormat="1" hidden="1" x14ac:dyDescent="0.2">
      <c r="A1258" s="20" t="s">
        <v>450</v>
      </c>
      <c r="B1258" s="39"/>
      <c r="C1258" s="39"/>
      <c r="D1258" s="39" t="s">
        <v>2016</v>
      </c>
      <c r="E1258" s="39" t="s">
        <v>61</v>
      </c>
      <c r="F1258" s="58"/>
      <c r="G1258" s="57" t="str">
        <f t="shared" si="40"/>
        <v>.</v>
      </c>
      <c r="H1258" s="57" t="str">
        <f t="shared" si="41"/>
        <v>BATCH.CREATED_BY_USER_UID</v>
      </c>
      <c r="I1258" s="54"/>
      <c r="J1258" s="57"/>
      <c r="K1258" s="57"/>
    </row>
    <row r="1259" spans="1:11" s="52" customFormat="1" hidden="1" x14ac:dyDescent="0.2">
      <c r="A1259" s="20" t="s">
        <v>450</v>
      </c>
      <c r="B1259" s="39"/>
      <c r="C1259" s="39"/>
      <c r="D1259" s="39" t="s">
        <v>2016</v>
      </c>
      <c r="E1259" s="39" t="s">
        <v>64</v>
      </c>
      <c r="F1259" s="58"/>
      <c r="G1259" s="57" t="str">
        <f t="shared" si="40"/>
        <v>.</v>
      </c>
      <c r="H1259" s="57" t="str">
        <f t="shared" si="41"/>
        <v>BATCH.CREATED_DATE</v>
      </c>
      <c r="I1259" s="54"/>
      <c r="J1259" s="57"/>
      <c r="K1259" s="57"/>
    </row>
    <row r="1260" spans="1:11" s="52" customFormat="1" hidden="1" x14ac:dyDescent="0.2">
      <c r="A1260" s="20" t="s">
        <v>450</v>
      </c>
      <c r="B1260" s="17" t="s">
        <v>2028</v>
      </c>
      <c r="C1260" s="39" t="s">
        <v>2017</v>
      </c>
      <c r="D1260" s="17" t="s">
        <v>2028</v>
      </c>
      <c r="E1260" s="39" t="s">
        <v>2017</v>
      </c>
      <c r="F1260" s="58"/>
      <c r="G1260" s="57" t="str">
        <f t="shared" si="40"/>
        <v>BATCHREP.BATCHREP_ID</v>
      </c>
      <c r="H1260" s="57" t="str">
        <f t="shared" si="41"/>
        <v>BATCHREP.BATCHREP_ID</v>
      </c>
      <c r="I1260" s="54"/>
      <c r="J1260" s="57"/>
      <c r="K1260" s="57"/>
    </row>
    <row r="1261" spans="1:11" s="52" customFormat="1" hidden="1" x14ac:dyDescent="0.2">
      <c r="A1261" s="20" t="s">
        <v>450</v>
      </c>
      <c r="B1261" s="17" t="s">
        <v>2028</v>
      </c>
      <c r="C1261" s="39" t="s">
        <v>2030</v>
      </c>
      <c r="D1261" s="17" t="s">
        <v>2028</v>
      </c>
      <c r="E1261" s="39" t="s">
        <v>2030</v>
      </c>
      <c r="F1261" s="58"/>
      <c r="G1261" s="57" t="str">
        <f t="shared" si="40"/>
        <v>BATCHREP.BATCHREP_UID</v>
      </c>
      <c r="H1261" s="57" t="str">
        <f t="shared" si="41"/>
        <v>BATCHREP.BATCHREP_UID</v>
      </c>
      <c r="I1261" s="54"/>
      <c r="J1261" s="57"/>
      <c r="K1261" s="57"/>
    </row>
    <row r="1262" spans="1:11" s="52" customFormat="1" hidden="1" x14ac:dyDescent="0.2">
      <c r="A1262" s="20" t="s">
        <v>450</v>
      </c>
      <c r="B1262" s="17" t="s">
        <v>2028</v>
      </c>
      <c r="C1262" s="39" t="s">
        <v>2141</v>
      </c>
      <c r="D1262" s="17" t="s">
        <v>2028</v>
      </c>
      <c r="E1262" s="39" t="s">
        <v>15</v>
      </c>
      <c r="F1262" s="58"/>
      <c r="G1262" s="57" t="str">
        <f t="shared" si="40"/>
        <v>BATCHREP.DESCRIP</v>
      </c>
      <c r="H1262" s="57" t="str">
        <f t="shared" si="41"/>
        <v>BATCHREP.DESCRIPTION</v>
      </c>
      <c r="I1262" s="54"/>
      <c r="J1262" s="57"/>
      <c r="K1262" s="57"/>
    </row>
    <row r="1263" spans="1:11" s="52" customFormat="1" hidden="1" x14ac:dyDescent="0.2">
      <c r="A1263" s="20" t="s">
        <v>450</v>
      </c>
      <c r="B1263" s="17" t="s">
        <v>2028</v>
      </c>
      <c r="C1263" s="39" t="s">
        <v>2111</v>
      </c>
      <c r="D1263" s="17" t="s">
        <v>2028</v>
      </c>
      <c r="E1263" s="39" t="s">
        <v>71</v>
      </c>
      <c r="F1263" s="58"/>
      <c r="G1263" s="57" t="str">
        <f t="shared" si="40"/>
        <v>BATCHREP.LASTUPDATE</v>
      </c>
      <c r="H1263" s="57" t="str">
        <f t="shared" si="41"/>
        <v>BATCHREP.LAST_MODIFIED_DATE</v>
      </c>
      <c r="I1263" s="54"/>
      <c r="J1263" s="57"/>
      <c r="K1263" s="57"/>
    </row>
    <row r="1264" spans="1:11" s="52" customFormat="1" hidden="1" x14ac:dyDescent="0.2">
      <c r="A1264" s="20" t="s">
        <v>450</v>
      </c>
      <c r="B1264" s="17" t="s">
        <v>2028</v>
      </c>
      <c r="C1264" s="39" t="s">
        <v>2032</v>
      </c>
      <c r="D1264" s="17" t="s">
        <v>2028</v>
      </c>
      <c r="E1264" s="39" t="s">
        <v>2032</v>
      </c>
      <c r="F1264" s="58"/>
      <c r="G1264" s="57" t="str">
        <f t="shared" si="40"/>
        <v>BATCHREP.OUTPUT_LOC</v>
      </c>
      <c r="H1264" s="57" t="str">
        <f t="shared" si="41"/>
        <v>BATCHREP.OUTPUT_LOC</v>
      </c>
      <c r="I1264" s="54"/>
      <c r="J1264" s="57"/>
      <c r="K1264" s="57"/>
    </row>
    <row r="1265" spans="1:11" s="52" customFormat="1" hidden="1" x14ac:dyDescent="0.2">
      <c r="A1265" s="20" t="s">
        <v>450</v>
      </c>
      <c r="B1265" s="17" t="s">
        <v>2028</v>
      </c>
      <c r="C1265" s="39" t="s">
        <v>2034</v>
      </c>
      <c r="D1265" s="17" t="s">
        <v>2028</v>
      </c>
      <c r="E1265" s="39" t="s">
        <v>2034</v>
      </c>
      <c r="F1265" s="58"/>
      <c r="G1265" s="57" t="str">
        <f t="shared" si="40"/>
        <v>BATCHREP.OUTPUT_TYPE</v>
      </c>
      <c r="H1265" s="57" t="str">
        <f t="shared" si="41"/>
        <v>BATCHREP.OUTPUT_TYPE</v>
      </c>
      <c r="I1265" s="54"/>
      <c r="J1265" s="57"/>
      <c r="K1265" s="57"/>
    </row>
    <row r="1266" spans="1:11" s="52" customFormat="1" hidden="1" x14ac:dyDescent="0.2">
      <c r="A1266" s="20" t="s">
        <v>450</v>
      </c>
      <c r="B1266" s="17" t="s">
        <v>2028</v>
      </c>
      <c r="C1266" s="39" t="s">
        <v>1936</v>
      </c>
      <c r="D1266" s="17" t="s">
        <v>2028</v>
      </c>
      <c r="E1266" s="39" t="s">
        <v>1936</v>
      </c>
      <c r="F1266" s="58"/>
      <c r="G1266" s="57" t="str">
        <f t="shared" si="40"/>
        <v>BATCHREP.OWNER_ID</v>
      </c>
      <c r="H1266" s="57" t="str">
        <f t="shared" si="41"/>
        <v>BATCHREP.OWNER_ID</v>
      </c>
      <c r="I1266" s="54"/>
      <c r="J1266" s="57"/>
      <c r="K1266" s="57"/>
    </row>
    <row r="1267" spans="1:11" s="52" customFormat="1" hidden="1" x14ac:dyDescent="0.2">
      <c r="A1267" s="20" t="s">
        <v>450</v>
      </c>
      <c r="B1267" s="17" t="s">
        <v>2028</v>
      </c>
      <c r="C1267" s="39" t="s">
        <v>744</v>
      </c>
      <c r="D1267" s="17" t="s">
        <v>2028</v>
      </c>
      <c r="E1267" s="39" t="s">
        <v>770</v>
      </c>
      <c r="F1267" s="58"/>
      <c r="G1267" s="57" t="str">
        <f t="shared" si="40"/>
        <v>BATCHREP.PROGRAM</v>
      </c>
      <c r="H1267" s="57" t="str">
        <f t="shared" si="41"/>
        <v>BATCHREP.PROJECT_UID</v>
      </c>
      <c r="I1267" s="54"/>
      <c r="J1267" s="57"/>
      <c r="K1267" s="57"/>
    </row>
    <row r="1268" spans="1:11" s="52" customFormat="1" hidden="1" x14ac:dyDescent="0.2">
      <c r="A1268" s="20" t="s">
        <v>450</v>
      </c>
      <c r="B1268" s="17" t="s">
        <v>2028</v>
      </c>
      <c r="C1268" s="39" t="s">
        <v>744</v>
      </c>
      <c r="D1268" s="17" t="s">
        <v>2028</v>
      </c>
      <c r="E1268" s="39" t="s">
        <v>744</v>
      </c>
      <c r="F1268" s="58"/>
      <c r="G1268" s="57" t="str">
        <f t="shared" si="40"/>
        <v>BATCHREP.PROGRAM</v>
      </c>
      <c r="H1268" s="57" t="str">
        <f t="shared" si="41"/>
        <v>BATCHREP.PROGRAM</v>
      </c>
      <c r="I1268" s="54"/>
      <c r="J1268" s="57"/>
      <c r="K1268" s="57"/>
    </row>
    <row r="1269" spans="1:11" s="52" customFormat="1" hidden="1" x14ac:dyDescent="0.2">
      <c r="A1269" s="20" t="s">
        <v>450</v>
      </c>
      <c r="B1269" s="17" t="s">
        <v>2028</v>
      </c>
      <c r="C1269" s="39" t="s">
        <v>35</v>
      </c>
      <c r="D1269" s="17" t="s">
        <v>2028</v>
      </c>
      <c r="E1269" s="39" t="s">
        <v>35</v>
      </c>
      <c r="F1269" s="58"/>
      <c r="G1269" s="57" t="str">
        <f t="shared" si="40"/>
        <v>BATCHREP.SEQUENCE</v>
      </c>
      <c r="H1269" s="57" t="str">
        <f t="shared" si="41"/>
        <v>BATCHREP.SEQUENCE</v>
      </c>
      <c r="I1269" s="54"/>
      <c r="J1269" s="57"/>
      <c r="K1269" s="57"/>
    </row>
    <row r="1270" spans="1:11" s="52" customFormat="1" hidden="1" x14ac:dyDescent="0.2">
      <c r="A1270" s="20" t="s">
        <v>450</v>
      </c>
      <c r="B1270" s="17" t="s">
        <v>2028</v>
      </c>
      <c r="C1270" s="39" t="s">
        <v>2037</v>
      </c>
      <c r="D1270" s="17" t="s">
        <v>2028</v>
      </c>
      <c r="E1270" s="39" t="s">
        <v>2037</v>
      </c>
      <c r="F1270" s="58"/>
      <c r="G1270" s="57" t="str">
        <f t="shared" si="40"/>
        <v>BATCHREP.SUB_FOLDER</v>
      </c>
      <c r="H1270" s="57" t="str">
        <f t="shared" si="41"/>
        <v>BATCHREP.SUB_FOLDER</v>
      </c>
      <c r="I1270" s="54"/>
      <c r="J1270" s="57"/>
      <c r="K1270" s="57"/>
    </row>
    <row r="1271" spans="1:11" s="52" customFormat="1" hidden="1" x14ac:dyDescent="0.2">
      <c r="A1271" s="20" t="s">
        <v>450</v>
      </c>
      <c r="B1271" s="17" t="s">
        <v>2028</v>
      </c>
      <c r="C1271" s="39" t="s">
        <v>2112</v>
      </c>
      <c r="D1271" s="17" t="s">
        <v>2028</v>
      </c>
      <c r="E1271" s="39" t="s">
        <v>68</v>
      </c>
      <c r="F1271" s="58"/>
      <c r="G1271" s="57" t="str">
        <f t="shared" si="40"/>
        <v>BATCHREP.USR_ID</v>
      </c>
      <c r="H1271" s="57" t="str">
        <f t="shared" si="41"/>
        <v>BATCHREP.LAST_MODIFIED_BY_USER_UID</v>
      </c>
      <c r="I1271" s="54"/>
      <c r="J1271" s="57"/>
      <c r="K1271" s="57"/>
    </row>
    <row r="1272" spans="1:11" s="52" customFormat="1" hidden="1" x14ac:dyDescent="0.2">
      <c r="A1272" s="20" t="s">
        <v>450</v>
      </c>
      <c r="B1272" s="39"/>
      <c r="C1272" s="39"/>
      <c r="D1272" s="17" t="s">
        <v>2028</v>
      </c>
      <c r="E1272" s="39" t="s">
        <v>30</v>
      </c>
      <c r="F1272" s="58"/>
      <c r="G1272" s="57" t="str">
        <f t="shared" si="40"/>
        <v>.</v>
      </c>
      <c r="H1272" s="57" t="str">
        <f t="shared" si="41"/>
        <v>BATCHREP.ROW_UID</v>
      </c>
      <c r="I1272" s="54"/>
      <c r="J1272" s="57"/>
      <c r="K1272" s="57"/>
    </row>
    <row r="1273" spans="1:11" s="52" customFormat="1" hidden="1" x14ac:dyDescent="0.2">
      <c r="A1273" s="20" t="s">
        <v>450</v>
      </c>
      <c r="B1273" s="39"/>
      <c r="C1273" s="39"/>
      <c r="D1273" s="17" t="s">
        <v>2028</v>
      </c>
      <c r="E1273" s="39" t="s">
        <v>61</v>
      </c>
      <c r="F1273" s="58"/>
      <c r="G1273" s="57" t="str">
        <f t="shared" si="40"/>
        <v>.</v>
      </c>
      <c r="H1273" s="57" t="str">
        <f t="shared" si="41"/>
        <v>BATCHREP.CREATED_BY_USER_UID</v>
      </c>
      <c r="I1273" s="54"/>
      <c r="J1273" s="57"/>
      <c r="K1273" s="57"/>
    </row>
    <row r="1274" spans="1:11" s="52" customFormat="1" hidden="1" x14ac:dyDescent="0.2">
      <c r="A1274" s="20" t="s">
        <v>450</v>
      </c>
      <c r="B1274" s="39"/>
      <c r="C1274" s="39"/>
      <c r="D1274" s="17" t="s">
        <v>2028</v>
      </c>
      <c r="E1274" s="39" t="s">
        <v>64</v>
      </c>
      <c r="F1274" s="58"/>
      <c r="G1274" s="57" t="str">
        <f t="shared" si="40"/>
        <v>.</v>
      </c>
      <c r="H1274" s="57" t="str">
        <f t="shared" si="41"/>
        <v>BATCHREP.CREATED_DATE</v>
      </c>
      <c r="I1274" s="54"/>
      <c r="J1274" s="57"/>
      <c r="K1274" s="57"/>
    </row>
    <row r="1275" spans="1:11" s="52" customFormat="1" hidden="1" x14ac:dyDescent="0.2">
      <c r="A1275" s="51"/>
      <c r="B1275" s="52" t="s">
        <v>2167</v>
      </c>
      <c r="C1275" s="57" t="s">
        <v>2168</v>
      </c>
      <c r="D1275" s="52" t="s">
        <v>2167</v>
      </c>
      <c r="E1275" s="57" t="s">
        <v>2168</v>
      </c>
      <c r="F1275" s="58"/>
      <c r="G1275" s="57" t="str">
        <f t="shared" ref="G1275:G1306" si="42">_xlfn.CONCAT(B1275,".",C1275)</f>
        <v>CALCEXPR.CALCEXPR_ID</v>
      </c>
      <c r="H1275" s="57" t="str">
        <f t="shared" si="41"/>
        <v>CALCEXPR.CALCEXPR_ID</v>
      </c>
      <c r="I1275" s="54"/>
      <c r="J1275" s="57"/>
      <c r="K1275" s="57"/>
    </row>
    <row r="1276" spans="1:11" s="52" customFormat="1" hidden="1" x14ac:dyDescent="0.2">
      <c r="A1276" s="51"/>
      <c r="B1276" s="57"/>
      <c r="C1276" s="57" t="s">
        <v>2169</v>
      </c>
      <c r="D1276" s="52" t="s">
        <v>2167</v>
      </c>
      <c r="E1276" s="57" t="s">
        <v>2169</v>
      </c>
      <c r="F1276" s="58"/>
      <c r="G1276" s="57" t="str">
        <f t="shared" si="42"/>
        <v>.CALCEXPR_UID</v>
      </c>
      <c r="H1276" s="57" t="str">
        <f t="shared" si="41"/>
        <v>CALCEXPR.CALCEXPR_UID</v>
      </c>
      <c r="I1276" s="54"/>
      <c r="J1276" s="57"/>
      <c r="K1276" s="57"/>
    </row>
    <row r="1277" spans="1:11" s="52" customFormat="1" hidden="1" x14ac:dyDescent="0.2">
      <c r="A1277" s="51"/>
      <c r="B1277" s="57"/>
      <c r="C1277" s="57" t="s">
        <v>875</v>
      </c>
      <c r="D1277" s="52" t="s">
        <v>2167</v>
      </c>
      <c r="E1277" s="57" t="s">
        <v>875</v>
      </c>
      <c r="F1277" s="58"/>
      <c r="G1277" s="57" t="str">
        <f t="shared" si="42"/>
        <v>.EXPRESSION</v>
      </c>
      <c r="H1277" s="57" t="str">
        <f t="shared" si="41"/>
        <v>CALCEXPR.EXPRESSION</v>
      </c>
      <c r="I1277" s="54"/>
      <c r="J1277" s="57"/>
      <c r="K1277" s="57"/>
    </row>
    <row r="1278" spans="1:11" s="52" customFormat="1" hidden="1" x14ac:dyDescent="0.2">
      <c r="A1278" s="51"/>
      <c r="B1278" s="57"/>
      <c r="C1278" s="57" t="s">
        <v>2170</v>
      </c>
      <c r="D1278" s="52" t="s">
        <v>2167</v>
      </c>
      <c r="E1278" s="57" t="s">
        <v>2170</v>
      </c>
      <c r="F1278" s="58"/>
      <c r="G1278" s="57" t="str">
        <f t="shared" si="42"/>
        <v>.FLAGS</v>
      </c>
      <c r="H1278" s="57" t="str">
        <f t="shared" si="41"/>
        <v>CALCEXPR.FLAGS</v>
      </c>
      <c r="I1278" s="54"/>
      <c r="J1278" s="57"/>
      <c r="K1278" s="57"/>
    </row>
    <row r="1279" spans="1:11" s="52" customFormat="1" hidden="1" x14ac:dyDescent="0.2">
      <c r="A1279" s="51"/>
      <c r="B1279" s="57"/>
      <c r="C1279" s="57" t="s">
        <v>2111</v>
      </c>
      <c r="D1279" s="52" t="s">
        <v>2167</v>
      </c>
      <c r="E1279" s="57" t="s">
        <v>71</v>
      </c>
      <c r="F1279" s="58"/>
      <c r="G1279" s="57" t="str">
        <f t="shared" si="42"/>
        <v>.LASTUPDATE</v>
      </c>
      <c r="H1279" s="57" t="str">
        <f t="shared" si="41"/>
        <v>CALCEXPR.LAST_MODIFIED_DATE</v>
      </c>
      <c r="I1279" s="54"/>
      <c r="J1279" s="57"/>
      <c r="K1279" s="57"/>
    </row>
    <row r="1280" spans="1:11" s="52" customFormat="1" hidden="1" x14ac:dyDescent="0.2">
      <c r="A1280" s="51"/>
      <c r="B1280" s="57"/>
      <c r="C1280" s="57" t="s">
        <v>1936</v>
      </c>
      <c r="D1280" s="52" t="s">
        <v>2167</v>
      </c>
      <c r="E1280" s="57" t="s">
        <v>1936</v>
      </c>
      <c r="F1280" s="58"/>
      <c r="G1280" s="57" t="str">
        <f t="shared" si="42"/>
        <v>.OWNER_ID</v>
      </c>
      <c r="H1280" s="57" t="str">
        <f t="shared" si="41"/>
        <v>CALCEXPR.OWNER_ID</v>
      </c>
      <c r="I1280" s="54"/>
      <c r="J1280" s="57"/>
      <c r="K1280" s="57"/>
    </row>
    <row r="1281" spans="1:11" s="52" customFormat="1" hidden="1" x14ac:dyDescent="0.2">
      <c r="A1281" s="51"/>
      <c r="B1281" s="57"/>
      <c r="C1281" s="57" t="s">
        <v>35</v>
      </c>
      <c r="D1281" s="52" t="s">
        <v>2167</v>
      </c>
      <c r="E1281" s="57" t="s">
        <v>35</v>
      </c>
      <c r="F1281" s="58"/>
      <c r="G1281" s="57" t="str">
        <f t="shared" si="42"/>
        <v>.SEQUENCE</v>
      </c>
      <c r="H1281" s="57" t="str">
        <f t="shared" si="41"/>
        <v>CALCEXPR.SEQUENCE</v>
      </c>
      <c r="I1281" s="54"/>
      <c r="J1281" s="57"/>
      <c r="K1281" s="57"/>
    </row>
    <row r="1282" spans="1:11" s="52" customFormat="1" hidden="1" x14ac:dyDescent="0.2">
      <c r="A1282" s="51"/>
      <c r="B1282" s="57"/>
      <c r="C1282" s="57" t="s">
        <v>2005</v>
      </c>
      <c r="D1282" s="52" t="s">
        <v>2167</v>
      </c>
      <c r="E1282" s="57" t="s">
        <v>2005</v>
      </c>
      <c r="F1282" s="58"/>
      <c r="G1282" s="57" t="str">
        <f t="shared" si="42"/>
        <v>.TABLE_TYPE</v>
      </c>
      <c r="H1282" s="57" t="str">
        <f t="shared" si="41"/>
        <v>CALCEXPR.TABLE_TYPE</v>
      </c>
      <c r="I1282" s="54"/>
      <c r="J1282" s="57"/>
      <c r="K1282" s="57"/>
    </row>
    <row r="1283" spans="1:11" s="52" customFormat="1" hidden="1" x14ac:dyDescent="0.2">
      <c r="A1283" s="51"/>
      <c r="B1283" s="57"/>
      <c r="C1283" s="57" t="s">
        <v>258</v>
      </c>
      <c r="D1283" s="52" t="s">
        <v>2167</v>
      </c>
      <c r="E1283" s="57" t="s">
        <v>258</v>
      </c>
      <c r="F1283" s="58"/>
      <c r="G1283" s="57" t="str">
        <f t="shared" si="42"/>
        <v>.TYPE</v>
      </c>
      <c r="H1283" s="57" t="str">
        <f t="shared" si="41"/>
        <v>CALCEXPR.TYPE</v>
      </c>
      <c r="I1283" s="54"/>
      <c r="J1283" s="57"/>
      <c r="K1283" s="57"/>
    </row>
    <row r="1284" spans="1:11" s="52" customFormat="1" hidden="1" x14ac:dyDescent="0.2">
      <c r="A1284" s="51"/>
      <c r="B1284" s="57"/>
      <c r="C1284" s="57" t="s">
        <v>2112</v>
      </c>
      <c r="D1284" s="52" t="s">
        <v>2167</v>
      </c>
      <c r="E1284" s="57" t="s">
        <v>68</v>
      </c>
      <c r="F1284" s="58"/>
      <c r="G1284" s="57" t="str">
        <f t="shared" si="42"/>
        <v>.USR_ID</v>
      </c>
      <c r="H1284" s="57" t="str">
        <f t="shared" si="41"/>
        <v>CALCEXPR.LAST_MODIFIED_BY_USER_UID</v>
      </c>
      <c r="I1284" s="54"/>
      <c r="J1284" s="57"/>
      <c r="K1284" s="57"/>
    </row>
    <row r="1285" spans="1:11" hidden="1" x14ac:dyDescent="0.2">
      <c r="A1285" s="51"/>
      <c r="B1285" s="57"/>
      <c r="C1285" s="57"/>
      <c r="D1285" s="52" t="s">
        <v>2167</v>
      </c>
      <c r="E1285" s="57" t="s">
        <v>30</v>
      </c>
      <c r="F1285" s="58"/>
      <c r="G1285" s="57" t="str">
        <f t="shared" si="42"/>
        <v>.</v>
      </c>
      <c r="H1285" s="57" t="str">
        <f t="shared" si="41"/>
        <v>CALCEXPR.ROW_UID</v>
      </c>
      <c r="I1285" s="54"/>
      <c r="J1285" s="57"/>
      <c r="K1285" s="57"/>
    </row>
    <row r="1286" spans="1:11" hidden="1" x14ac:dyDescent="0.2">
      <c r="A1286" s="51"/>
      <c r="B1286" s="57"/>
      <c r="C1286" s="57"/>
      <c r="D1286" s="52" t="s">
        <v>2167</v>
      </c>
      <c r="E1286" s="57" t="s">
        <v>61</v>
      </c>
      <c r="F1286" s="58"/>
      <c r="G1286" s="57" t="str">
        <f t="shared" si="42"/>
        <v>.</v>
      </c>
      <c r="H1286" s="57" t="str">
        <f t="shared" si="41"/>
        <v>CALCEXPR.CREATED_BY_USER_UID</v>
      </c>
      <c r="I1286" s="54"/>
      <c r="J1286" s="57"/>
      <c r="K1286" s="57"/>
    </row>
    <row r="1287" spans="1:11" hidden="1" x14ac:dyDescent="0.2">
      <c r="A1287" s="51"/>
      <c r="B1287" s="57"/>
      <c r="C1287" s="57"/>
      <c r="D1287" s="52" t="s">
        <v>2167</v>
      </c>
      <c r="E1287" s="57" t="s">
        <v>64</v>
      </c>
      <c r="F1287" s="58"/>
      <c r="G1287" s="57" t="str">
        <f t="shared" si="42"/>
        <v>.</v>
      </c>
      <c r="H1287" s="57" t="str">
        <f t="shared" si="41"/>
        <v>CALCEXPR.CREATED_DATE</v>
      </c>
      <c r="I1287" s="54"/>
      <c r="J1287" s="57"/>
      <c r="K1287" s="57"/>
    </row>
    <row r="1288" spans="1:11" hidden="1" x14ac:dyDescent="0.2">
      <c r="A1288" s="20" t="s">
        <v>450</v>
      </c>
      <c r="B1288" s="39" t="s">
        <v>1915</v>
      </c>
      <c r="C1288" s="17" t="s">
        <v>1916</v>
      </c>
      <c r="D1288" s="39" t="s">
        <v>1915</v>
      </c>
      <c r="E1288" s="39" t="s">
        <v>1916</v>
      </c>
      <c r="F1288" s="40"/>
      <c r="G1288" s="39" t="str">
        <f t="shared" si="42"/>
        <v>CHNG_REQST.BFINISH</v>
      </c>
      <c r="H1288" s="39" t="str">
        <f t="shared" si="41"/>
        <v>CHNG_REQST.BFINISH</v>
      </c>
      <c r="I1288" s="35"/>
      <c r="J1288" s="39"/>
      <c r="K1288" s="39"/>
    </row>
    <row r="1289" spans="1:11" hidden="1" x14ac:dyDescent="0.2">
      <c r="A1289" s="20" t="s">
        <v>450</v>
      </c>
      <c r="B1289" s="39" t="s">
        <v>1915</v>
      </c>
      <c r="C1289" s="39" t="s">
        <v>1917</v>
      </c>
      <c r="D1289" s="39" t="s">
        <v>1915</v>
      </c>
      <c r="E1289" s="39" t="s">
        <v>1917</v>
      </c>
      <c r="F1289" s="40"/>
      <c r="G1289" s="39" t="str">
        <f t="shared" si="42"/>
        <v>CHNG_REQST.BSTART</v>
      </c>
      <c r="H1289" s="39" t="str">
        <f t="shared" si="41"/>
        <v>CHNG_REQST.BSTART</v>
      </c>
      <c r="I1289" s="35"/>
      <c r="J1289" s="39"/>
      <c r="K1289" s="39"/>
    </row>
    <row r="1290" spans="1:11" hidden="1" x14ac:dyDescent="0.2">
      <c r="A1290" s="20" t="s">
        <v>450</v>
      </c>
      <c r="B1290" s="39" t="s">
        <v>1915</v>
      </c>
      <c r="C1290" s="39" t="s">
        <v>1918</v>
      </c>
      <c r="D1290" s="39" t="s">
        <v>1915</v>
      </c>
      <c r="E1290" s="39" t="s">
        <v>1918</v>
      </c>
      <c r="F1290" s="40"/>
      <c r="G1290" s="39" t="str">
        <f t="shared" si="42"/>
        <v>CHNG_REQST.CHNG_NUM</v>
      </c>
      <c r="H1290" s="39" t="str">
        <f t="shared" si="41"/>
        <v>CHNG_REQST.CHNG_NUM</v>
      </c>
      <c r="I1290" s="35"/>
      <c r="J1290" s="39"/>
      <c r="K1290" s="39"/>
    </row>
    <row r="1291" spans="1:11" hidden="1" x14ac:dyDescent="0.2">
      <c r="A1291" s="20" t="s">
        <v>450</v>
      </c>
      <c r="B1291" s="39" t="s">
        <v>1915</v>
      </c>
      <c r="C1291" s="39" t="s">
        <v>2111</v>
      </c>
      <c r="D1291" s="39" t="s">
        <v>1915</v>
      </c>
      <c r="E1291" s="39" t="s">
        <v>71</v>
      </c>
      <c r="F1291" s="40"/>
      <c r="G1291" s="39" t="str">
        <f t="shared" si="42"/>
        <v>CHNG_REQST.LASTUPDATE</v>
      </c>
      <c r="H1291" s="39" t="str">
        <f t="shared" si="41"/>
        <v>CHNG_REQST.LAST_MODIFIED_DATE</v>
      </c>
      <c r="I1291" s="35"/>
      <c r="J1291" s="39"/>
      <c r="K1291" s="39"/>
    </row>
    <row r="1292" spans="1:11" hidden="1" x14ac:dyDescent="0.2">
      <c r="A1292" s="20" t="s">
        <v>450</v>
      </c>
      <c r="B1292" s="39" t="s">
        <v>1915</v>
      </c>
      <c r="C1292" s="39" t="s">
        <v>1919</v>
      </c>
      <c r="D1292" s="39" t="s">
        <v>1915</v>
      </c>
      <c r="E1292" s="39" t="s">
        <v>1919</v>
      </c>
      <c r="F1292" s="40"/>
      <c r="G1292" s="39" t="str">
        <f t="shared" si="42"/>
        <v>CHNG_REQST.PERIOD</v>
      </c>
      <c r="H1292" s="39" t="str">
        <f t="shared" si="41"/>
        <v>CHNG_REQST.PERIOD</v>
      </c>
      <c r="I1292" s="35"/>
      <c r="J1292" s="39"/>
      <c r="K1292" s="39"/>
    </row>
    <row r="1293" spans="1:11" hidden="1" x14ac:dyDescent="0.2">
      <c r="A1293" s="20" t="s">
        <v>450</v>
      </c>
      <c r="B1293" s="39" t="s">
        <v>1915</v>
      </c>
      <c r="C1293" s="39" t="s">
        <v>1920</v>
      </c>
      <c r="D1293" s="39" t="s">
        <v>1915</v>
      </c>
      <c r="E1293" s="39" t="s">
        <v>1920</v>
      </c>
      <c r="F1293" s="40"/>
      <c r="G1293" s="39" t="str">
        <f t="shared" si="42"/>
        <v>CHNG_REQST.REQST_TYPE</v>
      </c>
      <c r="H1293" s="39" t="str">
        <f t="shared" si="41"/>
        <v>CHNG_REQST.REQST_TYPE</v>
      </c>
      <c r="I1293" s="35"/>
      <c r="J1293" s="39"/>
      <c r="K1293" s="39"/>
    </row>
    <row r="1294" spans="1:11" hidden="1" x14ac:dyDescent="0.2">
      <c r="A1294" s="20" t="s">
        <v>450</v>
      </c>
      <c r="B1294" s="39" t="s">
        <v>1915</v>
      </c>
      <c r="C1294" s="39" t="s">
        <v>1921</v>
      </c>
      <c r="D1294" s="39" t="s">
        <v>1915</v>
      </c>
      <c r="E1294" s="39" t="s">
        <v>770</v>
      </c>
      <c r="F1294" s="40"/>
      <c r="G1294" s="39" t="str">
        <f t="shared" si="42"/>
        <v>CHNG_REQST.SOURCE_PROGRAM</v>
      </c>
      <c r="H1294" s="39" t="str">
        <f t="shared" si="41"/>
        <v>CHNG_REQST.PROJECT_UID</v>
      </c>
      <c r="I1294" s="35"/>
      <c r="J1294" s="39"/>
      <c r="K1294" s="39"/>
    </row>
    <row r="1295" spans="1:11" hidden="1" x14ac:dyDescent="0.2">
      <c r="A1295" s="20" t="s">
        <v>450</v>
      </c>
      <c r="B1295" s="39" t="s">
        <v>1915</v>
      </c>
      <c r="C1295" s="39" t="s">
        <v>1921</v>
      </c>
      <c r="D1295" s="39" t="s">
        <v>1915</v>
      </c>
      <c r="E1295" s="39" t="s">
        <v>1921</v>
      </c>
      <c r="F1295" s="40"/>
      <c r="G1295" s="39" t="str">
        <f t="shared" si="42"/>
        <v>CHNG_REQST.SOURCE_PROGRAM</v>
      </c>
      <c r="H1295" s="39" t="str">
        <f t="shared" si="41"/>
        <v>CHNG_REQST.SOURCE_PROGRAM</v>
      </c>
      <c r="I1295" s="35"/>
      <c r="J1295" s="39"/>
      <c r="K1295" s="39"/>
    </row>
    <row r="1296" spans="1:11" hidden="1" x14ac:dyDescent="0.2">
      <c r="A1296" s="20" t="s">
        <v>450</v>
      </c>
      <c r="B1296" s="39" t="s">
        <v>1915</v>
      </c>
      <c r="C1296" s="39" t="s">
        <v>1922</v>
      </c>
      <c r="D1296" s="39" t="s">
        <v>1915</v>
      </c>
      <c r="E1296" s="39" t="s">
        <v>1922</v>
      </c>
      <c r="F1296" s="40"/>
      <c r="G1296" s="39" t="str">
        <f t="shared" si="42"/>
        <v>CHNG_REQST.STAGE</v>
      </c>
      <c r="H1296" s="39" t="str">
        <f t="shared" si="41"/>
        <v>CHNG_REQST.STAGE</v>
      </c>
      <c r="I1296" s="35"/>
      <c r="J1296" s="39"/>
      <c r="K1296" s="39"/>
    </row>
    <row r="1297" spans="1:11" hidden="1" x14ac:dyDescent="0.2">
      <c r="A1297" s="20" t="s">
        <v>450</v>
      </c>
      <c r="B1297" s="39" t="s">
        <v>1915</v>
      </c>
      <c r="C1297" s="39" t="s">
        <v>1923</v>
      </c>
      <c r="D1297" s="39" t="s">
        <v>1915</v>
      </c>
      <c r="E1297" s="39" t="s">
        <v>1923</v>
      </c>
      <c r="F1297" s="40"/>
      <c r="G1297" s="39" t="str">
        <f t="shared" si="42"/>
        <v>CHNG_REQST.TITLE</v>
      </c>
      <c r="H1297" s="39" t="str">
        <f t="shared" si="41"/>
        <v>CHNG_REQST.TITLE</v>
      </c>
      <c r="I1297" s="35"/>
      <c r="J1297" s="39"/>
      <c r="K1297" s="39"/>
    </row>
    <row r="1298" spans="1:11" hidden="1" x14ac:dyDescent="0.2">
      <c r="A1298" s="20" t="s">
        <v>450</v>
      </c>
      <c r="B1298" s="39" t="s">
        <v>1915</v>
      </c>
      <c r="C1298" s="39" t="s">
        <v>2112</v>
      </c>
      <c r="D1298" s="39" t="s">
        <v>1915</v>
      </c>
      <c r="E1298" s="39" t="s">
        <v>68</v>
      </c>
      <c r="F1298" s="40"/>
      <c r="G1298" s="39" t="str">
        <f t="shared" si="42"/>
        <v>CHNG_REQST.USR_ID</v>
      </c>
      <c r="H1298" s="39" t="str">
        <f t="shared" si="41"/>
        <v>CHNG_REQST.LAST_MODIFIED_BY_USER_UID</v>
      </c>
      <c r="I1298" s="35"/>
      <c r="J1298" s="39"/>
      <c r="K1298" s="39"/>
    </row>
    <row r="1299" spans="1:11" hidden="1" x14ac:dyDescent="0.2">
      <c r="A1299" s="20" t="s">
        <v>450</v>
      </c>
      <c r="B1299" s="39"/>
      <c r="C1299" s="39"/>
      <c r="D1299" s="39" t="s">
        <v>1915</v>
      </c>
      <c r="E1299" s="39" t="s">
        <v>35</v>
      </c>
      <c r="F1299" s="40"/>
      <c r="G1299" s="39" t="str">
        <f t="shared" si="42"/>
        <v>.</v>
      </c>
      <c r="H1299" s="39" t="str">
        <f t="shared" si="41"/>
        <v>CHNG_REQST.SEQUENCE</v>
      </c>
      <c r="I1299" s="35"/>
      <c r="J1299" s="39"/>
      <c r="K1299" s="39"/>
    </row>
    <row r="1300" spans="1:11" hidden="1" x14ac:dyDescent="0.2">
      <c r="A1300" s="20" t="s">
        <v>450</v>
      </c>
      <c r="B1300" s="39"/>
      <c r="C1300" s="39"/>
      <c r="D1300" s="39" t="s">
        <v>1915</v>
      </c>
      <c r="E1300" s="39" t="s">
        <v>30</v>
      </c>
      <c r="F1300" s="40"/>
      <c r="G1300" s="39" t="str">
        <f t="shared" si="42"/>
        <v>.</v>
      </c>
      <c r="H1300" s="39" t="str">
        <f t="shared" si="41"/>
        <v>CHNG_REQST.ROW_UID</v>
      </c>
      <c r="I1300" s="35"/>
      <c r="J1300" s="39"/>
      <c r="K1300" s="39"/>
    </row>
    <row r="1301" spans="1:11" hidden="1" x14ac:dyDescent="0.2">
      <c r="A1301" s="20" t="s">
        <v>450</v>
      </c>
      <c r="B1301" s="39"/>
      <c r="C1301" s="39"/>
      <c r="D1301" s="39" t="s">
        <v>1915</v>
      </c>
      <c r="E1301" s="39" t="s">
        <v>61</v>
      </c>
      <c r="F1301" s="40"/>
      <c r="G1301" s="39" t="str">
        <f t="shared" si="42"/>
        <v>.</v>
      </c>
      <c r="H1301" s="39" t="str">
        <f t="shared" si="41"/>
        <v>CHNG_REQST.CREATED_BY_USER_UID</v>
      </c>
      <c r="I1301" s="35"/>
      <c r="J1301" s="39"/>
      <c r="K1301" s="39"/>
    </row>
    <row r="1302" spans="1:11" hidden="1" x14ac:dyDescent="0.2">
      <c r="A1302" s="20" t="s">
        <v>450</v>
      </c>
      <c r="B1302" s="39"/>
      <c r="C1302" s="39"/>
      <c r="D1302" s="39" t="s">
        <v>1915</v>
      </c>
      <c r="E1302" s="39" t="s">
        <v>64</v>
      </c>
      <c r="F1302" s="40"/>
      <c r="G1302" s="39" t="str">
        <f t="shared" si="42"/>
        <v>.</v>
      </c>
      <c r="H1302" s="39" t="str">
        <f t="shared" si="41"/>
        <v>CHNG_REQST.CREATED_DATE</v>
      </c>
      <c r="I1302" s="35"/>
      <c r="J1302" s="39"/>
      <c r="K1302" s="39"/>
    </row>
    <row r="1303" spans="1:11" hidden="1" x14ac:dyDescent="0.2">
      <c r="A1303" s="20" t="s">
        <v>450</v>
      </c>
      <c r="B1303" s="39" t="s">
        <v>1924</v>
      </c>
      <c r="C1303" s="17" t="s">
        <v>1918</v>
      </c>
      <c r="D1303" s="39" t="s">
        <v>1924</v>
      </c>
      <c r="E1303" s="39" t="s">
        <v>1918</v>
      </c>
      <c r="F1303" s="40"/>
      <c r="G1303" s="39" t="str">
        <f t="shared" si="42"/>
        <v>CHNG_REQST_PROGRAM.CHNG_NUM</v>
      </c>
      <c r="H1303" s="39" t="str">
        <f t="shared" si="41"/>
        <v>CHNG_REQST_PROGRAM.CHNG_NUM</v>
      </c>
      <c r="I1303" s="35"/>
      <c r="J1303" s="39"/>
      <c r="K1303" s="39"/>
    </row>
    <row r="1304" spans="1:11" hidden="1" x14ac:dyDescent="0.2">
      <c r="A1304" s="20" t="s">
        <v>450</v>
      </c>
      <c r="B1304" s="39" t="s">
        <v>1924</v>
      </c>
      <c r="C1304" s="39" t="s">
        <v>2111</v>
      </c>
      <c r="D1304" s="39" t="s">
        <v>1924</v>
      </c>
      <c r="E1304" s="39" t="s">
        <v>71</v>
      </c>
      <c r="F1304" s="40"/>
      <c r="G1304" s="39" t="str">
        <f t="shared" si="42"/>
        <v>CHNG_REQST_PROGRAM.LASTUPDATE</v>
      </c>
      <c r="H1304" s="39" t="str">
        <f t="shared" si="41"/>
        <v>CHNG_REQST_PROGRAM.LAST_MODIFIED_DATE</v>
      </c>
      <c r="I1304" s="35"/>
      <c r="J1304" s="39"/>
      <c r="K1304" s="39"/>
    </row>
    <row r="1305" spans="1:11" hidden="1" x14ac:dyDescent="0.2">
      <c r="A1305" s="20" t="s">
        <v>450</v>
      </c>
      <c r="B1305" s="39" t="s">
        <v>1924</v>
      </c>
      <c r="C1305" s="39" t="s">
        <v>1926</v>
      </c>
      <c r="D1305" s="39" t="s">
        <v>1924</v>
      </c>
      <c r="E1305" s="39" t="s">
        <v>1926</v>
      </c>
      <c r="F1305" s="40"/>
      <c r="G1305" s="39" t="str">
        <f t="shared" si="42"/>
        <v>CHNG_REQST_PROGRAM.PHASE</v>
      </c>
      <c r="H1305" s="39" t="str">
        <f t="shared" si="41"/>
        <v>CHNG_REQST_PROGRAM.PHASE</v>
      </c>
      <c r="I1305" s="35"/>
      <c r="J1305" s="39"/>
      <c r="K1305" s="39"/>
    </row>
    <row r="1306" spans="1:11" hidden="1" x14ac:dyDescent="0.2">
      <c r="A1306" s="20" t="s">
        <v>450</v>
      </c>
      <c r="B1306" s="39" t="s">
        <v>1924</v>
      </c>
      <c r="C1306" s="39" t="s">
        <v>744</v>
      </c>
      <c r="D1306" s="39" t="s">
        <v>1924</v>
      </c>
      <c r="E1306" s="39" t="s">
        <v>770</v>
      </c>
      <c r="F1306" s="40"/>
      <c r="G1306" s="39" t="str">
        <f t="shared" si="42"/>
        <v>CHNG_REQST_PROGRAM.PROGRAM</v>
      </c>
      <c r="H1306" s="39" t="str">
        <f t="shared" si="41"/>
        <v>CHNG_REQST_PROGRAM.PROJECT_UID</v>
      </c>
      <c r="I1306" s="35"/>
      <c r="J1306" s="39"/>
      <c r="K1306" s="39"/>
    </row>
    <row r="1307" spans="1:11" hidden="1" x14ac:dyDescent="0.2">
      <c r="A1307" s="20" t="s">
        <v>450</v>
      </c>
      <c r="B1307" s="39" t="s">
        <v>1924</v>
      </c>
      <c r="C1307" s="39" t="s">
        <v>744</v>
      </c>
      <c r="D1307" s="39" t="s">
        <v>1924</v>
      </c>
      <c r="E1307" s="39" t="s">
        <v>744</v>
      </c>
      <c r="F1307" s="40"/>
      <c r="G1307" s="39" t="str">
        <f t="shared" ref="G1307:G1339" si="43">_xlfn.CONCAT(B1307,".",C1307)</f>
        <v>CHNG_REQST_PROGRAM.PROGRAM</v>
      </c>
      <c r="H1307" s="39" t="str">
        <f t="shared" si="41"/>
        <v>CHNG_REQST_PROGRAM.PROGRAM</v>
      </c>
      <c r="I1307" s="35"/>
      <c r="J1307" s="39"/>
      <c r="K1307" s="39"/>
    </row>
    <row r="1308" spans="1:11" hidden="1" x14ac:dyDescent="0.2">
      <c r="A1308" s="20" t="s">
        <v>450</v>
      </c>
      <c r="B1308" s="39" t="s">
        <v>1924</v>
      </c>
      <c r="C1308" s="39" t="s">
        <v>2112</v>
      </c>
      <c r="D1308" s="39" t="s">
        <v>1924</v>
      </c>
      <c r="E1308" s="39" t="s">
        <v>68</v>
      </c>
      <c r="F1308" s="40"/>
      <c r="G1308" s="39" t="str">
        <f t="shared" si="43"/>
        <v>CHNG_REQST_PROGRAM.USR_ID</v>
      </c>
      <c r="H1308" s="39" t="str">
        <f t="shared" ref="H1308:H1339" si="44">_xlfn.CONCAT(D1308,".",E1308)</f>
        <v>CHNG_REQST_PROGRAM.LAST_MODIFIED_BY_USER_UID</v>
      </c>
      <c r="I1308" s="35"/>
      <c r="J1308" s="39"/>
      <c r="K1308" s="39"/>
    </row>
    <row r="1309" spans="1:11" hidden="1" x14ac:dyDescent="0.2">
      <c r="A1309" s="20" t="s">
        <v>450</v>
      </c>
      <c r="B1309" s="39"/>
      <c r="C1309" s="39"/>
      <c r="D1309" s="39" t="s">
        <v>1924</v>
      </c>
      <c r="E1309" s="39" t="s">
        <v>35</v>
      </c>
      <c r="F1309" s="40"/>
      <c r="G1309" s="39" t="str">
        <f t="shared" si="43"/>
        <v>.</v>
      </c>
      <c r="H1309" s="39" t="str">
        <f t="shared" si="44"/>
        <v>CHNG_REQST_PROGRAM.SEQUENCE</v>
      </c>
      <c r="I1309" s="35"/>
      <c r="J1309" s="39"/>
      <c r="K1309" s="39"/>
    </row>
    <row r="1310" spans="1:11" hidden="1" x14ac:dyDescent="0.2">
      <c r="A1310" s="20" t="s">
        <v>450</v>
      </c>
      <c r="B1310" s="39"/>
      <c r="C1310" s="39"/>
      <c r="D1310" s="39" t="s">
        <v>1924</v>
      </c>
      <c r="E1310" s="39" t="s">
        <v>30</v>
      </c>
      <c r="F1310" s="40"/>
      <c r="G1310" s="39" t="str">
        <f t="shared" si="43"/>
        <v>.</v>
      </c>
      <c r="H1310" s="39" t="str">
        <f t="shared" si="44"/>
        <v>CHNG_REQST_PROGRAM.ROW_UID</v>
      </c>
      <c r="I1310" s="35"/>
      <c r="J1310" s="39"/>
      <c r="K1310" s="39"/>
    </row>
    <row r="1311" spans="1:11" hidden="1" x14ac:dyDescent="0.2">
      <c r="A1311" s="20" t="s">
        <v>450</v>
      </c>
      <c r="B1311" s="39"/>
      <c r="C1311" s="39"/>
      <c r="D1311" s="39" t="s">
        <v>1924</v>
      </c>
      <c r="E1311" s="39" t="s">
        <v>61</v>
      </c>
      <c r="F1311" s="40"/>
      <c r="G1311" s="39" t="str">
        <f t="shared" si="43"/>
        <v>.</v>
      </c>
      <c r="H1311" s="39" t="str">
        <f t="shared" si="44"/>
        <v>CHNG_REQST_PROGRAM.CREATED_BY_USER_UID</v>
      </c>
      <c r="I1311" s="35"/>
      <c r="J1311" s="39"/>
      <c r="K1311" s="39"/>
    </row>
    <row r="1312" spans="1:11" hidden="1" x14ac:dyDescent="0.2">
      <c r="A1312" s="20" t="s">
        <v>450</v>
      </c>
      <c r="B1312" s="39"/>
      <c r="C1312" s="39"/>
      <c r="D1312" s="39" t="s">
        <v>1924</v>
      </c>
      <c r="E1312" s="39" t="s">
        <v>64</v>
      </c>
      <c r="F1312" s="40"/>
      <c r="G1312" s="39" t="str">
        <f t="shared" si="43"/>
        <v>.</v>
      </c>
      <c r="H1312" s="39" t="str">
        <f t="shared" si="44"/>
        <v>CHNG_REQST_PROGRAM.CREATED_DATE</v>
      </c>
      <c r="I1312" s="35"/>
      <c r="J1312" s="39"/>
      <c r="K1312" s="39"/>
    </row>
    <row r="1313" spans="1:11" hidden="1" x14ac:dyDescent="0.2">
      <c r="A1313" s="20" t="s">
        <v>450</v>
      </c>
      <c r="B1313" s="39" t="s">
        <v>1927</v>
      </c>
      <c r="C1313" s="39" t="s">
        <v>1100</v>
      </c>
      <c r="D1313" s="39" t="s">
        <v>1927</v>
      </c>
      <c r="E1313" s="39" t="s">
        <v>1100</v>
      </c>
      <c r="F1313" s="40"/>
      <c r="G1313" s="39" t="str">
        <f t="shared" si="43"/>
        <v>CLASSRANGES.CLASS</v>
      </c>
      <c r="H1313" s="39" t="str">
        <f t="shared" si="44"/>
        <v>CLASSRANGES.CLASS</v>
      </c>
      <c r="I1313" s="35"/>
      <c r="J1313" s="39"/>
      <c r="K1313" s="39"/>
    </row>
    <row r="1314" spans="1:11" hidden="1" x14ac:dyDescent="0.2">
      <c r="A1314" s="20" t="s">
        <v>450</v>
      </c>
      <c r="B1314" s="39" t="s">
        <v>1927</v>
      </c>
      <c r="C1314" s="39" t="s">
        <v>1928</v>
      </c>
      <c r="D1314" s="39" t="s">
        <v>1927</v>
      </c>
      <c r="E1314" s="39" t="s">
        <v>1928</v>
      </c>
      <c r="F1314" s="40"/>
      <c r="G1314" s="39" t="str">
        <f t="shared" si="43"/>
        <v>CLASSRANGES.FIELDNUM</v>
      </c>
      <c r="H1314" s="39" t="str">
        <f t="shared" si="44"/>
        <v>CLASSRANGES.FIELDNUM</v>
      </c>
      <c r="I1314" s="35"/>
      <c r="J1314" s="39"/>
      <c r="K1314" s="39"/>
    </row>
    <row r="1315" spans="1:11" hidden="1" x14ac:dyDescent="0.2">
      <c r="A1315" s="20" t="s">
        <v>450</v>
      </c>
      <c r="B1315" s="39" t="s">
        <v>1927</v>
      </c>
      <c r="C1315" s="39" t="s">
        <v>744</v>
      </c>
      <c r="D1315" s="39" t="s">
        <v>1927</v>
      </c>
      <c r="E1315" s="39" t="s">
        <v>744</v>
      </c>
      <c r="F1315" s="40"/>
      <c r="G1315" s="39" t="str">
        <f t="shared" si="43"/>
        <v>CLASSRANGES.PROGRAM</v>
      </c>
      <c r="H1315" s="39" t="str">
        <f t="shared" si="44"/>
        <v>CLASSRANGES.PROGRAM</v>
      </c>
      <c r="I1315" s="35"/>
      <c r="J1315" s="39"/>
      <c r="K1315" s="39"/>
    </row>
    <row r="1316" spans="1:11" hidden="1" x14ac:dyDescent="0.2">
      <c r="A1316" s="20" t="s">
        <v>450</v>
      </c>
      <c r="B1316" s="39" t="s">
        <v>1927</v>
      </c>
      <c r="C1316" s="39" t="s">
        <v>744</v>
      </c>
      <c r="D1316" s="39" t="s">
        <v>1927</v>
      </c>
      <c r="E1316" s="50" t="s">
        <v>770</v>
      </c>
      <c r="F1316" s="40"/>
      <c r="G1316" s="39" t="str">
        <f t="shared" si="43"/>
        <v>CLASSRANGES.PROGRAM</v>
      </c>
      <c r="H1316" s="39" t="str">
        <f t="shared" si="44"/>
        <v>CLASSRANGES.PROJECT_UID</v>
      </c>
      <c r="I1316" s="35"/>
      <c r="J1316" s="39"/>
      <c r="K1316" s="39"/>
    </row>
    <row r="1317" spans="1:11" hidden="1" x14ac:dyDescent="0.2">
      <c r="A1317" s="20" t="s">
        <v>450</v>
      </c>
      <c r="B1317" s="39" t="s">
        <v>1927</v>
      </c>
      <c r="C1317" s="39" t="s">
        <v>1929</v>
      </c>
      <c r="D1317" s="39" t="s">
        <v>1927</v>
      </c>
      <c r="E1317" s="39" t="s">
        <v>1929</v>
      </c>
      <c r="F1317" s="40"/>
      <c r="G1317" s="39" t="str">
        <f t="shared" si="43"/>
        <v>CLASSRANGES.RANGE_KEY</v>
      </c>
      <c r="H1317" s="39" t="str">
        <f t="shared" si="44"/>
        <v>CLASSRANGES.RANGE_KEY</v>
      </c>
      <c r="I1317" s="35"/>
      <c r="J1317" s="39"/>
      <c r="K1317" s="39"/>
    </row>
    <row r="1318" spans="1:11" hidden="1" x14ac:dyDescent="0.2">
      <c r="A1318" s="20" t="s">
        <v>450</v>
      </c>
      <c r="B1318" s="39" t="s">
        <v>1927</v>
      </c>
      <c r="C1318" s="39" t="s">
        <v>1930</v>
      </c>
      <c r="D1318" s="39" t="s">
        <v>1927</v>
      </c>
      <c r="E1318" s="39" t="s">
        <v>1930</v>
      </c>
      <c r="F1318" s="40"/>
      <c r="G1318" s="39" t="str">
        <f t="shared" si="43"/>
        <v>CLASSRANGES.RANGE_VALUE</v>
      </c>
      <c r="H1318" s="39" t="str">
        <f t="shared" si="44"/>
        <v>CLASSRANGES.RANGE_VALUE</v>
      </c>
      <c r="I1318" s="35"/>
      <c r="J1318" s="39"/>
      <c r="K1318" s="39"/>
    </row>
    <row r="1319" spans="1:11" hidden="1" x14ac:dyDescent="0.2">
      <c r="A1319" s="20" t="s">
        <v>450</v>
      </c>
      <c r="B1319" s="39"/>
      <c r="C1319" s="39"/>
      <c r="D1319" s="39" t="s">
        <v>1927</v>
      </c>
      <c r="E1319" s="39" t="s">
        <v>30</v>
      </c>
      <c r="F1319" s="40"/>
      <c r="G1319" s="39" t="str">
        <f t="shared" si="43"/>
        <v>.</v>
      </c>
      <c r="H1319" s="39" t="str">
        <f t="shared" si="44"/>
        <v>CLASSRANGES.ROW_UID</v>
      </c>
      <c r="I1319" s="35"/>
      <c r="J1319" s="39"/>
      <c r="K1319" s="39"/>
    </row>
    <row r="1320" spans="1:11" hidden="1" x14ac:dyDescent="0.2">
      <c r="A1320" s="20" t="s">
        <v>450</v>
      </c>
      <c r="B1320" s="39"/>
      <c r="C1320" s="39"/>
      <c r="D1320" s="39" t="s">
        <v>1927</v>
      </c>
      <c r="E1320" s="39" t="s">
        <v>35</v>
      </c>
      <c r="F1320" s="40"/>
      <c r="G1320" s="39" t="str">
        <f t="shared" si="43"/>
        <v>.</v>
      </c>
      <c r="H1320" s="39" t="str">
        <f t="shared" si="44"/>
        <v>CLASSRANGES.SEQUENCE</v>
      </c>
      <c r="I1320" s="35"/>
      <c r="J1320" s="39"/>
      <c r="K1320" s="39"/>
    </row>
    <row r="1321" spans="1:11" hidden="1" x14ac:dyDescent="0.2">
      <c r="A1321" s="20" t="s">
        <v>450</v>
      </c>
      <c r="B1321" s="39"/>
      <c r="C1321" s="39"/>
      <c r="D1321" s="39" t="s">
        <v>1927</v>
      </c>
      <c r="E1321" s="39" t="s">
        <v>61</v>
      </c>
      <c r="F1321" s="40"/>
      <c r="G1321" s="39" t="str">
        <f t="shared" si="43"/>
        <v>.</v>
      </c>
      <c r="H1321" s="39" t="str">
        <f t="shared" si="44"/>
        <v>CLASSRANGES.CREATED_BY_USER_UID</v>
      </c>
      <c r="I1321" s="35"/>
      <c r="J1321" s="39"/>
      <c r="K1321" s="39"/>
    </row>
    <row r="1322" spans="1:11" hidden="1" x14ac:dyDescent="0.2">
      <c r="A1322" s="20" t="s">
        <v>450</v>
      </c>
      <c r="B1322" s="39"/>
      <c r="C1322" s="39"/>
      <c r="D1322" s="39" t="s">
        <v>1927</v>
      </c>
      <c r="E1322" s="39" t="s">
        <v>64</v>
      </c>
      <c r="F1322" s="40"/>
      <c r="G1322" s="39" t="str">
        <f t="shared" si="43"/>
        <v>.</v>
      </c>
      <c r="H1322" s="39" t="str">
        <f t="shared" si="44"/>
        <v>CLASSRANGES.CREATED_DATE</v>
      </c>
      <c r="I1322" s="35"/>
      <c r="J1322" s="39"/>
      <c r="K1322" s="39"/>
    </row>
    <row r="1323" spans="1:11" hidden="1" x14ac:dyDescent="0.2">
      <c r="A1323" s="20" t="s">
        <v>450</v>
      </c>
      <c r="B1323" s="39"/>
      <c r="C1323" s="39"/>
      <c r="D1323" s="39" t="s">
        <v>1927</v>
      </c>
      <c r="E1323" s="39" t="s">
        <v>68</v>
      </c>
      <c r="F1323" s="40"/>
      <c r="G1323" s="39" t="str">
        <f t="shared" si="43"/>
        <v>.</v>
      </c>
      <c r="H1323" s="39" t="str">
        <f t="shared" si="44"/>
        <v>CLASSRANGES.LAST_MODIFIED_BY_USER_UID</v>
      </c>
      <c r="I1323" s="35"/>
      <c r="J1323" s="39"/>
      <c r="K1323" s="39"/>
    </row>
    <row r="1324" spans="1:11" hidden="1" x14ac:dyDescent="0.2">
      <c r="A1324" s="20" t="s">
        <v>450</v>
      </c>
      <c r="B1324" s="39"/>
      <c r="C1324" s="39"/>
      <c r="D1324" s="39" t="s">
        <v>1927</v>
      </c>
      <c r="E1324" s="39" t="s">
        <v>71</v>
      </c>
      <c r="F1324" s="40"/>
      <c r="G1324" s="39" t="str">
        <f t="shared" si="43"/>
        <v>.</v>
      </c>
      <c r="H1324" s="39" t="str">
        <f t="shared" si="44"/>
        <v>CLASSRANGES.LAST_MODIFIED_DATE</v>
      </c>
      <c r="I1324" s="35"/>
      <c r="J1324" s="39"/>
      <c r="K1324" s="39"/>
    </row>
    <row r="1325" spans="1:11" hidden="1" x14ac:dyDescent="0.2">
      <c r="A1325" s="20" t="s">
        <v>450</v>
      </c>
      <c r="B1325" s="39" t="s">
        <v>1931</v>
      </c>
      <c r="C1325" s="39" t="s">
        <v>1932</v>
      </c>
      <c r="D1325" s="39" t="s">
        <v>1931</v>
      </c>
      <c r="E1325" s="39" t="s">
        <v>1932</v>
      </c>
      <c r="F1325" s="40"/>
      <c r="G1325" s="39" t="str">
        <f t="shared" si="43"/>
        <v>CONNECTION.CONN_ID</v>
      </c>
      <c r="H1325" s="39" t="str">
        <f t="shared" si="44"/>
        <v>CONNECTION.CONN_ID</v>
      </c>
      <c r="I1325" s="35"/>
      <c r="J1325" s="39"/>
      <c r="K1325" s="39"/>
    </row>
    <row r="1326" spans="1:11" hidden="1" x14ac:dyDescent="0.2">
      <c r="A1326" s="20" t="s">
        <v>450</v>
      </c>
      <c r="B1326" s="39" t="s">
        <v>1931</v>
      </c>
      <c r="C1326" s="39" t="s">
        <v>1933</v>
      </c>
      <c r="D1326" s="39" t="s">
        <v>1931</v>
      </c>
      <c r="E1326" s="39" t="s">
        <v>1933</v>
      </c>
      <c r="F1326" s="40"/>
      <c r="G1326" s="39" t="str">
        <f t="shared" si="43"/>
        <v>CONNECTION.CONN_TYPE</v>
      </c>
      <c r="H1326" s="39" t="str">
        <f t="shared" si="44"/>
        <v>CONNECTION.CONN_TYPE</v>
      </c>
      <c r="I1326" s="35"/>
      <c r="J1326" s="39"/>
      <c r="K1326" s="39"/>
    </row>
    <row r="1327" spans="1:11" hidden="1" x14ac:dyDescent="0.2">
      <c r="A1327" s="20" t="s">
        <v>450</v>
      </c>
      <c r="B1327" s="39" t="s">
        <v>1931</v>
      </c>
      <c r="C1327" s="39" t="s">
        <v>270</v>
      </c>
      <c r="D1327" s="39" t="s">
        <v>1931</v>
      </c>
      <c r="E1327" s="39" t="s">
        <v>270</v>
      </c>
      <c r="F1327" s="40"/>
      <c r="G1327" s="39" t="str">
        <f t="shared" si="43"/>
        <v>CONNECTION.DATA</v>
      </c>
      <c r="H1327" s="39" t="str">
        <f t="shared" si="44"/>
        <v>CONNECTION.DATA</v>
      </c>
      <c r="I1327" s="35"/>
      <c r="J1327" s="39"/>
      <c r="K1327" s="39"/>
    </row>
    <row r="1328" spans="1:11" hidden="1" x14ac:dyDescent="0.2">
      <c r="A1328" s="20" t="s">
        <v>450</v>
      </c>
      <c r="B1328" s="39" t="s">
        <v>1931</v>
      </c>
      <c r="C1328" s="39" t="s">
        <v>2141</v>
      </c>
      <c r="D1328" s="39" t="s">
        <v>1931</v>
      </c>
      <c r="E1328" s="39" t="s">
        <v>15</v>
      </c>
      <c r="F1328" s="40"/>
      <c r="G1328" s="39" t="str">
        <f t="shared" si="43"/>
        <v>CONNECTION.DESCRIP</v>
      </c>
      <c r="H1328" s="39" t="str">
        <f t="shared" si="44"/>
        <v>CONNECTION.DESCRIPTION</v>
      </c>
      <c r="I1328" s="35"/>
      <c r="J1328" s="39"/>
      <c r="K1328" s="39"/>
    </row>
    <row r="1329" spans="1:11" hidden="1" x14ac:dyDescent="0.2">
      <c r="A1329" s="20" t="s">
        <v>450</v>
      </c>
      <c r="B1329" s="39" t="s">
        <v>1931</v>
      </c>
      <c r="C1329" s="39" t="s">
        <v>1935</v>
      </c>
      <c r="D1329" s="39" t="s">
        <v>1931</v>
      </c>
      <c r="E1329" s="39" t="s">
        <v>1935</v>
      </c>
      <c r="F1329" s="40"/>
      <c r="G1329" s="39" t="str">
        <f t="shared" si="43"/>
        <v>CONNECTION.GRP_ID</v>
      </c>
      <c r="H1329" s="39" t="str">
        <f t="shared" si="44"/>
        <v>CONNECTION.GRP_ID</v>
      </c>
      <c r="I1329" s="35"/>
      <c r="J1329" s="39"/>
      <c r="K1329" s="39"/>
    </row>
    <row r="1330" spans="1:11" hidden="1" x14ac:dyDescent="0.2">
      <c r="A1330" s="20" t="s">
        <v>450</v>
      </c>
      <c r="B1330" s="39" t="s">
        <v>1931</v>
      </c>
      <c r="C1330" s="39" t="s">
        <v>2111</v>
      </c>
      <c r="D1330" s="39" t="s">
        <v>1931</v>
      </c>
      <c r="E1330" s="39" t="s">
        <v>71</v>
      </c>
      <c r="F1330" s="40"/>
      <c r="G1330" s="39" t="str">
        <f t="shared" si="43"/>
        <v>CONNECTION.LASTUPDATE</v>
      </c>
      <c r="H1330" s="39" t="str">
        <f t="shared" si="44"/>
        <v>CONNECTION.LAST_MODIFIED_DATE</v>
      </c>
      <c r="I1330" s="35"/>
      <c r="J1330" s="39"/>
      <c r="K1330" s="39"/>
    </row>
    <row r="1331" spans="1:11" hidden="1" x14ac:dyDescent="0.2">
      <c r="A1331" s="20" t="s">
        <v>450</v>
      </c>
      <c r="B1331" s="39" t="s">
        <v>1931</v>
      </c>
      <c r="C1331" s="39" t="s">
        <v>1936</v>
      </c>
      <c r="D1331" s="39" t="s">
        <v>1931</v>
      </c>
      <c r="E1331" s="39" t="s">
        <v>1936</v>
      </c>
      <c r="F1331" s="40"/>
      <c r="G1331" s="39" t="str">
        <f t="shared" si="43"/>
        <v>CONNECTION.OWNER_ID</v>
      </c>
      <c r="H1331" s="39" t="str">
        <f t="shared" si="44"/>
        <v>CONNECTION.OWNER_ID</v>
      </c>
      <c r="I1331" s="35"/>
      <c r="J1331" s="39"/>
      <c r="K1331" s="39"/>
    </row>
    <row r="1332" spans="1:11" hidden="1" x14ac:dyDescent="0.2">
      <c r="A1332" s="20" t="s">
        <v>450</v>
      </c>
      <c r="B1332" s="39" t="s">
        <v>1931</v>
      </c>
      <c r="C1332" s="39" t="s">
        <v>1312</v>
      </c>
      <c r="D1332" s="39" t="s">
        <v>1931</v>
      </c>
      <c r="E1332" s="39" t="s">
        <v>1312</v>
      </c>
      <c r="F1332" s="40"/>
      <c r="G1332" s="39" t="str">
        <f t="shared" si="43"/>
        <v>CONNECTION.READONLY</v>
      </c>
      <c r="H1332" s="39" t="str">
        <f t="shared" si="44"/>
        <v>CONNECTION.READONLY</v>
      </c>
      <c r="I1332" s="35"/>
      <c r="J1332" s="39"/>
      <c r="K1332" s="39"/>
    </row>
    <row r="1333" spans="1:11" hidden="1" x14ac:dyDescent="0.2">
      <c r="A1333" s="20" t="s">
        <v>450</v>
      </c>
      <c r="B1333" s="39" t="s">
        <v>1931</v>
      </c>
      <c r="C1333" s="39" t="s">
        <v>35</v>
      </c>
      <c r="D1333" s="39" t="s">
        <v>1931</v>
      </c>
      <c r="E1333" s="39" t="s">
        <v>35</v>
      </c>
      <c r="F1333" s="40"/>
      <c r="G1333" s="39" t="str">
        <f t="shared" si="43"/>
        <v>CONNECTION.SEQUENCE</v>
      </c>
      <c r="H1333" s="39" t="str">
        <f t="shared" si="44"/>
        <v>CONNECTION.SEQUENCE</v>
      </c>
      <c r="I1333" s="35"/>
      <c r="J1333" s="39"/>
      <c r="K1333" s="39"/>
    </row>
    <row r="1334" spans="1:11" hidden="1" x14ac:dyDescent="0.2">
      <c r="A1334" s="20" t="s">
        <v>450</v>
      </c>
      <c r="B1334" s="39" t="s">
        <v>1931</v>
      </c>
      <c r="C1334" s="39" t="s">
        <v>1939</v>
      </c>
      <c r="D1334" s="39" t="s">
        <v>1931</v>
      </c>
      <c r="E1334" s="39" t="s">
        <v>1939</v>
      </c>
      <c r="F1334" s="40"/>
      <c r="G1334" s="39" t="str">
        <f t="shared" si="43"/>
        <v>CONNECTION.SHARED</v>
      </c>
      <c r="H1334" s="39" t="str">
        <f t="shared" si="44"/>
        <v>CONNECTION.SHARED</v>
      </c>
      <c r="I1334" s="35"/>
      <c r="J1334" s="39"/>
      <c r="K1334" s="39"/>
    </row>
    <row r="1335" spans="1:11" hidden="1" x14ac:dyDescent="0.2">
      <c r="A1335" s="20" t="s">
        <v>450</v>
      </c>
      <c r="B1335" s="39" t="s">
        <v>1931</v>
      </c>
      <c r="C1335" s="39" t="s">
        <v>2112</v>
      </c>
      <c r="D1335" s="39" t="s">
        <v>1931</v>
      </c>
      <c r="E1335" s="39" t="s">
        <v>68</v>
      </c>
      <c r="F1335" s="40"/>
      <c r="G1335" s="39" t="str">
        <f t="shared" si="43"/>
        <v>CONNECTION.USR_ID</v>
      </c>
      <c r="H1335" s="39" t="str">
        <f t="shared" si="44"/>
        <v>CONNECTION.LAST_MODIFIED_BY_USER_UID</v>
      </c>
      <c r="I1335" s="35"/>
      <c r="J1335" s="39"/>
      <c r="K1335" s="39"/>
    </row>
    <row r="1336" spans="1:11" hidden="1" x14ac:dyDescent="0.2">
      <c r="A1336" s="20" t="s">
        <v>450</v>
      </c>
      <c r="B1336" s="39"/>
      <c r="C1336" s="39"/>
      <c r="D1336" s="39" t="s">
        <v>1931</v>
      </c>
      <c r="E1336" s="39" t="s">
        <v>30</v>
      </c>
      <c r="F1336" s="40"/>
      <c r="G1336" s="39" t="str">
        <f t="shared" si="43"/>
        <v>.</v>
      </c>
      <c r="H1336" s="39" t="str">
        <f t="shared" si="44"/>
        <v>CONNECTION.ROW_UID</v>
      </c>
      <c r="I1336" s="35"/>
      <c r="J1336" s="39"/>
      <c r="K1336" s="39"/>
    </row>
    <row r="1337" spans="1:11" hidden="1" x14ac:dyDescent="0.2">
      <c r="A1337" s="20" t="s">
        <v>450</v>
      </c>
      <c r="B1337" s="39"/>
      <c r="C1337" s="39"/>
      <c r="D1337" s="39" t="s">
        <v>1931</v>
      </c>
      <c r="E1337" s="39" t="s">
        <v>61</v>
      </c>
      <c r="F1337" s="40"/>
      <c r="G1337" s="39" t="str">
        <f t="shared" si="43"/>
        <v>.</v>
      </c>
      <c r="H1337" s="39" t="str">
        <f t="shared" si="44"/>
        <v>CONNECTION.CREATED_BY_USER_UID</v>
      </c>
      <c r="I1337" s="35"/>
      <c r="J1337" s="39"/>
      <c r="K1337" s="39"/>
    </row>
    <row r="1338" spans="1:11" hidden="1" x14ac:dyDescent="0.2">
      <c r="A1338" s="20" t="s">
        <v>450</v>
      </c>
      <c r="B1338" s="39"/>
      <c r="C1338" s="39"/>
      <c r="D1338" s="39" t="s">
        <v>1931</v>
      </c>
      <c r="E1338" s="39" t="s">
        <v>64</v>
      </c>
      <c r="F1338" s="40"/>
      <c r="G1338" s="39" t="str">
        <f t="shared" si="43"/>
        <v>.</v>
      </c>
      <c r="H1338" s="39" t="str">
        <f t="shared" si="44"/>
        <v>CONNECTION.CREATED_DATE</v>
      </c>
      <c r="I1338" s="35"/>
      <c r="J1338" s="39"/>
      <c r="K1338" s="39"/>
    </row>
    <row r="1339" spans="1:11" hidden="1" x14ac:dyDescent="0.2">
      <c r="A1339" s="20" t="s">
        <v>450</v>
      </c>
      <c r="B1339" s="39" t="s">
        <v>1941</v>
      </c>
      <c r="C1339" s="39" t="s">
        <v>1100</v>
      </c>
      <c r="D1339" t="s">
        <v>1941</v>
      </c>
      <c r="E1339" s="39" t="s">
        <v>1100</v>
      </c>
      <c r="F1339" s="40"/>
      <c r="G1339" s="39" t="str">
        <f t="shared" si="43"/>
        <v>COSTDETL.CLASS</v>
      </c>
      <c r="H1339" s="39" t="str">
        <f t="shared" si="44"/>
        <v>COSTDETL.CLASS</v>
      </c>
      <c r="I1339" s="35"/>
      <c r="J1339" s="39"/>
      <c r="K1339" s="39"/>
    </row>
    <row r="1340" spans="1:11" hidden="1" x14ac:dyDescent="0.2">
      <c r="A1340" s="20" t="s">
        <v>450</v>
      </c>
      <c r="B1340" s="39" t="s">
        <v>1941</v>
      </c>
      <c r="C1340" s="39" t="s">
        <v>1942</v>
      </c>
      <c r="D1340" t="s">
        <v>1941</v>
      </c>
      <c r="E1340" s="39" t="s">
        <v>1942</v>
      </c>
      <c r="F1340" s="40"/>
      <c r="G1340" s="39" t="str">
        <f t="shared" ref="G1340:G1343" si="45">_xlfn.CONCAT(B1340,".",C1340)</f>
        <v>COSTDETL.COSTSET</v>
      </c>
      <c r="H1340" s="39" t="str">
        <f t="shared" ref="H1340:H1343" si="46">_xlfn.CONCAT(D1340,".",E1340)</f>
        <v>COSTDETL.COSTSET</v>
      </c>
      <c r="I1340" s="35"/>
      <c r="J1340" s="39"/>
      <c r="K1340" s="39"/>
    </row>
    <row r="1341" spans="1:11" hidden="1" x14ac:dyDescent="0.2">
      <c r="A1341" s="20" t="s">
        <v>450</v>
      </c>
      <c r="B1341" s="39" t="s">
        <v>1941</v>
      </c>
      <c r="C1341" s="39" t="s">
        <v>1943</v>
      </c>
      <c r="D1341" t="s">
        <v>1941</v>
      </c>
      <c r="E1341" s="39" t="s">
        <v>1943</v>
      </c>
      <c r="F1341" s="40"/>
      <c r="G1341" s="39" t="str">
        <f t="shared" si="45"/>
        <v>COSTDETL.INSTANCE</v>
      </c>
      <c r="H1341" s="39" t="str">
        <f t="shared" si="46"/>
        <v>COSTDETL.INSTANCE</v>
      </c>
      <c r="I1341" s="35"/>
      <c r="J1341" s="39"/>
      <c r="K1341" s="39"/>
    </row>
    <row r="1342" spans="1:11" hidden="1" x14ac:dyDescent="0.2">
      <c r="A1342" s="20" t="s">
        <v>450</v>
      </c>
      <c r="B1342" s="39" t="s">
        <v>1941</v>
      </c>
      <c r="C1342" s="39" t="s">
        <v>1944</v>
      </c>
      <c r="D1342" t="s">
        <v>1941</v>
      </c>
      <c r="E1342" s="39" t="s">
        <v>1944</v>
      </c>
      <c r="F1342" s="40"/>
      <c r="G1342" s="39" t="str">
        <f t="shared" si="45"/>
        <v>COSTDETL.ORD</v>
      </c>
      <c r="H1342" s="39" t="str">
        <f t="shared" si="46"/>
        <v>COSTDETL.ORD</v>
      </c>
      <c r="I1342" s="35"/>
      <c r="J1342" s="39"/>
      <c r="K1342" s="39"/>
    </row>
    <row r="1343" spans="1:11" hidden="1" x14ac:dyDescent="0.2">
      <c r="A1343" s="20" t="s">
        <v>450</v>
      </c>
      <c r="B1343" s="39" t="s">
        <v>1941</v>
      </c>
      <c r="C1343" s="39" t="s">
        <v>65</v>
      </c>
      <c r="D1343" t="s">
        <v>1941</v>
      </c>
      <c r="E1343" s="39" t="s">
        <v>64</v>
      </c>
      <c r="F1343" s="40"/>
      <c r="G1343" s="39" t="str">
        <f t="shared" si="45"/>
        <v>COSTDETL.TIMESTAMP</v>
      </c>
      <c r="H1343" s="39" t="str">
        <f t="shared" si="46"/>
        <v>COSTDETL.CREATED_DATE</v>
      </c>
      <c r="I1343" s="35"/>
      <c r="J1343" s="39"/>
      <c r="K1343" s="39"/>
    </row>
    <row r="1344" spans="1:11" hidden="1" x14ac:dyDescent="0.2">
      <c r="A1344" s="20" t="s">
        <v>450</v>
      </c>
      <c r="B1344" s="39"/>
      <c r="C1344" s="39"/>
      <c r="D1344" t="s">
        <v>1941</v>
      </c>
      <c r="E1344" s="39" t="s">
        <v>30</v>
      </c>
      <c r="F1344" s="40"/>
      <c r="G1344" s="39" t="str">
        <f t="shared" ref="G1344:G1349" si="47">_xlfn.CONCAT(B1344,".",C1344)</f>
        <v>.</v>
      </c>
      <c r="H1344" s="39" t="str">
        <f t="shared" ref="H1344:H1349" si="48">_xlfn.CONCAT(D1344,".",E1344)</f>
        <v>COSTDETL.ROW_UID</v>
      </c>
      <c r="I1344" s="35"/>
      <c r="J1344" s="39"/>
      <c r="K1344" s="39"/>
    </row>
    <row r="1345" spans="1:11" hidden="1" x14ac:dyDescent="0.2">
      <c r="A1345" s="20" t="s">
        <v>450</v>
      </c>
      <c r="B1345" s="39"/>
      <c r="C1345" s="39"/>
      <c r="D1345" t="s">
        <v>1941</v>
      </c>
      <c r="E1345" s="39" t="s">
        <v>35</v>
      </c>
      <c r="F1345" s="40"/>
      <c r="G1345" s="39" t="str">
        <f t="shared" si="47"/>
        <v>.</v>
      </c>
      <c r="H1345" s="39" t="str">
        <f t="shared" si="48"/>
        <v>COSTDETL.SEQUENCE</v>
      </c>
      <c r="I1345" s="35"/>
      <c r="J1345" s="39"/>
      <c r="K1345" s="39"/>
    </row>
    <row r="1346" spans="1:11" hidden="1" x14ac:dyDescent="0.2">
      <c r="A1346" s="20" t="s">
        <v>450</v>
      </c>
      <c r="B1346" s="39"/>
      <c r="C1346" s="39"/>
      <c r="D1346" t="s">
        <v>1941</v>
      </c>
      <c r="E1346" s="39" t="s">
        <v>71</v>
      </c>
      <c r="F1346" s="40"/>
      <c r="G1346" s="39" t="str">
        <f t="shared" si="47"/>
        <v>.</v>
      </c>
      <c r="H1346" s="39" t="str">
        <f t="shared" si="48"/>
        <v>COSTDETL.LAST_MODIFIED_DATE</v>
      </c>
      <c r="I1346" s="35"/>
      <c r="J1346" s="39"/>
      <c r="K1346" s="39"/>
    </row>
    <row r="1347" spans="1:11" hidden="1" x14ac:dyDescent="0.2">
      <c r="A1347" s="20" t="s">
        <v>450</v>
      </c>
      <c r="B1347" s="39"/>
      <c r="C1347" s="39"/>
      <c r="D1347" t="s">
        <v>1941</v>
      </c>
      <c r="E1347" s="39" t="s">
        <v>68</v>
      </c>
      <c r="F1347" s="40"/>
      <c r="G1347" s="39" t="str">
        <f t="shared" si="47"/>
        <v>.</v>
      </c>
      <c r="H1347" s="39" t="str">
        <f t="shared" si="48"/>
        <v>COSTDETL.LAST_MODIFIED_BY_USER_UID</v>
      </c>
      <c r="I1347" s="35"/>
      <c r="J1347" s="39"/>
      <c r="K1347" s="39"/>
    </row>
    <row r="1348" spans="1:11" hidden="1" x14ac:dyDescent="0.2">
      <c r="A1348" s="20" t="s">
        <v>450</v>
      </c>
      <c r="B1348" s="39"/>
      <c r="C1348" s="39"/>
      <c r="D1348" t="s">
        <v>1941</v>
      </c>
      <c r="E1348" s="39" t="s">
        <v>61</v>
      </c>
      <c r="F1348" s="40"/>
      <c r="G1348" s="39" t="str">
        <f t="shared" si="47"/>
        <v>.</v>
      </c>
      <c r="H1348" s="39" t="str">
        <f t="shared" si="48"/>
        <v>COSTDETL.CREATED_BY_USER_UID</v>
      </c>
      <c r="I1348" s="35"/>
      <c r="J1348" s="39"/>
      <c r="K1348" s="39"/>
    </row>
    <row r="1349" spans="1:11" hidden="1" x14ac:dyDescent="0.2">
      <c r="A1349" s="20" t="s">
        <v>450</v>
      </c>
      <c r="B1349" s="39" t="s">
        <v>1945</v>
      </c>
      <c r="C1349" s="39" t="s">
        <v>1916</v>
      </c>
      <c r="D1349" s="39" t="s">
        <v>1945</v>
      </c>
      <c r="E1349" s="39" t="s">
        <v>1916</v>
      </c>
      <c r="F1349" s="40"/>
      <c r="G1349" s="39" t="str">
        <f t="shared" si="47"/>
        <v>LINK.BFINISH</v>
      </c>
      <c r="H1349" s="39" t="str">
        <f t="shared" si="48"/>
        <v>LINK.BFINISH</v>
      </c>
      <c r="I1349" s="35"/>
      <c r="J1349" s="39"/>
      <c r="K1349" s="39"/>
    </row>
    <row r="1350" spans="1:11" hidden="1" x14ac:dyDescent="0.2">
      <c r="A1350" s="20" t="s">
        <v>450</v>
      </c>
      <c r="B1350" s="39" t="s">
        <v>1945</v>
      </c>
      <c r="C1350" s="39" t="s">
        <v>1917</v>
      </c>
      <c r="D1350" s="39" t="s">
        <v>1945</v>
      </c>
      <c r="E1350" s="39" t="s">
        <v>1917</v>
      </c>
      <c r="F1350" s="40"/>
      <c r="G1350" s="39" t="str">
        <f t="shared" ref="G1350:G1378" si="49">_xlfn.CONCAT(B1350,".",C1350)</f>
        <v>LINK.BSTART</v>
      </c>
      <c r="H1350" s="39" t="str">
        <f t="shared" ref="H1350:H1378" si="50">_xlfn.CONCAT(D1350,".",E1350)</f>
        <v>LINK.BSTART</v>
      </c>
      <c r="I1350" s="35"/>
      <c r="J1350" s="39"/>
      <c r="K1350" s="39"/>
    </row>
    <row r="1351" spans="1:11" hidden="1" x14ac:dyDescent="0.2">
      <c r="A1351" s="20" t="s">
        <v>450</v>
      </c>
      <c r="B1351" s="39" t="s">
        <v>1945</v>
      </c>
      <c r="C1351" s="39" t="s">
        <v>1003</v>
      </c>
      <c r="D1351" s="39" t="s">
        <v>1945</v>
      </c>
      <c r="E1351" s="39" t="s">
        <v>1003</v>
      </c>
      <c r="F1351" s="40"/>
      <c r="G1351" s="39" t="str">
        <f t="shared" si="49"/>
        <v>LINK.CA1</v>
      </c>
      <c r="H1351" s="39" t="str">
        <f t="shared" si="50"/>
        <v>LINK.CA1</v>
      </c>
      <c r="I1351" s="35"/>
      <c r="J1351" s="39"/>
      <c r="K1351" s="39"/>
    </row>
    <row r="1352" spans="1:11" hidden="1" x14ac:dyDescent="0.2">
      <c r="A1352" s="20" t="s">
        <v>450</v>
      </c>
      <c r="B1352" s="39" t="s">
        <v>1945</v>
      </c>
      <c r="C1352" s="39" t="s">
        <v>1005</v>
      </c>
      <c r="D1352" s="39" t="s">
        <v>1945</v>
      </c>
      <c r="E1352" s="39" t="s">
        <v>1005</v>
      </c>
      <c r="F1352" s="40"/>
      <c r="G1352" s="39" t="str">
        <f t="shared" si="49"/>
        <v>LINK.CA2</v>
      </c>
      <c r="H1352" s="39" t="str">
        <f t="shared" si="50"/>
        <v>LINK.CA2</v>
      </c>
      <c r="I1352" s="35"/>
      <c r="J1352" s="39"/>
      <c r="K1352" s="39"/>
    </row>
    <row r="1353" spans="1:11" hidden="1" x14ac:dyDescent="0.2">
      <c r="A1353" s="20" t="s">
        <v>450</v>
      </c>
      <c r="B1353" s="39" t="s">
        <v>1945</v>
      </c>
      <c r="C1353" s="39" t="s">
        <v>1007</v>
      </c>
      <c r="D1353" s="39" t="s">
        <v>1945</v>
      </c>
      <c r="E1353" s="39" t="s">
        <v>1007</v>
      </c>
      <c r="F1353" s="40"/>
      <c r="G1353" s="39" t="str">
        <f t="shared" si="49"/>
        <v>LINK.CA3</v>
      </c>
      <c r="H1353" s="39" t="str">
        <f t="shared" si="50"/>
        <v>LINK.CA3</v>
      </c>
      <c r="I1353" s="35"/>
      <c r="J1353" s="39"/>
      <c r="K1353" s="39"/>
    </row>
    <row r="1354" spans="1:11" hidden="1" x14ac:dyDescent="0.2">
      <c r="A1354" s="20" t="s">
        <v>450</v>
      </c>
      <c r="B1354" s="39" t="s">
        <v>1945</v>
      </c>
      <c r="C1354" s="39" t="s">
        <v>1009</v>
      </c>
      <c r="D1354" s="39" t="s">
        <v>1945</v>
      </c>
      <c r="E1354" s="39" t="s">
        <v>1009</v>
      </c>
      <c r="F1354" s="40"/>
      <c r="G1354" s="39" t="str">
        <f t="shared" si="49"/>
        <v>LINK.CAWPID</v>
      </c>
      <c r="H1354" s="39" t="str">
        <f t="shared" si="50"/>
        <v>LINK.CAWPID</v>
      </c>
      <c r="I1354" s="35"/>
      <c r="J1354" s="39"/>
      <c r="K1354" s="39"/>
    </row>
    <row r="1355" spans="1:11" hidden="1" x14ac:dyDescent="0.2">
      <c r="A1355" s="20" t="s">
        <v>450</v>
      </c>
      <c r="B1355" s="39" t="s">
        <v>1945</v>
      </c>
      <c r="C1355" s="39" t="s">
        <v>1009</v>
      </c>
      <c r="D1355" s="39" t="s">
        <v>1945</v>
      </c>
      <c r="E1355" s="39" t="s">
        <v>833</v>
      </c>
      <c r="F1355" s="40"/>
      <c r="G1355" s="39" t="str">
        <f>_xlfn.CONCAT(B1355,".",C1355)</f>
        <v>LINK.CAWPID</v>
      </c>
      <c r="H1355" s="39" t="str">
        <f>_xlfn.CONCAT(D1355,".",E1355)</f>
        <v>LINK.PROJECT_CAWP_UID</v>
      </c>
      <c r="I1355" s="35"/>
      <c r="J1355" s="39"/>
      <c r="K1355" s="39"/>
    </row>
    <row r="1356" spans="1:11" hidden="1" x14ac:dyDescent="0.2">
      <c r="A1356" s="20" t="s">
        <v>450</v>
      </c>
      <c r="B1356" s="39" t="s">
        <v>1945</v>
      </c>
      <c r="C1356" s="39" t="s">
        <v>1100</v>
      </c>
      <c r="D1356" s="39" t="s">
        <v>1945</v>
      </c>
      <c r="E1356" s="39" t="s">
        <v>1100</v>
      </c>
      <c r="F1356" s="40"/>
      <c r="G1356" s="39" t="str">
        <f t="shared" si="49"/>
        <v>LINK.CLASS</v>
      </c>
      <c r="H1356" s="39" t="str">
        <f t="shared" si="50"/>
        <v>LINK.CLASS</v>
      </c>
      <c r="I1356" s="35"/>
      <c r="J1356" s="39"/>
      <c r="K1356" s="39"/>
    </row>
    <row r="1357" spans="1:11" hidden="1" x14ac:dyDescent="0.2">
      <c r="A1357" s="20" t="s">
        <v>450</v>
      </c>
      <c r="B1357" s="39" t="s">
        <v>1945</v>
      </c>
      <c r="C1357" s="39" t="s">
        <v>2141</v>
      </c>
      <c r="D1357" s="39" t="s">
        <v>1945</v>
      </c>
      <c r="E1357" s="39" t="s">
        <v>15</v>
      </c>
      <c r="F1357" s="40"/>
      <c r="G1357" s="39" t="str">
        <f t="shared" si="49"/>
        <v>LINK.DESCRIP</v>
      </c>
      <c r="H1357" s="39" t="str">
        <f t="shared" si="50"/>
        <v>LINK.DESCRIPTION</v>
      </c>
      <c r="I1357" s="35"/>
      <c r="J1357" s="39"/>
      <c r="K1357" s="39"/>
    </row>
    <row r="1358" spans="1:11" hidden="1" x14ac:dyDescent="0.2">
      <c r="A1358" s="20" t="s">
        <v>450</v>
      </c>
      <c r="B1358" s="39" t="s">
        <v>1945</v>
      </c>
      <c r="C1358" s="39" t="s">
        <v>1946</v>
      </c>
      <c r="D1358" s="39" t="s">
        <v>1945</v>
      </c>
      <c r="E1358" s="39" t="s">
        <v>1946</v>
      </c>
      <c r="F1358" s="40"/>
      <c r="G1358" s="39" t="str">
        <f t="shared" si="49"/>
        <v>LINK.EFDATE</v>
      </c>
      <c r="H1358" s="39" t="str">
        <f t="shared" si="50"/>
        <v>LINK.EFDATE</v>
      </c>
      <c r="I1358" s="35"/>
      <c r="J1358" s="39"/>
      <c r="K1358" s="39"/>
    </row>
    <row r="1359" spans="1:11" hidden="1" x14ac:dyDescent="0.2">
      <c r="A1359" s="20" t="s">
        <v>450</v>
      </c>
      <c r="B1359" s="39" t="s">
        <v>1945</v>
      </c>
      <c r="C1359" s="39" t="s">
        <v>1947</v>
      </c>
      <c r="D1359" s="39" t="s">
        <v>1945</v>
      </c>
      <c r="E1359" s="39" t="s">
        <v>1947</v>
      </c>
      <c r="F1359" s="40"/>
      <c r="G1359" s="39" t="str">
        <f t="shared" si="49"/>
        <v>LINK.ESDATE</v>
      </c>
      <c r="H1359" s="39" t="str">
        <f t="shared" si="50"/>
        <v>LINK.ESDATE</v>
      </c>
      <c r="I1359" s="35"/>
      <c r="J1359" s="39"/>
      <c r="K1359" s="39"/>
    </row>
    <row r="1360" spans="1:11" hidden="1" x14ac:dyDescent="0.2">
      <c r="A1360" s="20" t="s">
        <v>450</v>
      </c>
      <c r="B1360" s="39" t="s">
        <v>1945</v>
      </c>
      <c r="C1360" s="39" t="s">
        <v>1948</v>
      </c>
      <c r="D1360" s="39" t="s">
        <v>1945</v>
      </c>
      <c r="E1360" s="39" t="s">
        <v>1948</v>
      </c>
      <c r="F1360" s="40"/>
      <c r="G1360" s="39" t="str">
        <f t="shared" si="49"/>
        <v>LINK.FCSTCLASS</v>
      </c>
      <c r="H1360" s="39" t="str">
        <f t="shared" si="50"/>
        <v>LINK.FCSTCLASS</v>
      </c>
      <c r="I1360" s="35"/>
      <c r="J1360" s="39"/>
      <c r="K1360" s="39"/>
    </row>
    <row r="1361" spans="1:11" hidden="1" x14ac:dyDescent="0.2">
      <c r="A1361" s="20" t="s">
        <v>450</v>
      </c>
      <c r="B1361" s="39" t="s">
        <v>1945</v>
      </c>
      <c r="C1361" s="39" t="s">
        <v>1949</v>
      </c>
      <c r="D1361" s="39" t="s">
        <v>1945</v>
      </c>
      <c r="E1361" s="39" t="s">
        <v>1949</v>
      </c>
      <c r="F1361" s="40"/>
      <c r="G1361" s="39" t="str">
        <f t="shared" si="49"/>
        <v>LINK.FULLID</v>
      </c>
      <c r="H1361" s="39" t="str">
        <f t="shared" si="50"/>
        <v>LINK.FULLID</v>
      </c>
      <c r="I1361" s="35"/>
      <c r="J1361" s="39"/>
      <c r="K1361" s="39"/>
    </row>
    <row r="1362" spans="1:11" hidden="1" x14ac:dyDescent="0.2">
      <c r="A1362" s="20" t="s">
        <v>450</v>
      </c>
      <c r="B1362" s="39" t="s">
        <v>1945</v>
      </c>
      <c r="C1362" s="39" t="s">
        <v>2223</v>
      </c>
      <c r="D1362" s="39" t="s">
        <v>1945</v>
      </c>
      <c r="E1362" s="39" t="s">
        <v>30</v>
      </c>
      <c r="F1362" s="40"/>
      <c r="G1362" s="39" t="str">
        <f t="shared" si="49"/>
        <v>LINK.ID</v>
      </c>
      <c r="H1362" s="39" t="str">
        <f t="shared" si="50"/>
        <v>LINK.ROW_UID</v>
      </c>
      <c r="I1362" s="35"/>
      <c r="J1362" s="39"/>
      <c r="K1362" s="39"/>
    </row>
    <row r="1363" spans="1:11" hidden="1" x14ac:dyDescent="0.2">
      <c r="A1363" s="20" t="s">
        <v>450</v>
      </c>
      <c r="B1363" s="39" t="s">
        <v>1945</v>
      </c>
      <c r="C1363" s="39" t="s">
        <v>1950</v>
      </c>
      <c r="D1363" s="39" t="s">
        <v>1945</v>
      </c>
      <c r="E1363" s="39" t="s">
        <v>1950</v>
      </c>
      <c r="F1363" s="40"/>
      <c r="G1363" s="39" t="str">
        <f t="shared" si="49"/>
        <v>LINK.LFDATE</v>
      </c>
      <c r="H1363" s="39" t="str">
        <f t="shared" si="50"/>
        <v>LINK.LFDATE</v>
      </c>
      <c r="I1363" s="35"/>
      <c r="J1363" s="39"/>
      <c r="K1363" s="39"/>
    </row>
    <row r="1364" spans="1:11" hidden="1" x14ac:dyDescent="0.2">
      <c r="A1364" s="20" t="s">
        <v>450</v>
      </c>
      <c r="B1364" s="39" t="s">
        <v>1945</v>
      </c>
      <c r="C1364" s="39" t="s">
        <v>1951</v>
      </c>
      <c r="D1364" s="39" t="s">
        <v>1945</v>
      </c>
      <c r="E1364" s="39" t="s">
        <v>1951</v>
      </c>
      <c r="F1364" s="40"/>
      <c r="G1364" s="39" t="str">
        <f t="shared" si="49"/>
        <v>LINK.LSDATE</v>
      </c>
      <c r="H1364" s="39" t="str">
        <f t="shared" si="50"/>
        <v>LINK.LSDATE</v>
      </c>
      <c r="I1364" s="35"/>
      <c r="J1364" s="39"/>
      <c r="K1364" s="39"/>
    </row>
    <row r="1365" spans="1:11" hidden="1" x14ac:dyDescent="0.2">
      <c r="A1365" s="20" t="s">
        <v>450</v>
      </c>
      <c r="B1365" s="39" t="s">
        <v>1945</v>
      </c>
      <c r="C1365" s="39" t="s">
        <v>1952</v>
      </c>
      <c r="D1365" s="39" t="s">
        <v>1945</v>
      </c>
      <c r="E1365" s="39" t="s">
        <v>1952</v>
      </c>
      <c r="F1365" s="40"/>
      <c r="G1365" s="39" t="str">
        <f t="shared" si="49"/>
        <v>LINK.MS_NO</v>
      </c>
      <c r="H1365" s="39" t="str">
        <f t="shared" si="50"/>
        <v>LINK.MS_NO</v>
      </c>
      <c r="I1365" s="35"/>
      <c r="J1365" s="39"/>
      <c r="K1365" s="39"/>
    </row>
    <row r="1366" spans="1:11" hidden="1" x14ac:dyDescent="0.2">
      <c r="A1366" s="20" t="s">
        <v>450</v>
      </c>
      <c r="B1366" s="39" t="s">
        <v>1945</v>
      </c>
      <c r="C1366" s="39" t="s">
        <v>1953</v>
      </c>
      <c r="D1366" s="39" t="s">
        <v>1945</v>
      </c>
      <c r="E1366" s="39" t="s">
        <v>1953</v>
      </c>
      <c r="F1366" s="40"/>
      <c r="G1366" s="39" t="str">
        <f t="shared" si="49"/>
        <v>LINK.MSWEIGHT</v>
      </c>
      <c r="H1366" s="39" t="str">
        <f t="shared" si="50"/>
        <v>LINK.MSWEIGHT</v>
      </c>
      <c r="I1366" s="35"/>
      <c r="J1366" s="39"/>
      <c r="K1366" s="39"/>
    </row>
    <row r="1367" spans="1:11" hidden="1" x14ac:dyDescent="0.2">
      <c r="A1367" s="20" t="s">
        <v>450</v>
      </c>
      <c r="B1367" s="39" t="s">
        <v>1945</v>
      </c>
      <c r="C1367" s="39" t="s">
        <v>1954</v>
      </c>
      <c r="D1367" s="39" t="s">
        <v>1945</v>
      </c>
      <c r="E1367" s="39" t="s">
        <v>1954</v>
      </c>
      <c r="F1367" s="40"/>
      <c r="G1367" s="39" t="str">
        <f t="shared" si="49"/>
        <v>LINK.PFINISH</v>
      </c>
      <c r="H1367" s="39" t="str">
        <f t="shared" si="50"/>
        <v>LINK.PFINISH</v>
      </c>
      <c r="I1367" s="35"/>
      <c r="J1367" s="39"/>
      <c r="K1367" s="39"/>
    </row>
    <row r="1368" spans="1:11" hidden="1" x14ac:dyDescent="0.2">
      <c r="A1368" s="20" t="s">
        <v>450</v>
      </c>
      <c r="B1368" s="39" t="s">
        <v>1945</v>
      </c>
      <c r="C1368" s="39" t="s">
        <v>1242</v>
      </c>
      <c r="D1368" s="39" t="s">
        <v>1945</v>
      </c>
      <c r="E1368" s="39" t="s">
        <v>1242</v>
      </c>
      <c r="F1368" s="40"/>
      <c r="G1368" s="39" t="str">
        <f t="shared" si="49"/>
        <v>LINK.PMT</v>
      </c>
      <c r="H1368" s="39" t="str">
        <f t="shared" si="50"/>
        <v>LINK.PMT</v>
      </c>
      <c r="I1368" s="35"/>
      <c r="J1368" s="39"/>
      <c r="K1368" s="39"/>
    </row>
    <row r="1369" spans="1:11" hidden="1" x14ac:dyDescent="0.2">
      <c r="A1369" s="20" t="s">
        <v>450</v>
      </c>
      <c r="B1369" s="39" t="s">
        <v>1945</v>
      </c>
      <c r="C1369" s="39" t="s">
        <v>1955</v>
      </c>
      <c r="D1369" s="39" t="s">
        <v>1945</v>
      </c>
      <c r="E1369" s="39" t="s">
        <v>1955</v>
      </c>
      <c r="F1369" s="40"/>
      <c r="G1369" s="39" t="str">
        <f t="shared" si="49"/>
        <v>LINK.PRJNAME</v>
      </c>
      <c r="H1369" s="39" t="str">
        <f t="shared" si="50"/>
        <v>LINK.PRJNAME</v>
      </c>
      <c r="I1369" s="35"/>
      <c r="J1369" s="39"/>
      <c r="K1369" s="39"/>
    </row>
    <row r="1370" spans="1:11" hidden="1" x14ac:dyDescent="0.2">
      <c r="A1370" s="20" t="s">
        <v>450</v>
      </c>
      <c r="B1370" s="39" t="s">
        <v>1945</v>
      </c>
      <c r="C1370" s="39" t="s">
        <v>744</v>
      </c>
      <c r="D1370" s="39" t="s">
        <v>1945</v>
      </c>
      <c r="E1370" s="39" t="s">
        <v>744</v>
      </c>
      <c r="F1370" s="40"/>
      <c r="G1370" s="39" t="str">
        <f t="shared" si="49"/>
        <v>LINK.PROGRAM</v>
      </c>
      <c r="H1370" s="39" t="str">
        <f t="shared" si="50"/>
        <v>LINK.PROGRAM</v>
      </c>
      <c r="I1370" s="35"/>
      <c r="J1370" s="39"/>
      <c r="K1370" s="39"/>
    </row>
    <row r="1371" spans="1:11" hidden="1" x14ac:dyDescent="0.2">
      <c r="A1371" s="20" t="s">
        <v>450</v>
      </c>
      <c r="B1371" s="39" t="s">
        <v>1945</v>
      </c>
      <c r="C1371" s="39" t="s">
        <v>744</v>
      </c>
      <c r="D1371" s="39" t="s">
        <v>1945</v>
      </c>
      <c r="E1371" s="39" t="s">
        <v>770</v>
      </c>
      <c r="F1371" s="40"/>
      <c r="G1371" s="39" t="str">
        <f>_xlfn.CONCAT(B1371,".",C1371)</f>
        <v>LINK.PROGRAM</v>
      </c>
      <c r="H1371" s="39" t="str">
        <f>_xlfn.CONCAT(D1371,".",E1371)</f>
        <v>LINK.PROJECT_UID</v>
      </c>
      <c r="I1371" s="35"/>
      <c r="J1371" s="39"/>
      <c r="K1371" s="39"/>
    </row>
    <row r="1372" spans="1:11" hidden="1" x14ac:dyDescent="0.2">
      <c r="A1372" s="20" t="s">
        <v>450</v>
      </c>
      <c r="B1372" s="39" t="s">
        <v>1945</v>
      </c>
      <c r="C1372" s="39" t="s">
        <v>1956</v>
      </c>
      <c r="D1372" s="39" t="s">
        <v>1945</v>
      </c>
      <c r="E1372" s="39" t="s">
        <v>1956</v>
      </c>
      <c r="F1372" s="40"/>
      <c r="G1372" s="39" t="str">
        <f t="shared" si="49"/>
        <v>LINK.PSTART</v>
      </c>
      <c r="H1372" s="39" t="str">
        <f t="shared" si="50"/>
        <v>LINK.PSTART</v>
      </c>
      <c r="I1372" s="35"/>
      <c r="J1372" s="39"/>
      <c r="K1372" s="39"/>
    </row>
    <row r="1373" spans="1:11" hidden="1" x14ac:dyDescent="0.2">
      <c r="A1373" s="20" t="s">
        <v>450</v>
      </c>
      <c r="B1373" s="39" t="s">
        <v>1945</v>
      </c>
      <c r="C1373" s="39" t="s">
        <v>1957</v>
      </c>
      <c r="D1373" s="39" t="s">
        <v>1945</v>
      </c>
      <c r="E1373" s="39" t="s">
        <v>1957</v>
      </c>
      <c r="F1373" s="40"/>
      <c r="G1373" s="39" t="str">
        <f t="shared" si="49"/>
        <v>LINK.SFDATE</v>
      </c>
      <c r="H1373" s="39" t="str">
        <f t="shared" si="50"/>
        <v>LINK.SFDATE</v>
      </c>
      <c r="I1373" s="35"/>
      <c r="J1373" s="39"/>
      <c r="K1373" s="39"/>
    </row>
    <row r="1374" spans="1:11" hidden="1" x14ac:dyDescent="0.2">
      <c r="A1374" s="20" t="s">
        <v>450</v>
      </c>
      <c r="B1374" s="39" t="s">
        <v>1945</v>
      </c>
      <c r="C1374" s="39" t="s">
        <v>1958</v>
      </c>
      <c r="D1374" s="39" t="s">
        <v>1945</v>
      </c>
      <c r="E1374" s="39" t="s">
        <v>1958</v>
      </c>
      <c r="F1374" s="40"/>
      <c r="G1374" s="39" t="str">
        <f t="shared" si="49"/>
        <v>LINK.SSDATE</v>
      </c>
      <c r="H1374" s="39" t="str">
        <f t="shared" si="50"/>
        <v>LINK.SSDATE</v>
      </c>
      <c r="I1374" s="35"/>
      <c r="J1374" s="39"/>
      <c r="K1374" s="39"/>
    </row>
    <row r="1375" spans="1:11" hidden="1" x14ac:dyDescent="0.2">
      <c r="A1375" s="20" t="s">
        <v>450</v>
      </c>
      <c r="B1375" s="39" t="s">
        <v>1945</v>
      </c>
      <c r="C1375" s="39" t="s">
        <v>1394</v>
      </c>
      <c r="D1375" s="39" t="s">
        <v>1945</v>
      </c>
      <c r="E1375" s="39" t="s">
        <v>1394</v>
      </c>
      <c r="F1375" s="40"/>
      <c r="G1375" s="39" t="str">
        <f t="shared" si="49"/>
        <v>LINK.STARTPC</v>
      </c>
      <c r="H1375" s="39" t="str">
        <f t="shared" si="50"/>
        <v>LINK.STARTPC</v>
      </c>
      <c r="I1375" s="35"/>
      <c r="J1375" s="39"/>
      <c r="K1375" s="39"/>
    </row>
    <row r="1376" spans="1:11" hidden="1" x14ac:dyDescent="0.2">
      <c r="A1376" s="20" t="s">
        <v>450</v>
      </c>
      <c r="B1376" s="39" t="s">
        <v>1945</v>
      </c>
      <c r="C1376" s="39" t="s">
        <v>1396</v>
      </c>
      <c r="D1376" s="39" t="s">
        <v>1945</v>
      </c>
      <c r="E1376" s="39" t="s">
        <v>1396</v>
      </c>
      <c r="F1376" s="40"/>
      <c r="G1376" s="39" t="str">
        <f t="shared" si="49"/>
        <v>LINK.UNITSTODO</v>
      </c>
      <c r="H1376" s="39" t="str">
        <f t="shared" si="50"/>
        <v>LINK.UNITSTODO</v>
      </c>
      <c r="I1376" s="35"/>
      <c r="J1376" s="39"/>
      <c r="K1376" s="39"/>
    </row>
    <row r="1377" spans="1:11" hidden="1" x14ac:dyDescent="0.2">
      <c r="A1377" s="20" t="s">
        <v>450</v>
      </c>
      <c r="B1377" s="39" t="s">
        <v>1945</v>
      </c>
      <c r="C1377" s="39" t="s">
        <v>1959</v>
      </c>
      <c r="D1377" s="39" t="s">
        <v>1945</v>
      </c>
      <c r="E1377" s="39" t="s">
        <v>1959</v>
      </c>
      <c r="F1377" s="40"/>
      <c r="G1377" s="39" t="str">
        <f t="shared" si="49"/>
        <v>LINK.VALID</v>
      </c>
      <c r="H1377" s="39" t="str">
        <f t="shared" si="50"/>
        <v>LINK.VALID</v>
      </c>
      <c r="I1377" s="35"/>
      <c r="J1377" s="39"/>
      <c r="K1377" s="39"/>
    </row>
    <row r="1378" spans="1:11" hidden="1" x14ac:dyDescent="0.2">
      <c r="A1378" s="20" t="s">
        <v>450</v>
      </c>
      <c r="B1378" s="39" t="s">
        <v>1945</v>
      </c>
      <c r="C1378" s="39" t="s">
        <v>1398</v>
      </c>
      <c r="D1378" s="39" t="s">
        <v>1945</v>
      </c>
      <c r="E1378" s="39" t="s">
        <v>1398</v>
      </c>
      <c r="F1378" s="40"/>
      <c r="G1378" s="39" t="str">
        <f t="shared" si="49"/>
        <v>LINK.WP</v>
      </c>
      <c r="H1378" s="39" t="str">
        <f t="shared" si="50"/>
        <v>LINK.WP</v>
      </c>
      <c r="I1378" s="35"/>
      <c r="J1378" s="39"/>
      <c r="K1378" s="39"/>
    </row>
    <row r="1379" spans="1:11" hidden="1" x14ac:dyDescent="0.2">
      <c r="A1379" s="20" t="s">
        <v>450</v>
      </c>
      <c r="B1379" s="39"/>
      <c r="C1379" s="39"/>
      <c r="D1379" s="39" t="s">
        <v>1945</v>
      </c>
      <c r="E1379" s="39" t="s">
        <v>35</v>
      </c>
      <c r="F1379" s="40"/>
      <c r="G1379" s="39" t="str">
        <f t="shared" ref="G1379:G1384" si="51">_xlfn.CONCAT(B1379,".",C1379)</f>
        <v>.</v>
      </c>
      <c r="H1379" s="39" t="str">
        <f t="shared" ref="H1379:H1384" si="52">_xlfn.CONCAT(D1379,".",E1379)</f>
        <v>LINK.SEQUENCE</v>
      </c>
      <c r="I1379" s="35"/>
      <c r="J1379" s="39"/>
      <c r="K1379" s="39"/>
    </row>
    <row r="1380" spans="1:11" hidden="1" x14ac:dyDescent="0.2">
      <c r="A1380" s="20" t="s">
        <v>450</v>
      </c>
      <c r="B1380" s="39"/>
      <c r="C1380" s="39"/>
      <c r="D1380" s="39" t="s">
        <v>1945</v>
      </c>
      <c r="E1380" s="39" t="s">
        <v>71</v>
      </c>
      <c r="F1380" s="40"/>
      <c r="G1380" s="39" t="str">
        <f t="shared" si="51"/>
        <v>.</v>
      </c>
      <c r="H1380" s="39" t="str">
        <f t="shared" si="52"/>
        <v>LINK.LAST_MODIFIED_DATE</v>
      </c>
      <c r="I1380" s="35"/>
      <c r="J1380" s="39"/>
      <c r="K1380" s="39"/>
    </row>
    <row r="1381" spans="1:11" hidden="1" x14ac:dyDescent="0.2">
      <c r="A1381" s="20" t="s">
        <v>450</v>
      </c>
      <c r="B1381" s="39"/>
      <c r="C1381" s="39"/>
      <c r="D1381" s="39" t="s">
        <v>1945</v>
      </c>
      <c r="E1381" s="39" t="s">
        <v>68</v>
      </c>
      <c r="F1381" s="40"/>
      <c r="G1381" s="39" t="str">
        <f t="shared" si="51"/>
        <v>.</v>
      </c>
      <c r="H1381" s="39" t="str">
        <f t="shared" si="52"/>
        <v>LINK.LAST_MODIFIED_BY_USER_UID</v>
      </c>
      <c r="I1381" s="35"/>
      <c r="J1381" s="39"/>
      <c r="K1381" s="39"/>
    </row>
    <row r="1382" spans="1:11" hidden="1" x14ac:dyDescent="0.2">
      <c r="A1382" s="20" t="s">
        <v>450</v>
      </c>
      <c r="B1382" s="39"/>
      <c r="C1382" s="39"/>
      <c r="D1382" s="39" t="s">
        <v>1945</v>
      </c>
      <c r="E1382" s="39" t="s">
        <v>61</v>
      </c>
      <c r="F1382" s="40"/>
      <c r="G1382" s="39" t="str">
        <f t="shared" si="51"/>
        <v>.</v>
      </c>
      <c r="H1382" s="39" t="str">
        <f t="shared" si="52"/>
        <v>LINK.CREATED_BY_USER_UID</v>
      </c>
      <c r="I1382" s="35"/>
      <c r="J1382" s="39"/>
      <c r="K1382" s="39"/>
    </row>
    <row r="1383" spans="1:11" hidden="1" x14ac:dyDescent="0.2">
      <c r="A1383" s="20" t="s">
        <v>450</v>
      </c>
      <c r="B1383" s="39"/>
      <c r="C1383" s="39"/>
      <c r="D1383" s="39" t="s">
        <v>1945</v>
      </c>
      <c r="E1383" s="39" t="s">
        <v>64</v>
      </c>
      <c r="F1383" s="40"/>
      <c r="G1383" s="39" t="str">
        <f t="shared" si="51"/>
        <v>.</v>
      </c>
      <c r="H1383" s="39" t="str">
        <f t="shared" si="52"/>
        <v>LINK.CREATED_DATE</v>
      </c>
      <c r="I1383" s="35"/>
      <c r="J1383" s="39"/>
      <c r="K1383" s="39"/>
    </row>
    <row r="1384" spans="1:11" hidden="1" x14ac:dyDescent="0.2">
      <c r="A1384" s="20" t="s">
        <v>450</v>
      </c>
      <c r="B1384" s="39" t="s">
        <v>1960</v>
      </c>
      <c r="C1384" s="39" t="s">
        <v>1961</v>
      </c>
      <c r="D1384" s="39" t="s">
        <v>1960</v>
      </c>
      <c r="E1384" s="39" t="s">
        <v>1961</v>
      </c>
      <c r="F1384" s="40"/>
      <c r="G1384" s="39" t="str">
        <f t="shared" si="51"/>
        <v>PROCESSLOG.CONTEXT</v>
      </c>
      <c r="H1384" s="39" t="str">
        <f t="shared" si="52"/>
        <v>PROCESSLOG.CONTEXT</v>
      </c>
      <c r="I1384" s="35"/>
      <c r="J1384" s="39"/>
      <c r="K1384" s="39"/>
    </row>
    <row r="1385" spans="1:11" hidden="1" x14ac:dyDescent="0.2">
      <c r="A1385" s="20" t="s">
        <v>450</v>
      </c>
      <c r="B1385" s="39" t="s">
        <v>1960</v>
      </c>
      <c r="C1385" s="39" t="s">
        <v>270</v>
      </c>
      <c r="D1385" s="39" t="s">
        <v>1960</v>
      </c>
      <c r="E1385" s="39" t="s">
        <v>270</v>
      </c>
      <c r="F1385" s="40"/>
      <c r="G1385" s="39" t="str">
        <f t="shared" ref="G1385:G1397" si="53">_xlfn.CONCAT(B1385,".",C1385)</f>
        <v>PROCESSLOG.DATA</v>
      </c>
      <c r="H1385" s="39" t="str">
        <f t="shared" ref="H1385:H1397" si="54">_xlfn.CONCAT(D1385,".",E1385)</f>
        <v>PROCESSLOG.DATA</v>
      </c>
      <c r="I1385" s="35"/>
      <c r="J1385" s="39"/>
      <c r="K1385" s="39"/>
    </row>
    <row r="1386" spans="1:11" hidden="1" x14ac:dyDescent="0.2">
      <c r="A1386" s="20" t="s">
        <v>450</v>
      </c>
      <c r="B1386" s="39" t="s">
        <v>1960</v>
      </c>
      <c r="C1386" s="39" t="s">
        <v>1962</v>
      </c>
      <c r="D1386" s="39" t="s">
        <v>1960</v>
      </c>
      <c r="E1386" s="39" t="s">
        <v>1962</v>
      </c>
      <c r="F1386" s="40"/>
      <c r="G1386" s="39" t="str">
        <f t="shared" si="53"/>
        <v>PROCESSLOG.DIR_ID</v>
      </c>
      <c r="H1386" s="39" t="str">
        <f t="shared" si="54"/>
        <v>PROCESSLOG.DIR_ID</v>
      </c>
      <c r="I1386" s="35"/>
      <c r="J1386" s="39"/>
      <c r="K1386" s="39"/>
    </row>
    <row r="1387" spans="1:11" hidden="1" x14ac:dyDescent="0.2">
      <c r="A1387" s="20" t="s">
        <v>450</v>
      </c>
      <c r="B1387" s="39" t="s">
        <v>1960</v>
      </c>
      <c r="C1387" s="39" t="s">
        <v>1963</v>
      </c>
      <c r="D1387" s="39" t="s">
        <v>1960</v>
      </c>
      <c r="E1387" s="39" t="s">
        <v>1963</v>
      </c>
      <c r="F1387" s="40"/>
      <c r="G1387" s="39" t="str">
        <f t="shared" si="53"/>
        <v>PROCESSLOG.ERRORCOUNT</v>
      </c>
      <c r="H1387" s="39" t="str">
        <f t="shared" si="54"/>
        <v>PROCESSLOG.ERRORCOUNT</v>
      </c>
      <c r="I1387" s="35"/>
      <c r="J1387" s="39"/>
      <c r="K1387" s="39"/>
    </row>
    <row r="1388" spans="1:11" hidden="1" x14ac:dyDescent="0.2">
      <c r="A1388" s="20" t="s">
        <v>450</v>
      </c>
      <c r="B1388" s="39" t="s">
        <v>1960</v>
      </c>
      <c r="C1388" s="39" t="s">
        <v>1964</v>
      </c>
      <c r="D1388" s="39" t="s">
        <v>1960</v>
      </c>
      <c r="E1388" s="39" t="s">
        <v>1964</v>
      </c>
      <c r="F1388" s="40"/>
      <c r="G1388" s="39" t="str">
        <f t="shared" si="53"/>
        <v>PROCESSLOG.FINISHTIME</v>
      </c>
      <c r="H1388" s="39" t="str">
        <f t="shared" si="54"/>
        <v>PROCESSLOG.FINISHTIME</v>
      </c>
      <c r="I1388" s="35"/>
      <c r="J1388" s="39"/>
      <c r="K1388" s="39"/>
    </row>
    <row r="1389" spans="1:11" hidden="1" x14ac:dyDescent="0.2">
      <c r="A1389" s="20" t="s">
        <v>450</v>
      </c>
      <c r="B1389" s="39" t="s">
        <v>1960</v>
      </c>
      <c r="C1389" s="39" t="s">
        <v>2111</v>
      </c>
      <c r="D1389" s="39" t="s">
        <v>1960</v>
      </c>
      <c r="E1389" s="39" t="s">
        <v>71</v>
      </c>
      <c r="F1389" s="40"/>
      <c r="G1389" s="39" t="str">
        <f t="shared" si="53"/>
        <v>PROCESSLOG.LASTUPDATE</v>
      </c>
      <c r="H1389" s="39" t="str">
        <f t="shared" si="54"/>
        <v>PROCESSLOG.LAST_MODIFIED_DATE</v>
      </c>
      <c r="I1389" s="35"/>
      <c r="J1389" s="39"/>
      <c r="K1389" s="39"/>
    </row>
    <row r="1390" spans="1:11" hidden="1" x14ac:dyDescent="0.2">
      <c r="A1390" s="20" t="s">
        <v>450</v>
      </c>
      <c r="B1390" s="39" t="s">
        <v>1960</v>
      </c>
      <c r="C1390" s="39" t="s">
        <v>1965</v>
      </c>
      <c r="D1390" s="39" t="s">
        <v>1960</v>
      </c>
      <c r="E1390" s="39" t="s">
        <v>1965</v>
      </c>
      <c r="F1390" s="40"/>
      <c r="G1390" s="39" t="str">
        <f t="shared" si="53"/>
        <v>PROCESSLOG.PROCESS_ID</v>
      </c>
      <c r="H1390" s="39" t="str">
        <f t="shared" si="54"/>
        <v>PROCESSLOG.PROCESS_ID</v>
      </c>
      <c r="I1390" s="35"/>
      <c r="J1390" s="39"/>
      <c r="K1390" s="39"/>
    </row>
    <row r="1391" spans="1:11" hidden="1" x14ac:dyDescent="0.2">
      <c r="A1391" s="20" t="s">
        <v>450</v>
      </c>
      <c r="B1391" s="39" t="s">
        <v>1960</v>
      </c>
      <c r="C1391" s="39" t="s">
        <v>1966</v>
      </c>
      <c r="D1391" s="39" t="s">
        <v>1960</v>
      </c>
      <c r="E1391" s="39" t="s">
        <v>1966</v>
      </c>
      <c r="F1391" s="40"/>
      <c r="G1391" s="39" t="str">
        <f t="shared" si="53"/>
        <v>PROCESSLOG.PROGRESS_PCT</v>
      </c>
      <c r="H1391" s="39" t="str">
        <f t="shared" si="54"/>
        <v>PROCESSLOG.PROGRESS_PCT</v>
      </c>
      <c r="I1391" s="35"/>
      <c r="J1391" s="39"/>
      <c r="K1391" s="39"/>
    </row>
    <row r="1392" spans="1:11" hidden="1" x14ac:dyDescent="0.2">
      <c r="A1392" s="20" t="s">
        <v>450</v>
      </c>
      <c r="B1392" s="39" t="s">
        <v>1960</v>
      </c>
      <c r="C1392" s="39" t="s">
        <v>1967</v>
      </c>
      <c r="D1392" s="39" t="s">
        <v>1960</v>
      </c>
      <c r="E1392" s="39" t="s">
        <v>1967</v>
      </c>
      <c r="F1392" s="40"/>
      <c r="G1392" s="39" t="str">
        <f t="shared" si="53"/>
        <v>PROCESSLOG.PROGRESS_TEXT</v>
      </c>
      <c r="H1392" s="39" t="str">
        <f t="shared" si="54"/>
        <v>PROCESSLOG.PROGRESS_TEXT</v>
      </c>
      <c r="I1392" s="35"/>
      <c r="J1392" s="39"/>
      <c r="K1392" s="39"/>
    </row>
    <row r="1393" spans="1:11" hidden="1" x14ac:dyDescent="0.2">
      <c r="A1393" s="20" t="s">
        <v>450</v>
      </c>
      <c r="B1393" s="39" t="s">
        <v>1960</v>
      </c>
      <c r="C1393" s="39" t="s">
        <v>30</v>
      </c>
      <c r="D1393" s="39" t="s">
        <v>1960</v>
      </c>
      <c r="E1393" s="39" t="s">
        <v>30</v>
      </c>
      <c r="F1393" s="40"/>
      <c r="G1393" s="39" t="str">
        <f t="shared" si="53"/>
        <v>PROCESSLOG.ROW_UID</v>
      </c>
      <c r="H1393" s="39" t="str">
        <f t="shared" si="54"/>
        <v>PROCESSLOG.ROW_UID</v>
      </c>
      <c r="I1393" s="35"/>
      <c r="J1393" s="39"/>
      <c r="K1393" s="39"/>
    </row>
    <row r="1394" spans="1:11" hidden="1" x14ac:dyDescent="0.2">
      <c r="A1394" s="20" t="s">
        <v>450</v>
      </c>
      <c r="B1394" s="39" t="s">
        <v>1960</v>
      </c>
      <c r="C1394" s="39" t="s">
        <v>1968</v>
      </c>
      <c r="D1394" s="39" t="s">
        <v>1960</v>
      </c>
      <c r="E1394" s="39" t="s">
        <v>1968</v>
      </c>
      <c r="F1394" s="40"/>
      <c r="G1394" s="39" t="str">
        <f t="shared" si="53"/>
        <v>PROCESSLOG.STARTTIME</v>
      </c>
      <c r="H1394" s="39" t="str">
        <f t="shared" si="54"/>
        <v>PROCESSLOG.STARTTIME</v>
      </c>
      <c r="I1394" s="35"/>
      <c r="J1394" s="39"/>
      <c r="K1394" s="39"/>
    </row>
    <row r="1395" spans="1:11" hidden="1" x14ac:dyDescent="0.2">
      <c r="A1395" s="20" t="s">
        <v>450</v>
      </c>
      <c r="B1395" s="39" t="s">
        <v>1960</v>
      </c>
      <c r="C1395" s="39" t="s">
        <v>1970</v>
      </c>
      <c r="D1395" s="39" t="s">
        <v>1960</v>
      </c>
      <c r="E1395" s="39" t="s">
        <v>1970</v>
      </c>
      <c r="F1395" s="40"/>
      <c r="G1395" s="39" t="str">
        <f t="shared" si="53"/>
        <v>PROCESSLOG.USR_ABORT</v>
      </c>
      <c r="H1395" s="39" t="str">
        <f t="shared" si="54"/>
        <v>PROCESSLOG.USR_ABORT</v>
      </c>
      <c r="I1395" s="35"/>
      <c r="J1395" s="39"/>
      <c r="K1395" s="39"/>
    </row>
    <row r="1396" spans="1:11" hidden="1" x14ac:dyDescent="0.2">
      <c r="A1396" s="20" t="s">
        <v>450</v>
      </c>
      <c r="B1396" s="39" t="s">
        <v>1960</v>
      </c>
      <c r="C1396" s="39" t="s">
        <v>2112</v>
      </c>
      <c r="D1396" s="39" t="s">
        <v>1960</v>
      </c>
      <c r="E1396" s="39" t="s">
        <v>68</v>
      </c>
      <c r="F1396" s="40"/>
      <c r="G1396" s="39" t="str">
        <f t="shared" si="53"/>
        <v>PROCESSLOG.USR_ID</v>
      </c>
      <c r="H1396" s="39" t="str">
        <f t="shared" si="54"/>
        <v>PROCESSLOG.LAST_MODIFIED_BY_USER_UID</v>
      </c>
      <c r="I1396" s="35"/>
      <c r="J1396" s="39"/>
      <c r="K1396" s="39"/>
    </row>
    <row r="1397" spans="1:11" hidden="1" x14ac:dyDescent="0.2">
      <c r="A1397" s="20" t="s">
        <v>450</v>
      </c>
      <c r="B1397" s="39" t="s">
        <v>1960</v>
      </c>
      <c r="C1397" s="39" t="s">
        <v>1972</v>
      </c>
      <c r="D1397" s="39" t="s">
        <v>1960</v>
      </c>
      <c r="E1397" s="39" t="s">
        <v>1972</v>
      </c>
      <c r="F1397" s="40"/>
      <c r="G1397" s="39" t="str">
        <f t="shared" si="53"/>
        <v>PROCESSLOG.WARNINGCOUNT</v>
      </c>
      <c r="H1397" s="39" t="str">
        <f t="shared" si="54"/>
        <v>PROCESSLOG.WARNINGCOUNT</v>
      </c>
      <c r="I1397" s="35"/>
      <c r="J1397" s="39"/>
      <c r="K1397" s="39"/>
    </row>
    <row r="1398" spans="1:11" hidden="1" x14ac:dyDescent="0.2">
      <c r="A1398" s="20" t="s">
        <v>450</v>
      </c>
      <c r="B1398" s="39"/>
      <c r="C1398" s="39"/>
      <c r="D1398" s="39" t="s">
        <v>1960</v>
      </c>
      <c r="E1398" s="39" t="s">
        <v>35</v>
      </c>
      <c r="F1398" s="40"/>
      <c r="G1398" s="39" t="str">
        <f>_xlfn.CONCAT(B1398,".",C1398)</f>
        <v>.</v>
      </c>
      <c r="H1398" s="39" t="str">
        <f>_xlfn.CONCAT(D1398,".",E1398)</f>
        <v>PROCESSLOG.SEQUENCE</v>
      </c>
      <c r="I1398" s="35"/>
      <c r="J1398" s="39"/>
      <c r="K1398" s="39"/>
    </row>
    <row r="1399" spans="1:11" hidden="1" x14ac:dyDescent="0.2">
      <c r="A1399" s="20" t="s">
        <v>450</v>
      </c>
      <c r="B1399" s="39"/>
      <c r="C1399" s="39"/>
      <c r="D1399" s="39" t="s">
        <v>1960</v>
      </c>
      <c r="E1399" s="39" t="s">
        <v>61</v>
      </c>
      <c r="F1399" s="40"/>
      <c r="G1399" s="39" t="str">
        <f t="shared" ref="G1399:G1400" si="55">_xlfn.CONCAT(B1399,".",C1399)</f>
        <v>.</v>
      </c>
      <c r="H1399" s="39" t="str">
        <f t="shared" ref="H1399:H1400" si="56">_xlfn.CONCAT(D1399,".",E1399)</f>
        <v>PROCESSLOG.CREATED_BY_USER_UID</v>
      </c>
      <c r="I1399" s="35"/>
      <c r="J1399" s="39"/>
      <c r="K1399" s="39"/>
    </row>
    <row r="1400" spans="1:11" hidden="1" x14ac:dyDescent="0.2">
      <c r="A1400" s="20" t="s">
        <v>450</v>
      </c>
      <c r="B1400" s="39"/>
      <c r="C1400" s="39"/>
      <c r="D1400" s="39" t="s">
        <v>1960</v>
      </c>
      <c r="E1400" s="39" t="s">
        <v>64</v>
      </c>
      <c r="F1400" s="40"/>
      <c r="G1400" s="39" t="str">
        <f t="shared" si="55"/>
        <v>.</v>
      </c>
      <c r="H1400" s="39" t="str">
        <f t="shared" si="56"/>
        <v>PROCESSLOG.CREATED_DATE</v>
      </c>
      <c r="I1400" s="35"/>
      <c r="J1400" s="39"/>
      <c r="K1400" s="39"/>
    </row>
    <row r="1401" spans="1:11" hidden="1" x14ac:dyDescent="0.2">
      <c r="A1401" s="20" t="s">
        <v>450</v>
      </c>
      <c r="B1401" s="39" t="s">
        <v>1974</v>
      </c>
      <c r="C1401" s="39" t="s">
        <v>1975</v>
      </c>
      <c r="D1401" s="39" t="s">
        <v>1974</v>
      </c>
      <c r="E1401" s="39" t="s">
        <v>1975</v>
      </c>
      <c r="F1401" s="40"/>
      <c r="G1401" s="39" t="str">
        <f>_xlfn.CONCAT(B1401,".",C1401)</f>
        <v>PROCESSLOGLINK.BATCH_UID</v>
      </c>
      <c r="H1401" s="39" t="str">
        <f>_xlfn.CONCAT(D1401,".",E1401)</f>
        <v>PROCESSLOGLINK.BATCH_UID</v>
      </c>
      <c r="I1401" s="35"/>
      <c r="J1401" s="39"/>
      <c r="K1401" s="39"/>
    </row>
    <row r="1402" spans="1:11" hidden="1" x14ac:dyDescent="0.2">
      <c r="A1402" s="20" t="s">
        <v>450</v>
      </c>
      <c r="B1402" s="39" t="s">
        <v>1974</v>
      </c>
      <c r="C1402" s="39" t="s">
        <v>1977</v>
      </c>
      <c r="D1402" s="39" t="s">
        <v>1974</v>
      </c>
      <c r="E1402" s="39" t="s">
        <v>1977</v>
      </c>
      <c r="F1402" s="40"/>
      <c r="G1402" s="39" t="str">
        <f>_xlfn.CONCAT(B1402,".",C1402)</f>
        <v>PROCESSLOGLINK.PROCESSLOG_UID</v>
      </c>
      <c r="H1402" s="39" t="str">
        <f>_xlfn.CONCAT(D1402,".",E1402)</f>
        <v>PROCESSLOGLINK.PROCESSLOG_UID</v>
      </c>
      <c r="I1402" s="35"/>
      <c r="J1402" s="39"/>
      <c r="K1402" s="39"/>
    </row>
    <row r="1403" spans="1:11" hidden="1" x14ac:dyDescent="0.2">
      <c r="A1403" s="20" t="s">
        <v>450</v>
      </c>
      <c r="B1403" s="39"/>
      <c r="C1403" s="39"/>
      <c r="D1403" s="39" t="s">
        <v>1974</v>
      </c>
      <c r="E1403" s="39" t="s">
        <v>30</v>
      </c>
      <c r="F1403" s="40"/>
      <c r="G1403" s="39" t="str">
        <f t="shared" ref="G1403:G1408" si="57">_xlfn.CONCAT(B1403,".",C1403)</f>
        <v>.</v>
      </c>
      <c r="H1403" s="39" t="str">
        <f t="shared" ref="H1403:H1408" si="58">_xlfn.CONCAT(D1403,".",E1403)</f>
        <v>PROCESSLOGLINK.ROW_UID</v>
      </c>
      <c r="I1403" s="35"/>
      <c r="J1403" s="39"/>
      <c r="K1403" s="39"/>
    </row>
    <row r="1404" spans="1:11" hidden="1" x14ac:dyDescent="0.2">
      <c r="A1404" s="20" t="s">
        <v>450</v>
      </c>
      <c r="B1404" s="39"/>
      <c r="C1404" s="39"/>
      <c r="D1404" s="39" t="s">
        <v>1974</v>
      </c>
      <c r="E1404" s="39" t="s">
        <v>35</v>
      </c>
      <c r="F1404" s="40"/>
      <c r="G1404" s="39" t="str">
        <f t="shared" si="57"/>
        <v>.</v>
      </c>
      <c r="H1404" s="39" t="str">
        <f t="shared" si="58"/>
        <v>PROCESSLOGLINK.SEQUENCE</v>
      </c>
      <c r="I1404" s="35"/>
      <c r="J1404" s="39"/>
      <c r="K1404" s="39"/>
    </row>
    <row r="1405" spans="1:11" hidden="1" x14ac:dyDescent="0.2">
      <c r="A1405" s="20" t="s">
        <v>450</v>
      </c>
      <c r="B1405" s="39"/>
      <c r="C1405" s="39"/>
      <c r="D1405" s="39" t="s">
        <v>1974</v>
      </c>
      <c r="E1405" s="39" t="s">
        <v>61</v>
      </c>
      <c r="F1405" s="40"/>
      <c r="G1405" s="39" t="str">
        <f t="shared" si="57"/>
        <v>.</v>
      </c>
      <c r="H1405" s="39" t="str">
        <f t="shared" si="58"/>
        <v>PROCESSLOGLINK.CREATED_BY_USER_UID</v>
      </c>
      <c r="I1405" s="35"/>
      <c r="J1405" s="39"/>
      <c r="K1405" s="39"/>
    </row>
    <row r="1406" spans="1:11" hidden="1" x14ac:dyDescent="0.2">
      <c r="A1406" s="20" t="s">
        <v>450</v>
      </c>
      <c r="B1406" s="39"/>
      <c r="C1406" s="39"/>
      <c r="D1406" s="39" t="s">
        <v>1974</v>
      </c>
      <c r="E1406" s="39" t="s">
        <v>64</v>
      </c>
      <c r="F1406" s="40"/>
      <c r="G1406" s="39" t="str">
        <f t="shared" si="57"/>
        <v>.</v>
      </c>
      <c r="H1406" s="39" t="str">
        <f t="shared" si="58"/>
        <v>PROCESSLOGLINK.CREATED_DATE</v>
      </c>
      <c r="I1406" s="35"/>
      <c r="J1406" s="39"/>
      <c r="K1406" s="39"/>
    </row>
    <row r="1407" spans="1:11" hidden="1" x14ac:dyDescent="0.2">
      <c r="A1407" s="20" t="s">
        <v>450</v>
      </c>
      <c r="B1407" s="39"/>
      <c r="C1407" s="39"/>
      <c r="D1407" s="39" t="s">
        <v>1974</v>
      </c>
      <c r="E1407" s="39" t="s">
        <v>68</v>
      </c>
      <c r="F1407" s="40"/>
      <c r="G1407" s="39" t="str">
        <f t="shared" si="57"/>
        <v>.</v>
      </c>
      <c r="H1407" s="39" t="str">
        <f t="shared" si="58"/>
        <v>PROCESSLOGLINK.LAST_MODIFIED_BY_USER_UID</v>
      </c>
      <c r="I1407" s="35"/>
      <c r="J1407" s="39"/>
      <c r="K1407" s="39"/>
    </row>
    <row r="1408" spans="1:11" hidden="1" x14ac:dyDescent="0.2">
      <c r="A1408" s="20" t="s">
        <v>450</v>
      </c>
      <c r="B1408" s="39"/>
      <c r="C1408" s="39"/>
      <c r="D1408" s="39" t="s">
        <v>1974</v>
      </c>
      <c r="E1408" s="39" t="s">
        <v>71</v>
      </c>
      <c r="F1408" s="40"/>
      <c r="G1408" s="39" t="str">
        <f t="shared" si="57"/>
        <v>.</v>
      </c>
      <c r="H1408" s="39" t="str">
        <f t="shared" si="58"/>
        <v>PROCESSLOGLINK.LAST_MODIFIED_DATE</v>
      </c>
      <c r="I1408" s="35"/>
      <c r="J1408" s="39"/>
      <c r="K1408" s="39"/>
    </row>
    <row r="1409" spans="1:11" hidden="1" x14ac:dyDescent="0.2">
      <c r="A1409" s="20" t="s">
        <v>450</v>
      </c>
      <c r="B1409" s="39" t="s">
        <v>1979</v>
      </c>
      <c r="C1409" s="39" t="s">
        <v>299</v>
      </c>
      <c r="D1409" t="s">
        <v>1979</v>
      </c>
      <c r="E1409" s="39" t="s">
        <v>299</v>
      </c>
      <c r="F1409" s="40"/>
      <c r="G1409" s="39" t="str">
        <f>_xlfn.CONCAT(B1409,".",C1409)</f>
        <v>RCUTOFF.HOURS</v>
      </c>
      <c r="H1409" s="39" t="str">
        <f>_xlfn.CONCAT(D1409,".",E1409)</f>
        <v>RCUTOFF.HOURS</v>
      </c>
      <c r="I1409" s="35"/>
      <c r="J1409" s="39"/>
      <c r="K1409" s="39"/>
    </row>
    <row r="1410" spans="1:11" hidden="1" x14ac:dyDescent="0.2">
      <c r="A1410" s="20" t="s">
        <v>450</v>
      </c>
      <c r="B1410" s="39" t="s">
        <v>1979</v>
      </c>
      <c r="C1410" s="39" t="s">
        <v>1943</v>
      </c>
      <c r="D1410" t="s">
        <v>1979</v>
      </c>
      <c r="E1410" s="39" t="s">
        <v>1943</v>
      </c>
      <c r="F1410" s="40"/>
      <c r="G1410" s="39" t="str">
        <f t="shared" ref="G1410:G1412" si="59">_xlfn.CONCAT(B1410,".",C1410)</f>
        <v>RCUTOFF.INSTANCE</v>
      </c>
      <c r="H1410" s="39" t="str">
        <f t="shared" ref="H1410:H1412" si="60">_xlfn.CONCAT(D1410,".",E1410)</f>
        <v>RCUTOFF.INSTANCE</v>
      </c>
      <c r="I1410" s="35"/>
      <c r="J1410" s="39"/>
      <c r="K1410" s="39"/>
    </row>
    <row r="1411" spans="1:11" hidden="1" x14ac:dyDescent="0.2">
      <c r="A1411" s="20" t="s">
        <v>450</v>
      </c>
      <c r="B1411" s="39" t="s">
        <v>1979</v>
      </c>
      <c r="C1411" s="39" t="s">
        <v>1981</v>
      </c>
      <c r="D1411" t="s">
        <v>1979</v>
      </c>
      <c r="E1411" s="39" t="s">
        <v>1981</v>
      </c>
      <c r="F1411" s="40"/>
      <c r="G1411" s="39" t="str">
        <f t="shared" si="59"/>
        <v>RCUTOFF.PD_FINISH</v>
      </c>
      <c r="H1411" s="39" t="str">
        <f t="shared" si="60"/>
        <v>RCUTOFF.PD_FINISH</v>
      </c>
      <c r="I1411" s="35"/>
      <c r="J1411" s="39"/>
      <c r="K1411" s="39"/>
    </row>
    <row r="1412" spans="1:11" hidden="1" x14ac:dyDescent="0.2">
      <c r="A1412" s="20" t="s">
        <v>450</v>
      </c>
      <c r="B1412" s="39" t="s">
        <v>1979</v>
      </c>
      <c r="C1412" s="39" t="s">
        <v>1983</v>
      </c>
      <c r="D1412" t="s">
        <v>1979</v>
      </c>
      <c r="E1412" s="39" t="s">
        <v>1983</v>
      </c>
      <c r="F1412" s="40"/>
      <c r="G1412" s="39" t="str">
        <f t="shared" si="59"/>
        <v>RCUTOFF.PD_START</v>
      </c>
      <c r="H1412" s="39" t="str">
        <f t="shared" si="60"/>
        <v>RCUTOFF.PD_START</v>
      </c>
      <c r="I1412" s="35"/>
      <c r="J1412" s="39"/>
      <c r="K1412" s="39"/>
    </row>
    <row r="1413" spans="1:11" hidden="1" x14ac:dyDescent="0.2">
      <c r="A1413" s="20" t="s">
        <v>450</v>
      </c>
      <c r="B1413" s="39"/>
      <c r="C1413" s="39" t="s">
        <v>65</v>
      </c>
      <c r="D1413" s="39" t="s">
        <v>1979</v>
      </c>
      <c r="E1413" s="39" t="s">
        <v>64</v>
      </c>
      <c r="F1413" s="40"/>
      <c r="G1413" s="39" t="str">
        <f>_xlfn.CONCAT(B1413,".",C1413)</f>
        <v>.TIMESTAMP</v>
      </c>
      <c r="H1413" s="39" t="str">
        <f>_xlfn.CONCAT(D1413,".",E1413)</f>
        <v>RCUTOFF.CREATED_DATE</v>
      </c>
      <c r="I1413" s="35"/>
      <c r="J1413" s="39"/>
      <c r="K1413" s="39"/>
    </row>
    <row r="1414" spans="1:11" hidden="1" x14ac:dyDescent="0.2">
      <c r="A1414" s="20" t="s">
        <v>450</v>
      </c>
      <c r="B1414" s="39"/>
      <c r="C1414" s="39"/>
      <c r="D1414" t="s">
        <v>1979</v>
      </c>
      <c r="E1414" s="39" t="s">
        <v>30</v>
      </c>
      <c r="F1414" s="40"/>
      <c r="G1414" s="39" t="str">
        <f t="shared" ref="G1414:G1418" si="61">_xlfn.CONCAT(B1414,".",C1414)</f>
        <v>.</v>
      </c>
      <c r="H1414" s="39" t="str">
        <f t="shared" ref="H1414:H1418" si="62">_xlfn.CONCAT(D1414,".",E1414)</f>
        <v>RCUTOFF.ROW_UID</v>
      </c>
      <c r="I1414" s="35"/>
      <c r="J1414" s="39"/>
      <c r="K1414" s="39"/>
    </row>
    <row r="1415" spans="1:11" hidden="1" x14ac:dyDescent="0.2">
      <c r="A1415" s="20" t="s">
        <v>450</v>
      </c>
      <c r="B1415" s="39"/>
      <c r="C1415" s="39"/>
      <c r="D1415" t="s">
        <v>1979</v>
      </c>
      <c r="E1415" s="39" t="s">
        <v>35</v>
      </c>
      <c r="F1415" s="40"/>
      <c r="G1415" s="39" t="str">
        <f t="shared" si="61"/>
        <v>.</v>
      </c>
      <c r="H1415" s="39" t="str">
        <f t="shared" si="62"/>
        <v>RCUTOFF.SEQUENCE</v>
      </c>
      <c r="I1415" s="35"/>
      <c r="J1415" s="39"/>
      <c r="K1415" s="39"/>
    </row>
    <row r="1416" spans="1:11" hidden="1" x14ac:dyDescent="0.2">
      <c r="A1416" s="20" t="s">
        <v>450</v>
      </c>
      <c r="B1416" s="39"/>
      <c r="C1416" s="39"/>
      <c r="D1416" t="s">
        <v>1979</v>
      </c>
      <c r="E1416" s="39" t="s">
        <v>61</v>
      </c>
      <c r="F1416" s="40"/>
      <c r="G1416" s="39" t="str">
        <f t="shared" si="61"/>
        <v>.</v>
      </c>
      <c r="H1416" s="39" t="str">
        <f t="shared" si="62"/>
        <v>RCUTOFF.CREATED_BY_USER_UID</v>
      </c>
      <c r="I1416" s="35"/>
      <c r="J1416" s="39"/>
      <c r="K1416" s="39"/>
    </row>
    <row r="1417" spans="1:11" hidden="1" x14ac:dyDescent="0.2">
      <c r="A1417" s="20" t="s">
        <v>450</v>
      </c>
      <c r="B1417" s="39"/>
      <c r="C1417" s="39"/>
      <c r="D1417" t="s">
        <v>1979</v>
      </c>
      <c r="E1417" s="39" t="s">
        <v>68</v>
      </c>
      <c r="F1417" s="40"/>
      <c r="G1417" s="39" t="str">
        <f t="shared" si="61"/>
        <v>.</v>
      </c>
      <c r="H1417" s="39" t="str">
        <f t="shared" si="62"/>
        <v>RCUTOFF.LAST_MODIFIED_BY_USER_UID</v>
      </c>
      <c r="I1417" s="35"/>
      <c r="J1417" s="39"/>
      <c r="K1417" s="39"/>
    </row>
    <row r="1418" spans="1:11" hidden="1" x14ac:dyDescent="0.2">
      <c r="A1418" s="20" t="s">
        <v>450</v>
      </c>
      <c r="B1418" s="39"/>
      <c r="C1418" s="39"/>
      <c r="D1418" t="s">
        <v>1979</v>
      </c>
      <c r="E1418" s="39" t="s">
        <v>71</v>
      </c>
      <c r="F1418" s="40"/>
      <c r="G1418" s="39" t="str">
        <f t="shared" si="61"/>
        <v>.</v>
      </c>
      <c r="H1418" s="39" t="str">
        <f t="shared" si="62"/>
        <v>RCUTOFF.LAST_MODIFIED_DATE</v>
      </c>
      <c r="I1418" s="35"/>
      <c r="J1418" s="39"/>
      <c r="K1418" s="39"/>
    </row>
    <row r="1419" spans="1:11" hidden="1" x14ac:dyDescent="0.2">
      <c r="A1419" s="20" t="s">
        <v>450</v>
      </c>
      <c r="B1419" s="39" t="s">
        <v>1985</v>
      </c>
      <c r="C1419" s="39" t="s">
        <v>1009</v>
      </c>
      <c r="D1419" t="s">
        <v>1985</v>
      </c>
      <c r="E1419" s="39" t="s">
        <v>1009</v>
      </c>
      <c r="F1419" s="40"/>
      <c r="G1419" s="39" t="str">
        <f>_xlfn.CONCAT(B1419,".",C1419)</f>
        <v>TEMP_CAWPID.CAWPID</v>
      </c>
      <c r="H1419" s="39" t="str">
        <f>_xlfn.CONCAT(D1419,".",E1419)</f>
        <v>TEMP_CAWPID.CAWPID</v>
      </c>
      <c r="I1419" s="35"/>
      <c r="J1419" s="39"/>
      <c r="K1419" s="39"/>
    </row>
    <row r="1420" spans="1:11" hidden="1" x14ac:dyDescent="0.2">
      <c r="A1420" s="20" t="s">
        <v>450</v>
      </c>
      <c r="B1420" s="39" t="s">
        <v>1985</v>
      </c>
      <c r="C1420" s="39" t="s">
        <v>1009</v>
      </c>
      <c r="D1420" t="s">
        <v>1985</v>
      </c>
      <c r="E1420" s="39" t="s">
        <v>833</v>
      </c>
      <c r="F1420" s="40"/>
      <c r="G1420" s="39" t="str">
        <f>_xlfn.CONCAT(B1420,".",C1420)</f>
        <v>TEMP_CAWPID.CAWPID</v>
      </c>
      <c r="H1420" s="39" t="str">
        <f>_xlfn.CONCAT(D1420,".",E1420)</f>
        <v>TEMP_CAWPID.PROJECT_CAWP_UID</v>
      </c>
      <c r="I1420" s="35"/>
      <c r="J1420" s="39"/>
      <c r="K1420" s="39"/>
    </row>
    <row r="1421" spans="1:11" hidden="1" x14ac:dyDescent="0.2">
      <c r="A1421" s="20" t="s">
        <v>450</v>
      </c>
      <c r="B1421" s="39" t="s">
        <v>1985</v>
      </c>
      <c r="C1421" s="39" t="s">
        <v>1943</v>
      </c>
      <c r="D1421" t="s">
        <v>1985</v>
      </c>
      <c r="E1421" s="39" t="s">
        <v>1943</v>
      </c>
      <c r="F1421" s="40"/>
      <c r="G1421" s="39" t="str">
        <f t="shared" ref="G1421:G1422" si="63">_xlfn.CONCAT(B1421,".",C1421)</f>
        <v>TEMP_CAWPID.INSTANCE</v>
      </c>
      <c r="H1421" s="39" t="str">
        <f t="shared" ref="H1421:H1422" si="64">_xlfn.CONCAT(D1421,".",E1421)</f>
        <v>TEMP_CAWPID.INSTANCE</v>
      </c>
      <c r="I1421" s="35"/>
      <c r="J1421" s="39"/>
      <c r="K1421" s="39"/>
    </row>
    <row r="1422" spans="1:11" hidden="1" x14ac:dyDescent="0.2">
      <c r="A1422" s="20" t="s">
        <v>450</v>
      </c>
      <c r="B1422" s="39" t="s">
        <v>1985</v>
      </c>
      <c r="C1422" s="39" t="s">
        <v>744</v>
      </c>
      <c r="D1422" t="s">
        <v>1985</v>
      </c>
      <c r="E1422" s="39" t="s">
        <v>744</v>
      </c>
      <c r="F1422" s="40"/>
      <c r="G1422" s="39" t="str">
        <f t="shared" si="63"/>
        <v>TEMP_CAWPID.PROGRAM</v>
      </c>
      <c r="H1422" s="39" t="str">
        <f t="shared" si="64"/>
        <v>TEMP_CAWPID.PROGRAM</v>
      </c>
      <c r="I1422" s="35"/>
      <c r="J1422" s="39"/>
      <c r="K1422" s="39"/>
    </row>
    <row r="1423" spans="1:11" hidden="1" x14ac:dyDescent="0.2">
      <c r="A1423" s="20" t="s">
        <v>450</v>
      </c>
      <c r="B1423" s="39" t="s">
        <v>1985</v>
      </c>
      <c r="C1423" s="39" t="s">
        <v>744</v>
      </c>
      <c r="D1423" t="s">
        <v>1985</v>
      </c>
      <c r="E1423" s="39" t="s">
        <v>770</v>
      </c>
      <c r="F1423" s="40"/>
      <c r="G1423" s="39" t="str">
        <f>_xlfn.CONCAT(B1423,".",C1423)</f>
        <v>TEMP_CAWPID.PROGRAM</v>
      </c>
      <c r="H1423" s="39" t="str">
        <f>_xlfn.CONCAT(D1423,".",E1423)</f>
        <v>TEMP_CAWPID.PROJECT_UID</v>
      </c>
      <c r="I1423" s="35"/>
      <c r="J1423" s="39"/>
      <c r="K1423" s="39"/>
    </row>
    <row r="1424" spans="1:11" hidden="1" x14ac:dyDescent="0.2">
      <c r="A1424" s="20" t="s">
        <v>450</v>
      </c>
      <c r="B1424" s="39"/>
      <c r="C1424" s="39" t="s">
        <v>65</v>
      </c>
      <c r="D1424" s="39" t="s">
        <v>1985</v>
      </c>
      <c r="E1424" s="39" t="s">
        <v>64</v>
      </c>
      <c r="F1424" s="40"/>
      <c r="G1424" s="39" t="str">
        <f>_xlfn.CONCAT(B1424,".",C1424)</f>
        <v>.TIMESTAMP</v>
      </c>
      <c r="H1424" s="39" t="str">
        <f>_xlfn.CONCAT(D1424,".",E1424)</f>
        <v>TEMP_CAWPID.CREATED_DATE</v>
      </c>
      <c r="I1424" s="35"/>
      <c r="J1424" s="39"/>
      <c r="K1424" s="39"/>
    </row>
    <row r="1425" spans="1:11" hidden="1" x14ac:dyDescent="0.2">
      <c r="A1425" s="20" t="s">
        <v>450</v>
      </c>
      <c r="B1425" s="39"/>
      <c r="C1425" s="39"/>
      <c r="D1425" t="s">
        <v>1985</v>
      </c>
      <c r="E1425" s="39" t="s">
        <v>30</v>
      </c>
      <c r="F1425" s="40"/>
      <c r="G1425" s="39" t="str">
        <f t="shared" ref="G1425:G1429" si="65">_xlfn.CONCAT(B1425,".",C1425)</f>
        <v>.</v>
      </c>
      <c r="H1425" s="39" t="str">
        <f t="shared" ref="H1425:H1429" si="66">_xlfn.CONCAT(D1425,".",E1425)</f>
        <v>TEMP_CAWPID.ROW_UID</v>
      </c>
      <c r="I1425" s="35"/>
      <c r="J1425" s="39"/>
      <c r="K1425" s="39"/>
    </row>
    <row r="1426" spans="1:11" hidden="1" x14ac:dyDescent="0.2">
      <c r="A1426" s="20" t="s">
        <v>450</v>
      </c>
      <c r="B1426" s="39"/>
      <c r="C1426" s="39"/>
      <c r="D1426" t="s">
        <v>1985</v>
      </c>
      <c r="E1426" s="39" t="s">
        <v>35</v>
      </c>
      <c r="F1426" s="40"/>
      <c r="G1426" s="39" t="str">
        <f t="shared" si="65"/>
        <v>.</v>
      </c>
      <c r="H1426" s="39" t="str">
        <f t="shared" si="66"/>
        <v>TEMP_CAWPID.SEQUENCE</v>
      </c>
      <c r="I1426" s="35"/>
      <c r="J1426" s="39"/>
      <c r="K1426" s="39"/>
    </row>
    <row r="1427" spans="1:11" hidden="1" x14ac:dyDescent="0.2">
      <c r="A1427" s="20" t="s">
        <v>450</v>
      </c>
      <c r="B1427" s="39"/>
      <c r="C1427" s="39"/>
      <c r="D1427" t="s">
        <v>1985</v>
      </c>
      <c r="E1427" s="39" t="s">
        <v>61</v>
      </c>
      <c r="F1427" s="40"/>
      <c r="G1427" s="39" t="str">
        <f t="shared" si="65"/>
        <v>.</v>
      </c>
      <c r="H1427" s="39" t="str">
        <f t="shared" si="66"/>
        <v>TEMP_CAWPID.CREATED_BY_USER_UID</v>
      </c>
      <c r="I1427" s="35"/>
      <c r="J1427" s="39"/>
      <c r="K1427" s="39"/>
    </row>
    <row r="1428" spans="1:11" hidden="1" x14ac:dyDescent="0.2">
      <c r="A1428" s="20" t="s">
        <v>450</v>
      </c>
      <c r="B1428" s="39"/>
      <c r="C1428" s="39"/>
      <c r="D1428" t="s">
        <v>1985</v>
      </c>
      <c r="E1428" s="39" t="s">
        <v>68</v>
      </c>
      <c r="F1428" s="40"/>
      <c r="G1428" s="39" t="str">
        <f t="shared" si="65"/>
        <v>.</v>
      </c>
      <c r="H1428" s="39" t="str">
        <f t="shared" si="66"/>
        <v>TEMP_CAWPID.LAST_MODIFIED_BY_USER_UID</v>
      </c>
      <c r="I1428" s="35"/>
      <c r="J1428" s="39"/>
      <c r="K1428" s="39"/>
    </row>
    <row r="1429" spans="1:11" hidden="1" x14ac:dyDescent="0.2">
      <c r="A1429" s="20" t="s">
        <v>450</v>
      </c>
      <c r="B1429" s="39"/>
      <c r="C1429" s="39"/>
      <c r="D1429" t="s">
        <v>1985</v>
      </c>
      <c r="E1429" s="39" t="s">
        <v>71</v>
      </c>
      <c r="F1429" s="40"/>
      <c r="G1429" s="39" t="str">
        <f t="shared" si="65"/>
        <v>.</v>
      </c>
      <c r="H1429" s="39" t="str">
        <f t="shared" si="66"/>
        <v>TEMP_CAWPID.LAST_MODIFIED_DATE</v>
      </c>
      <c r="I1429" s="35"/>
      <c r="J1429" s="39"/>
      <c r="K1429" s="39"/>
    </row>
    <row r="1430" spans="1:11" hidden="1" x14ac:dyDescent="0.2">
      <c r="A1430" s="20" t="s">
        <v>450</v>
      </c>
      <c r="B1430" s="39" t="s">
        <v>1988</v>
      </c>
      <c r="C1430" s="39" t="s">
        <v>1989</v>
      </c>
      <c r="D1430" t="s">
        <v>1988</v>
      </c>
      <c r="E1430" s="39" t="s">
        <v>1989</v>
      </c>
      <c r="F1430" s="40"/>
      <c r="G1430" s="39" t="str">
        <f>_xlfn.CONCAT(B1430,".",C1430)</f>
        <v>TEMP_CHAR.CHAR_VAL</v>
      </c>
      <c r="H1430" s="39" t="str">
        <f>_xlfn.CONCAT(D1430,".",E1430)</f>
        <v>TEMP_CHAR.CHAR_VAL</v>
      </c>
      <c r="I1430" s="35"/>
      <c r="J1430" s="39"/>
      <c r="K1430" s="39"/>
    </row>
    <row r="1431" spans="1:11" hidden="1" x14ac:dyDescent="0.2">
      <c r="A1431" s="20" t="s">
        <v>450</v>
      </c>
      <c r="B1431" s="39" t="s">
        <v>1988</v>
      </c>
      <c r="C1431" s="39" t="s">
        <v>1943</v>
      </c>
      <c r="D1431" t="s">
        <v>1988</v>
      </c>
      <c r="E1431" s="39" t="s">
        <v>1943</v>
      </c>
      <c r="F1431" s="40"/>
      <c r="G1431" s="39" t="str">
        <f t="shared" ref="G1431:G1432" si="67">_xlfn.CONCAT(B1431,".",C1431)</f>
        <v>TEMP_CHAR.INSTANCE</v>
      </c>
      <c r="H1431" s="39" t="str">
        <f t="shared" ref="H1431:H1432" si="68">_xlfn.CONCAT(D1431,".",E1431)</f>
        <v>TEMP_CHAR.INSTANCE</v>
      </c>
      <c r="I1431" s="35"/>
      <c r="J1431" s="39"/>
      <c r="K1431" s="39"/>
    </row>
    <row r="1432" spans="1:11" hidden="1" x14ac:dyDescent="0.2">
      <c r="A1432" s="20" t="s">
        <v>450</v>
      </c>
      <c r="B1432" s="39" t="s">
        <v>1988</v>
      </c>
      <c r="C1432" s="39" t="s">
        <v>65</v>
      </c>
      <c r="D1432" t="s">
        <v>1988</v>
      </c>
      <c r="E1432" s="39" t="s">
        <v>64</v>
      </c>
      <c r="F1432" s="40"/>
      <c r="G1432" s="39" t="str">
        <f t="shared" si="67"/>
        <v>TEMP_CHAR.TIMESTAMP</v>
      </c>
      <c r="H1432" s="39" t="str">
        <f t="shared" si="68"/>
        <v>TEMP_CHAR.CREATED_DATE</v>
      </c>
      <c r="I1432" s="35"/>
      <c r="J1432" s="39"/>
      <c r="K1432" s="39"/>
    </row>
    <row r="1433" spans="1:11" hidden="1" x14ac:dyDescent="0.2">
      <c r="A1433" s="20" t="s">
        <v>450</v>
      </c>
      <c r="B1433" s="39"/>
      <c r="C1433" s="39"/>
      <c r="D1433" t="s">
        <v>1988</v>
      </c>
      <c r="E1433" s="39" t="s">
        <v>30</v>
      </c>
      <c r="F1433" s="40"/>
      <c r="G1433" s="39" t="str">
        <f t="shared" ref="G1433:G1437" si="69">_xlfn.CONCAT(B1433,".",C1433)</f>
        <v>.</v>
      </c>
      <c r="H1433" s="39" t="str">
        <f t="shared" ref="H1433:H1437" si="70">_xlfn.CONCAT(D1433,".",E1433)</f>
        <v>TEMP_CHAR.ROW_UID</v>
      </c>
      <c r="I1433" s="35"/>
      <c r="J1433" s="39"/>
      <c r="K1433" s="39"/>
    </row>
    <row r="1434" spans="1:11" hidden="1" x14ac:dyDescent="0.2">
      <c r="A1434" s="20" t="s">
        <v>450</v>
      </c>
      <c r="B1434" s="39"/>
      <c r="C1434" s="39"/>
      <c r="D1434" t="s">
        <v>1988</v>
      </c>
      <c r="E1434" s="39" t="s">
        <v>35</v>
      </c>
      <c r="F1434" s="40"/>
      <c r="G1434" s="39" t="str">
        <f t="shared" si="69"/>
        <v>.</v>
      </c>
      <c r="H1434" s="39" t="str">
        <f t="shared" si="70"/>
        <v>TEMP_CHAR.SEQUENCE</v>
      </c>
      <c r="I1434" s="35"/>
      <c r="J1434" s="39"/>
      <c r="K1434" s="39"/>
    </row>
    <row r="1435" spans="1:11" hidden="1" x14ac:dyDescent="0.2">
      <c r="A1435" s="20" t="s">
        <v>450</v>
      </c>
      <c r="B1435" s="39"/>
      <c r="C1435" s="39"/>
      <c r="D1435" t="s">
        <v>1988</v>
      </c>
      <c r="E1435" s="39" t="s">
        <v>61</v>
      </c>
      <c r="F1435" s="40"/>
      <c r="G1435" s="39" t="str">
        <f t="shared" si="69"/>
        <v>.</v>
      </c>
      <c r="H1435" s="39" t="str">
        <f t="shared" si="70"/>
        <v>TEMP_CHAR.CREATED_BY_USER_UID</v>
      </c>
      <c r="I1435" s="35"/>
      <c r="J1435" s="39"/>
      <c r="K1435" s="39"/>
    </row>
    <row r="1436" spans="1:11" hidden="1" x14ac:dyDescent="0.2">
      <c r="A1436" s="20" t="s">
        <v>450</v>
      </c>
      <c r="B1436" s="39"/>
      <c r="C1436" s="39"/>
      <c r="D1436" t="s">
        <v>1988</v>
      </c>
      <c r="E1436" s="39" t="s">
        <v>68</v>
      </c>
      <c r="F1436" s="40"/>
      <c r="G1436" s="39" t="str">
        <f t="shared" si="69"/>
        <v>.</v>
      </c>
      <c r="H1436" s="39" t="str">
        <f t="shared" si="70"/>
        <v>TEMP_CHAR.LAST_MODIFIED_BY_USER_UID</v>
      </c>
      <c r="I1436" s="35"/>
      <c r="J1436" s="39"/>
      <c r="K1436" s="39"/>
    </row>
    <row r="1437" spans="1:11" hidden="1" x14ac:dyDescent="0.2">
      <c r="A1437" s="20" t="s">
        <v>450</v>
      </c>
      <c r="B1437" s="39"/>
      <c r="C1437" s="39"/>
      <c r="D1437" t="s">
        <v>1988</v>
      </c>
      <c r="E1437" s="39" t="s">
        <v>71</v>
      </c>
      <c r="F1437" s="40"/>
      <c r="G1437" s="39" t="str">
        <f t="shared" si="69"/>
        <v>.</v>
      </c>
      <c r="H1437" s="39" t="str">
        <f t="shared" si="70"/>
        <v>TEMP_CHAR.LAST_MODIFIED_DATE</v>
      </c>
      <c r="I1437" s="35"/>
      <c r="J1437" s="39"/>
      <c r="K1437" s="39"/>
    </row>
    <row r="1438" spans="1:11" hidden="1" x14ac:dyDescent="0.2">
      <c r="A1438" s="20" t="s">
        <v>450</v>
      </c>
      <c r="B1438" s="39" t="s">
        <v>1991</v>
      </c>
      <c r="C1438" s="39" t="s">
        <v>1962</v>
      </c>
      <c r="D1438" t="s">
        <v>1991</v>
      </c>
      <c r="E1438" s="39" t="s">
        <v>1962</v>
      </c>
      <c r="F1438" s="40"/>
      <c r="G1438" s="39" t="str">
        <f>_xlfn.CONCAT(B1438,".",C1438)</f>
        <v>TEMP_DIR.DIR_ID</v>
      </c>
      <c r="H1438" s="39" t="str">
        <f>_xlfn.CONCAT(D1438,".",E1438)</f>
        <v>TEMP_DIR.DIR_ID</v>
      </c>
      <c r="I1438" s="35"/>
      <c r="J1438" s="39"/>
      <c r="K1438" s="39"/>
    </row>
    <row r="1439" spans="1:11" hidden="1" x14ac:dyDescent="0.2">
      <c r="A1439" s="20" t="s">
        <v>450</v>
      </c>
      <c r="B1439" s="39" t="s">
        <v>1991</v>
      </c>
      <c r="C1439" s="39" t="s">
        <v>1943</v>
      </c>
      <c r="D1439" t="s">
        <v>1991</v>
      </c>
      <c r="E1439" s="39" t="s">
        <v>1943</v>
      </c>
      <c r="F1439" s="40"/>
      <c r="G1439" s="39" t="str">
        <f t="shared" ref="G1439:G1440" si="71">_xlfn.CONCAT(B1439,".",C1439)</f>
        <v>TEMP_DIR.INSTANCE</v>
      </c>
      <c r="H1439" s="39" t="str">
        <f t="shared" ref="H1439:H1440" si="72">_xlfn.CONCAT(D1439,".",E1439)</f>
        <v>TEMP_DIR.INSTANCE</v>
      </c>
      <c r="I1439" s="35"/>
      <c r="J1439" s="39"/>
      <c r="K1439" s="39"/>
    </row>
    <row r="1440" spans="1:11" hidden="1" x14ac:dyDescent="0.2">
      <c r="A1440" s="20" t="s">
        <v>450</v>
      </c>
      <c r="B1440" s="39" t="s">
        <v>1991</v>
      </c>
      <c r="C1440" s="39" t="s">
        <v>65</v>
      </c>
      <c r="D1440" t="s">
        <v>1991</v>
      </c>
      <c r="E1440" s="39" t="s">
        <v>64</v>
      </c>
      <c r="F1440" s="40"/>
      <c r="G1440" s="39" t="str">
        <f t="shared" si="71"/>
        <v>TEMP_DIR.TIMESTAMP</v>
      </c>
      <c r="H1440" s="39" t="str">
        <f t="shared" si="72"/>
        <v>TEMP_DIR.CREATED_DATE</v>
      </c>
      <c r="I1440" s="35"/>
      <c r="J1440" s="39"/>
      <c r="K1440" s="39"/>
    </row>
    <row r="1441" spans="1:11" hidden="1" x14ac:dyDescent="0.2">
      <c r="A1441" s="20" t="s">
        <v>450</v>
      </c>
      <c r="B1441" s="39"/>
      <c r="C1441" s="39"/>
      <c r="D1441" t="s">
        <v>1991</v>
      </c>
      <c r="E1441" s="39" t="s">
        <v>30</v>
      </c>
      <c r="F1441" s="40"/>
      <c r="G1441" s="39" t="str">
        <f t="shared" ref="G1441:G1445" si="73">_xlfn.CONCAT(B1441,".",C1441)</f>
        <v>.</v>
      </c>
      <c r="H1441" s="39" t="str">
        <f t="shared" ref="H1441:H1445" si="74">_xlfn.CONCAT(D1441,".",E1441)</f>
        <v>TEMP_DIR.ROW_UID</v>
      </c>
      <c r="I1441" s="35"/>
      <c r="J1441" s="39"/>
      <c r="K1441" s="39"/>
    </row>
    <row r="1442" spans="1:11" hidden="1" x14ac:dyDescent="0.2">
      <c r="A1442" s="20" t="s">
        <v>450</v>
      </c>
      <c r="B1442" s="39"/>
      <c r="C1442" s="39"/>
      <c r="D1442" t="s">
        <v>1991</v>
      </c>
      <c r="E1442" s="39" t="s">
        <v>35</v>
      </c>
      <c r="F1442" s="40"/>
      <c r="G1442" s="39" t="str">
        <f t="shared" si="73"/>
        <v>.</v>
      </c>
      <c r="H1442" s="39" t="str">
        <f t="shared" si="74"/>
        <v>TEMP_DIR.SEQUENCE</v>
      </c>
      <c r="I1442" s="35"/>
      <c r="J1442" s="39"/>
      <c r="K1442" s="39"/>
    </row>
    <row r="1443" spans="1:11" hidden="1" x14ac:dyDescent="0.2">
      <c r="A1443" s="20" t="s">
        <v>450</v>
      </c>
      <c r="B1443" s="39"/>
      <c r="C1443" s="39"/>
      <c r="D1443" t="s">
        <v>1991</v>
      </c>
      <c r="E1443" s="39" t="s">
        <v>61</v>
      </c>
      <c r="F1443" s="40"/>
      <c r="G1443" s="39" t="str">
        <f t="shared" si="73"/>
        <v>.</v>
      </c>
      <c r="H1443" s="39" t="str">
        <f t="shared" si="74"/>
        <v>TEMP_DIR.CREATED_BY_USER_UID</v>
      </c>
      <c r="I1443" s="35"/>
      <c r="J1443" s="39"/>
      <c r="K1443" s="39"/>
    </row>
    <row r="1444" spans="1:11" hidden="1" x14ac:dyDescent="0.2">
      <c r="A1444" s="20" t="s">
        <v>450</v>
      </c>
      <c r="B1444" s="39"/>
      <c r="C1444" s="39"/>
      <c r="D1444" t="s">
        <v>1991</v>
      </c>
      <c r="E1444" s="39" t="s">
        <v>68</v>
      </c>
      <c r="F1444" s="40"/>
      <c r="G1444" s="39" t="str">
        <f t="shared" si="73"/>
        <v>.</v>
      </c>
      <c r="H1444" s="39" t="str">
        <f t="shared" si="74"/>
        <v>TEMP_DIR.LAST_MODIFIED_BY_USER_UID</v>
      </c>
      <c r="I1444" s="35"/>
      <c r="J1444" s="39"/>
      <c r="K1444" s="39"/>
    </row>
    <row r="1445" spans="1:11" hidden="1" x14ac:dyDescent="0.2">
      <c r="A1445" s="20" t="s">
        <v>450</v>
      </c>
      <c r="B1445" s="39"/>
      <c r="C1445" s="39"/>
      <c r="D1445" t="s">
        <v>1991</v>
      </c>
      <c r="E1445" s="39" t="s">
        <v>71</v>
      </c>
      <c r="F1445" s="40"/>
      <c r="G1445" s="39" t="str">
        <f t="shared" si="73"/>
        <v>.</v>
      </c>
      <c r="H1445" s="39" t="str">
        <f t="shared" si="74"/>
        <v>TEMP_DIR.LAST_MODIFIED_DATE</v>
      </c>
      <c r="I1445" s="35"/>
      <c r="J1445" s="39"/>
      <c r="K1445" s="39"/>
    </row>
    <row r="1446" spans="1:11" hidden="1" x14ac:dyDescent="0.2">
      <c r="A1446" t="s">
        <v>2440</v>
      </c>
      <c r="B1446" s="39" t="s">
        <v>1993</v>
      </c>
      <c r="C1446" s="39" t="s">
        <v>1961</v>
      </c>
      <c r="D1446" t="s">
        <v>1993</v>
      </c>
      <c r="E1446" s="39" t="s">
        <v>1961</v>
      </c>
      <c r="F1446" s="40"/>
      <c r="G1446" s="39" t="str">
        <f>_xlfn.CONCAT(B1446,".",C1446)</f>
        <v>WST_LCK.CONTEXT</v>
      </c>
      <c r="H1446" s="39" t="str">
        <f>_xlfn.CONCAT(D1446,".",E1446)</f>
        <v>WST_LCK.CONTEXT</v>
      </c>
      <c r="I1446" s="35"/>
      <c r="J1446" s="39"/>
      <c r="K1446" s="39"/>
    </row>
    <row r="1447" spans="1:11" hidden="1" x14ac:dyDescent="0.2">
      <c r="A1447" t="s">
        <v>2440</v>
      </c>
      <c r="B1447" s="39" t="s">
        <v>1993</v>
      </c>
      <c r="C1447" s="39" t="s">
        <v>1995</v>
      </c>
      <c r="D1447" t="s">
        <v>1993</v>
      </c>
      <c r="E1447" s="39" t="s">
        <v>1995</v>
      </c>
      <c r="F1447" s="40"/>
      <c r="G1447" s="39" t="str">
        <f t="shared" ref="G1447:G1455" si="75">_xlfn.CONCAT(B1447,".",C1447)</f>
        <v>WST_LCK.CONTEXT_ID</v>
      </c>
      <c r="H1447" s="39" t="str">
        <f t="shared" ref="H1447:H1455" si="76">_xlfn.CONCAT(D1447,".",E1447)</f>
        <v>WST_LCK.CONTEXT_ID</v>
      </c>
      <c r="I1447" s="35"/>
      <c r="J1447" s="39"/>
      <c r="K1447" s="39"/>
    </row>
    <row r="1448" spans="1:11" hidden="1" x14ac:dyDescent="0.2">
      <c r="A1448" t="s">
        <v>2440</v>
      </c>
      <c r="B1448" s="39" t="s">
        <v>1993</v>
      </c>
      <c r="C1448" s="39" t="s">
        <v>1997</v>
      </c>
      <c r="D1448" t="s">
        <v>1993</v>
      </c>
      <c r="E1448" s="39" t="s">
        <v>1997</v>
      </c>
      <c r="F1448" s="40"/>
      <c r="G1448" s="39" t="str">
        <f t="shared" si="75"/>
        <v>WST_LCK.DIR_UID</v>
      </c>
      <c r="H1448" s="39" t="str">
        <f t="shared" si="76"/>
        <v>WST_LCK.DIR_UID</v>
      </c>
      <c r="I1448" s="35"/>
      <c r="J1448" s="39"/>
      <c r="K1448" s="39"/>
    </row>
    <row r="1449" spans="1:11" hidden="1" x14ac:dyDescent="0.2">
      <c r="A1449" t="s">
        <v>2440</v>
      </c>
      <c r="B1449" s="39" t="s">
        <v>1993</v>
      </c>
      <c r="C1449" s="39" t="s">
        <v>2111</v>
      </c>
      <c r="D1449" t="s">
        <v>1993</v>
      </c>
      <c r="E1449" s="39" t="s">
        <v>71</v>
      </c>
      <c r="F1449" s="40"/>
      <c r="G1449" s="39" t="str">
        <f t="shared" si="75"/>
        <v>WST_LCK.LASTUPDATE</v>
      </c>
      <c r="H1449" s="39" t="str">
        <f t="shared" si="76"/>
        <v>WST_LCK.LAST_MODIFIED_DATE</v>
      </c>
      <c r="I1449" s="35"/>
      <c r="J1449" s="39"/>
      <c r="K1449" s="39"/>
    </row>
    <row r="1450" spans="1:11" hidden="1" x14ac:dyDescent="0.2">
      <c r="A1450" t="s">
        <v>2440</v>
      </c>
      <c r="B1450" s="39" t="s">
        <v>1993</v>
      </c>
      <c r="C1450" s="39" t="s">
        <v>1999</v>
      </c>
      <c r="D1450" t="s">
        <v>1993</v>
      </c>
      <c r="E1450" s="39" t="s">
        <v>1999</v>
      </c>
      <c r="F1450" s="40"/>
      <c r="G1450" s="39" t="str">
        <f t="shared" si="75"/>
        <v>WST_LCK.LCK_UID</v>
      </c>
      <c r="H1450" s="39" t="str">
        <f t="shared" si="76"/>
        <v>WST_LCK.LCK_UID</v>
      </c>
      <c r="I1450" s="35"/>
      <c r="J1450" s="39"/>
      <c r="K1450" s="39"/>
    </row>
    <row r="1451" spans="1:11" hidden="1" x14ac:dyDescent="0.2">
      <c r="A1451" t="s">
        <v>2440</v>
      </c>
      <c r="B1451" s="39" t="s">
        <v>1993</v>
      </c>
      <c r="C1451" s="39" t="s">
        <v>2000</v>
      </c>
      <c r="D1451" t="s">
        <v>1993</v>
      </c>
      <c r="E1451" s="39" t="s">
        <v>2000</v>
      </c>
      <c r="F1451" s="40"/>
      <c r="G1451" s="39" t="str">
        <f t="shared" si="75"/>
        <v>WST_LCK.LOCKMODE</v>
      </c>
      <c r="H1451" s="39" t="str">
        <f t="shared" si="76"/>
        <v>WST_LCK.LOCKMODE</v>
      </c>
      <c r="I1451" s="35"/>
      <c r="J1451" s="39"/>
      <c r="K1451" s="39"/>
    </row>
    <row r="1452" spans="1:11" hidden="1" x14ac:dyDescent="0.2">
      <c r="A1452" t="s">
        <v>2440</v>
      </c>
      <c r="B1452" s="39" t="s">
        <v>1993</v>
      </c>
      <c r="C1452" s="39" t="s">
        <v>2001</v>
      </c>
      <c r="D1452" t="s">
        <v>1993</v>
      </c>
      <c r="E1452" s="39" t="s">
        <v>2001</v>
      </c>
      <c r="F1452" s="40"/>
      <c r="G1452" s="39" t="str">
        <f t="shared" si="75"/>
        <v>WST_LCK.MACHINE_ID</v>
      </c>
      <c r="H1452" s="39" t="str">
        <f t="shared" si="76"/>
        <v>WST_LCK.MACHINE_ID</v>
      </c>
      <c r="I1452" s="35"/>
      <c r="J1452" s="39"/>
      <c r="K1452" s="39"/>
    </row>
    <row r="1453" spans="1:11" hidden="1" x14ac:dyDescent="0.2">
      <c r="A1453" t="s">
        <v>2440</v>
      </c>
      <c r="B1453" s="39" t="s">
        <v>1993</v>
      </c>
      <c r="C1453" s="39" t="s">
        <v>2002</v>
      </c>
      <c r="D1453" t="s">
        <v>1993</v>
      </c>
      <c r="E1453" s="39" t="s">
        <v>2002</v>
      </c>
      <c r="F1453" s="40"/>
      <c r="G1453" s="39" t="str">
        <f t="shared" si="75"/>
        <v>WST_LCK.PRD_UID</v>
      </c>
      <c r="H1453" s="39" t="str">
        <f t="shared" si="76"/>
        <v>WST_LCK.PRD_UID</v>
      </c>
      <c r="I1453" s="35"/>
      <c r="J1453" s="39"/>
      <c r="K1453" s="39"/>
    </row>
    <row r="1454" spans="1:11" hidden="1" x14ac:dyDescent="0.2">
      <c r="A1454" t="s">
        <v>2440</v>
      </c>
      <c r="B1454" s="39" t="s">
        <v>1993</v>
      </c>
      <c r="C1454" s="39" t="s">
        <v>2003</v>
      </c>
      <c r="D1454" t="s">
        <v>1993</v>
      </c>
      <c r="E1454" s="39" t="s">
        <v>2003</v>
      </c>
      <c r="F1454" s="40"/>
      <c r="G1454" s="39" t="str">
        <f t="shared" si="75"/>
        <v>WST_LCK.ULI_UID</v>
      </c>
      <c r="H1454" s="39" t="str">
        <f t="shared" si="76"/>
        <v>WST_LCK.ULI_UID</v>
      </c>
      <c r="I1454" s="35"/>
      <c r="J1454" s="39"/>
      <c r="K1454" s="39"/>
    </row>
    <row r="1455" spans="1:11" hidden="1" x14ac:dyDescent="0.2">
      <c r="A1455" t="s">
        <v>2440</v>
      </c>
      <c r="B1455" s="39" t="s">
        <v>1993</v>
      </c>
      <c r="C1455" s="39" t="s">
        <v>2112</v>
      </c>
      <c r="D1455" t="s">
        <v>1993</v>
      </c>
      <c r="E1455" s="39" t="s">
        <v>68</v>
      </c>
      <c r="F1455" s="40"/>
      <c r="G1455" s="39" t="str">
        <f t="shared" si="75"/>
        <v>WST_LCK.USR_ID</v>
      </c>
      <c r="H1455" s="39" t="str">
        <f t="shared" si="76"/>
        <v>WST_LCK.LAST_MODIFIED_BY_USER_UID</v>
      </c>
      <c r="I1455" s="35"/>
      <c r="J1455" s="39"/>
      <c r="K1455" s="39"/>
    </row>
    <row r="1456" spans="1:11" hidden="1" x14ac:dyDescent="0.2">
      <c r="A1456" t="s">
        <v>2440</v>
      </c>
      <c r="B1456" s="39"/>
      <c r="C1456" s="39"/>
      <c r="D1456" t="s">
        <v>1993</v>
      </c>
      <c r="E1456" s="39" t="s">
        <v>30</v>
      </c>
      <c r="F1456" s="40"/>
      <c r="G1456" s="39" t="str">
        <f t="shared" ref="G1456:G1459" si="77">_xlfn.CONCAT(B1456,".",C1456)</f>
        <v>.</v>
      </c>
      <c r="H1456" s="39" t="str">
        <f t="shared" ref="H1456:H1459" si="78">_xlfn.CONCAT(D1456,".",E1456)</f>
        <v>WST_LCK.ROW_UID</v>
      </c>
      <c r="I1456" s="35"/>
      <c r="J1456" s="39"/>
      <c r="K1456" s="39"/>
    </row>
    <row r="1457" spans="1:11" hidden="1" x14ac:dyDescent="0.2">
      <c r="A1457" t="s">
        <v>2440</v>
      </c>
      <c r="B1457" s="39"/>
      <c r="C1457" s="39"/>
      <c r="D1457" t="s">
        <v>1993</v>
      </c>
      <c r="E1457" s="39" t="s">
        <v>35</v>
      </c>
      <c r="F1457" s="40"/>
      <c r="G1457" s="39" t="str">
        <f t="shared" si="77"/>
        <v>.</v>
      </c>
      <c r="H1457" s="39" t="str">
        <f t="shared" si="78"/>
        <v>WST_LCK.SEQUENCE</v>
      </c>
      <c r="I1457" s="35"/>
      <c r="J1457" s="39"/>
      <c r="K1457" s="39"/>
    </row>
    <row r="1458" spans="1:11" hidden="1" x14ac:dyDescent="0.2">
      <c r="A1458" t="s">
        <v>2440</v>
      </c>
      <c r="B1458" s="39"/>
      <c r="C1458" s="39"/>
      <c r="D1458" t="s">
        <v>1993</v>
      </c>
      <c r="E1458" s="39" t="s">
        <v>61</v>
      </c>
      <c r="F1458" s="40"/>
      <c r="G1458" s="39" t="str">
        <f t="shared" si="77"/>
        <v>.</v>
      </c>
      <c r="H1458" s="39" t="str">
        <f t="shared" si="78"/>
        <v>WST_LCK.CREATED_BY_USER_UID</v>
      </c>
      <c r="I1458" s="35"/>
      <c r="J1458" s="39"/>
      <c r="K1458" s="39"/>
    </row>
    <row r="1459" spans="1:11" hidden="1" x14ac:dyDescent="0.2">
      <c r="A1459" t="s">
        <v>2440</v>
      </c>
      <c r="B1459" s="39"/>
      <c r="C1459" s="39"/>
      <c r="D1459" t="s">
        <v>1993</v>
      </c>
      <c r="E1459" s="39" t="s">
        <v>64</v>
      </c>
      <c r="F1459" s="40"/>
      <c r="G1459" s="39" t="str">
        <f t="shared" si="77"/>
        <v>.</v>
      </c>
      <c r="H1459" s="39" t="str">
        <f t="shared" si="78"/>
        <v>WST_LCK.CREATED_DATE</v>
      </c>
      <c r="I1459" s="35"/>
      <c r="J1459" s="39"/>
      <c r="K1459" s="39"/>
    </row>
    <row r="1460" spans="1:11" hidden="1" x14ac:dyDescent="0.2">
      <c r="A1460" t="s">
        <v>2440</v>
      </c>
      <c r="B1460" t="s">
        <v>2004</v>
      </c>
      <c r="C1460" s="39" t="s">
        <v>2005</v>
      </c>
      <c r="D1460" t="s">
        <v>2004</v>
      </c>
      <c r="E1460" s="39" t="s">
        <v>2005</v>
      </c>
      <c r="F1460" s="40"/>
      <c r="G1460" s="39" t="str">
        <f t="shared" ref="G1460:G1473" si="79">_xlfn.CONCAT(B1460,".",C1460)</f>
        <v>WST_DCT.TABLE_TYPE</v>
      </c>
      <c r="H1460" s="39" t="str">
        <f t="shared" ref="H1460:H1473" si="80">_xlfn.CONCAT(D1460,".",E1460)</f>
        <v>WST_DCT.TABLE_TYPE</v>
      </c>
      <c r="I1460" s="35"/>
      <c r="J1460" s="39"/>
      <c r="K1460" s="39"/>
    </row>
    <row r="1461" spans="1:11" hidden="1" x14ac:dyDescent="0.2">
      <c r="A1461" t="s">
        <v>2440</v>
      </c>
      <c r="B1461" t="s">
        <v>2004</v>
      </c>
      <c r="C1461" s="39" t="s">
        <v>2006</v>
      </c>
      <c r="D1461" t="s">
        <v>2004</v>
      </c>
      <c r="E1461" s="39" t="s">
        <v>2006</v>
      </c>
      <c r="F1461" s="40"/>
      <c r="G1461" s="39" t="str">
        <f t="shared" si="79"/>
        <v>WST_DCT.FLD_NAME</v>
      </c>
      <c r="H1461" s="39" t="str">
        <f t="shared" si="80"/>
        <v>WST_DCT.FLD_NAME</v>
      </c>
      <c r="I1461" s="35"/>
      <c r="J1461" s="39"/>
      <c r="K1461" s="39"/>
    </row>
    <row r="1462" spans="1:11" hidden="1" x14ac:dyDescent="0.2">
      <c r="A1462" t="s">
        <v>2440</v>
      </c>
      <c r="B1462" t="s">
        <v>2004</v>
      </c>
      <c r="C1462" s="39" t="s">
        <v>258</v>
      </c>
      <c r="D1462" t="s">
        <v>2004</v>
      </c>
      <c r="E1462" s="39" t="s">
        <v>258</v>
      </c>
      <c r="F1462" s="40"/>
      <c r="G1462" s="39" t="str">
        <f t="shared" si="79"/>
        <v>WST_DCT.TYPE</v>
      </c>
      <c r="H1462" s="39" t="str">
        <f t="shared" si="80"/>
        <v>WST_DCT.TYPE</v>
      </c>
      <c r="I1462" s="35"/>
      <c r="J1462" s="39"/>
      <c r="K1462" s="39"/>
    </row>
    <row r="1463" spans="1:11" hidden="1" x14ac:dyDescent="0.2">
      <c r="A1463" t="s">
        <v>2440</v>
      </c>
      <c r="B1463" t="s">
        <v>2004</v>
      </c>
      <c r="C1463" s="39" t="s">
        <v>2007</v>
      </c>
      <c r="D1463" t="s">
        <v>2004</v>
      </c>
      <c r="E1463" s="39" t="s">
        <v>2007</v>
      </c>
      <c r="F1463" s="40"/>
      <c r="G1463" s="39" t="str">
        <f t="shared" si="79"/>
        <v>WST_DCT.LENGTH</v>
      </c>
      <c r="H1463" s="39" t="str">
        <f t="shared" si="80"/>
        <v>WST_DCT.LENGTH</v>
      </c>
      <c r="I1463" s="35"/>
      <c r="J1463" s="39"/>
      <c r="K1463" s="39"/>
    </row>
    <row r="1464" spans="1:11" hidden="1" x14ac:dyDescent="0.2">
      <c r="A1464" t="s">
        <v>2440</v>
      </c>
      <c r="B1464" t="s">
        <v>2004</v>
      </c>
      <c r="C1464" s="39" t="s">
        <v>7</v>
      </c>
      <c r="D1464" t="s">
        <v>2004</v>
      </c>
      <c r="E1464" s="39" t="s">
        <v>7</v>
      </c>
      <c r="F1464" s="40"/>
      <c r="G1464" s="39" t="str">
        <f t="shared" si="79"/>
        <v>WST_DCT.SCALE</v>
      </c>
      <c r="H1464" s="39" t="str">
        <f t="shared" si="80"/>
        <v>WST_DCT.SCALE</v>
      </c>
      <c r="I1464" s="35"/>
      <c r="J1464" s="39"/>
      <c r="K1464" s="39"/>
    </row>
    <row r="1465" spans="1:11" hidden="1" x14ac:dyDescent="0.2">
      <c r="A1465" t="s">
        <v>2440</v>
      </c>
      <c r="B1465" t="s">
        <v>2004</v>
      </c>
      <c r="C1465" s="39" t="s">
        <v>2008</v>
      </c>
      <c r="D1465" t="s">
        <v>2004</v>
      </c>
      <c r="E1465" s="39" t="s">
        <v>2008</v>
      </c>
      <c r="F1465" s="40"/>
      <c r="G1465" s="39" t="str">
        <f t="shared" si="79"/>
        <v>WST_DCT.COL_FLAGS</v>
      </c>
      <c r="H1465" s="39" t="str">
        <f t="shared" si="80"/>
        <v>WST_DCT.COL_FLAGS</v>
      </c>
      <c r="I1465" s="35"/>
      <c r="J1465" s="39"/>
      <c r="K1465" s="39"/>
    </row>
    <row r="1466" spans="1:11" hidden="1" x14ac:dyDescent="0.2">
      <c r="A1466" t="s">
        <v>2440</v>
      </c>
      <c r="B1466" t="s">
        <v>2004</v>
      </c>
      <c r="C1466" s="39" t="s">
        <v>2009</v>
      </c>
      <c r="D1466" t="s">
        <v>2004</v>
      </c>
      <c r="E1466" s="39" t="s">
        <v>2009</v>
      </c>
      <c r="F1466" s="40"/>
      <c r="G1466" s="39" t="str">
        <f t="shared" si="79"/>
        <v>WST_DCT.SYS_NAME</v>
      </c>
      <c r="H1466" s="39" t="str">
        <f t="shared" si="80"/>
        <v>WST_DCT.SYS_NAME</v>
      </c>
      <c r="I1466" s="35"/>
      <c r="J1466" s="39"/>
      <c r="K1466" s="39"/>
    </row>
    <row r="1467" spans="1:11" hidden="1" x14ac:dyDescent="0.2">
      <c r="A1467" t="s">
        <v>2440</v>
      </c>
      <c r="B1467" t="s">
        <v>2004</v>
      </c>
      <c r="C1467" s="39" t="s">
        <v>2010</v>
      </c>
      <c r="D1467" t="s">
        <v>2004</v>
      </c>
      <c r="E1467" s="39" t="s">
        <v>2010</v>
      </c>
      <c r="F1467" s="40"/>
      <c r="G1467" s="39" t="str">
        <f t="shared" si="79"/>
        <v>WST_DCT.USR_NAME</v>
      </c>
      <c r="H1467" s="39" t="str">
        <f t="shared" si="80"/>
        <v>WST_DCT.USR_NAME</v>
      </c>
      <c r="I1467" s="35"/>
      <c r="J1467" s="39"/>
      <c r="K1467" s="39"/>
    </row>
    <row r="1468" spans="1:11" hidden="1" x14ac:dyDescent="0.2">
      <c r="A1468" t="s">
        <v>2440</v>
      </c>
      <c r="B1468" t="s">
        <v>2004</v>
      </c>
      <c r="C1468" s="39" t="s">
        <v>2011</v>
      </c>
      <c r="D1468" t="s">
        <v>2004</v>
      </c>
      <c r="E1468" s="39" t="s">
        <v>2011</v>
      </c>
      <c r="F1468" s="40"/>
      <c r="G1468" s="39" t="str">
        <f t="shared" si="79"/>
        <v>WST_DCT.STRING_ID</v>
      </c>
      <c r="H1468" s="39" t="str">
        <f t="shared" si="80"/>
        <v>WST_DCT.STRING_ID</v>
      </c>
      <c r="I1468" s="35"/>
      <c r="J1468" s="39"/>
      <c r="K1468" s="39"/>
    </row>
    <row r="1469" spans="1:11" hidden="1" x14ac:dyDescent="0.2">
      <c r="A1469" t="s">
        <v>2440</v>
      </c>
      <c r="B1469" t="s">
        <v>2004</v>
      </c>
      <c r="C1469" s="39" t="s">
        <v>12</v>
      </c>
      <c r="D1469" t="s">
        <v>2004</v>
      </c>
      <c r="E1469" s="39" t="s">
        <v>12</v>
      </c>
      <c r="F1469" s="40"/>
      <c r="G1469" s="39" t="str">
        <f t="shared" si="79"/>
        <v>WST_DCT.FKEY_TABLE</v>
      </c>
      <c r="H1469" s="39" t="str">
        <f t="shared" si="80"/>
        <v>WST_DCT.FKEY_TABLE</v>
      </c>
      <c r="I1469" s="35"/>
      <c r="J1469" s="39"/>
      <c r="K1469" s="39"/>
    </row>
    <row r="1470" spans="1:11" hidden="1" x14ac:dyDescent="0.2">
      <c r="A1470" t="s">
        <v>2440</v>
      </c>
      <c r="B1470" t="s">
        <v>2004</v>
      </c>
      <c r="C1470" s="39" t="s">
        <v>2012</v>
      </c>
      <c r="D1470" t="s">
        <v>2004</v>
      </c>
      <c r="E1470" s="39" t="s">
        <v>2012</v>
      </c>
      <c r="F1470" s="40"/>
      <c r="G1470" s="39" t="str">
        <f t="shared" si="79"/>
        <v>WST_DCT.FKEY_FLD_NAME</v>
      </c>
      <c r="H1470" s="39" t="str">
        <f t="shared" si="80"/>
        <v>WST_DCT.FKEY_FLD_NAME</v>
      </c>
      <c r="I1470" s="35"/>
      <c r="J1470" s="39"/>
      <c r="K1470" s="39"/>
    </row>
    <row r="1471" spans="1:11" hidden="1" x14ac:dyDescent="0.2">
      <c r="A1471" t="s">
        <v>2440</v>
      </c>
      <c r="B1471" t="s">
        <v>2004</v>
      </c>
      <c r="C1471" s="39" t="s">
        <v>2013</v>
      </c>
      <c r="D1471" t="s">
        <v>2004</v>
      </c>
      <c r="E1471" s="39" t="s">
        <v>2013</v>
      </c>
      <c r="F1471" s="40"/>
      <c r="G1471" s="39" t="str">
        <f t="shared" si="79"/>
        <v>WST_DCT.FKEY_REQUIRED</v>
      </c>
      <c r="H1471" s="39" t="str">
        <f t="shared" si="80"/>
        <v>WST_DCT.FKEY_REQUIRED</v>
      </c>
      <c r="I1471" s="35"/>
      <c r="J1471" s="39"/>
      <c r="K1471" s="39"/>
    </row>
    <row r="1472" spans="1:11" hidden="1" x14ac:dyDescent="0.2">
      <c r="A1472" t="s">
        <v>2440</v>
      </c>
      <c r="B1472" t="s">
        <v>2004</v>
      </c>
      <c r="C1472" s="39" t="s">
        <v>2014</v>
      </c>
      <c r="D1472" t="s">
        <v>2004</v>
      </c>
      <c r="E1472" s="39" t="s">
        <v>2014</v>
      </c>
      <c r="F1472" s="40"/>
      <c r="G1472" s="39" t="str">
        <f t="shared" si="79"/>
        <v>WST_DCT.FKEY_VIRTUAL</v>
      </c>
      <c r="H1472" s="39" t="str">
        <f t="shared" si="80"/>
        <v>WST_DCT.FKEY_VIRTUAL</v>
      </c>
      <c r="I1472" s="35"/>
      <c r="J1472" s="39"/>
      <c r="K1472" s="39"/>
    </row>
    <row r="1473" spans="1:11" hidden="1" x14ac:dyDescent="0.2">
      <c r="A1473" t="s">
        <v>2440</v>
      </c>
      <c r="B1473" t="s">
        <v>2004</v>
      </c>
      <c r="C1473" s="39" t="s">
        <v>2015</v>
      </c>
      <c r="D1473" t="s">
        <v>2004</v>
      </c>
      <c r="E1473" s="39" t="s">
        <v>2015</v>
      </c>
      <c r="F1473" s="40"/>
      <c r="G1473" s="39" t="str">
        <f t="shared" si="79"/>
        <v>WST_DCT.DEL_FOREIGN_ACTION</v>
      </c>
      <c r="H1473" s="39" t="str">
        <f t="shared" si="80"/>
        <v>WST_DCT.DEL_FOREIGN_ACTION</v>
      </c>
      <c r="I1473" s="35"/>
      <c r="J1473" s="39"/>
      <c r="K1473" s="39"/>
    </row>
    <row r="1474" spans="1:11" hidden="1" x14ac:dyDescent="0.2">
      <c r="A1474" t="s">
        <v>2440</v>
      </c>
      <c r="B1474" s="39"/>
      <c r="C1474" s="39"/>
      <c r="D1474" t="s">
        <v>2004</v>
      </c>
      <c r="E1474" s="39" t="s">
        <v>30</v>
      </c>
      <c r="F1474" s="40"/>
      <c r="G1474" s="39" t="str">
        <f t="shared" ref="G1474:G1479" si="81">_xlfn.CONCAT(B1474,".",C1474)</f>
        <v>.</v>
      </c>
      <c r="H1474" s="39" t="str">
        <f t="shared" ref="H1474:H1479" si="82">_xlfn.CONCAT(D1474,".",E1474)</f>
        <v>WST_DCT.ROW_UID</v>
      </c>
      <c r="I1474" s="35"/>
      <c r="J1474" s="39"/>
      <c r="K1474" s="39"/>
    </row>
    <row r="1475" spans="1:11" hidden="1" x14ac:dyDescent="0.2">
      <c r="A1475" t="s">
        <v>2440</v>
      </c>
      <c r="B1475" s="39"/>
      <c r="C1475" s="39"/>
      <c r="D1475" t="s">
        <v>2004</v>
      </c>
      <c r="E1475" s="39" t="s">
        <v>35</v>
      </c>
      <c r="F1475" s="40"/>
      <c r="G1475" s="39" t="str">
        <f t="shared" si="81"/>
        <v>.</v>
      </c>
      <c r="H1475" s="39" t="str">
        <f t="shared" si="82"/>
        <v>WST_DCT.SEQUENCE</v>
      </c>
      <c r="I1475" s="35"/>
      <c r="J1475" s="39"/>
      <c r="K1475" s="39"/>
    </row>
    <row r="1476" spans="1:11" hidden="1" x14ac:dyDescent="0.2">
      <c r="A1476" t="s">
        <v>2440</v>
      </c>
      <c r="B1476" s="39"/>
      <c r="C1476" s="39"/>
      <c r="D1476" t="s">
        <v>2004</v>
      </c>
      <c r="E1476" s="39" t="s">
        <v>61</v>
      </c>
      <c r="F1476" s="40"/>
      <c r="G1476" s="39" t="str">
        <f t="shared" si="81"/>
        <v>.</v>
      </c>
      <c r="H1476" s="39" t="str">
        <f t="shared" si="82"/>
        <v>WST_DCT.CREATED_BY_USER_UID</v>
      </c>
      <c r="I1476" s="35"/>
      <c r="J1476" s="39"/>
      <c r="K1476" s="39"/>
    </row>
    <row r="1477" spans="1:11" hidden="1" x14ac:dyDescent="0.2">
      <c r="A1477" t="s">
        <v>2440</v>
      </c>
      <c r="B1477" s="39"/>
      <c r="C1477" s="39"/>
      <c r="D1477" t="s">
        <v>2004</v>
      </c>
      <c r="E1477" s="39" t="s">
        <v>64</v>
      </c>
      <c r="F1477" s="40"/>
      <c r="G1477" s="39" t="str">
        <f t="shared" si="81"/>
        <v>.</v>
      </c>
      <c r="H1477" s="39" t="str">
        <f t="shared" si="82"/>
        <v>WST_DCT.CREATED_DATE</v>
      </c>
      <c r="I1477" s="35"/>
      <c r="J1477" s="39"/>
      <c r="K1477" s="39"/>
    </row>
    <row r="1478" spans="1:11" hidden="1" x14ac:dyDescent="0.2">
      <c r="A1478" t="s">
        <v>2440</v>
      </c>
      <c r="B1478" s="39"/>
      <c r="C1478" s="39"/>
      <c r="D1478" t="s">
        <v>2004</v>
      </c>
      <c r="E1478" s="39" t="s">
        <v>68</v>
      </c>
      <c r="F1478" s="40"/>
      <c r="G1478" s="39" t="str">
        <f t="shared" si="81"/>
        <v>.</v>
      </c>
      <c r="H1478" s="39" t="str">
        <f t="shared" si="82"/>
        <v>WST_DCT.LAST_MODIFIED_BY_USER_UID</v>
      </c>
      <c r="I1478" s="35"/>
      <c r="J1478" s="39"/>
      <c r="K1478" s="39"/>
    </row>
    <row r="1479" spans="1:11" hidden="1" x14ac:dyDescent="0.2">
      <c r="A1479" t="s">
        <v>2440</v>
      </c>
      <c r="B1479" s="39"/>
      <c r="C1479" s="39"/>
      <c r="D1479" t="s">
        <v>2004</v>
      </c>
      <c r="E1479" s="39" t="s">
        <v>71</v>
      </c>
      <c r="F1479" s="40"/>
      <c r="G1479" s="39" t="str">
        <f t="shared" si="81"/>
        <v>.</v>
      </c>
      <c r="H1479" s="39" t="str">
        <f t="shared" si="82"/>
        <v>WST_DCT.LAST_MODIFIED_DATE</v>
      </c>
      <c r="I1479" s="35"/>
      <c r="J1479" s="39"/>
      <c r="K1479" s="39"/>
    </row>
  </sheetData>
  <phoneticPr fontId="3" type="noConversion"/>
  <conditionalFormatting sqref="C1101:C1102 E1101:I1102">
    <cfRule type="expression" dxfId="11" priority="521">
      <formula>AND(ROW()&gt;1, NOT(ISBLANK($M1111)), NOT(AND($D1101="ROW_UID", $N1111="ROW_UID")), NOT(ISNUMBER(SEARCH(_xlfn.CONCAT($M1111, "_UID"), $D1101))))</formula>
    </cfRule>
    <cfRule type="expression" dxfId="10" priority="522">
      <formula>AND(ROW()&gt;1, LEN($D1101)&gt;30)</formula>
    </cfRule>
  </conditionalFormatting>
  <conditionalFormatting sqref="D128:D143 D155:D168">
    <cfRule type="expression" dxfId="9" priority="6">
      <formula>AND(ROW()&gt;1, LEN($B128)&gt;30)</formula>
    </cfRule>
  </conditionalFormatting>
  <conditionalFormatting sqref="D1101">
    <cfRule type="expression" dxfId="8" priority="11">
      <formula>AND(ROW()&gt;1, LEN($D2)&gt;30)</formula>
    </cfRule>
  </conditionalFormatting>
  <conditionalFormatting sqref="D1102">
    <cfRule type="expression" dxfId="7" priority="14">
      <formula>AND(ROW()&gt;1, LEN($D5)&gt;30)</formula>
    </cfRule>
  </conditionalFormatting>
  <conditionalFormatting sqref="D1103:D1121">
    <cfRule type="expression" dxfId="6" priority="17">
      <formula>AND(ROW()&gt;1, LEN($D1103)&gt;30)</formula>
    </cfRule>
  </conditionalFormatting>
  <conditionalFormatting sqref="E221">
    <cfRule type="expression" dxfId="5" priority="4">
      <formula>AND(ROW()&gt;1, NOT(ISBLANK($M221)), NOT(AND($C221="ROW_UID", $N221="ROW_UID")), NOT(ISNUMBER(SEARCH(_xlfn.CONCAT($M221, "_UID"), $C221))))</formula>
    </cfRule>
    <cfRule type="expression" dxfId="4" priority="5">
      <formula>AND(ROW()&gt;1, LEN($C221)&gt;30)</formula>
    </cfRule>
  </conditionalFormatting>
  <conditionalFormatting sqref="E1112:E1117 E1119:E1121">
    <cfRule type="expression" dxfId="3" priority="525">
      <formula>AND(ROW()&gt;1, NOT(ISBLANK($M1122)), NOT(AND($E1112="ROW_UID", $N1122="ROW_UID")), NOT(ISNUMBER(SEARCH(_xlfn.CONCAT($M1122, "_UID"), $E1112))))</formula>
    </cfRule>
    <cfRule type="expression" dxfId="2" priority="526">
      <formula>AND(ROW()&gt;1, LEN($E1112)&gt;30)</formula>
    </cfRule>
  </conditionalFormatting>
  <conditionalFormatting sqref="F1103:I1104 E1103:E1106 C1103:C1111 E1108:E1111">
    <cfRule type="expression" dxfId="1" priority="529">
      <formula>AND(ROW()&gt;1, NOT(ISBLANK($M1113)), NOT(AND($C1103="ROW_UID", $N1113="ROW_UID")), NOT(ISNUMBER(SEARCH(_xlfn.CONCAT($M1113, "_UID"), $C1103))))</formula>
    </cfRule>
    <cfRule type="expression" dxfId="0" priority="530">
      <formula>AND(ROW()&gt;1, LEN($C1103)&gt;30)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41AAA2459564F849EB9533CB848DF" ma:contentTypeVersion="29" ma:contentTypeDescription="Create a new document." ma:contentTypeScope="" ma:versionID="cd2c515c1b34050671f05fa0bc0cb66c">
  <xsd:schema xmlns:xsd="http://www.w3.org/2001/XMLSchema" xmlns:xs="http://www.w3.org/2001/XMLSchema" xmlns:p="http://schemas.microsoft.com/office/2006/metadata/properties" xmlns:ns2="a42336c4-cdb5-4dee-b5ad-f9e9b6f86c62" xmlns:ns3="a1b42fff-3491-42b9-b67c-3fbac2e58215" xmlns:ns4="75548271-c8e5-432d-9b48-46ca38857e6d" targetNamespace="http://schemas.microsoft.com/office/2006/metadata/properties" ma:root="true" ma:fieldsID="26876e946dea9c67c3db0ae281439506" ns2:_="" ns3:_="" ns4:_="">
    <xsd:import namespace="a42336c4-cdb5-4dee-b5ad-f9e9b6f86c62"/>
    <xsd:import namespace="a1b42fff-3491-42b9-b67c-3fbac2e58215"/>
    <xsd:import namespace="75548271-c8e5-432d-9b48-46ca38857e6d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336c4-cdb5-4dee-b5ad-f9e9b6f86c62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d066b9f-01a5-4ae2-9820-f7f0feb12b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" ma:index="20" nillable="true" ma:displayName="Content Description" ma:format="Dropdown" ma:internalName="Cont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2fff-3491-42b9-b67c-3fbac2e58215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ed8de4bd-543f-4fb5-85e1-19d22399c8e4}" ma:internalName="TaxCatchAll" ma:showField="CatchAllData" ma:web="75548271-c8e5-432d-9b48-46ca38857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48271-c8e5-432d-9b48-46ca38857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b42fff-3491-42b9-b67c-3fbac2e58215" xsi:nil="true"/>
    <lcf76f155ced4ddcb4097134ff3c332f xmlns="a42336c4-cdb5-4dee-b5ad-f9e9b6f86c62">
      <Terms xmlns="http://schemas.microsoft.com/office/infopath/2007/PartnerControls"/>
    </lcf76f155ced4ddcb4097134ff3c332f>
    <Content xmlns="a42336c4-cdb5-4dee-b5ad-f9e9b6f86c62" xsi:nil="true"/>
  </documentManagement>
</p:properties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138C9-40A2-4973-912A-E907E710C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336c4-cdb5-4dee-b5ad-f9e9b6f86c62"/>
    <ds:schemaRef ds:uri="a1b42fff-3491-42b9-b67c-3fbac2e58215"/>
    <ds:schemaRef ds:uri="75548271-c8e5-432d-9b48-46ca38857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5FC416-1658-4BA2-A00C-0111EEBEEFEB}">
  <ds:schemaRefs>
    <ds:schemaRef ds:uri="http://schemas.microsoft.com/office/2006/metadata/properties"/>
    <ds:schemaRef ds:uri="http://schemas.microsoft.com/office/infopath/2007/PartnerControls"/>
    <ds:schemaRef ds:uri="a1b42fff-3491-42b9-b67c-3fbac2e58215"/>
    <ds:schemaRef ds:uri="a42336c4-cdb5-4dee-b5ad-f9e9b6f86c62"/>
  </ds:schemaRefs>
</ds:datastoreItem>
</file>

<file path=customXml/itemProps3.xml><?xml version="1.0" encoding="utf-8"?>
<ds:datastoreItem xmlns:ds="http://schemas.openxmlformats.org/officeDocument/2006/customXml" ds:itemID="{85A21297-5D3C-4623-B6FE-FEC09C6D919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E0D9842-4226-44AB-A4BF-6A220B505F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Cobra Web</vt:lpstr>
      <vt:lpstr>Data Type Lookup</vt:lpstr>
      <vt:lpstr>Table Flags</vt:lpstr>
      <vt:lpstr>Column Flags</vt:lpstr>
      <vt:lpstr>Cobra 8.5</vt:lpstr>
      <vt:lpstr>Cobra 8.6</vt:lpstr>
      <vt:lpstr>8.5 -&gt; Web Table Mapping</vt:lpstr>
      <vt:lpstr>8.5 -&gt; Web  Column Mapping</vt:lpstr>
    </vt:vector>
  </TitlesOfParts>
  <Manager/>
  <Company>Deltek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Wagenfuehr</dc:creator>
  <cp:keywords/>
  <dc:description/>
  <cp:lastModifiedBy>Lachlan Forgan</cp:lastModifiedBy>
  <cp:revision/>
  <dcterms:created xsi:type="dcterms:W3CDTF">2024-07-08T22:16:38Z</dcterms:created>
  <dcterms:modified xsi:type="dcterms:W3CDTF">2026-01-20T00:26:53Z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0x010100A6941AAA2459564F849EB9533CB848DF</vt:lpwstr>
  </property>
  <property fmtid="{D5CDD505-2E9C-101B-9397-08002B2CF9AE}" pid="3" name="MediaServiceImageTags">
    <vt:lpwstr/>
  </property>
</Properties>
</file>